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ily Report June -26 " sheetId="1" state="visible" r:id="rId1"/>
    <sheet name="Sheet1" sheetId="2" state="hidden" r:id="rId2"/>
    <sheet name=" Monthly Report June-26" sheetId="3" state="visible" r:id="rId3"/>
    <sheet name="MSI Report" sheetId="4" state="visible" r:id="rId4"/>
    <sheet name="Sheet2" sheetId="5" state="hidden" r:id="rId5"/>
    <sheet name="Dashboard" sheetId="6" state="visible" r:id="rId6"/>
  </sheets>
  <definedNames>
    <definedName name="_xlnm._FilterDatabase" localSheetId="0" hidden="1">'Daily Report June -26 '!$A$1:$M$59</definedName>
    <definedName name="_xlnm._FilterDatabase" localSheetId="2" hidden="1">' Monthly Report June-26'!$A$1:$AB$2980</definedName>
  </definedNames>
  <calcPr calcId="191028" fullCalcOnLoad="1"/>
  <pivotCaches>
    <pivotCache cacheId="8" r:id="rId7"/>
  </pivotCaches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&quot;₹&quot;\ #,##0.00"/>
    <numFmt numFmtId="167" formatCode="0.0&quot; days&quot;"/>
  </numFmts>
  <fonts count="71">
    <font>
      <name val="Aptos Narrow"/>
      <family val="2"/>
      <color theme="1"/>
      <sz val="11"/>
      <scheme val="minor"/>
    </font>
    <font>
      <name val="Calibri"/>
      <family val="2"/>
      <b val="1"/>
      <sz val="8"/>
    </font>
    <font>
      <name val="Calibri"/>
      <family val="2"/>
      <sz val="8"/>
    </font>
    <font>
      <name val="Calibri"/>
      <family val="2"/>
      <color rgb="FF000000"/>
      <sz val="8"/>
    </font>
    <font>
      <name val="Calibri"/>
      <family val="2"/>
      <b val="1"/>
      <color rgb="FF000000"/>
      <sz val="8"/>
    </font>
    <font>
      <name val="Aptos Narrow"/>
      <family val="2"/>
      <color theme="10"/>
      <sz val="11"/>
      <u val="single"/>
      <scheme val="minor"/>
    </font>
    <font>
      <name val="Calibri"/>
      <family val="2"/>
      <b val="1"/>
      <color theme="10"/>
      <sz val="8"/>
      <u val="single"/>
    </font>
    <font>
      <name val="Calibri"/>
      <family val="2"/>
      <color theme="1"/>
      <sz val="8"/>
    </font>
    <font>
      <name val="Aptos Narrow"/>
      <family val="2"/>
      <color theme="1"/>
      <sz val="8"/>
      <scheme val="minor"/>
    </font>
    <font>
      <name val="Calibri"/>
      <family val="2"/>
      <color theme="1"/>
      <sz val="11"/>
    </font>
    <font>
      <name val="Aptos Narrow"/>
      <family val="2"/>
      <sz val="8"/>
      <scheme val="minor"/>
    </font>
    <font>
      <name val="Aptos Narrow"/>
      <family val="2"/>
      <b val="1"/>
      <color rgb="FF000000"/>
      <sz val="8"/>
      <scheme val="minor"/>
    </font>
    <font>
      <name val="Calibri"/>
      <family val="2"/>
      <i val="1"/>
      <color rgb="FF000000"/>
      <sz val="8"/>
    </font>
    <font>
      <name val="Calibri"/>
      <family val="2"/>
      <b val="1"/>
      <color theme="1"/>
      <sz val="8"/>
    </font>
    <font>
      <name val="Calibri"/>
      <family val="2"/>
      <color rgb="FF242424"/>
      <sz val="8"/>
    </font>
    <font>
      <name val="Aptos Narrow"/>
      <family val="2"/>
      <b val="1"/>
      <color theme="1"/>
      <sz val="8"/>
      <scheme val="minor"/>
    </font>
    <font>
      <name val="Calibri"/>
      <family val="2"/>
      <color theme="10"/>
      <sz val="8"/>
      <u val="single"/>
    </font>
    <font>
      <name val="Calibri"/>
      <family val="2"/>
      <color rgb="FF212121"/>
      <sz val="8"/>
    </font>
    <font>
      <name val="Calibri"/>
      <family val="2"/>
      <color rgb="FF222222"/>
      <sz val="8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1F4E79"/>
      <sz val="16"/>
      <scheme val="minor"/>
    </font>
    <font>
      <name val="Aptos Narrow"/>
      <family val="2"/>
      <b val="1"/>
      <sz val="8"/>
      <scheme val="minor"/>
    </font>
    <font>
      <name val="Aptos Narrow"/>
      <family val="2"/>
      <b val="1"/>
      <color rgb="FFFFFFFF"/>
      <sz val="12"/>
      <scheme val="minor"/>
    </font>
    <font>
      <name val="Aptos Narrow"/>
      <family val="2"/>
      <b val="1"/>
      <color rgb="FF4472C4"/>
      <sz val="9"/>
      <scheme val="minor"/>
    </font>
    <font>
      <name val="Aptos Narrow"/>
      <family val="2"/>
      <b val="1"/>
      <color rgb="FF548235"/>
      <sz val="9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b val="1"/>
      <color rgb="FF7030A0"/>
      <sz val="9"/>
      <scheme val="minor"/>
    </font>
    <font>
      <name val="Aptos Narrow"/>
      <family val="2"/>
      <b val="1"/>
      <color rgb="FF1F4E79"/>
      <sz val="9"/>
      <scheme val="minor"/>
    </font>
    <font>
      <name val="Aptos Narrow"/>
      <family val="2"/>
      <b val="1"/>
      <color rgb="FFC45911"/>
      <sz val="9"/>
      <scheme val="minor"/>
    </font>
    <font>
      <name val="Aptos Narrow"/>
      <family val="2"/>
      <b val="1"/>
      <color theme="7" tint="-0.499984740745262"/>
      <sz val="11"/>
      <scheme val="minor"/>
    </font>
    <font>
      <name val="Aptos Narrow"/>
      <family val="2"/>
      <b val="1"/>
      <color rgb="FF1F4E79"/>
      <sz val="20"/>
      <scheme val="minor"/>
    </font>
    <font>
      <name val="Aptos Narrow"/>
      <family val="2"/>
      <b val="1"/>
      <color rgb="FF548235"/>
      <sz val="20"/>
      <scheme val="minor"/>
    </font>
    <font>
      <name val="Aptos Narrow"/>
      <family val="2"/>
      <b val="1"/>
      <color rgb="FFFF0000"/>
      <sz val="20"/>
      <scheme val="minor"/>
    </font>
    <font>
      <name val="Aptos Narrow"/>
      <family val="2"/>
      <b val="1"/>
      <color rgb="FF7030A0"/>
      <sz val="20"/>
      <scheme val="minor"/>
    </font>
    <font>
      <name val="Aptos Narrow"/>
      <family val="2"/>
      <b val="1"/>
      <color rgb="FFC45911"/>
      <sz val="20"/>
      <scheme val="minor"/>
    </font>
    <font>
      <name val="Aptos Narrow"/>
      <family val="2"/>
      <b val="1"/>
      <color theme="7" tint="-0.499984740745262"/>
      <sz val="16"/>
      <scheme val="minor"/>
    </font>
    <font>
      <name val="Aptos Narrow"/>
      <family val="2"/>
      <b val="1"/>
      <color rgb="FF1F4E79"/>
      <sz val="13"/>
      <scheme val="minor"/>
    </font>
    <font>
      <name val="Aptos Narrow"/>
      <family val="2"/>
      <b val="1"/>
      <color rgb="FF1F3864"/>
      <sz val="11"/>
      <scheme val="minor"/>
    </font>
    <font>
      <name val="Aptos Narrow"/>
      <family val="2"/>
      <b val="1"/>
      <color rgb="FF375623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color rgb="FF375623"/>
      <sz val="11"/>
      <scheme val="minor"/>
    </font>
    <font>
      <name val="Aptos Narrow"/>
      <family val="2"/>
      <color rgb="FFC55A11"/>
      <sz val="11"/>
      <scheme val="minor"/>
    </font>
    <font>
      <name val="Aptos Narrow"/>
      <family val="2"/>
      <b val="1"/>
      <i val="1"/>
      <color theme="3"/>
      <sz val="11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color theme="0"/>
      <sz val="11"/>
      <scheme val="minor"/>
    </font>
    <font>
      <name val="Calibri"/>
      <family val="2"/>
      <color theme="1"/>
      <sz val="10"/>
    </font>
    <font>
      <name val="Calibri"/>
      <family val="2"/>
      <sz val="10"/>
    </font>
    <font>
      <name val="Calibri"/>
      <family val="2"/>
      <color rgb="FF000000"/>
      <sz val="10"/>
    </font>
    <font>
      <name val="Calibri"/>
      <family val="2"/>
      <sz val="11"/>
    </font>
    <font>
      <name val="Calibri"/>
      <family val="2"/>
      <color rgb="FF000000"/>
      <sz val="11"/>
    </font>
    <font>
      <name val="Aptos Narrow"/>
      <family val="2"/>
      <color theme="1"/>
      <sz val="10"/>
      <scheme val="minor"/>
    </font>
    <font>
      <name val="Aptos Narrow"/>
      <family val="2"/>
      <color rgb="FFFFFFFF"/>
      <sz val="11"/>
      <scheme val="minor"/>
    </font>
    <font>
      <name val="Aptos Narrow"/>
      <family val="2"/>
      <b val="1"/>
      <color rgb="FFFFFFFF"/>
      <sz val="22"/>
      <scheme val="minor"/>
    </font>
    <font>
      <name val="Aptos Narrow"/>
      <family val="2"/>
      <sz val="11"/>
      <scheme val="minor"/>
    </font>
    <font>
      <name val="Aptos Narrow"/>
      <family val="2"/>
      <color rgb="FFBDD7EE"/>
      <sz val="11"/>
      <scheme val="minor"/>
    </font>
    <font>
      <name val="Aptos Narrow"/>
      <family val="2"/>
      <b val="1"/>
      <color rgb="FF667085"/>
      <sz val="10"/>
      <scheme val="minor"/>
    </font>
    <font>
      <name val="Aptos Narrow"/>
      <family val="2"/>
      <b val="1"/>
      <color rgb="FF1F3864"/>
      <sz val="26"/>
      <scheme val="minor"/>
    </font>
    <font>
      <name val="Aptos Narrow"/>
      <family val="2"/>
      <b val="1"/>
      <color rgb="FF2E7D32"/>
      <sz val="26"/>
      <scheme val="minor"/>
    </font>
    <font>
      <name val="Aptos Narrow"/>
      <family val="2"/>
      <b val="1"/>
      <color rgb="FFC62828"/>
      <sz val="26"/>
      <scheme val="minor"/>
    </font>
    <font>
      <name val="Aptos Narrow"/>
      <family val="2"/>
      <b val="1"/>
      <color rgb="FF1F3864"/>
      <sz val="12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3"/>
      <sz val="12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6"/>
      <sz val="26"/>
      <scheme val="minor"/>
    </font>
    <font>
      <name val="Aptos Narrow"/>
      <family val="2"/>
      <b val="1"/>
      <color theme="5"/>
      <sz val="26"/>
      <scheme val="minor"/>
    </font>
    <font>
      <name val="Aptos Narrow"/>
      <family val="2"/>
      <color rgb="FF000000"/>
      <sz val="20"/>
      <scheme val="minor"/>
    </font>
    <font>
      <name val="Aptos Narrow"/>
      <family val="2"/>
      <color theme="0"/>
      <sz val="1"/>
      <scheme val="minor"/>
    </font>
    <font>
      <name val="Aptos Narrow"/>
      <family val="2"/>
      <b val="1"/>
      <color theme="0"/>
      <sz val="1"/>
      <scheme val="minor"/>
    </font>
  </fonts>
  <fills count="27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0"/>
        <bgColor theme="4" tint="0.7999816888943144"/>
      </patternFill>
    </fill>
    <fill>
      <patternFill patternType="solid">
        <fgColor rgb="FF1F386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/>
      <diagonal/>
    </border>
  </borders>
  <cellStyleXfs count="2">
    <xf numFmtId="0" fontId="19" fillId="0" borderId="0"/>
    <xf numFmtId="0" fontId="5" fillId="0" borderId="0"/>
  </cellStyleXfs>
  <cellXfs count="211">
    <xf numFmtId="0" fontId="0" fillId="0" borderId="0" pivotButton="0" quotePrefix="0" xfId="0"/>
    <xf numFmtId="0" fontId="3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6" fillId="0" borderId="1" applyAlignment="1" pivotButton="0" quotePrefix="0" xfId="1">
      <alignment horizontal="center"/>
    </xf>
    <xf numFmtId="15" fontId="3" fillId="3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15" fontId="2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9" fillId="0" borderId="1" pivotButton="0" quotePrefix="0" xfId="0"/>
    <xf numFmtId="0" fontId="4" fillId="4" borderId="2" applyAlignment="1" pivotButton="0" quotePrefix="0" xfId="0">
      <alignment horizontal="center"/>
    </xf>
    <xf numFmtId="1" fontId="7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3" fillId="0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13" fillId="0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6" fillId="4" borderId="1" applyAlignment="1" pivotButton="0" quotePrefix="0" xfId="1">
      <alignment horizontal="center"/>
    </xf>
    <xf numFmtId="0" fontId="9" fillId="4" borderId="1" pivotButton="0" quotePrefix="0" xfId="0"/>
    <xf numFmtId="0" fontId="12" fillId="0" borderId="1" applyAlignment="1" pivotButton="0" quotePrefix="0" xfId="0">
      <alignment horizontal="center"/>
    </xf>
    <xf numFmtId="0" fontId="13" fillId="4" borderId="1" applyAlignment="1" pivotButton="0" quotePrefix="0" xfId="0">
      <alignment horizontal="center"/>
    </xf>
    <xf numFmtId="0" fontId="6" fillId="0" borderId="0" applyAlignment="1" pivotButton="0" quotePrefix="0" xfId="1">
      <alignment horizontal="center"/>
    </xf>
    <xf numFmtId="0" fontId="3" fillId="4" borderId="1" applyAlignment="1" pivotButton="0" quotePrefix="0" xfId="0">
      <alignment horizontal="center"/>
    </xf>
    <xf numFmtId="1" fontId="7" fillId="4" borderId="3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0" fontId="7" fillId="0" borderId="4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/>
    </xf>
    <xf numFmtId="0" fontId="3" fillId="0" borderId="7" applyAlignment="1" pivotButton="0" quotePrefix="0" xfId="0">
      <alignment horizontal="center" vertical="center"/>
    </xf>
    <xf numFmtId="0" fontId="7" fillId="4" borderId="4" applyAlignment="1" pivotButton="0" quotePrefix="0" xfId="0">
      <alignment horizontal="center"/>
    </xf>
    <xf numFmtId="0" fontId="3" fillId="4" borderId="8" applyAlignment="1" pivotButton="0" quotePrefix="0" xfId="0">
      <alignment horizontal="center" wrapText="1"/>
    </xf>
    <xf numFmtId="0" fontId="3" fillId="4" borderId="8" applyAlignment="1" pivotButton="0" quotePrefix="0" xfId="0">
      <alignment horizontal="center"/>
    </xf>
    <xf numFmtId="0" fontId="7" fillId="4" borderId="5" applyAlignment="1" pivotButton="0" quotePrefix="0" xfId="0">
      <alignment horizontal="center"/>
    </xf>
    <xf numFmtId="0" fontId="16" fillId="0" borderId="1" applyAlignment="1" pivotButton="0" quotePrefix="0" xfId="1">
      <alignment horizontal="center"/>
    </xf>
    <xf numFmtId="0" fontId="3" fillId="0" borderId="9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/>
    </xf>
    <xf numFmtId="0" fontId="2" fillId="4" borderId="1" applyAlignment="1" pivotButton="0" quotePrefix="0" xfId="1">
      <alignment horizontal="center"/>
    </xf>
    <xf numFmtId="15" fontId="7" fillId="4" borderId="1" applyAlignment="1" pivotButton="0" quotePrefix="0" xfId="0">
      <alignment horizontal="center"/>
    </xf>
    <xf numFmtId="0" fontId="17" fillId="4" borderId="1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5" fontId="2" fillId="4" borderId="11" applyAlignment="1" pivotButton="0" quotePrefix="0" xfId="0">
      <alignment horizontal="center"/>
    </xf>
    <xf numFmtId="0" fontId="3" fillId="2" borderId="11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7" fillId="4" borderId="11" applyAlignment="1" pivotButton="0" quotePrefix="0" xfId="0">
      <alignment horizontal="center"/>
    </xf>
    <xf numFmtId="0" fontId="7" fillId="0" borderId="1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12" applyAlignment="1" pivotButton="0" quotePrefix="0" xfId="0">
      <alignment horizontal="center"/>
    </xf>
    <xf numFmtId="1" fontId="7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/>
    </xf>
    <xf numFmtId="0" fontId="4" fillId="4" borderId="11" applyAlignment="1" pivotButton="0" quotePrefix="0" xfId="0">
      <alignment horizontal="center"/>
    </xf>
    <xf numFmtId="0" fontId="18" fillId="4" borderId="1" applyAlignment="1" pivotButton="0" quotePrefix="0" xfId="0">
      <alignment horizontal="center"/>
    </xf>
    <xf numFmtId="0" fontId="1" fillId="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/>
    </xf>
    <xf numFmtId="0" fontId="0" fillId="9" borderId="0" pivotButton="0" quotePrefix="0" xfId="0"/>
    <xf numFmtId="0" fontId="22" fillId="10" borderId="0" applyAlignment="1" pivotButton="0" quotePrefix="0" xfId="0">
      <alignment horizontal="center" vertical="center"/>
    </xf>
    <xf numFmtId="0" fontId="22" fillId="10" borderId="0" applyAlignment="1" pivotButton="0" quotePrefix="0" xfId="0">
      <alignment vertical="center"/>
    </xf>
    <xf numFmtId="0" fontId="23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24" fillId="4" borderId="0" pivotButton="0" quotePrefix="0" xfId="0"/>
    <xf numFmtId="0" fontId="25" fillId="12" borderId="16" applyAlignment="1" pivotButton="0" quotePrefix="0" xfId="0">
      <alignment horizontal="center"/>
    </xf>
    <xf numFmtId="0" fontId="26" fillId="13" borderId="17" applyAlignment="1" pivotButton="0" quotePrefix="0" xfId="0">
      <alignment horizontal="center"/>
    </xf>
    <xf numFmtId="0" fontId="27" fillId="14" borderId="17" applyAlignment="1" pivotButton="0" quotePrefix="0" xfId="0">
      <alignment horizontal="center"/>
    </xf>
    <xf numFmtId="0" fontId="28" fillId="15" borderId="17" applyAlignment="1" pivotButton="0" quotePrefix="0" xfId="0">
      <alignment horizontal="center"/>
    </xf>
    <xf numFmtId="0" fontId="29" fillId="16" borderId="17" applyAlignment="1" pivotButton="0" quotePrefix="0" xfId="0">
      <alignment horizontal="center"/>
    </xf>
    <xf numFmtId="0" fontId="30" fillId="17" borderId="18" applyAlignment="1" pivotButton="0" quotePrefix="0" xfId="0">
      <alignment horizontal="center"/>
    </xf>
    <xf numFmtId="0" fontId="31" fillId="4" borderId="0" applyAlignment="1" pivotButton="0" quotePrefix="0" xfId="0">
      <alignment horizontal="center"/>
    </xf>
    <xf numFmtId="0" fontId="30" fillId="4" borderId="0" applyAlignment="1" pivotButton="0" quotePrefix="0" xfId="0">
      <alignment horizontal="center"/>
    </xf>
    <xf numFmtId="0" fontId="23" fillId="4" borderId="0" applyAlignment="1" pivotButton="0" quotePrefix="0" xfId="0">
      <alignment horizontal="center" vertical="center"/>
    </xf>
    <xf numFmtId="3" fontId="32" fillId="12" borderId="19" applyAlignment="1" pivotButton="0" quotePrefix="0" xfId="0">
      <alignment horizontal="center"/>
    </xf>
    <xf numFmtId="3" fontId="33" fillId="13" borderId="20" applyAlignment="1" pivotButton="0" quotePrefix="0" xfId="0">
      <alignment horizontal="center"/>
    </xf>
    <xf numFmtId="3" fontId="34" fillId="14" borderId="20" applyAlignment="1" pivotButton="0" quotePrefix="0" xfId="0">
      <alignment horizontal="center"/>
    </xf>
    <xf numFmtId="3" fontId="35" fillId="15" borderId="20" applyAlignment="1" pivotButton="0" quotePrefix="0" xfId="0">
      <alignment horizontal="center"/>
    </xf>
    <xf numFmtId="164" fontId="32" fillId="16" borderId="20" applyAlignment="1" pivotButton="0" quotePrefix="0" xfId="0">
      <alignment horizontal="center"/>
    </xf>
    <xf numFmtId="165" fontId="36" fillId="17" borderId="19" applyAlignment="1" pivotButton="0" quotePrefix="0" xfId="0">
      <alignment horizontal="center"/>
    </xf>
    <xf numFmtId="166" fontId="37" fillId="4" borderId="0" pivotButton="0" quotePrefix="0" xfId="0"/>
    <xf numFmtId="165" fontId="36" fillId="4" borderId="0" applyAlignment="1" pivotButton="0" quotePrefix="0" xfId="0">
      <alignment horizontal="center"/>
    </xf>
    <xf numFmtId="0" fontId="21" fillId="19" borderId="21" applyAlignment="1" pivotButton="0" quotePrefix="0" xfId="0">
      <alignment horizontal="center"/>
    </xf>
    <xf numFmtId="0" fontId="21" fillId="19" borderId="22" applyAlignment="1" pivotButton="0" quotePrefix="0" xfId="0">
      <alignment horizontal="center"/>
    </xf>
    <xf numFmtId="0" fontId="21" fillId="19" borderId="23" applyAlignment="1" pivotButton="0" quotePrefix="0" xfId="0">
      <alignment horizontal="center"/>
    </xf>
    <xf numFmtId="0" fontId="21" fillId="0" borderId="17" pivotButton="0" quotePrefix="0" xfId="0"/>
    <xf numFmtId="3" fontId="39" fillId="0" borderId="0" applyAlignment="1" pivotButton="0" quotePrefix="0" xfId="0">
      <alignment horizontal="center"/>
    </xf>
    <xf numFmtId="0" fontId="21" fillId="0" borderId="0" pivotButton="0" quotePrefix="0" xfId="0"/>
    <xf numFmtId="164" fontId="40" fillId="0" borderId="24" applyAlignment="1" pivotButton="0" quotePrefix="0" xfId="0">
      <alignment horizontal="center"/>
    </xf>
    <xf numFmtId="0" fontId="41" fillId="0" borderId="17" pivotButton="0" quotePrefix="0" xfId="0"/>
    <xf numFmtId="3" fontId="42" fillId="0" borderId="0" applyAlignment="1" pivotButton="0" quotePrefix="0" xfId="0">
      <alignment horizontal="center"/>
    </xf>
    <xf numFmtId="164" fontId="43" fillId="0" borderId="24" applyAlignment="1" pivotButton="0" quotePrefix="0" xfId="0">
      <alignment horizontal="center"/>
    </xf>
    <xf numFmtId="0" fontId="20" fillId="0" borderId="17" pivotButton="0" quotePrefix="0" xfId="0"/>
    <xf numFmtId="3" fontId="0" fillId="0" borderId="24" applyAlignment="1" pivotButton="0" quotePrefix="0" xfId="0">
      <alignment horizontal="center"/>
    </xf>
    <xf numFmtId="10" fontId="0" fillId="0" borderId="0" pivotButton="0" quotePrefix="0" xfId="0"/>
    <xf numFmtId="0" fontId="0" fillId="0" borderId="20" pivotButton="0" quotePrefix="0" xfId="0"/>
    <xf numFmtId="3" fontId="0" fillId="0" borderId="25" applyAlignment="1" pivotButton="0" quotePrefix="0" xfId="0">
      <alignment horizontal="center"/>
    </xf>
    <xf numFmtId="0" fontId="0" fillId="0" borderId="25" pivotButton="0" quotePrefix="0" xfId="0"/>
    <xf numFmtId="3" fontId="0" fillId="0" borderId="26" applyAlignment="1" pivotButton="0" quotePrefix="0" xfId="0">
      <alignment horizontal="center"/>
    </xf>
    <xf numFmtId="3" fontId="0" fillId="0" borderId="0" pivotButton="0" quotePrefix="0" xfId="0"/>
    <xf numFmtId="0" fontId="21" fillId="19" borderId="0" applyAlignment="1" pivotButton="0" quotePrefix="0" xfId="0">
      <alignment horizontal="center"/>
    </xf>
    <xf numFmtId="0" fontId="21" fillId="19" borderId="24" applyAlignment="1" pivotButton="0" quotePrefix="0" xfId="0">
      <alignment horizontal="center"/>
    </xf>
    <xf numFmtId="0" fontId="21" fillId="19" borderId="17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64" fontId="0" fillId="0" borderId="24" applyAlignment="1" pivotButton="0" quotePrefix="0" xfId="0">
      <alignment horizontal="center"/>
    </xf>
    <xf numFmtId="0" fontId="0" fillId="4" borderId="17" applyAlignment="1" pivotButton="0" quotePrefix="0" xfId="0">
      <alignment horizontal="center"/>
    </xf>
    <xf numFmtId="10" fontId="0" fillId="0" borderId="24" applyAlignment="1" pivotButton="0" quotePrefix="0" xfId="0">
      <alignment horizontal="center"/>
    </xf>
    <xf numFmtId="0" fontId="8" fillId="21" borderId="0" applyAlignment="1" pivotButton="0" quotePrefix="0" xfId="0">
      <alignment horizontal="center"/>
    </xf>
    <xf numFmtId="0" fontId="45" fillId="22" borderId="20" pivotButton="0" quotePrefix="0" xfId="0"/>
    <xf numFmtId="3" fontId="45" fillId="22" borderId="25" applyAlignment="1" pivotButton="0" quotePrefix="0" xfId="0">
      <alignment horizontal="center"/>
    </xf>
    <xf numFmtId="164" fontId="45" fillId="22" borderId="26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0" fontId="45" fillId="22" borderId="20" applyAlignment="1" pivotButton="0" quotePrefix="0" xfId="0">
      <alignment horizontal="center"/>
    </xf>
    <xf numFmtId="0" fontId="21" fillId="19" borderId="17" pivotButton="0" quotePrefix="0" xfId="0"/>
    <xf numFmtId="0" fontId="0" fillId="21" borderId="17" applyAlignment="1" pivotButton="0" quotePrefix="0" xfId="0">
      <alignment horizontal="center"/>
    </xf>
    <xf numFmtId="16" fontId="0" fillId="0" borderId="17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24" fillId="20" borderId="0" pivotButton="0" quotePrefix="0" xfId="0"/>
    <xf numFmtId="0" fontId="19" fillId="0" borderId="17" pivotButton="0" quotePrefix="0" xfId="0"/>
    <xf numFmtId="165" fontId="39" fillId="0" borderId="0" applyAlignment="1" pivotButton="0" quotePrefix="0" xfId="0">
      <alignment horizontal="center"/>
    </xf>
    <xf numFmtId="16" fontId="0" fillId="0" borderId="20" applyAlignment="1" pivotButton="0" quotePrefix="0" xfId="0">
      <alignment horizontal="center"/>
    </xf>
    <xf numFmtId="0" fontId="45" fillId="20" borderId="21" applyAlignment="1" pivotButton="0" quotePrefix="0" xfId="0">
      <alignment horizontal="center"/>
    </xf>
    <xf numFmtId="0" fontId="45" fillId="20" borderId="22" applyAlignment="1" pivotButton="0" quotePrefix="0" xfId="0">
      <alignment horizontal="center"/>
    </xf>
    <xf numFmtId="0" fontId="45" fillId="20" borderId="23" applyAlignment="1" pivotButton="0" quotePrefix="0" xfId="0">
      <alignment horizontal="center"/>
    </xf>
    <xf numFmtId="0" fontId="0" fillId="4" borderId="0" pivotButton="0" quotePrefix="0" xfId="0"/>
    <xf numFmtId="0" fontId="44" fillId="24" borderId="0" applyAlignment="1" pivotButton="0" quotePrefix="0" xfId="0">
      <alignment horizontal="center"/>
    </xf>
    <xf numFmtId="0" fontId="9" fillId="4" borderId="0" applyAlignment="1" pivotButton="0" quotePrefix="0" xfId="0">
      <alignment horizontal="center"/>
    </xf>
    <xf numFmtId="0" fontId="50" fillId="4" borderId="0" applyAlignment="1" pivotButton="0" quotePrefix="0" xfId="0">
      <alignment horizontal="center"/>
    </xf>
    <xf numFmtId="0" fontId="51" fillId="4" borderId="0" applyAlignment="1" pivotButton="0" quotePrefix="0" xfId="0">
      <alignment horizontal="center"/>
    </xf>
    <xf numFmtId="0" fontId="51" fillId="0" borderId="0" applyAlignment="1" pivotButton="0" quotePrefix="0" xfId="0">
      <alignment horizontal="center"/>
    </xf>
    <xf numFmtId="16" fontId="0" fillId="0" borderId="0" applyAlignment="1" pivotButton="0" quotePrefix="0" xfId="0">
      <alignment horizontal="center"/>
    </xf>
    <xf numFmtId="0" fontId="47" fillId="4" borderId="17" applyAlignment="1" pivotButton="0" quotePrefix="0" xfId="0">
      <alignment horizontal="center"/>
    </xf>
    <xf numFmtId="0" fontId="48" fillId="4" borderId="17" applyAlignment="1" pivotButton="0" quotePrefix="0" xfId="0">
      <alignment horizontal="center"/>
    </xf>
    <xf numFmtId="0" fontId="0" fillId="0" borderId="17" pivotButton="0" quotePrefix="0" xfId="0"/>
    <xf numFmtId="0" fontId="8" fillId="0" borderId="1" applyAlignment="1" pivotButton="0" quotePrefix="0" xfId="0">
      <alignment horizontal="center"/>
    </xf>
    <xf numFmtId="0" fontId="4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1" fillId="0" borderId="24" applyAlignment="1" pivotButton="0" quotePrefix="0" xfId="0">
      <alignment horizontal="center"/>
    </xf>
    <xf numFmtId="0" fontId="47" fillId="0" borderId="0" applyAlignment="1" pivotButton="0" quotePrefix="0" xfId="0">
      <alignment horizontal="center"/>
    </xf>
    <xf numFmtId="0" fontId="48" fillId="0" borderId="0" applyAlignment="1" pivotButton="0" quotePrefix="0" xfId="0">
      <alignment horizontal="center"/>
    </xf>
    <xf numFmtId="0" fontId="52" fillId="0" borderId="0" pivotButton="0" quotePrefix="0" xfId="0"/>
    <xf numFmtId="0" fontId="21" fillId="16" borderId="13" applyAlignment="1" pivotButton="0" quotePrefix="0" xfId="0">
      <alignment horizontal="center"/>
    </xf>
    <xf numFmtId="0" fontId="21" fillId="16" borderId="14" applyAlignment="1" pivotButton="0" quotePrefix="0" xfId="0">
      <alignment horizontal="center"/>
    </xf>
    <xf numFmtId="0" fontId="21" fillId="16" borderId="15" applyAlignment="1" pivotButton="0" quotePrefix="0" xfId="0">
      <alignment horizontal="center"/>
    </xf>
    <xf numFmtId="0" fontId="0" fillId="25" borderId="0" pivotButton="0" quotePrefix="0" xfId="0"/>
    <xf numFmtId="0" fontId="45" fillId="4" borderId="0" pivotButton="0" quotePrefix="0" xfId="0"/>
    <xf numFmtId="0" fontId="53" fillId="4" borderId="0" pivotButton="0" quotePrefix="0" xfId="0"/>
    <xf numFmtId="0" fontId="53" fillId="0" borderId="0" pivotButton="0" quotePrefix="0" xfId="0"/>
    <xf numFmtId="0" fontId="55" fillId="0" borderId="0" pivotButton="0" quotePrefix="0" xfId="0"/>
    <xf numFmtId="0" fontId="46" fillId="0" borderId="0" pivotButton="0" quotePrefix="0" xfId="0"/>
    <xf numFmtId="0" fontId="61" fillId="25" borderId="0" pivotButton="0" quotePrefix="0" xfId="0"/>
    <xf numFmtId="0" fontId="45" fillId="26" borderId="0" pivotButton="0" quotePrefix="0" xfId="0"/>
    <xf numFmtId="0" fontId="53" fillId="26" borderId="0" pivotButton="0" quotePrefix="0" xfId="0"/>
    <xf numFmtId="0" fontId="62" fillId="4" borderId="0" pivotButton="0" quotePrefix="0" xfId="0"/>
    <xf numFmtId="16" fontId="53" fillId="4" borderId="0" pivotButton="0" quotePrefix="0" xfId="0"/>
    <xf numFmtId="0" fontId="63" fillId="25" borderId="0" pivotButton="0" quotePrefix="0" xfId="0"/>
    <xf numFmtId="0" fontId="61" fillId="25" borderId="0" applyAlignment="1" pivotButton="0" quotePrefix="0" xfId="0">
      <alignment horizontal="center" vertical="center"/>
    </xf>
    <xf numFmtId="0" fontId="68" fillId="4" borderId="0" pivotButton="0" quotePrefix="0" xfId="0"/>
    <xf numFmtId="0" fontId="69" fillId="0" borderId="0" pivotButton="0" quotePrefix="0" xfId="0"/>
    <xf numFmtId="0" fontId="7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24" fillId="20" borderId="21" pivotButton="0" quotePrefix="0" xfId="0"/>
    <xf numFmtId="0" fontId="24" fillId="20" borderId="22" pivotButton="0" quotePrefix="0" xfId="0"/>
    <xf numFmtId="0" fontId="24" fillId="20" borderId="23" pivotButton="0" quotePrefix="0" xfId="0"/>
    <xf numFmtId="0" fontId="24" fillId="23" borderId="0" applyAlignment="1" pivotButton="0" quotePrefix="0" xfId="0">
      <alignment horizontal="center"/>
    </xf>
    <xf numFmtId="0" fontId="22" fillId="10" borderId="0" applyAlignment="1" pivotButton="0" quotePrefix="0" xfId="0">
      <alignment horizontal="center" vertical="center"/>
    </xf>
    <xf numFmtId="0" fontId="24" fillId="11" borderId="13" applyAlignment="1" pivotButton="0" quotePrefix="0" xfId="0">
      <alignment horizontal="center"/>
    </xf>
    <xf numFmtId="0" fontId="24" fillId="11" borderId="14" applyAlignment="1" pivotButton="0" quotePrefix="0" xfId="0">
      <alignment horizontal="center"/>
    </xf>
    <xf numFmtId="0" fontId="24" fillId="11" borderId="15" applyAlignment="1" pivotButton="0" quotePrefix="0" xfId="0">
      <alignment horizontal="center"/>
    </xf>
    <xf numFmtId="0" fontId="38" fillId="18" borderId="0" applyAlignment="1" pivotButton="0" quotePrefix="0" xfId="0">
      <alignment horizontal="center" vertical="center"/>
    </xf>
    <xf numFmtId="0" fontId="54" fillId="22" borderId="0" applyAlignment="1" pivotButton="0" quotePrefix="0" xfId="0">
      <alignment horizontal="left" vertical="center" indent="1"/>
    </xf>
    <xf numFmtId="0" fontId="56" fillId="22" borderId="0" applyAlignment="1" pivotButton="0" quotePrefix="0" xfId="0">
      <alignment vertical="center" indent="1"/>
    </xf>
    <xf numFmtId="0" fontId="57" fillId="26" borderId="27" applyAlignment="1" pivotButton="0" quotePrefix="0" xfId="0">
      <alignment indent="1"/>
    </xf>
    <xf numFmtId="0" fontId="57" fillId="26" borderId="28" applyAlignment="1" pivotButton="0" quotePrefix="0" xfId="0">
      <alignment indent="1"/>
    </xf>
    <xf numFmtId="3" fontId="58" fillId="26" borderId="29" applyAlignment="1" pivotButton="0" quotePrefix="0" xfId="0">
      <alignment horizontal="left" vertical="center" indent="1"/>
    </xf>
    <xf numFmtId="3" fontId="58" fillId="26" borderId="30" applyAlignment="1" pivotButton="0" quotePrefix="0" xfId="0">
      <alignment horizontal="left" vertical="center" indent="1"/>
    </xf>
    <xf numFmtId="3" fontId="59" fillId="26" borderId="29" applyAlignment="1" pivotButton="0" quotePrefix="0" xfId="0">
      <alignment horizontal="left" vertical="center" indent="1"/>
    </xf>
    <xf numFmtId="3" fontId="59" fillId="26" borderId="30" applyAlignment="1" pivotButton="0" quotePrefix="0" xfId="0">
      <alignment horizontal="left" vertical="center" indent="1"/>
    </xf>
    <xf numFmtId="3" fontId="60" fillId="26" borderId="29" applyAlignment="1" pivotButton="0" quotePrefix="0" xfId="0">
      <alignment horizontal="left" vertical="center" indent="1"/>
    </xf>
    <xf numFmtId="3" fontId="60" fillId="26" borderId="30" applyAlignment="1" pivotButton="0" quotePrefix="0" xfId="0">
      <alignment horizontal="left" vertical="center" indent="1"/>
    </xf>
    <xf numFmtId="164" fontId="66" fillId="26" borderId="29" applyAlignment="1" pivotButton="0" quotePrefix="0" xfId="0">
      <alignment horizontal="left" vertical="center" indent="1"/>
    </xf>
    <xf numFmtId="164" fontId="66" fillId="26" borderId="30" applyAlignment="1" pivotButton="0" quotePrefix="0" xfId="0">
      <alignment horizontal="left" vertical="center" indent="1"/>
    </xf>
    <xf numFmtId="167" fontId="67" fillId="26" borderId="29" applyAlignment="1" pivotButton="0" quotePrefix="0" xfId="0">
      <alignment horizontal="left" vertical="center" indent="1"/>
    </xf>
    <xf numFmtId="167" fontId="67" fillId="26" borderId="30" applyAlignment="1" pivotButton="0" quotePrefix="0" xfId="0">
      <alignment horizontal="left" vertical="center" indent="1"/>
    </xf>
    <xf numFmtId="0" fontId="24" fillId="11" borderId="31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0" fontId="24" fillId="20" borderId="18" pivotButton="0" quotePrefix="0" xfId="0"/>
    <xf numFmtId="0" fontId="0" fillId="0" borderId="22" pivotButton="0" quotePrefix="0" xfId="0"/>
    <xf numFmtId="0" fontId="0" fillId="0" borderId="23" pivotButton="0" quotePrefix="0" xfId="0"/>
    <xf numFmtId="0" fontId="57" fillId="26" borderId="33" applyAlignment="1" pivotButton="0" quotePrefix="0" xfId="0">
      <alignment indent="1"/>
    </xf>
    <xf numFmtId="0" fontId="0" fillId="0" borderId="28" pivotButton="0" quotePrefix="0" xfId="0"/>
    <xf numFmtId="3" fontId="58" fillId="26" borderId="32" applyAlignment="1" pivotButton="0" quotePrefix="0" xfId="0">
      <alignment horizontal="left" vertical="center" indent="1"/>
    </xf>
    <xf numFmtId="0" fontId="0" fillId="0" borderId="30" pivotButton="0" quotePrefix="0" xfId="0"/>
    <xf numFmtId="3" fontId="59" fillId="26" borderId="32" applyAlignment="1" pivotButton="0" quotePrefix="0" xfId="0">
      <alignment horizontal="left" vertical="center" indent="1"/>
    </xf>
    <xf numFmtId="3" fontId="60" fillId="26" borderId="32" applyAlignment="1" pivotButton="0" quotePrefix="0" xfId="0">
      <alignment horizontal="left" vertical="center" indent="1"/>
    </xf>
    <xf numFmtId="164" fontId="66" fillId="26" borderId="32" applyAlignment="1" pivotButton="0" quotePrefix="0" xfId="0">
      <alignment horizontal="left" vertical="center" indent="1"/>
    </xf>
    <xf numFmtId="167" fontId="67" fillId="26" borderId="32" applyAlignment="1" pivotButton="0" quotePrefix="0" xfId="0">
      <alignment horizontal="left" vertical="center" indent="1"/>
    </xf>
  </cellXfs>
  <cellStyles count="2">
    <cellStyle name="Normal" xfId="0" builtinId="0"/>
    <cellStyle name="Hyperlink" xfId="1" builtinId="8"/>
  </cellStyles>
  <dxfs count="104">
    <dxf>
      <font>
        <color rgb="FFFF0000"/>
      </font>
      <fill>
        <patternFill>
          <bgColor theme="9" tint="0.7999816888943144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pivotCacheDefinition" Target="/xl/pivotCache/pivotCacheDefinition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Dashboard!$V$37</f>
              <strCache>
                <ptCount val="1"/>
                <pt idx="0">
                  <v>Modules</v>
                </pt>
              </strCache>
            </strRef>
          </tx>
          <spPr>
            <a:solidFill>
              <a:srgbClr val="1F4E79"/>
            </a:solidFill>
            <a:ln>
              <a:noFill/>
              <a:prstDash val="solid"/>
            </a:ln>
          </spPr>
          <invertIfNegative val="0"/>
          <cat>
            <strRef>
              <f>Dashboard!$U$38:$U$42</f>
              <strCache>
                <ptCount val="5"/>
                <pt idx="0">
                  <v>W1 (01-07 Jun)</v>
                </pt>
                <pt idx="1">
                  <v>W2 (08-14 Jun)</v>
                </pt>
                <pt idx="2">
                  <v>W3 (15-21 Jun)</v>
                </pt>
                <pt idx="3">
                  <v>W4 (22-28 Jun)</v>
                </pt>
                <pt idx="4">
                  <v>W5 (29-30 Jun)</v>
                </pt>
              </strCache>
            </strRef>
          </cat>
          <val>
            <numRef>
              <f>Dashboard!$V$38:$V$42</f>
              <numCache>
                <formatCode>General</formatCode>
                <ptCount val="5"/>
                <pt idx="0">
                  <v>873</v>
                </pt>
                <pt idx="1">
                  <v>331</v>
                </pt>
                <pt idx="2">
                  <v>538</v>
                </pt>
                <pt idx="3">
                  <v>1054</v>
                </pt>
                <pt idx="4">
                  <v>183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54107856"/>
        <axId val="1390541264"/>
      </barChart>
      <catAx>
        <axId val="1354107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90541264"/>
        <crosses val="autoZero"/>
        <auto val="1"/>
        <lblAlgn val="ctr"/>
        <lblOffset val="100"/>
        <noMultiLvlLbl val="0"/>
      </catAx>
      <valAx>
        <axId val="139054126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rgbClr val="D9D9D9"/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54107856"/>
        <crosses val="autoZero"/>
        <crossBetween val="between"/>
      </valAx>
    </plotArea>
    <plotVisOnly val="1"/>
    <dispBlanksAs val="gap"/>
  </chart>
  <spPr>
    <a:noFill/>
    <a:ln w="25400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2391174282075055"/>
          <y val="0.05223882438788027"/>
          <w val="0.9668556433575441"/>
          <h val="0.6948528716134228"/>
        </manualLayout>
      </layout>
      <barChart>
        <barDir val="col"/>
        <grouping val="clustered"/>
        <varyColors val="0"/>
        <ser>
          <idx val="0"/>
          <order val="0"/>
          <tx>
            <strRef>
              <f>'MSI Report'!$B$39</f>
              <strCache>
                <ptCount val="1"/>
                <pt idx="0">
                  <v>Modules Visited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'MSI Report'!$A$40:$A$69</f>
              <numCache>
                <formatCode>d\-mmm</formatCode>
                <ptCount val="30"/>
                <pt idx="0">
                  <v>46174</v>
                </pt>
                <pt idx="1">
                  <v>46175</v>
                </pt>
                <pt idx="2">
                  <v>46176</v>
                </pt>
                <pt idx="3">
                  <v>46177</v>
                </pt>
                <pt idx="4">
                  <v>46178</v>
                </pt>
                <pt idx="5">
                  <v>46179</v>
                </pt>
                <pt idx="6">
                  <v>46180</v>
                </pt>
                <pt idx="7">
                  <v>46181</v>
                </pt>
                <pt idx="8">
                  <v>46182</v>
                </pt>
                <pt idx="9">
                  <v>46183</v>
                </pt>
                <pt idx="10">
                  <v>46184</v>
                </pt>
                <pt idx="11">
                  <v>46185</v>
                </pt>
                <pt idx="12">
                  <v>46186</v>
                </pt>
                <pt idx="13">
                  <v>46187</v>
                </pt>
                <pt idx="14">
                  <v>46188</v>
                </pt>
                <pt idx="15">
                  <v>46189</v>
                </pt>
                <pt idx="16">
                  <v>46190</v>
                </pt>
                <pt idx="17">
                  <v>46191</v>
                </pt>
                <pt idx="18">
                  <v>46192</v>
                </pt>
                <pt idx="19">
                  <v>46193</v>
                </pt>
                <pt idx="20">
                  <v>46194</v>
                </pt>
                <pt idx="21">
                  <v>46195</v>
                </pt>
                <pt idx="22">
                  <v>46196</v>
                </pt>
                <pt idx="23">
                  <v>46197</v>
                </pt>
                <pt idx="24">
                  <v>46198</v>
                </pt>
                <pt idx="25">
                  <v>46199</v>
                </pt>
                <pt idx="26">
                  <v>46200</v>
                </pt>
                <pt idx="27">
                  <v>46201</v>
                </pt>
                <pt idx="28">
                  <v>46202</v>
                </pt>
                <pt idx="29">
                  <v>46203</v>
                </pt>
              </numCache>
            </numRef>
          </cat>
          <val>
            <numRef>
              <f>'MSI Report'!$B$40:$B$69</f>
              <numCache>
                <formatCode>#,##0</formatCode>
                <ptCount val="30"/>
                <pt idx="0">
                  <v>169</v>
                </pt>
                <pt idx="1">
                  <v>161</v>
                </pt>
                <pt idx="2">
                  <v>165</v>
                </pt>
                <pt idx="3">
                  <v>160</v>
                </pt>
                <pt idx="4">
                  <v>94</v>
                </pt>
                <pt idx="5">
                  <v>88</v>
                </pt>
                <pt idx="6">
                  <v>36</v>
                </pt>
                <pt idx="7">
                  <v>98</v>
                </pt>
                <pt idx="8">
                  <v>87</v>
                </pt>
                <pt idx="9">
                  <v>0</v>
                </pt>
                <pt idx="10">
                  <v>0</v>
                </pt>
                <pt idx="11">
                  <v>85</v>
                </pt>
                <pt idx="12">
                  <v>41</v>
                </pt>
                <pt idx="13">
                  <v>20</v>
                </pt>
                <pt idx="14">
                  <v>114</v>
                </pt>
                <pt idx="15">
                  <v>90</v>
                </pt>
                <pt idx="16">
                  <v>90</v>
                </pt>
                <pt idx="17">
                  <v>113</v>
                </pt>
                <pt idx="18">
                  <v>91</v>
                </pt>
                <pt idx="19">
                  <v>40</v>
                </pt>
                <pt idx="20">
                  <v>0</v>
                </pt>
                <pt idx="21">
                  <v>3</v>
                </pt>
                <pt idx="22">
                  <v>84</v>
                </pt>
                <pt idx="23">
                  <v>182</v>
                </pt>
                <pt idx="24">
                  <v>277</v>
                </pt>
                <pt idx="25">
                  <v>216</v>
                </pt>
                <pt idx="26">
                  <v>292</v>
                </pt>
                <pt idx="27">
                  <v>0</v>
                </pt>
                <pt idx="28">
                  <v>97</v>
                </pt>
                <pt idx="29">
                  <v>86</v>
                </pt>
              </numCache>
            </numRef>
          </val>
        </ser>
        <ser>
          <idx val="1"/>
          <order val="1"/>
          <tx>
            <strRef>
              <f>'MSI Report'!$C$39</f>
              <strCache>
                <ptCount val="1"/>
                <pt idx="0">
                  <v>Closed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'MSI Report'!$A$40:$A$69</f>
              <numCache>
                <formatCode>d\-mmm</formatCode>
                <ptCount val="30"/>
                <pt idx="0">
                  <v>46174</v>
                </pt>
                <pt idx="1">
                  <v>46175</v>
                </pt>
                <pt idx="2">
                  <v>46176</v>
                </pt>
                <pt idx="3">
                  <v>46177</v>
                </pt>
                <pt idx="4">
                  <v>46178</v>
                </pt>
                <pt idx="5">
                  <v>46179</v>
                </pt>
                <pt idx="6">
                  <v>46180</v>
                </pt>
                <pt idx="7">
                  <v>46181</v>
                </pt>
                <pt idx="8">
                  <v>46182</v>
                </pt>
                <pt idx="9">
                  <v>46183</v>
                </pt>
                <pt idx="10">
                  <v>46184</v>
                </pt>
                <pt idx="11">
                  <v>46185</v>
                </pt>
                <pt idx="12">
                  <v>46186</v>
                </pt>
                <pt idx="13">
                  <v>46187</v>
                </pt>
                <pt idx="14">
                  <v>46188</v>
                </pt>
                <pt idx="15">
                  <v>46189</v>
                </pt>
                <pt idx="16">
                  <v>46190</v>
                </pt>
                <pt idx="17">
                  <v>46191</v>
                </pt>
                <pt idx="18">
                  <v>46192</v>
                </pt>
                <pt idx="19">
                  <v>46193</v>
                </pt>
                <pt idx="20">
                  <v>46194</v>
                </pt>
                <pt idx="21">
                  <v>46195</v>
                </pt>
                <pt idx="22">
                  <v>46196</v>
                </pt>
                <pt idx="23">
                  <v>46197</v>
                </pt>
                <pt idx="24">
                  <v>46198</v>
                </pt>
                <pt idx="25">
                  <v>46199</v>
                </pt>
                <pt idx="26">
                  <v>46200</v>
                </pt>
                <pt idx="27">
                  <v>46201</v>
                </pt>
                <pt idx="28">
                  <v>46202</v>
                </pt>
                <pt idx="29">
                  <v>46203</v>
                </pt>
              </numCache>
            </numRef>
          </cat>
          <val>
            <numRef>
              <f>'MSI Report'!$C$40:$C$69</f>
              <numCache>
                <formatCode>#,##0</formatCode>
                <ptCount val="30"/>
                <pt idx="0">
                  <v>169</v>
                </pt>
                <pt idx="1">
                  <v>161</v>
                </pt>
                <pt idx="2">
                  <v>161</v>
                </pt>
                <pt idx="3">
                  <v>159</v>
                </pt>
                <pt idx="4">
                  <v>94</v>
                </pt>
                <pt idx="5">
                  <v>89</v>
                </pt>
                <pt idx="6">
                  <v>36</v>
                </pt>
                <pt idx="7">
                  <v>98</v>
                </pt>
                <pt idx="8">
                  <v>87</v>
                </pt>
                <pt idx="9">
                  <v>0</v>
                </pt>
                <pt idx="10">
                  <v>0</v>
                </pt>
                <pt idx="11">
                  <v>59</v>
                </pt>
                <pt idx="12">
                  <v>41</v>
                </pt>
                <pt idx="13">
                  <v>0</v>
                </pt>
                <pt idx="14">
                  <v>83</v>
                </pt>
                <pt idx="15">
                  <v>57</v>
                </pt>
                <pt idx="16">
                  <v>52</v>
                </pt>
                <pt idx="17">
                  <v>73</v>
                </pt>
                <pt idx="18">
                  <v>66</v>
                </pt>
                <pt idx="19">
                  <v>26</v>
                </pt>
                <pt idx="20">
                  <v>0</v>
                </pt>
                <pt idx="21">
                  <v>3</v>
                </pt>
                <pt idx="22">
                  <v>34</v>
                </pt>
                <pt idx="23">
                  <v>158</v>
                </pt>
                <pt idx="24">
                  <v>257</v>
                </pt>
                <pt idx="25">
                  <v>208</v>
                </pt>
                <pt idx="26">
                  <v>282</v>
                </pt>
                <pt idx="27">
                  <v>0</v>
                </pt>
                <pt idx="28">
                  <v>97</v>
                </pt>
                <pt idx="29">
                  <v>84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106897487"/>
        <axId val="579641807"/>
      </barChart>
      <dateAx>
        <axId val="1106897487"/>
        <scaling>
          <orientation val="minMax"/>
        </scaling>
        <delete val="0"/>
        <axPos val="b"/>
        <numFmt formatCode="d\-mmm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79641807"/>
        <crosses val="autoZero"/>
        <lblOffset val="100"/>
        <baseTimeUnit val="days"/>
      </dateAx>
      <valAx>
        <axId val="57964180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06897487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07448730079413"/>
          <y val="0.0551296468902269"/>
          <w val="0.1280281337635894"/>
          <h val="0.124720810220053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tx>
            <strRef>
              <f>'MSI Report'!$B$18</f>
              <strCache>
                <ptCount val="1"/>
                <pt idx="0">
                  <v>Modules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('MSI Report'!$A$19:$A$21,'MSI Report'!$A$23,'MSI Report'!$A$25:$A$26,'MSI Report'!$A$28,'MSI Report'!$A$30)</f>
              <strCache>
                <ptCount val="8"/>
                <pt idx="0">
                  <v>Continuum</v>
                </pt>
                <pt idx="1">
                  <v>Yanara Power</v>
                </pt>
                <pt idx="2">
                  <v>Shakti Pump</v>
                </pt>
                <pt idx="3">
                  <v>Solar Square</v>
                </pt>
                <pt idx="4">
                  <v>Vashi</v>
                </pt>
                <pt idx="5">
                  <v>Ayana</v>
                </pt>
                <pt idx="6">
                  <v>Asian Fab Tec Ltd</v>
                </pt>
                <pt idx="7">
                  <v>First Energy</v>
                </pt>
              </strCache>
            </strRef>
          </cat>
          <val>
            <numRef>
              <f>('MSI Report'!$B$19:$B$21,'MSI Report'!$B$23,'MSI Report'!$B$25:$B$26,'MSI Report'!$B$28,'MSI Report'!$B$30)</f>
              <numCache>
                <formatCode>#,##0</formatCode>
                <ptCount val="8"/>
                <pt idx="0">
                  <v>859</v>
                </pt>
                <pt idx="1">
                  <v>270</v>
                </pt>
                <pt idx="2">
                  <v>9</v>
                </pt>
                <pt idx="3">
                  <v>7</v>
                </pt>
                <pt idx="4">
                  <v>85</v>
                </pt>
                <pt idx="5">
                  <v>1302</v>
                </pt>
                <pt idx="6">
                  <v>179</v>
                </pt>
                <pt idx="7">
                  <v>249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1180843967"/>
        <axId val="579532367"/>
      </barChart>
      <catAx>
        <axId val="11808439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79532367"/>
        <crosses val="autoZero"/>
        <auto val="1"/>
        <lblAlgn val="ctr"/>
        <lblOffset val="100"/>
        <noMultiLvlLbl val="0"/>
      </catAx>
      <valAx>
        <axId val="579532367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8084396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'MSI Report'!$I$18</f>
              <strCache>
                <ptCount val="1"/>
                <pt idx="0">
                  <v>Modules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'MSI Report'!$H$19:$H$25</f>
              <strCache>
                <ptCount val="7"/>
                <pt idx="0">
                  <v>Gujarat</v>
                </pt>
                <pt idx="1">
                  <v>Maharashtra</v>
                </pt>
                <pt idx="2">
                  <v>Karnataka</v>
                </pt>
                <pt idx="3">
                  <v>MP</v>
                </pt>
                <pt idx="4">
                  <v>Kerala</v>
                </pt>
                <pt idx="5">
                  <v>Tamil Nadu</v>
                </pt>
                <pt idx="6">
                  <v>Goa</v>
                </pt>
              </strCache>
            </strRef>
          </cat>
          <val>
            <numRef>
              <f>'MSI Report'!$I$19:$I$25</f>
              <numCache>
                <formatCode>#,##0</formatCode>
                <ptCount val="7"/>
                <pt idx="0">
                  <v>1823</v>
                </pt>
                <pt idx="1">
                  <v>283</v>
                </pt>
                <pt idx="2">
                  <v>189</v>
                </pt>
                <pt idx="3">
                  <v>85</v>
                </pt>
                <pt idx="4">
                  <v>4</v>
                </pt>
                <pt idx="5">
                  <v>249</v>
                </pt>
                <pt idx="6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188074175"/>
        <axId val="579594767"/>
      </barChart>
      <catAx>
        <axId val="11880741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79594767"/>
        <crosses val="autoZero"/>
        <auto val="1"/>
        <lblAlgn val="ctr"/>
        <lblOffset val="100"/>
        <noMultiLvlLbl val="0"/>
      </catAx>
      <valAx>
        <axId val="57959476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8807417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pieChart>
        <varyColors val="1"/>
        <ser>
          <idx val="3"/>
          <order val="0"/>
          <tx>
            <strRef>
              <f>'MSI Report'!$E$73</f>
              <strCache>
                <ptCount val="1"/>
                <pt idx="0">
                  <v>Grand Total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2">
                  <a:lumMod val="8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4">
                  <a:lumMod val="80000"/>
                </a:schemeClr>
              </a:solidFill>
              <a:ln>
                <a:noFill/>
                <a:prstDash val="solid"/>
              </a:ln>
            </spPr>
          </dPt>
          <dPt>
            <idx val="11"/>
            <bubble3D val="0"/>
            <spPr>
              <a:solidFill>
                <a:schemeClr val="accent6">
                  <a:lumMod val="80000"/>
                </a:schemeClr>
              </a:solidFill>
              <a:ln>
                <a:noFill/>
                <a:prstDash val="solid"/>
              </a:ln>
            </spPr>
          </dPt>
          <dPt>
            <idx val="12"/>
            <bubble3D val="0"/>
            <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3"/>
            <bubble3D val="0"/>
            <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Lbls>
            <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dLblPos val="ctr"/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'MSI Report'!$A$74:$A$94</f>
              <strCache>
                <ptCount val="14"/>
                <pt idx="0">
                  <v>Cold Soldering</v>
                </pt>
                <pt idx="1">
                  <v>JB Issue</v>
                </pt>
                <pt idx="2">
                  <v>No Issue Found</v>
                </pt>
                <pt idx="3">
                  <v>Natural Disaster</v>
                </pt>
                <pt idx="4">
                  <v>Module Burn</v>
                </pt>
                <pt idx="5">
                  <v>Improper or poor soldering</v>
                </pt>
                <pt idx="6">
                  <v xml:space="preserve">SUB STRING SHORT CIRCUIT </v>
                </pt>
                <pt idx="7">
                  <v>Module Breakage</v>
                </pt>
                <pt idx="8">
                  <v>Glass Breakage with Burn Spot</v>
                </pt>
                <pt idx="9">
                  <v>JB tampered &amp; Glass Breakage</v>
                </pt>
                <pt idx="10">
                  <v>Frame damage</v>
                </pt>
                <pt idx="11">
                  <v>Module Breakage &amp; Burn</v>
                </pt>
                <pt idx="12">
                  <v>Tab lead Burn</v>
                </pt>
                <pt idx="13">
                  <v>JB &amp; Cable Damege</v>
                </pt>
              </strCache>
            </strRef>
          </cat>
          <val>
            <numRef>
              <f>'MSI Report'!$E$74:$E$94</f>
              <numCache>
                <formatCode>General</formatCode>
                <ptCount val="14"/>
                <pt idx="0">
                  <v>1038</v>
                </pt>
                <pt idx="1">
                  <v>352</v>
                </pt>
                <pt idx="2">
                  <v>365</v>
                </pt>
                <pt idx="3">
                  <v>0</v>
                </pt>
                <pt idx="4">
                  <v>2</v>
                </pt>
                <pt idx="5">
                  <v>3</v>
                </pt>
                <pt idx="6">
                  <v>2</v>
                </pt>
                <pt idx="7">
                  <v>836</v>
                </pt>
                <pt idx="8">
                  <v>0</v>
                </pt>
                <pt idx="9">
                  <v>1</v>
                </pt>
                <pt idx="10">
                  <v>1</v>
                </pt>
                <pt idx="11">
                  <v>6</v>
                </pt>
                <pt idx="12">
                  <v>0</v>
                </pt>
                <pt idx="13">
                  <v>28</v>
                </pt>
              </numCache>
            </numRef>
          </val>
        </ser>
        <dLbls>
          <dLblPos val="ctr"/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</pieChart>
    </plotArea>
    <legend>
      <legendPos val="r"/>
      <overlay val="0"/>
      <spPr>
        <a:solidFill>
          <a:schemeClr val="lt1">
            <a:alpha val="39000"/>
            <a:lumMod val="95000"/>
          </a:schemeClr>
        </a:solidFill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rgbClr val="FFFFFF"/>
    </a:solidFill>
    <a:ln w="9525" cap="flat" cmpd="sng" algn="ctr">
      <a:solidFill>
        <a:schemeClr val="dk1">
          <a:lumMod val="25000"/>
          <a:lumOff val="7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'MSI Report'!$I$54</f>
              <strCache>
                <ptCount val="1"/>
                <pt idx="0">
                  <v>Modules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'MSI Report'!$H$55:$H$59</f>
              <strCache>
                <ptCount val="5"/>
                <pt idx="0">
                  <v>0 - 3 days</v>
                </pt>
                <pt idx="1">
                  <v>4 - 7 days</v>
                </pt>
                <pt idx="2">
                  <v>8 - 15 days</v>
                </pt>
                <pt idx="3">
                  <v>16 - 30 days</v>
                </pt>
                <pt idx="4">
                  <v>&gt; 30 days</v>
                </pt>
              </strCache>
            </strRef>
          </cat>
          <val>
            <numRef>
              <f>'MSI Report'!$I$55:$I$59</f>
              <numCache>
                <formatCode>#,##0</formatCode>
                <ptCount val="5"/>
                <pt idx="0">
                  <v>1</v>
                </pt>
                <pt idx="1">
                  <v>6</v>
                </pt>
                <pt idx="2">
                  <v>102</v>
                </pt>
                <pt idx="3">
                  <v>1633</v>
                </pt>
                <pt idx="4">
                  <v>1742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03393471"/>
        <axId val="579526607"/>
      </barChart>
      <catAx>
        <axId val="1303393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79526607"/>
        <crosses val="autoZero"/>
        <auto val="1"/>
        <lblAlgn val="ctr"/>
        <lblOffset val="100"/>
        <noMultiLvlLbl val="0"/>
      </catAx>
      <valAx>
        <axId val="57952660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03393471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'MSI Report'!$I$45</f>
              <strCache>
                <ptCount val="1"/>
                <pt idx="0">
                  <v>Modules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'MSI Report'!$H$46:$H$49</f>
              <strCache>
                <ptCount val="4"/>
                <pt idx="0">
                  <v>P4 - PEIPL</v>
                </pt>
                <pt idx="1">
                  <v>P2 - PEPPL</v>
                </pt>
                <pt idx="2">
                  <v>P5 - PEGPL</v>
                </pt>
                <pt idx="3">
                  <v>Prime Pack</v>
                </pt>
              </strCache>
            </strRef>
          </cat>
          <val>
            <numRef>
              <f>'MSI Report'!$I$46:$I$49</f>
              <numCache>
                <formatCode>#,##0</formatCode>
                <ptCount val="4"/>
                <pt idx="0">
                  <v>1406</v>
                </pt>
                <pt idx="1">
                  <v>1048</v>
                </pt>
                <pt idx="2">
                  <v>1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03409711"/>
        <axId val="579633167"/>
      </barChart>
      <catAx>
        <axId val="13034097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79633167"/>
        <crosses val="autoZero"/>
        <auto val="1"/>
        <lblAlgn val="ctr"/>
        <lblOffset val="100"/>
        <noMultiLvlLbl val="0"/>
      </catAx>
      <valAx>
        <axId val="579633167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03409711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bar"/>
        <grouping val="clustered"/>
        <varyColors val="0"/>
        <ser>
          <idx val="0"/>
          <order val="0"/>
          <tx>
            <strRef>
              <f>'MSI Report'!$B$73</f>
              <strCache>
                <ptCount val="1"/>
                <pt idx="0">
                  <v>G2B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strRef>
              <f>'MSI Report'!$A$74:$A$94</f>
              <strCache>
                <ptCount val="14"/>
                <pt idx="0">
                  <v>Cold Soldering</v>
                </pt>
                <pt idx="1">
                  <v>JB Issue</v>
                </pt>
                <pt idx="2">
                  <v>No Issue Found</v>
                </pt>
                <pt idx="3">
                  <v>Natural Disaster</v>
                </pt>
                <pt idx="4">
                  <v>Module Burn</v>
                </pt>
                <pt idx="5">
                  <v>Improper or poor soldering</v>
                </pt>
                <pt idx="6">
                  <v xml:space="preserve">SUB STRING SHORT CIRCUIT </v>
                </pt>
                <pt idx="7">
                  <v>Module Breakage</v>
                </pt>
                <pt idx="8">
                  <v>Glass Breakage with Burn Spot</v>
                </pt>
                <pt idx="9">
                  <v>JB tampered &amp; Glass Breakage</v>
                </pt>
                <pt idx="10">
                  <v>Frame damage</v>
                </pt>
                <pt idx="11">
                  <v>Module Breakage &amp; Burn</v>
                </pt>
                <pt idx="12">
                  <v>Tab lead Burn</v>
                </pt>
                <pt idx="13">
                  <v>JB &amp; Cable Damege</v>
                </pt>
              </strCache>
            </strRef>
          </cat>
          <val>
            <numRef>
              <f>'MSI Report'!$B$74:$B$94</f>
              <numCache>
                <formatCode>General</formatCode>
                <ptCount val="14"/>
                <pt idx="0">
                  <v>564</v>
                </pt>
                <pt idx="1">
                  <v>296</v>
                </pt>
                <pt idx="2">
                  <v>232</v>
                </pt>
                <pt idx="3">
                  <v>0</v>
                </pt>
                <pt idx="4">
                  <v>0</v>
                </pt>
                <pt idx="5">
                  <v>3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28</v>
                </pt>
              </numCache>
            </numRef>
          </val>
        </ser>
        <ser>
          <idx val="1"/>
          <order val="1"/>
          <tx>
            <strRef>
              <f>'MSI Report'!$C$73</f>
              <strCache>
                <ptCount val="1"/>
                <pt idx="0">
                  <v>G2TB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strRef>
              <f>'MSI Report'!$A$74:$A$94</f>
              <strCache>
                <ptCount val="14"/>
                <pt idx="0">
                  <v>Cold Soldering</v>
                </pt>
                <pt idx="1">
                  <v>JB Issue</v>
                </pt>
                <pt idx="2">
                  <v>No Issue Found</v>
                </pt>
                <pt idx="3">
                  <v>Natural Disaster</v>
                </pt>
                <pt idx="4">
                  <v>Module Burn</v>
                </pt>
                <pt idx="5">
                  <v>Improper or poor soldering</v>
                </pt>
                <pt idx="6">
                  <v xml:space="preserve">SUB STRING SHORT CIRCUIT </v>
                </pt>
                <pt idx="7">
                  <v>Module Breakage</v>
                </pt>
                <pt idx="8">
                  <v>Glass Breakage with Burn Spot</v>
                </pt>
                <pt idx="9">
                  <v>JB tampered &amp; Glass Breakage</v>
                </pt>
                <pt idx="10">
                  <v>Frame damage</v>
                </pt>
                <pt idx="11">
                  <v>Module Breakage &amp; Burn</v>
                </pt>
                <pt idx="12">
                  <v>Tab lead Burn</v>
                </pt>
                <pt idx="13">
                  <v>JB &amp; Cable Damege</v>
                </pt>
              </strCache>
            </strRef>
          </cat>
          <val>
            <numRef>
              <f>'MSI Report'!$C$74:$C$94</f>
              <numCache>
                <formatCode>General</formatCode>
                <ptCount val="14"/>
                <pt idx="0">
                  <v>0</v>
                </pt>
                <pt idx="1">
                  <v>11</v>
                </pt>
                <pt idx="2">
                  <v>89</v>
                </pt>
                <pt idx="3">
                  <v>0</v>
                </pt>
                <pt idx="4">
                  <v>1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ser>
          <idx val="2"/>
          <order val="2"/>
          <tx>
            <strRef>
              <f>'MSI Report'!$D$73</f>
              <strCache>
                <ptCount val="1"/>
                <pt idx="0">
                  <v>G2G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</spPr>
          <invertIfNegative val="0"/>
          <cat>
            <strRef>
              <f>'MSI Report'!$A$74:$A$94</f>
              <strCache>
                <ptCount val="14"/>
                <pt idx="0">
                  <v>Cold Soldering</v>
                </pt>
                <pt idx="1">
                  <v>JB Issue</v>
                </pt>
                <pt idx="2">
                  <v>No Issue Found</v>
                </pt>
                <pt idx="3">
                  <v>Natural Disaster</v>
                </pt>
                <pt idx="4">
                  <v>Module Burn</v>
                </pt>
                <pt idx="5">
                  <v>Improper or poor soldering</v>
                </pt>
                <pt idx="6">
                  <v xml:space="preserve">SUB STRING SHORT CIRCUIT </v>
                </pt>
                <pt idx="7">
                  <v>Module Breakage</v>
                </pt>
                <pt idx="8">
                  <v>Glass Breakage with Burn Spot</v>
                </pt>
                <pt idx="9">
                  <v>JB tampered &amp; Glass Breakage</v>
                </pt>
                <pt idx="10">
                  <v>Frame damage</v>
                </pt>
                <pt idx="11">
                  <v>Module Breakage &amp; Burn</v>
                </pt>
                <pt idx="12">
                  <v>Tab lead Burn</v>
                </pt>
                <pt idx="13">
                  <v>JB &amp; Cable Damege</v>
                </pt>
              </strCache>
            </strRef>
          </cat>
          <val>
            <numRef>
              <f>'MSI Report'!$D$74:$D$94</f>
              <numCache>
                <formatCode>General</formatCode>
                <ptCount val="14"/>
                <pt idx="0">
                  <v>474</v>
                </pt>
                <pt idx="1">
                  <v>45</v>
                </pt>
                <pt idx="2">
                  <v>44</v>
                </pt>
                <pt idx="3">
                  <v>0</v>
                </pt>
                <pt idx="4">
                  <v>1</v>
                </pt>
                <pt idx="5">
                  <v>0</v>
                </pt>
                <pt idx="6">
                  <v>2</v>
                </pt>
                <pt idx="7">
                  <v>836</v>
                </pt>
                <pt idx="8">
                  <v>0</v>
                </pt>
                <pt idx="9">
                  <v>1</v>
                </pt>
                <pt idx="10">
                  <v>1</v>
                </pt>
                <pt idx="11">
                  <v>6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1303400431"/>
        <axId val="579601967"/>
      </barChart>
      <catAx>
        <axId val="13034004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579601967"/>
        <crosses val="autoZero"/>
        <auto val="1"/>
        <lblAlgn val="ctr"/>
        <lblOffset val="100"/>
        <noMultiLvlLbl val="0"/>
      </catAx>
      <valAx>
        <axId val="579601967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0340043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Nithin Jinaga</author>
  </authors>
  <commentList>
    <comment ref="U23" authorId="0" shapeId="0">
      <text>
        <t>Nithin Jinaga:
Cold Soldering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50800</colOff>
      <row>40</row>
      <rowOff>26669</rowOff>
    </from>
    <to>
      <col>18</col>
      <colOff>127000</colOff>
      <row>55</row>
      <rowOff>48259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117927</colOff>
      <row>8</row>
      <rowOff>9072</rowOff>
    </from>
    <to>
      <col>17</col>
      <colOff>771070</colOff>
      <row>21</row>
      <rowOff>81643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163285</colOff>
      <row>23</row>
      <rowOff>1</rowOff>
    </from>
    <to>
      <col>6</col>
      <colOff>36285</colOff>
      <row>38</row>
      <rowOff>21772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426357</colOff>
      <row>23</row>
      <rowOff>45357</rowOff>
    </from>
    <to>
      <col>12</col>
      <colOff>145143</colOff>
      <row>38</row>
      <rowOff>45357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12</col>
      <colOff>508000</colOff>
      <row>23</row>
      <rowOff>27215</rowOff>
    </from>
    <to>
      <col>17</col>
      <colOff>635000</colOff>
      <row>38</row>
      <rowOff>48986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0</col>
      <colOff>226786</colOff>
      <row>40</row>
      <rowOff>18143</rowOff>
    </from>
    <to>
      <col>6</col>
      <colOff>798286</colOff>
      <row>55</row>
      <rowOff>154214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0</col>
      <colOff>190500</colOff>
      <row>58</row>
      <rowOff>81643</rowOff>
    </from>
    <to>
      <col>7</col>
      <colOff>226785</colOff>
      <row>75</row>
      <rowOff>9071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8</col>
      <colOff>403410</colOff>
      <row>58</row>
      <rowOff>89646</rowOff>
    </from>
    <to>
      <col>16</col>
      <colOff>515470</colOff>
      <row>74</row>
      <rowOff>164353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oubhagya Ranjan" refreshedDate="46206.74127141204" createdVersion="8" refreshedVersion="8" minRefreshableVersion="3" recordCount="2979" r:id="rId1">
  <cacheSource type="worksheet">
    <worksheetSource ref="A1:AB2980" sheet=" Monthly Report June-26"/>
  </cacheSource>
  <cacheFields count="28">
    <cacheField name="Date" uniqueList="1" numFmtId="15" sqlType="0" hierarchy="0" level="0" databaseField="1">
      <sharedItems count="0" containsDate="1" containsNonDate="0" containsSemiMixedTypes="0" containsString="0" minDate="2026-03-25T00:00:00" maxDate="2026-06-18T00:00:00"/>
    </cacheField>
    <cacheField name="Year" uniqueList="1" numFmtId="0" sqlType="0" hierarchy="0" level="0" databaseField="1">
      <sharedItems count="0" containsInteger="1" containsNumber="1" containsSemiMixedTypes="0" containsString="0" minValue="2026" maxValue="2026"/>
    </cacheField>
    <cacheField name="Complaint Raised By" uniqueList="1" numFmtId="0" sqlType="0" hierarchy="0" level="0" databaseField="1">
      <sharedItems count="0"/>
    </cacheField>
    <cacheField name="Customer Type" uniqueList="1" numFmtId="0" sqlType="0" hierarchy="0" level="0" databaseField="1">
      <sharedItems count="0"/>
    </cacheField>
    <cacheField name="Project Name" uniqueList="1" numFmtId="0" sqlType="0" hierarchy="0" level="0" databaseField="1">
      <sharedItems count="0" containsBlank="1" containsNonDate="0" containsString="0"/>
    </cacheField>
    <cacheField name="Current Status" uniqueList="1" numFmtId="0" sqlType="0" hierarchy="0" level="0" databaseField="1">
      <sharedItems count="2">
        <s v="Closed"/>
        <s v="WIP"/>
      </sharedItems>
    </cacheField>
    <cacheField name="Claim Reported By" uniqueList="1" numFmtId="0" sqlType="0" hierarchy="0" level="0" databaseField="1">
      <sharedItems count="0"/>
    </cacheField>
    <cacheField name="Contact No." uniqueList="1" numFmtId="0" sqlType="0" hierarchy="0" level="0" databaseField="1">
      <sharedItems count="0" containsInteger="1" containsNumber="1" containsSemiMixedTypes="0" containsString="0" minValue="7507786795" maxValue="9983975581"/>
    </cacheField>
    <cacheField name="Contract / Complaint  / Invoice No." uniqueList="1" numFmtId="0" sqlType="0" hierarchy="0" level="0" databaseField="1">
      <sharedItems count="0"/>
    </cacheField>
    <cacheField name="Customer Reported Problem" uniqueList="1" numFmtId="0" sqlType="0" hierarchy="0" level="0" databaseField="1">
      <sharedItems count="0"/>
    </cacheField>
    <cacheField name="Venue / Location" uniqueList="1" numFmtId="0" sqlType="0" hierarchy="0" level="0" databaseField="1">
      <sharedItems count="0"/>
    </cacheField>
    <cacheField name="State" uniqueList="1" numFmtId="0" sqlType="0" hierarchy="0" level="0" databaseField="1">
      <sharedItems count="0"/>
    </cacheField>
    <cacheField name="Field Evaluation" uniqueList="1" numFmtId="0" sqlType="0" hierarchy="0" level="0" databaseField="1">
      <sharedItems count="0"/>
    </cacheField>
    <cacheField name="Our Evaluation" uniqueList="1" numFmtId="0" sqlType="0" hierarchy="0" level="0" databaseField="1">
      <sharedItems count="0"/>
    </cacheField>
    <cacheField name="PV Panels Wp" uniqueList="1" numFmtId="0" sqlType="0" hierarchy="0" level="0" databaseField="1">
      <sharedItems count="0" containsInteger="1" containsMixedTypes="1" containsNumber="1" minValue="330" maxValue="610"/>
    </cacheField>
    <cacheField name="Module Serial Number" uniqueList="1" numFmtId="0" sqlType="0" hierarchy="0" level="0" databaseField="1">
      <sharedItems count="0" containsInteger="1" containsMixedTypes="1" containsNumber="1" minValue="26211031005568" maxValue="26211031006684"/>
    </cacheField>
    <cacheField name="Module Make Year" uniqueList="1" numFmtId="0" sqlType="0" hierarchy="0" level="0" databaseField="1">
      <sharedItems count="0"/>
    </cacheField>
    <cacheField name="Module Make Month" uniqueList="1" numFmtId="0" sqlType="0" hierarchy="0" level="0" databaseField="1">
      <sharedItems count="0"/>
    </cacheField>
    <cacheField name="Moduel Type" uniqueList="1" numFmtId="0" sqlType="0" hierarchy="0" level="0" databaseField="1">
      <sharedItems count="0"/>
    </cacheField>
    <cacheField name="Manufacturing Plant" uniqueList="1" numFmtId="0" sqlType="0" hierarchy="0" level="0" databaseField="1">
      <sharedItems count="0"/>
    </cacheField>
    <cacheField name="Remark" uniqueList="1" numFmtId="0" sqlType="0" hierarchy="0" level="0" databaseField="1">
      <sharedItems count="0"/>
    </cacheField>
    <cacheField name="Action Taken" uniqueList="1" numFmtId="0" sqlType="0" hierarchy="0" level="0" databaseField="1">
      <sharedItems count="0"/>
    </cacheField>
    <cacheField name="Resolution Type" uniqueList="1" numFmtId="0" sqlType="0" hierarchy="0" level="0" databaseField="1">
      <sharedItems count="0"/>
    </cacheField>
    <cacheField name="Date of Claim Settled" uniqueList="1" numFmtId="0" sqlType="0" hierarchy="0" level="0" databaseField="1">
      <sharedItems count="0" containsBlank="1" containsDate="1" containsNonDate="0" containsString="0" minDate="2026-06-01T00:00:00" maxDate="2026-07-01T00:00:00"/>
    </cacheField>
    <cacheField name="Claim Settlement Duration" uniqueList="1" numFmtId="0" sqlType="0" hierarchy="0" level="0" databaseField="1">
      <sharedItems count="0" containsInteger="1" containsMixedTypes="1" containsNumber="1" minValue="1" maxValue="87"/>
    </cacheField>
    <cacheField name="Visit Date" uniqueList="1" numFmtId="15" sqlType="0" hierarchy="0" level="0" databaseField="1">
      <sharedItems count="0" containsDate="1" containsNonDate="0" containsSemiMixedTypes="0" containsString="0" minDate="2026-06-01T00:00:00" maxDate="2026-07-01T00:00:00"/>
    </cacheField>
    <cacheField name="Rework Srl No." uniqueList="1" numFmtId="0" sqlType="0" hierarchy="0" level="0" databaseField="1">
      <sharedItems count="0" containsBlank="1" containsNonDate="0" containsString="0"/>
    </cacheField>
    <cacheField name="Work details" uniqueList="1" numFmtId="0" sqlType="0" hierarchy="0" level="0" databaseField="1">
      <sharedItems count="0" containsBlank="1" containsNonDate="0" containsString="0"/>
    </cacheField>
  </cacheFields>
</pivotCacheDefinition>
</file>

<file path=xl/pivotCache/pivotCacheRecords1.xml><?xml version="1.0" encoding="utf-8"?>
<pivotCacheRecords xmlns="http://schemas.openxmlformats.org/spreadsheetml/2006/main" count="2979"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08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76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86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60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2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3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3070"/>
    <s v="23"/>
    <s v="05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63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6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87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646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93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88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249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2848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92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35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4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5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7086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2895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70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76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01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73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50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0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8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21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146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71472"/>
    <s v="23"/>
    <s v="04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501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500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134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820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749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539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4554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0980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158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1741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920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2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46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73594"/>
    <s v="23"/>
    <s v="04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636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333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5834"/>
    <s v="23"/>
    <s v="05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973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511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73374"/>
    <s v="23"/>
    <s v="04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490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09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49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59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60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60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56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58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63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63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6499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658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542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571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169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206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491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187"/>
    <s v="23"/>
    <s v="05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174"/>
    <s v="23"/>
    <s v="05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16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18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05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4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6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3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20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37204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7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656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6811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855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6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496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7658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244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7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667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8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36948"/>
    <s v="23"/>
    <s v="04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3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1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96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8948"/>
    <s v="24"/>
    <s v="07"/>
    <s v="G2G"/>
    <s v="P4 - PEIPL"/>
    <s v="P &amp; 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96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900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26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9015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976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235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8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87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65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11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9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270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732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11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46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1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29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3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1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R"/>
    <s v="JB Issue"/>
    <n v="575"/>
    <s v="NSMI24070200533"/>
    <s v="24"/>
    <s v="07"/>
    <s v="G2G"/>
    <s v="P4 - PEIPL"/>
    <s v="P &amp; N JB Reverse"/>
    <s v="JB Changed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172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720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86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2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3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97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9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2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1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2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0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24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196026"/>
    <s v="24"/>
    <s v="07"/>
    <s v="G2G"/>
    <s v="P4 - PEIPL"/>
    <s v="N JB Issue &amp; JB Burn"/>
    <s v="JB Changed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601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43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4501"/>
    <s v="24"/>
    <s v="07"/>
    <s v="G2G"/>
    <s v="P4 - PEIPL"/>
    <s v="P &amp; 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1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9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6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86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12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388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34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45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0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31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31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3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2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3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6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5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7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1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7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4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79065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73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72905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23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30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430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8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6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8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81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83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4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6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9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81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1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7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9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843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0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5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7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9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5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93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0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5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6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2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732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5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93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NR"/>
    <s v="JB Issue"/>
    <n v="540"/>
    <s v="NSMP2305194971"/>
    <s v="23"/>
    <s v="05"/>
    <s v="G2B"/>
    <s v="P2 - PEPPL"/>
    <s v="P &amp; N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696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95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7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0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970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08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241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2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286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91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93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12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889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854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5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4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3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494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852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93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398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41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3964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88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8899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0013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98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935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9438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4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1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892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9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1093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10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9359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45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1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35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0998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087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37176"/>
    <s v="23"/>
    <s v="04"/>
    <s v="G2B"/>
    <s v="P2 - PEPPL"/>
    <s v="N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351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78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55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960"/>
    <s v="23"/>
    <s v="04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34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191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203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10425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468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7223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9586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652"/>
    <s v="23"/>
    <s v="04"/>
    <s v="G2B"/>
    <s v="P2 - PEPPL"/>
    <s v="P JB Issue"/>
    <s v="JB Changed"/>
    <s v="Repair"/>
    <d v="2026-06-02T00:00:00"/>
    <n v="2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0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67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3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28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06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6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2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24"/>
    <s v="25"/>
    <s v="04"/>
    <s v="G2TB"/>
    <s v="P2 - PEPPL"/>
    <s v="All JB Issue"/>
    <s v="JB Changed"/>
    <s v="Repair"/>
    <d v="2026-06-02T00:00:00"/>
    <n v="17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2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9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76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7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376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4305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88839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716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1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180773"/>
    <s v="24"/>
    <s v="07"/>
    <s v="G2G"/>
    <s v="P4 - PEIPL"/>
    <s v="P JB Issue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753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8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0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75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6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40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3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85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28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3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26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83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867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86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891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905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8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196068"/>
    <s v="24"/>
    <s v="07"/>
    <s v="G2G"/>
    <s v="P4 - PEIPL"/>
    <s v="P JB Issue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815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379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62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91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2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1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1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7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74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669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2673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51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58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2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10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195806"/>
    <s v="24"/>
    <s v="07"/>
    <s v="G2G"/>
    <s v="P4 - PEIPL"/>
    <s v="N JB Issue &amp; JB Burn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62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1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4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9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05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7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8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83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17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233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85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2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1348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135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928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862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201073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023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95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969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0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68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205487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3047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98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82858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88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76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5586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73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353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3588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360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8064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08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7554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01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9107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2987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493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0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86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93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3208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2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4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3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2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1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59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526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41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320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26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38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2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6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7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8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9512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0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38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5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3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978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158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0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5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3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6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9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99"/>
    <s v="23"/>
    <s v="04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9768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3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6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1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27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121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2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3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6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657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0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915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0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385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7093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953"/>
    <s v="23"/>
    <s v="04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73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4068968"/>
    <s v="23"/>
    <s v="04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929"/>
    <s v="23"/>
    <s v="04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525"/>
    <s v="23"/>
    <s v="04"/>
    <s v="G2B"/>
    <s v="P2 - PEPPL"/>
    <s v="N JB Cold Soldering"/>
    <s v="Soldering"/>
    <s v="Repair"/>
    <d v="2026-06-03T00:00:00"/>
    <n v="28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1844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1854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384020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4752"/>
    <s v="26"/>
    <s v="02"/>
    <s v="G2G"/>
    <s v="P5 - PEGPL"/>
    <s v="Module Damaged due to Heavy Storm"/>
    <s v="WIP"/>
    <s v="WIP"/>
    <m/>
    <s v="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51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5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3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7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51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0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33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18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15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33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2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1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03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1551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28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65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988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34118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06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7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201808"/>
    <s v="24"/>
    <s v="07"/>
    <s v="G2G"/>
    <s v="P4 - PEIPL"/>
    <s v="P &amp; 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1819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0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1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120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133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7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0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998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2119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600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688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2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3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1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07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67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8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6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8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14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0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9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0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41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598"/>
    <s v="24"/>
    <s v="07"/>
    <s v="G2G"/>
    <s v="P4 - PEIPL"/>
    <s v="P JB Cold Soldering &amp; Back Side Glass Broken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2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0449"/>
    <s v="24"/>
    <s v="07"/>
    <s v="G2G"/>
    <s v="P4 - PEIPL"/>
    <s v="P &amp; 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49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33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979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44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7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0384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23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5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60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63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28T00:00:00"/>
    <n v="2026"/>
    <s v="Solar Square"/>
    <s v="OEM"/>
    <m/>
    <x v="0"/>
    <s v="Murali"/>
    <n v="9703345015"/>
    <s v="PE28052601"/>
    <s v="Low VOC"/>
    <s v="Pune"/>
    <s v="Maharashtra"/>
    <s v="NR"/>
    <s v="JB Issue"/>
    <n v="540"/>
    <s v="NSMP25012460730"/>
    <s v="25"/>
    <s v="01"/>
    <s v="G2TB"/>
    <s v="P2 - PEPPL"/>
    <s v="N JB Issue"/>
    <s v="JB Changed"/>
    <s v="Repair"/>
    <d v="2026-06-04T00:00:00"/>
    <n v="7"/>
    <d v="2026-06-04T00:00:00"/>
    <m/>
    <m/>
  </r>
  <r>
    <d v="2026-05-28T00:00:00"/>
    <n v="2026"/>
    <s v="Solar Square"/>
    <s v="OEM"/>
    <m/>
    <x v="0"/>
    <s v="Murali"/>
    <n v="9703345015"/>
    <s v="PE28052601"/>
    <s v="Low VOC"/>
    <s v="Pune"/>
    <s v="Maharashtra"/>
    <s v="Non repairable "/>
    <s v="Module Burn"/>
    <n v="540"/>
    <s v="NSMP25012460384"/>
    <s v="25"/>
    <s v="01"/>
    <s v="G2TB"/>
    <s v="P2 - PEPPL"/>
    <s v="Module Burn"/>
    <s v="Process for CN"/>
    <s v="CN"/>
    <d v="2026-06-06T00:00:00"/>
    <n v="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833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1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0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6695"/>
    <s v="23"/>
    <s v="05"/>
    <s v="G2B"/>
    <s v="P2 - PEPPL"/>
    <s v="N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3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4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03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580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0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6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4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14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3407"/>
    <s v="23"/>
    <s v="05"/>
    <s v="G2B"/>
    <s v="P2 - PEPPL"/>
    <s v="No Issue Found"/>
    <s v="Inspection"/>
    <s v="Rejected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9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8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7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40150"/>
    <s v="23"/>
    <s v="04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6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9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9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2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5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83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6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35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11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7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42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6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37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3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2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5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0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0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9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0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0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40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1784"/>
    <s v="23"/>
    <s v="05"/>
    <s v="G2B"/>
    <s v="P2 - PEPPL"/>
    <s v="No Issue Found"/>
    <s v="Inspection"/>
    <s v="Rejected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57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6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1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2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2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9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8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0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319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316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9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7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21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6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5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2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0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9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9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34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61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36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3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4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2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33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166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7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2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7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62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509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1731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730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852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7663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428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1840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73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78548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9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59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4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97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91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45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02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52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22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66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66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46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18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52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067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5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5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9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4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1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3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0724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3086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80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54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310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309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475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79341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55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270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214659"/>
    <s v="24"/>
    <s v="07"/>
    <s v="G2G"/>
    <s v="P4 - PEIPL"/>
    <s v="N JB Issue &amp; JB Burn"/>
    <s v="JB Changed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14681"/>
    <s v="24"/>
    <s v="07"/>
    <s v="G2G"/>
    <s v="P4 - PEIPL"/>
    <s v="P JB Issue"/>
    <s v="JB Changed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469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8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71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69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271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39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1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3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7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06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5274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7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6437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306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3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7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4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89343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33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267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2594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84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6400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4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272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881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810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989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1627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22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294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1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52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26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62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1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2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026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237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184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80470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9072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5006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6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6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4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8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2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53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5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0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041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049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9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7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0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9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1877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14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7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605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5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6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8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47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3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3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633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4567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0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1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46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05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201090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2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4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066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8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0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5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8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3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0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1063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99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3235"/>
    <s v="23"/>
    <s v="05"/>
    <s v="G2B"/>
    <s v="P2 - PEPPL"/>
    <s v="P JB Issue"/>
    <s v="JB Changed"/>
    <s v="Repair"/>
    <d v="2026-06-05T00:00:00"/>
    <n v="30"/>
    <d v="2026-06-05T00:00:00"/>
    <m/>
    <m/>
  </r>
  <r>
    <d v="2026-04-28T00:00:00"/>
    <n v="2026"/>
    <s v="Panasonic"/>
    <s v="OEM"/>
    <m/>
    <x v="0"/>
    <s v="Chirag Tare"/>
    <n v="7719846027"/>
    <s v="PE28042602"/>
    <s v="Busbar burn"/>
    <s v="Belagavi"/>
    <s v="Karnataka"/>
    <s v="Visit not required"/>
    <s v="Improper or poor soldering"/>
    <n v="550"/>
    <s v="NSMP2303507079"/>
    <s v="23"/>
    <s v="03"/>
    <s v="G2B"/>
    <s v="P2 - PEPPL"/>
    <s v="Improper soldering between the tab lead and the solar cell"/>
    <s v="Process for CN"/>
    <s v="CN"/>
    <d v="2026-06-06T00:00:00"/>
    <n v="39"/>
    <d v="2026-06-06T00:00:00"/>
    <m/>
    <m/>
  </r>
  <r>
    <d v="2026-04-23T00:00:00"/>
    <n v="2026"/>
    <s v="Panasonic"/>
    <s v="OEM"/>
    <m/>
    <x v="0"/>
    <s v="Chirag Tare"/>
    <n v="7719846027"/>
    <s v="PE23042601"/>
    <s v="Busbar Burn Marks"/>
    <s v="Dhule"/>
    <s v="Maharashtra"/>
    <s v="Visit not required"/>
    <s v="Improper or poor soldering"/>
    <n v="330"/>
    <s v="NSM210444364"/>
    <s v="21"/>
    <s v="04"/>
    <s v="G2B"/>
    <s v="P2 - PEPPL"/>
    <s v="Improper soldering between the tab lead and the solar cell"/>
    <s v="Process for CN"/>
    <s v="CN"/>
    <d v="2026-06-06T00:00:00"/>
    <n v="44"/>
    <d v="2026-06-06T00:00:00"/>
    <m/>
    <m/>
  </r>
  <r>
    <d v="2026-04-17T00:00:00"/>
    <n v="2026"/>
    <s v="Panasonic"/>
    <s v="OEM"/>
    <m/>
    <x v="0"/>
    <s v="Chirag Tare"/>
    <n v="7719846027"/>
    <s v="PE17042602"/>
    <s v="Busbar burn"/>
    <s v="Dhule"/>
    <s v="Maharashtra"/>
    <s v="Visit not required"/>
    <s v="Improper or poor soldering"/>
    <n v="335"/>
    <s v="NSM210408527"/>
    <s v="21"/>
    <s v="04"/>
    <s v="G2B"/>
    <s v="P2 - PEPPL"/>
    <s v="Improper soldering between the tab lead and the solar cell"/>
    <s v="Process for CN"/>
    <s v="CN"/>
    <d v="2026-06-06T00:00:00"/>
    <n v="50"/>
    <d v="2026-06-06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MODULE  BURN  &amp; DAMAGE "/>
    <s v="SUB STRING SHORT CIRCUIT "/>
    <n v="575"/>
    <s v="NSMI24070179264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49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10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84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4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55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240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82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76598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77724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2434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9366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815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OOR SOLDERING &amp; RIBBON BURN"/>
    <s v="SUB STRING SHORT CIRCUIT "/>
    <n v="575"/>
    <s v="NSMI2407018785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1938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8860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183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0309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15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1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14975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80310047"/>
    <s v="24"/>
    <s v="08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1508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703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Circuit Open"/>
    <s v="No Issue Found"/>
    <n v="575"/>
    <s v="NA"/>
    <s v="NA"/>
    <s v="NA"/>
    <s v="G2G"/>
    <s v="P4 - PEIPL"/>
    <s v="Circuit Open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09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0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2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3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2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3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05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Circuit Open"/>
    <s v="No Issue Found"/>
    <n v="575"/>
    <s v="NA"/>
    <s v="NA"/>
    <s v="NA"/>
    <s v="G2G"/>
    <s v="P4 - PEIPL"/>
    <s v="String - 03 Circuit Open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5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4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1 CIRCUIT RUNNING"/>
    <s v="Inspection"/>
    <s v="Rejected"/>
    <d v="2026-06-07T00:00:00"/>
    <n v="37"/>
    <d v="2026-06-07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PR"/>
    <s v="JB Issue"/>
    <n v="545"/>
    <s v="NSMP24101598204"/>
    <s v="24"/>
    <s v="10"/>
    <s v="G2TB"/>
    <s v="P2 - PEPPL"/>
    <s v="P JB Issue"/>
    <s v="JB Changed"/>
    <s v="Repair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31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1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5457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95655"/>
    <s v="23"/>
    <s v="05"/>
    <s v="G2B"/>
    <s v="P2 - PEPPL"/>
    <s v="N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141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13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90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201210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95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1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25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2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90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8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4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5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0072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01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3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5538"/>
    <s v="23"/>
    <s v="04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3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6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9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800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837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14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2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976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4938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960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7914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0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1571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4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28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23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79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0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5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1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7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9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142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5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64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2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381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038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842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0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5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9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5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368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7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NS"/>
    <s v="Cold Soldering"/>
    <n v="540"/>
    <s v="NSMP2305191340"/>
    <s v="23"/>
    <s v="05"/>
    <s v="G2B"/>
    <s v="P2 - PEPPL"/>
    <s v="P &amp; 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01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66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6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87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1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939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63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59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63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74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723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4722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8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749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2620"/>
    <s v="23"/>
    <s v="05"/>
    <s v="G2B"/>
    <s v="P2 - PEPPL"/>
    <s v="N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49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3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3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7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1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4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29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1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08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4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7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4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9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6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7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5091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7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3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6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1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7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5694"/>
    <s v="23"/>
    <s v="05"/>
    <s v="G2B"/>
    <s v="P2 - PEPPL"/>
    <s v="N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1240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9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1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3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7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6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1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3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91874"/>
    <s v="23"/>
    <s v="05"/>
    <s v="G2B"/>
    <s v="P2 - PEPPL"/>
    <s v="N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7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459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49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0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06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8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8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7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187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14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05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45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78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5962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9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4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1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1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1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5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3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939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533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63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202306"/>
    <s v="23"/>
    <s v="05"/>
    <s v="G2B"/>
    <s v="P2 - PEPPL"/>
    <s v="N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202310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79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81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77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108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1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9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44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6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6899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30884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49768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"/>
    <s v="Glass Breakage with Burn Spot"/>
    <n v="585"/>
    <s v="NSMI24090520088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54608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5820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519200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4137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3625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0224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18828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471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at shoter frem"/>
    <s v="Module Breakage"/>
    <n v="585"/>
    <s v="NSMI2410054515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525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124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5539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830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930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52139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018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44440"/>
    <s v="24"/>
    <s v="10"/>
    <s v="G2G"/>
    <s v="P4 - PEIPL"/>
    <s v="Module Burn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500592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57336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at shoter frem"/>
    <s v="Module Breakage"/>
    <n v="585"/>
    <s v="NSMI24090483112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49617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"/>
    <s v="Glass Breakage with Burn Spot"/>
    <n v="585"/>
    <s v="NSMI24100553350"/>
    <s v="24"/>
    <s v="10"/>
    <s v="G2G"/>
    <s v="P4 - PEIPL"/>
    <s v="Glass Breakage with Burn Spot"/>
    <s v="WIP"/>
    <s v="Inspection"/>
    <m/>
    <s v=""/>
    <d v="2026-06-12T00:00:00"/>
    <m/>
    <m/>
  </r>
  <r>
    <d v="2026-06-07T00:00:00"/>
    <n v="2026"/>
    <s v="TRUE SUN TRADING COMPANY"/>
    <s v="Channel Sales"/>
    <m/>
    <x v="0"/>
    <s v="Sarath Ananda"/>
    <n v="8848944464"/>
    <s v="PE07062601"/>
    <s v="ZERO VOLTAGE"/>
    <s v="CHANGANASSERRY"/>
    <s v="Kerala"/>
    <s v="AR"/>
    <s v="JB Issue"/>
    <n v="540"/>
    <s v="NSMP24050492706"/>
    <s v="24"/>
    <s v="05"/>
    <s v="G2B"/>
    <s v="P2 - PEPPL"/>
    <s v="All JB Issue"/>
    <s v="JB Changed"/>
    <s v="Repair"/>
    <d v="2026-06-12T00:00:00"/>
    <n v="5"/>
    <d v="2026-06-12T00:00:00"/>
    <m/>
    <m/>
  </r>
  <r>
    <d v="2026-06-07T00:00:00"/>
    <n v="2026"/>
    <s v="TRUE SUN TRADING COMPANY"/>
    <s v="Channel Sales"/>
    <m/>
    <x v="0"/>
    <s v="Sarath Ananda"/>
    <n v="8848944464"/>
    <s v="PE07062602"/>
    <s v="ZERO VOLTAGE"/>
    <s v="CHANGANASSERRY"/>
    <s v="Kerala"/>
    <s v="AR"/>
    <s v="JB Issue"/>
    <n v="540"/>
    <s v="NSMP24050492799"/>
    <s v="24"/>
    <s v="05"/>
    <s v="G2B"/>
    <s v="P2 - PEPPL"/>
    <s v="All JB Issue"/>
    <s v="JB Changed"/>
    <s v="Repair"/>
    <d v="2026-06-12T00:00:00"/>
    <n v="5"/>
    <d v="2026-06-12T00:00:00"/>
    <m/>
    <m/>
  </r>
  <r>
    <d v="2026-06-07T00:00:00"/>
    <n v="2026"/>
    <s v="TRUE SUN TRADING COMPANY"/>
    <s v="Channel Sales"/>
    <m/>
    <x v="0"/>
    <s v="Sarath Ananda"/>
    <n v="8848944464"/>
    <s v="PE07062603"/>
    <s v="ZERO VOLTAGE"/>
    <s v="CHANGANASSERRY"/>
    <s v="Kerala"/>
    <s v="AR &amp; Bus bar issue "/>
    <s v="JB Issue"/>
    <n v="540"/>
    <s v="NSMP24050492794"/>
    <s v="24"/>
    <s v="05"/>
    <s v="G2B"/>
    <s v="P2 - PEPPL"/>
    <s v="All JB Issue"/>
    <s v="JB Changed"/>
    <s v="Repair"/>
    <d v="2026-06-12T00:00:00"/>
    <n v="5"/>
    <d v="2026-06-12T00:00:00"/>
    <m/>
    <m/>
  </r>
  <r>
    <d v="2026-06-11T00:00:00"/>
    <n v="2026"/>
    <s v="Panasonic"/>
    <s v="OEM"/>
    <m/>
    <x v="0"/>
    <s v="Chirag Tare"/>
    <n v="7719846027"/>
    <s v="PE11062602"/>
    <s v="Low VOC"/>
    <s v="Adoor"/>
    <s v="Kerala"/>
    <s v="PNS"/>
    <s v="Cold Soldering"/>
    <n v="495"/>
    <s v="NSMP2211237167"/>
    <s v="22"/>
    <s v="11"/>
    <s v="G2B"/>
    <s v="P2 - PEPPL"/>
    <s v="P &amp; N JB Cold Soldering"/>
    <s v="Soldering"/>
    <s v="Repair"/>
    <d v="2026-06-12T00:00:00"/>
    <n v="1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06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28848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92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023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678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3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3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1211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89797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780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106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1033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149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15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33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44194"/>
    <s v="25"/>
    <s v="11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312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37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219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896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581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65340"/>
    <s v="25"/>
    <s v="01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62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7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NS"/>
    <s v="Cold Soldering"/>
    <n v="580"/>
    <s v="NSMI25011261740"/>
    <s v="25"/>
    <s v="01"/>
    <s v="G2G"/>
    <s v="P4 - PEIPL"/>
    <s v="P &amp; 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69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863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301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5100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03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54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03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465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01664061"/>
    <s v="25"/>
    <s v="10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03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6673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0159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010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289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2209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2311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49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17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3223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1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3157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793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489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766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419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3276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3236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919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2911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5101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149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342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0405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2360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40048059"/>
    <s v="25"/>
    <s v="04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56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027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40043689"/>
    <s v="25"/>
    <s v="04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186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747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40044915"/>
    <s v="25"/>
    <s v="04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3576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29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32860"/>
    <s v="25"/>
    <s v="01"/>
    <s v="G2G"/>
    <s v="P4 - PEIPL"/>
    <s v="P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42657"/>
    <s v="25"/>
    <s v="11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03575"/>
    <s v="25"/>
    <s v="11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546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44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503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1975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91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89511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042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3117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843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748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2670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04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2669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37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54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3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7120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3411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27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211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28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4786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082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hysical damage "/>
    <s v="JB tampered &amp; Glass Breakage"/>
    <n v="580"/>
    <s v="NSMI25011263098"/>
    <s v="25"/>
    <s v="01"/>
    <s v="G2G"/>
    <s v="P4 - PEIPL"/>
    <s v="External force applied"/>
    <s v="Inspection"/>
    <s v="Rejected"/>
    <d v="2026-06-13T00:00:00"/>
    <n v="25"/>
    <d v="2026-06-13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501392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0642"/>
    <s v="24"/>
    <s v="10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2960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7425"/>
    <s v="24"/>
    <s v="10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82675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45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5587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3018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17899"/>
    <s v="24"/>
    <s v="09"/>
    <s v="G2G"/>
    <s v="P4 - PEIPL"/>
    <s v="Module Burn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36718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2222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4682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3259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3342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30460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29009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28276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9016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2316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1366"/>
    <s v="24"/>
    <s v="09"/>
    <s v="G2G"/>
    <s v="P4 - PEIPL"/>
    <s v="Glass Breakage with Burn Spot"/>
    <s v="WIP"/>
    <s v="Inspection"/>
    <m/>
    <s v=""/>
    <d v="2026-06-14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50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72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026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0789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97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92540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80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838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73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71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442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41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481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74043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6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32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432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4988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497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28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65672"/>
    <s v="25"/>
    <s v="01"/>
    <s v="G2G"/>
    <s v="P4 - PEIPL"/>
    <s v="P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0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757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455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40054184"/>
    <s v="25"/>
    <s v="04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387"/>
    <s v="25"/>
    <s v="01"/>
    <s v="G2G"/>
    <s v="P4 - PEIPL"/>
    <s v="P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89843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77157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637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79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51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3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23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08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6828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162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2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7669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59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1313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328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239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327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572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951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1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213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19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153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173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808"/>
    <s v="25"/>
    <s v="01"/>
    <s v="G2G"/>
    <s v="P4 - PEIPL"/>
    <s v="P JB Issue"/>
    <s v="JB Changed"/>
    <s v="Repair"/>
    <d v="2026-06-15T00:00:00"/>
    <n v="27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467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3176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8383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4181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6028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644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456910"/>
    <s v="24"/>
    <s v="09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761"/>
    <s v="24"/>
    <s v="10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588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387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7913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0066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4357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55656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19563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197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6282"/>
    <s v="24"/>
    <s v="10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5263"/>
    <s v="24"/>
    <s v="10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563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3956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39298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3835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00502"/>
    <s v="24"/>
    <s v="09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0097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051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1206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084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3088"/>
    <s v="24"/>
    <s v="10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6819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0539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3451"/>
    <s v="24"/>
    <s v="09"/>
    <s v="G2G"/>
    <s v="P4 - PEIPL"/>
    <s v="Glass Breakage"/>
    <s v="WIP"/>
    <s v="Inspection"/>
    <m/>
    <s v="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8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5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1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0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12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6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6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9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6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5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7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4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6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7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05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0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4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1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92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485"/>
    <s v="19"/>
    <s v="12"/>
    <s v="G2B"/>
    <s v="NA"/>
    <s v="JB Issue"/>
    <s v="JB Changed"/>
    <s v="Repair"/>
    <d v="2026-06-15T00:00:00"/>
    <n v="82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145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5994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62203"/>
    <s v="25"/>
    <s v="01"/>
    <s v="G2G"/>
    <s v="P4 - PEIPL"/>
    <s v="P JB Issue"/>
    <s v="JB Changed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3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228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158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913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833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491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473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929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325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094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842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12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5548"/>
    <s v="25"/>
    <s v="01"/>
    <s v="G2G"/>
    <s v="P4 - PEIPL"/>
    <s v="N JB Issue"/>
    <s v="JB Changed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40196267"/>
    <s v="25"/>
    <s v="04"/>
    <s v="G2G"/>
    <s v="P4 - PEIPL"/>
    <s v="No Issue Found"/>
    <s v="Inspection"/>
    <s v="Rejected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50200600"/>
    <s v="25"/>
    <s v="05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18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47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085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2589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70870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70889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625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8972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4061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302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71252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81827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24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17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9169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1155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1953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84626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0647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65845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4066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4061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31070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86994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5218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80394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4018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428451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7975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1789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83029668"/>
    <s v="24"/>
    <s v="08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85725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66279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1186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8272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37834"/>
    <s v="24"/>
    <s v="09"/>
    <s v="G2G"/>
    <s v="P4 - PEIPL"/>
    <s v="Glass Breakage"/>
    <s v="WIP"/>
    <s v="Inspection"/>
    <m/>
    <s v="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5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9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4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86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1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3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1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7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7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9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89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43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0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5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0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8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64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41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6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3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5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99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98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9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3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7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8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47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878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5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30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9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4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2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0999747"/>
    <s v="19"/>
    <s v="09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32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4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3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2"/>
    <s v="19"/>
    <s v="12"/>
    <s v="G2B"/>
    <s v="NA"/>
    <s v="JB Issue"/>
    <s v="JB Changed"/>
    <s v="Repair"/>
    <d v="2026-06-17T00:00:00"/>
    <n v="84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4041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3384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641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5723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139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100554147"/>
    <s v="24"/>
    <s v="10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417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687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11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6668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99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232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533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NS"/>
    <s v="Cold Soldering"/>
    <n v="585"/>
    <s v="NSMI24090456968"/>
    <s v="24"/>
    <s v="09"/>
    <s v="G2G"/>
    <s v="P4 - PEIPL"/>
    <s v="P &amp; N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98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890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9975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60752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867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094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356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5405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39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118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93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18875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810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884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107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69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284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1942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6204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7718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7762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02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76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5419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4215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7055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5513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5401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05152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430982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37743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39286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4538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46475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08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0642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69059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73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85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86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44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324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19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84662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4664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19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156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35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30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108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014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1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465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522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386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96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301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8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4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6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655"/>
    <s v="24"/>
    <s v="09"/>
    <s v="G2G"/>
    <s v="P4 - PEIPL"/>
    <s v="Glass Breakage"/>
    <s v="WIP"/>
    <s v="Inspection"/>
    <m/>
    <s v="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8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7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0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1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2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6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2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5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5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6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6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0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4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9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4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6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16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75"/>
    <s v="19"/>
    <s v="12"/>
    <s v="G2B"/>
    <s v="NA"/>
    <s v="JB Issue"/>
    <s v="JB Changed"/>
    <s v="Repair"/>
    <d v="2026-06-18T00:00:00"/>
    <n v="85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9945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9922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9718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3693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3701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44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18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36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23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34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30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29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297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17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128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329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470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56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147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328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48337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307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1146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0067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8603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3741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044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42026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200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2262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148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46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31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5259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586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599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48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59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65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144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83069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884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1783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006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48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09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21147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68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364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832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3605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37064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414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2906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44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090452752"/>
    <s v="24"/>
    <s v="09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439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992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02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931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28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27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090502177"/>
    <s v="24"/>
    <s v="09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898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2837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3004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21001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582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100579823"/>
    <s v="24"/>
    <s v="10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759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100580460"/>
    <s v="24"/>
    <s v="10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99523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25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178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0766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066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4386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78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3755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3088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7654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361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7643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84277"/>
    <s v="24"/>
    <s v="09"/>
    <s v="G2G"/>
    <s v="P4 - PEIPL"/>
    <s v="Glass Breakage with Burn Spot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100561605"/>
    <s v="24"/>
    <s v="10"/>
    <s v="G2G"/>
    <s v="P4 - PEIPL"/>
    <s v="Glass Breakage with Burn Spot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6438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119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4422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4421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4203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832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8400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8367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27772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837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9694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6333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4399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84606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27678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4966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8357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582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6504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8566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5069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4343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349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9635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821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453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2325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4741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4991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736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0696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591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352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178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7998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6981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666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4490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39623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230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273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6805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6249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5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2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809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68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5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89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6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3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6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2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3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2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66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4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56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775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3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82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5993"/>
    <s v="19"/>
    <s v="12"/>
    <s v="G2B"/>
    <s v="NA"/>
    <s v="JB Issue"/>
    <s v="JB Changed"/>
    <s v="Repair"/>
    <d v="2026-06-19T00:00:00"/>
    <n v="86"/>
    <d v="2026-06-19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239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873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7709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11264325"/>
    <s v="25"/>
    <s v="01"/>
    <s v="G2G"/>
    <s v="P4 - PEIPL"/>
    <s v="Hit by stone "/>
    <s v="Inspection"/>
    <s v="Rejected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40044915"/>
    <s v="25"/>
    <s v="04"/>
    <s v="G2G"/>
    <s v="P4 - PEIPL"/>
    <s v="Frame Damaged"/>
    <s v="Inspection"/>
    <s v="Rejected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11277250"/>
    <s v="25"/>
    <s v="01"/>
    <s v="G2G"/>
    <s v="P4 - PEIPL"/>
    <s v="Damage &amp; burn"/>
    <s v="Inspection"/>
    <s v="Rejected"/>
    <d v="2026-06-20T00:00:00"/>
    <n v="32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83762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4371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4389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5739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0226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59815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81846"/>
    <s v="24"/>
    <s v="09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627257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2177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69691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4920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535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529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6311"/>
    <s v="24"/>
    <s v="10"/>
    <s v="G2G"/>
    <s v="P4 - PEIPL"/>
    <s v="Glass Breakage with Burn Spot"/>
    <s v="WIP"/>
    <s v="Inspection"/>
    <m/>
    <s v="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50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07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02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716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2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7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718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3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2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585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6518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600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11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7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6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7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4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3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31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0718"/>
    <s v="19"/>
    <s v="12"/>
    <s v="G2B"/>
    <s v="NA"/>
    <s v="JB Issue"/>
    <s v="JB Changed"/>
    <s v="Repair"/>
    <d v="2026-06-20T00:00:00"/>
    <n v="87"/>
    <d v="2026-06-20T00:00:00"/>
    <m/>
    <m/>
  </r>
  <r>
    <d v="2026-06-16T00:00:00"/>
    <n v="2026"/>
    <s v="Panasonic"/>
    <s v="OEM"/>
    <m/>
    <x v="0"/>
    <s v="Chirag Tare"/>
    <n v="7719846027"/>
    <s v="PE16062601"/>
    <s v="Low VOC"/>
    <s v="Bangalore"/>
    <s v="Karnataka"/>
    <s v="PS"/>
    <s v="Cold Soldering"/>
    <n v="550"/>
    <s v="NSMP2304007611"/>
    <s v="23"/>
    <s v="04"/>
    <s v="G2B"/>
    <s v="P2 - PEPPL"/>
    <s v="P JB Cold Soldering"/>
    <s v="Soldering"/>
    <s v="Repair"/>
    <d v="2026-06-22T00:00:00"/>
    <n v="6"/>
    <d v="2026-06-22T00:00:00"/>
    <m/>
    <m/>
  </r>
  <r>
    <d v="2026-06-16T00:00:00"/>
    <n v="2026"/>
    <s v="Panasonic"/>
    <s v="OEM"/>
    <m/>
    <x v="0"/>
    <s v="Chirag Tare"/>
    <n v="7719846027"/>
    <s v="PE16062601"/>
    <s v="Low VOC"/>
    <s v="Bangalore"/>
    <s v="Karnataka"/>
    <s v="NS"/>
    <s v="Cold Soldering"/>
    <n v="550"/>
    <s v="NSMP2304007612"/>
    <s v="23"/>
    <s v="04"/>
    <s v="G2B"/>
    <s v="P2 - PEPPL"/>
    <s v="N JB Cold Soldering"/>
    <s v="Soldering"/>
    <s v="Repair"/>
    <d v="2026-06-22T00:00:00"/>
    <n v="6"/>
    <d v="2026-06-22T00:00:00"/>
    <m/>
    <m/>
  </r>
  <r>
    <d v="2026-06-07T00:00:00"/>
    <n v="2026"/>
    <s v="TRUE SUN TRADING COMPANY"/>
    <s v="Channel Sales"/>
    <m/>
    <x v="0"/>
    <s v="Sarath Ananda"/>
    <n v="8848944464"/>
    <s v="PE07062604"/>
    <s v="Low VOC"/>
    <s v="Bengaluru"/>
    <s v="Karnataka"/>
    <s v="MR"/>
    <s v="JB Issue"/>
    <n v="550"/>
    <s v="NSMP2304024422"/>
    <s v="23"/>
    <s v="04"/>
    <s v="G2B"/>
    <s v="P2 - PEPPL"/>
    <s v="M JB Issue"/>
    <s v="JB Changed"/>
    <s v="Repair"/>
    <d v="2026-06-22T00:00:00"/>
    <n v="15"/>
    <d v="2026-06-22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0167"/>
    <s v="24"/>
    <s v="10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4269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9085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350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1645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6216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9812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7222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159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187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0103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56993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46800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5956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795689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4517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808207"/>
    <s v="24"/>
    <s v="11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813731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492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341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249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3409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8914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43166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6885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2464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8942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82397"/>
    <s v="24"/>
    <s v="10"/>
    <s v="G2G"/>
    <s v="P4 - PEIPL"/>
    <s v="Frame Damaged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739"/>
    <s v="24"/>
    <s v="10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090427845"/>
    <s v="24"/>
    <s v="09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81622"/>
    <s v="24"/>
    <s v="10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9408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59706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4944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902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6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05079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098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5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511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5142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199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46197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27984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55159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183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806695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75139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459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46200"/>
    <s v="24"/>
    <s v="10"/>
    <s v="G2G"/>
    <s v="P4 - PEIPL"/>
    <s v="Back glass broken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46193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720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92180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5103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64002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03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591610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679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11816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808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15225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49805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319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20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15934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06153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591203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1956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29397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34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53786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36980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3558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738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590367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090538840"/>
    <s v="24"/>
    <s v="09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4300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85421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"/>
    <s v="Module Breakage"/>
    <n v="590"/>
    <s v="NSMI24100665179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44228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4158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"/>
    <s v="Module Breakage"/>
    <n v="590"/>
    <s v="NSMI24100666921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590376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86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9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563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267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088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09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68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920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21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7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85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3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1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78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7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055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184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10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5087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5090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91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3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17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84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0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4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3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2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7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21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43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43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4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3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8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56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8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69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705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86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45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29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1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5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645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081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45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69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6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4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5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75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8583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268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267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8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32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4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81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50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59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47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72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25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15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44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38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5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0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68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74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428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55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1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62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94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87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32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750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4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85764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8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3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2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2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4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97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83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7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7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8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84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84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8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2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00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43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40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0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5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53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1589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29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45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06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7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79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39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4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92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7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35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8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8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9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46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4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44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19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11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02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7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9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764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0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9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0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4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82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46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99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00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2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2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96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17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41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47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18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23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76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10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28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87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96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9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11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31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246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187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1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8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8845"/>
    <s v="24"/>
    <s v="10"/>
    <s v="G2G"/>
    <s v="P4 - PEIPL"/>
    <s v="JB wire damege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87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4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12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09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8469"/>
    <s v="24"/>
    <s v="09"/>
    <s v="G2G"/>
    <s v="P4 - PEIPL"/>
    <s v="JB wire damege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06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6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2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98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15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1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rame damage"/>
    <s v="Frame damage"/>
    <n v="590"/>
    <s v="NSMI24100554557"/>
    <s v="24"/>
    <s v="10"/>
    <s v="G2G"/>
    <s v="P4 - PEIPL"/>
    <s v="physical dame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rcefully damage"/>
    <s v="Module Breakage"/>
    <n v="590"/>
    <s v="NSMI24100689682"/>
    <s v="24"/>
    <s v="10"/>
    <s v="G2G"/>
    <s v="P4 - PEIPL"/>
    <s v="physical dame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60444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68543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799326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796740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84599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84715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090486570"/>
    <s v="24"/>
    <s v="09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597108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637133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630474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738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"/>
    <s v="Module Breakage"/>
    <n v="590"/>
    <s v="NSMI24100588498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"/>
    <s v="Module Breakage"/>
    <n v="590"/>
    <s v="NSMI24110834460"/>
    <s v="24"/>
    <s v="11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85"/>
    <s v="24"/>
    <s v="11"/>
    <s v="G2G"/>
    <s v="P4 - PEIPL"/>
    <s v="JB FORCEFULLY BROKEN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1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8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3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0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65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72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2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29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37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28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1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0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79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65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38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9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58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537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53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54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67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70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165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35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62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4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60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1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91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01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62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63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79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2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1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08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64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59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86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11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7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79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79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288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99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6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4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6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334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82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6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7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6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6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9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91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620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62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653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646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40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10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2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20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1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20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59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1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69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1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5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9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19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1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4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1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09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07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9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94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89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90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2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60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85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84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970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40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1622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845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7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39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94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46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88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43166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10798914"/>
    <s v="24"/>
    <s v="11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3409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2497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4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92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73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20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10794517"/>
    <s v="24"/>
    <s v="11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68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694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00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3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314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01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7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7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12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3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2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1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10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7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33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5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02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64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64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2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1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52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86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7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2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8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58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36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00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5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60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4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39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3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8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69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5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0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26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72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4916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9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30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7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618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16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57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14"/>
    <s v="24"/>
    <s v="11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669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842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2094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81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57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75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69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695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6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46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91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84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61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50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62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02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570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7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2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2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3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0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00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561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573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424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2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683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7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254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25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1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63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53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38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43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3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6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26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74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95"/>
    <s v="24"/>
    <s v="11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97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40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09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77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563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75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8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59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26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67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56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38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18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84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0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08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4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05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1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7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3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3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4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9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79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56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5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3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2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97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6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693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41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6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6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71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784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8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416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1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17261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85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67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65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22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705"/>
    <s v="24"/>
    <s v="11"/>
    <s v="G2G"/>
    <s v="P4 - PEIPL"/>
    <s v="Physically damaged "/>
    <s v="WIP"/>
    <s v="Inspection"/>
    <m/>
    <s v=""/>
    <d v="2026-06-25T00:00:00"/>
    <m/>
    <m/>
  </r>
  <r>
    <d v="2026-05-27T00:00:00"/>
    <n v="2026"/>
    <s v="Solaark Renewables Pvt. Ltd"/>
    <s v="Channel Sales"/>
    <m/>
    <x v="1"/>
    <s v="Jagadish Chandra Shetty"/>
    <n v="9611274274"/>
    <s v="PE27052602"/>
    <s v="Burn mark"/>
    <s v="Bangalore"/>
    <s v="Karnataka"/>
    <s v="Hotspot Issue"/>
    <s v="Module Breakage"/>
    <n v="590"/>
    <s v="NSME25060000463"/>
    <s v="25"/>
    <s v="06"/>
    <s v="G2G"/>
    <s v="P5 - PEGPL"/>
    <s v="Other Issue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99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2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28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12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2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96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2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7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4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8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9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0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0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6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33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42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61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82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9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258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219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4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08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38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15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20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983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7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1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0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652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50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96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15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72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3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1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1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4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4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6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7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77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75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807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8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91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02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99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93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2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9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137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14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32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3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4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37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5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91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9363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02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701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68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6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3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6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4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29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51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5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34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8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8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99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212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0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359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91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785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7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4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2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6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7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8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7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3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3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104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102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9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7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87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291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18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8816"/>
    <s v="24"/>
    <s v="10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64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2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8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85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26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595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4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4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5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7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7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06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65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38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59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3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5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55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43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5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5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3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28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20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1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06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84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13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74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63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37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05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806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4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35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22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5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9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82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28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52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1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2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81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3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7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7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5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2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1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9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1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4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81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88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4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00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90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998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8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1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65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4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3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9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16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679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41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94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56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0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076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5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32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41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45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2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5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8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28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31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450"/>
    <s v="24"/>
    <s v="11"/>
    <s v="G2G"/>
    <s v="P4 - PEIPL"/>
    <s v="Damage &amp; burn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85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5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156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38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446"/>
    <s v="24"/>
    <s v="11"/>
    <s v="G2G"/>
    <s v="P4 - PEIPL"/>
    <s v="Physically damaged "/>
    <s v="WIP"/>
    <s v="Inspection"/>
    <m/>
    <s v=""/>
    <d v="2026-06-26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035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06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8859"/>
    <s v="23"/>
    <s v="07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9293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19154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15000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55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819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718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714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5743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05403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09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22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645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226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413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6693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5992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7381849"/>
    <s v="23"/>
    <s v="07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386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22564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2575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815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32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55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536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8086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39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392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79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70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MS"/>
    <s v="Cold Soldering"/>
    <n v="550"/>
    <s v="NSMP2306274493"/>
    <s v="23"/>
    <s v="06"/>
    <s v="G2B"/>
    <s v="P2 - PEPPL"/>
    <s v="M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264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60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282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9557"/>
    <s v="23"/>
    <s v="07"/>
    <s v="G2B"/>
    <s v="P2 - PEPPL"/>
    <s v="P JB MC4 Connector Cutting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102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7045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MS"/>
    <s v="Cold Soldering"/>
    <n v="550"/>
    <s v="NSMP2308472580"/>
    <s v="23"/>
    <s v="08"/>
    <s v="G2B"/>
    <s v="P2 - PEPPL"/>
    <s v="M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231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58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166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32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1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697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0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5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85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400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8482066"/>
    <s v="23"/>
    <s v="08"/>
    <s v="G2B"/>
    <s v="P2 - PEPPL"/>
    <s v="N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1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246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89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95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6205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05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60627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40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51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45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6051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25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06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19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78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361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59147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59181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83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7327837"/>
    <s v="23"/>
    <s v="07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29271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70301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58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R"/>
    <s v="JB Issue"/>
    <n v="550"/>
    <s v="NSMP2307337451"/>
    <s v="23"/>
    <s v="07"/>
    <s v="G2B"/>
    <s v="P2 - PEPPL"/>
    <s v="P &amp; 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02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366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92662"/>
    <s v="23"/>
    <s v="07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69094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43446"/>
    <s v="23"/>
    <s v="05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4091545497"/>
    <s v="24"/>
    <s v="09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7450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58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5356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7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8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252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19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199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38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80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497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299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668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40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980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72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6-10T00:00:00"/>
    <n v="2026"/>
    <s v="Solaark"/>
    <s v="Channel Sales"/>
    <m/>
    <x v="0"/>
    <s v="Ajith Shetty"/>
    <n v="8660801821"/>
    <s v="PE10062601"/>
    <s v="Generation Issue"/>
    <s v="Bangalore"/>
    <s v="Karnataka"/>
    <s v="PS"/>
    <s v="Cold Soldering"/>
    <n v="590"/>
    <s v="NSMI24100565136"/>
    <s v="24"/>
    <s v="10"/>
    <s v="G2G"/>
    <s v="P4 - PEIPL"/>
    <s v="P JB Cold Soldering"/>
    <s v="Soldering"/>
    <s v="Repair"/>
    <d v="2026-06-27T00:00:00"/>
    <n v="17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0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09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0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9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2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21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10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27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6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6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357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9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97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73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73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67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11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2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41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54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720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53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6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486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45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11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7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83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5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1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95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11966909"/>
    <s v="24"/>
    <s v="0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01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98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15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3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5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614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7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70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3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24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77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75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41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41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38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8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8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40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022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0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7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909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1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29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39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367"/>
    <s v="24"/>
    <s v="10"/>
    <s v="G2G"/>
    <s v="P4 - PEIPL"/>
    <s v="Broken &amp; burn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0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3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60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41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44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25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57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59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5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39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18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3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38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93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89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6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9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27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16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72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4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4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67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96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00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56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1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9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8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94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61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1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7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550"/>
    <s v="24"/>
    <s v="10"/>
    <s v="G2G"/>
    <s v="P4 - PEIPL"/>
    <s v="Damage &amp; burn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3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28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9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94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628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957550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64520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1871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12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0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3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91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48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556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944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26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341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25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74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3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7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1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6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93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0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2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814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04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4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4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4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2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3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1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6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2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46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0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81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3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0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8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2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9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23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138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5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6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7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19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920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9995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9994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955462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44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4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28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59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1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47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48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72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5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175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166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5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062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57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63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6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71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48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94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0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3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9624"/>
    <s v="24"/>
    <s v="10"/>
    <s v="G2G"/>
    <s v="P4 - PEIPL"/>
    <s v="Frame Damaged"/>
    <s v="WIP"/>
    <s v="Inspection"/>
    <m/>
    <s v=""/>
    <d v="2026-06-27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3510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1951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1958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2522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3495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8479812"/>
    <s v="23"/>
    <s v="08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875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7205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5143043"/>
    <s v="23"/>
    <s v="05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56757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205156831"/>
    <s v="22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78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65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800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74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3967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070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8467427"/>
    <s v="23"/>
    <s v="08"/>
    <s v="G2B"/>
    <s v="P2 - PEPPL"/>
    <s v="P JB Diod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42999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82537"/>
    <s v="23"/>
    <s v="06"/>
    <s v="G2B"/>
    <s v="P2 - PEPPL"/>
    <s v="P JB MC4 Connector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507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19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833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895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7391182"/>
    <s v="23"/>
    <s v="07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41229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358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545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4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5011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MS"/>
    <s v="Cold Soldering"/>
    <n v="550"/>
    <s v="NSMP2306301238"/>
    <s v="23"/>
    <s v="06"/>
    <s v="G2B"/>
    <s v="P2 - PEPPL"/>
    <s v="P &amp; M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439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485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428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14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5655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26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1802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296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7432148"/>
    <s v="23"/>
    <s v="07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5547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2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5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496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7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9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393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906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838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53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51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16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32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425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347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385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58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858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83933"/>
    <s v="23"/>
    <s v="06"/>
    <s v="G2B"/>
    <s v="P2 - PEPPL"/>
    <s v="P JB MC4 Connector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262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25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26083"/>
    <s v="23"/>
    <s v="06"/>
    <s v="G2B"/>
    <s v="P2 - PEPPL"/>
    <s v="P JB Cabl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49821"/>
    <s v="23"/>
    <s v="05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112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780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106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335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605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079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4122106225"/>
    <s v="24"/>
    <s v="12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0644"/>
    <s v="23"/>
    <s v="07"/>
    <s v="G2B"/>
    <s v="P2 - PEPPL"/>
    <s v="N JB Cable damaged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37809"/>
    <s v="23"/>
    <s v="05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257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99151"/>
    <s v="23"/>
    <s v="08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651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803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9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33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6326183"/>
    <s v="23"/>
    <s v="06"/>
    <s v="G2B"/>
    <s v="P2 - PEPPL"/>
    <s v="N JB Diod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6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87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744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28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288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40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1744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41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43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777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734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99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22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5637"/>
    <s v="23"/>
    <s v="07"/>
    <s v="G2B"/>
    <s v="P2 - PEPPL"/>
    <s v="N JB Diode Issue"/>
    <s v="JB Changed"/>
    <s v="Repair"/>
    <d v="2026-06-29T00:00:00"/>
    <n v="68"/>
    <d v="2026-06-29T00:00:00"/>
    <m/>
    <m/>
  </r>
  <r>
    <d v="2026-06-03T00:00:00"/>
    <n v="2026"/>
    <s v="Maharudra Agencies"/>
    <s v="Channel Sales"/>
    <m/>
    <x v="0"/>
    <s v="Sabino Barreto"/>
    <n v="8261892367"/>
    <s v="PE03062602"/>
    <s v="Module burnt"/>
    <s v="North Goa"/>
    <s v="Goa"/>
    <s v="By Mail"/>
    <s v="Module Burn"/>
    <n v="610"/>
    <s v="NSMG25040000266"/>
    <s v="25"/>
    <s v="04"/>
    <s v="G2G"/>
    <s v="P5 - PEGPL"/>
    <s v="Module Burn"/>
    <s v="Virtually Verified"/>
    <s v="Replacement"/>
    <d v="2026-06-30T00:00:00"/>
    <n v="27"/>
    <d v="2026-06-30T00:00:00"/>
    <m/>
    <m/>
  </r>
  <r>
    <d v="2026-06-17T00:00:00"/>
    <n v="2026"/>
    <s v="Axitec Energy"/>
    <s v="OEM"/>
    <m/>
    <x v="1"/>
    <s v="Dushyant"/>
    <n v="8826633540"/>
    <s v="PE17062601"/>
    <s v="Poor Production"/>
    <s v="Trivandrum"/>
    <s v="Kerala"/>
    <s v="Ribbon Burn"/>
    <s v="Tab lead Burn"/>
    <n v="445"/>
    <n v="26211031006684"/>
    <s v="21"/>
    <s v="10"/>
    <s v="G2B"/>
    <s v="P2 - PEPPL"/>
    <s v="Tab lead Burn"/>
    <s v="Inspection"/>
    <s v="Inspection"/>
    <m/>
    <s v=""/>
    <d v="2026-06-30T00:00:00"/>
    <m/>
    <m/>
  </r>
  <r>
    <d v="2026-06-17T00:00:00"/>
    <n v="2026"/>
    <s v="Axitec Energy"/>
    <s v="OEM"/>
    <m/>
    <x v="1"/>
    <s v="Dushyant"/>
    <n v="8826633540"/>
    <s v="PE17062601"/>
    <s v="Poor Production"/>
    <s v="Trivandrum"/>
    <s v="Kerala"/>
    <s v="Ribbon Burn"/>
    <s v="Tab lead Burn"/>
    <n v="445"/>
    <n v="26211031005568"/>
    <s v="21"/>
    <s v="10"/>
    <s v="G2B"/>
    <s v="P2 - PEPPL"/>
    <s v="Tab lead Burn"/>
    <s v="Inspection"/>
    <s v="Inspection"/>
    <m/>
    <s v="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5190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5350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6378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9187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R"/>
    <s v="JB Issue"/>
    <n v="590"/>
    <s v="NSMI24100645143"/>
    <s v="24"/>
    <s v="10"/>
    <s v="G2G"/>
    <s v="P4 - PEIPL"/>
    <s v="P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00643640"/>
    <s v="24"/>
    <s v="10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9746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NS"/>
    <s v="Cold Soldering"/>
    <n v="590"/>
    <s v="NSMI24100647724"/>
    <s v="24"/>
    <s v="10"/>
    <s v="G2G"/>
    <s v="P4 - PEIPL"/>
    <s v="P &amp; 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6143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61174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10792998"/>
    <s v="24"/>
    <s v="11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5806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16853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R"/>
    <s v="JB Issue"/>
    <n v="590"/>
    <s v="NSMI24090502547"/>
    <s v="24"/>
    <s v="09"/>
    <s v="G2G"/>
    <s v="P4 - PEIPL"/>
    <s v="P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090429262"/>
    <s v="24"/>
    <s v="09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R"/>
    <s v="JB Issue"/>
    <n v="590"/>
    <s v="NSMI24110820568"/>
    <s v="24"/>
    <s v="11"/>
    <s v="G2G"/>
    <s v="P4 - PEIPL"/>
    <s v="N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10787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NS"/>
    <s v="Cold Soldering"/>
    <n v="590"/>
    <s v="NSMI24090543608"/>
    <s v="24"/>
    <s v="09"/>
    <s v="G2G"/>
    <s v="P4 - PEIPL"/>
    <s v="P &amp; 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25509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06452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03913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588900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27277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1676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922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79809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63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738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8988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517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91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78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3929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019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839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77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81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002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171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31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52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461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37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323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99393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3198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4091539556"/>
    <s v="24"/>
    <s v="09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48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2250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5969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873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2238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727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72593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31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4562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75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467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4529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41822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739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508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65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3977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5656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5820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34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01206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5597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06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965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9638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5187218"/>
    <s v="23"/>
    <s v="05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5674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03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64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2919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521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283398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24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256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2774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855"/>
    <s v="23"/>
    <s v="07"/>
    <s v="G2B"/>
    <s v="P2 - PEPPL"/>
    <s v="External force applied"/>
    <s v="Inspection"/>
    <s v="Rejected"/>
    <d v="2026-06-30T00:00:00"/>
    <n v="69"/>
    <d v="2026-06-30T00:00:00"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8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6" firstHeaderRow="1" firstDataRow="1" firstDataCol="1"/>
  <pivotFields count="28">
    <pivotField showDropDowns="1" compact="1" numFmtId="15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5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5"/>
  </rowFields>
  <rowItems count="3">
    <i t="data" r="0" i="0">
      <x v="0"/>
    </i>
    <i t="data" r="0" i="0">
      <x v="1"/>
    </i>
    <i t="grand" r="0" i="0">
      <x v="0"/>
    </i>
  </rowItems>
  <colItems count="1">
    <i t="data" r="0" i="0"/>
  </colItems>
  <dataFields count="1">
    <dataField name="Count of Current Status" fld="5" subtotal="count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../../Soubhagya%20Ranjan/AppData/Local/:f:/g/personal/soubhagya_swain_premierenergies_com/IgD0adYxOpk8TpQ2Hn0fypcnAT9z8CNI-oIlPkHo6HK3stQ%3fe=TaQaoA" TargetMode="External" Id="rId1" /><Relationship Type="http://schemas.openxmlformats.org/officeDocument/2006/relationships/hyperlink" Target="../../Soubhagya%20Ranjan/AppData/Local/:f:/g/personal/soubhagya_swain_premierenergies_com/IgCkboAzoen4QI5Ai8jVhl54AX1KcXADr7zA66xtKu5jqxw%3fe=edaA1y" TargetMode="External" Id="rId2" /><Relationship Type="http://schemas.openxmlformats.org/officeDocument/2006/relationships/hyperlink" Target="../../Soubhagya%20Ranjan/AppData/Local/:f:/g/personal/soubhagya_swain_premierenergies_com/IgD0adYxOpk8TpQ2Hn0fypcnAT9z8CNI-oIlPkHo6HK3stQ%3fe=TaQaoA" TargetMode="External" Id="rId3" /><Relationship Type="http://schemas.openxmlformats.org/officeDocument/2006/relationships/hyperlink" Target="../../Soubhagya%20Ranjan/AppData/Local/:f:/g/personal/soubhagya_swain_premierenergies_com/IgDngC6ycU55Qov1iP88qFJNAb1egSp8aups7gj9OlLfJBU%3fe=HSfEYT" TargetMode="External" Id="rId4" /><Relationship Type="http://schemas.openxmlformats.org/officeDocument/2006/relationships/hyperlink" Target="../../Soubhagya%20Ranjan/AppData/Local/:f:/g/personal/soubhagya_swain_premierenergies_com/IgCkboAzoen4QI5Ai8jVhl54AX1KcXADr7zA66xtKu5jqxw%3fe=edaA1y" TargetMode="External" Id="rId5" /><Relationship Type="http://schemas.openxmlformats.org/officeDocument/2006/relationships/hyperlink" Target="../../Soubhagya%20Ranjan/AppData/Local/:f:/g/personal/soubhagya_swain_premierenergies_com/IgD0adYxOpk8TpQ2Hn0fypcnAT9z8CNI-oIlPkHo6HK3stQ%3fe=TaQaoA" TargetMode="External" Id="rId6" /><Relationship Type="http://schemas.openxmlformats.org/officeDocument/2006/relationships/hyperlink" Target="../../Soubhagya%20Ranjan/AppData/Local/:f:/g/personal/soubhagya_swain_premierenergies_com/IgAM1Q2QiVPYS6rnbJICWnhWAZ19eWzuSxrSodpGjlIhYNY%3fe=bm7Sxd" TargetMode="External" Id="rId7" /><Relationship Type="http://schemas.openxmlformats.org/officeDocument/2006/relationships/hyperlink" Target="../../Soubhagya%20Ranjan/AppData/Local/:f:/g/personal/soubhagya_swain_premierenergies_com/IgCkboAzoen4QI5Ai8jVhl54AX1KcXADr7zA66xtKu5jqxw%3fe=edaA1y" TargetMode="External" Id="rId8" /><Relationship Type="http://schemas.openxmlformats.org/officeDocument/2006/relationships/hyperlink" Target="../../Soubhagya%20Ranjan/AppData/Local/:f:/g/personal/soubhagya_swain_premierenergies_com/IgDwrD2llZ4eSI0a2kd6ekH2Af-w2mwV--_I9K22ahyFlac%3fe=QHfwQj" TargetMode="External" Id="rId9" /><Relationship Type="http://schemas.openxmlformats.org/officeDocument/2006/relationships/hyperlink" Target="../../Soubhagya%20Ranjan/AppData/Local/:f:/g/personal/soubhagya_swain_premierenergies_com/IgD0adYxOpk8TpQ2Hn0fypcnAT9z8CNI-oIlPkHo6HK3stQ%3fe=TaQaoA" TargetMode="External" Id="rId10" /><Relationship Type="http://schemas.openxmlformats.org/officeDocument/2006/relationships/hyperlink" Target="../../Soubhagya%20Ranjan/AppData/Local/:f:/g/personal/soubhagya_swain_premierenergies_com/IgCkboAzoen4QI5Ai8jVhl54AX1KcXADr7zA66xtKu5jqxw%3fe=edaA1y" TargetMode="External" Id="rId11" /><Relationship Type="http://schemas.openxmlformats.org/officeDocument/2006/relationships/hyperlink" Target="../../Soubhagya%20Ranjan/AppData/Local/:f:/g/personal/soubhagya_swain_premierenergies_com/IgD0adYxOpk8TpQ2Hn0fypcnAT9z8CNI-oIlPkHo6HK3stQ%3fe=TaQaoA" TargetMode="External" Id="rId12" /><Relationship Type="http://schemas.openxmlformats.org/officeDocument/2006/relationships/hyperlink" Target="../../Soubhagya%20Ranjan/AppData/Local/:f:/g/personal/soubhagya_swain_premierenergies_com/IgDwrD2llZ4eSI0a2kd6ekH2Af-w2mwV--_I9K22ahyFlac%3fe=QHfwQj" TargetMode="External" Id="rId13" /><Relationship Type="http://schemas.openxmlformats.org/officeDocument/2006/relationships/hyperlink" Target="../../Soubhagya%20Ranjan/AppData/Local/:f:/g/personal/soubhagya_swain_premierenergies_com/IgAI6oGoh_XzS5Mw5uiin-oNAUACICeXAUEQuYudx8RajNM%3fe=Ty4Xli" TargetMode="External" Id="rId14" /><Relationship Type="http://schemas.openxmlformats.org/officeDocument/2006/relationships/hyperlink" Target="../../Soubhagya%20Ranjan/AppData/Local/:f:/g/personal/soubhagya_swain_premierenergies_com/IgB_LQHQEKC9QIFMnPeRFHbhAZ5VZaYb4T9m5mlJ4lQgbp0%3fe=g6l5AE" TargetMode="External" Id="rId15" /><Relationship Type="http://schemas.openxmlformats.org/officeDocument/2006/relationships/hyperlink" Target="../../Soubhagya%20Ranjan/AppData/Local/:f:/g/personal/soubhagya_swain_premierenergies_com/IgDCpQzuwlwpRbVZQVM18PZTATLt2VArlMQZErVObP693F0%3fe=BCsZjF" TargetMode="External" Id="rId16" /><Relationship Type="http://schemas.openxmlformats.org/officeDocument/2006/relationships/hyperlink" Target="../../Soubhagya%20Ranjan/AppData/Local/:f:/g/personal/soubhagya_swain_premierenergies_com/IgDiR5eG2eSrTK5EQUIXX7c0ATlMbZn40uutVc2fZl5j4vs%3fe=Yvgtjc" TargetMode="External" Id="rId17" /><Relationship Type="http://schemas.openxmlformats.org/officeDocument/2006/relationships/hyperlink" Target="../../Soubhagya%20Ranjan/AppData/Local/:f:/g/personal/soubhagya_swain_premierenergies_com/IgCkboAzoen4QI5Ai8jVhl54AX1KcXADr7zA66xtKu5jqxw%3fe=edaA1y" TargetMode="External" Id="rId18" /><Relationship Type="http://schemas.openxmlformats.org/officeDocument/2006/relationships/hyperlink" Target="../../Soubhagya%20Ranjan/AppData/Local/:f:/g/personal/soubhagya_swain_premierenergies_com/IgCkboAzoen4QI5Ai8jVhl54AX1KcXADr7zA66xtKu5jqxw%3fe=edaA1y" TargetMode="External" Id="rId19" /><Relationship Type="http://schemas.openxmlformats.org/officeDocument/2006/relationships/hyperlink" Target="../../Soubhagya%20Ranjan/AppData/Local/:f:/g/personal/soubhagya_swain_premierenergies_com/IgD0adYxOpk8TpQ2Hn0fypcnAT9z8CNI-oIlPkHo6HK3stQ%3fe=TaQaoA" TargetMode="External" Id="rId20" /><Relationship Type="http://schemas.openxmlformats.org/officeDocument/2006/relationships/hyperlink" Target="../../Soubhagya%20Ranjan/AppData/Local/:f:/g/personal/soubhagya_swain_premierenergies_com/IgD0adYxOpk8TpQ2Hn0fypcnAT9z8CNI-oIlPkHo6HK3stQ%3fe=TaQaoA" TargetMode="External" Id="rId21" /><Relationship Type="http://schemas.openxmlformats.org/officeDocument/2006/relationships/hyperlink" Target="../../Soubhagya%20Ranjan/AppData/Local/:f:/g/personal/soubhagya_swain_premierenergies_com/IgCEUpCBYrSjSbZTGqjTfH0PASbL6XYay4GfGDj-PEIDcpg%3fe=JIJ68j" TargetMode="External" Id="rId22" /><Relationship Type="http://schemas.openxmlformats.org/officeDocument/2006/relationships/hyperlink" Target="../../Soubhagya%20Ranjan/AppData/Local/:f:/g/personal/soubhagya_swain_premierenergies_com/IgDdco3C7S5pQqVS_oJuj9E4AZHu7gOeWZ4ZSgXs5P01Plc%3fe=270Eaa" TargetMode="External" Id="rId23" /><Relationship Type="http://schemas.openxmlformats.org/officeDocument/2006/relationships/hyperlink" Target="../../Soubhagya%20Ranjan/AppData/Local/:f:/g/personal/soubhagya_swain_premierenergies_com/IgCIcqjmwegqSahYy8H3g3L8AXFA6A0EhEcyY0Rh3xXNuBI%3fe=JQ3Qgo" TargetMode="External" Id="rId24" /><Relationship Type="http://schemas.openxmlformats.org/officeDocument/2006/relationships/hyperlink" Target="../../Soubhagya%20Ranjan/AppData/Local/:f:/g/personal/soubhagya_swain_premierenergies_com/IgBu8wFhml1kTLHGdlP0U0P_AYPMqQuxd38W8zJpRVcCQV4%3fe=LD03JG" TargetMode="External" Id="rId25" /><Relationship Type="http://schemas.openxmlformats.org/officeDocument/2006/relationships/hyperlink" Target="../../Soubhagya%20Ranjan/AppData/Local/:f:/g/personal/soubhagya_swain_premierenergies_com/IgCCYr0VNoMlTbOr3ydOAnBmAeKU4BMKLqEK6RN3RPRmgfY%3fe=TXc3wo" TargetMode="External" Id="rId26" /><Relationship Type="http://schemas.openxmlformats.org/officeDocument/2006/relationships/hyperlink" Target="../../Soubhagya%20Ranjan/AppData/Local/:f:/g/personal/soubhagya_swain_premierenergies_com/IgBjHVb8F6srRK1GqYN76_RbAXeyNRgMtr89cfqlhQLMQV4%3fe=0cGcQt" TargetMode="External" Id="rId27" /><Relationship Type="http://schemas.openxmlformats.org/officeDocument/2006/relationships/hyperlink" Target="../../Soubhagya%20Ranjan/AppData/Local/:f:/g/personal/soubhagya_swain_premierenergies_com/IgBjHVb8F6srRK1GqYN76_RbAXeyNRgMtr89cfqlhQLMQV4%3fe=0cGcQt" TargetMode="External" Id="rId28" /><Relationship Type="http://schemas.openxmlformats.org/officeDocument/2006/relationships/hyperlink" Target="../../Soubhagya%20Ranjan/AppData/Local/:f:/g/personal/soubhagya_swain_premierenergies_com/IgCCYr0VNoMlTbOr3ydOAnBmAeKU4BMKLqEK6RN3RPRmgfY%3fe=TXc3wo" TargetMode="External" Id="rId29" /><Relationship Type="http://schemas.openxmlformats.org/officeDocument/2006/relationships/hyperlink" Target="../../Soubhagya%20Ranjan/AppData/Local/:f:/g/personal/soubhagya_swain_premierenergies_com/IgBjHVb8F6srRK1GqYN76_RbAXeyNRgMtr89cfqlhQLMQV4%3fe=0cGcQt" TargetMode="External" Id="rId30" /><Relationship Type="http://schemas.openxmlformats.org/officeDocument/2006/relationships/hyperlink" Target="../../Soubhagya%20Ranjan/AppData/Local/:f:/g/personal/soubhagya_swain_premierenergies_com/IgCCYr0VNoMlTbOr3ydOAnBmAeKU4BMKLqEK6RN3RPRmgfY%3fe=TXc3wo" TargetMode="External" Id="rId31" /><Relationship Type="http://schemas.openxmlformats.org/officeDocument/2006/relationships/hyperlink" Target="../../Soubhagya%20Ranjan/AppData/Local/:f:/g/personal/soubhagya_swain_premierenergies_com/IgDEEwYVRKWsSYZxeKZo-qGmAfbxob_iq5t6n_m8hjaXZs8%3fe=v5GYOV" TargetMode="External" Id="rId32" /><Relationship Type="http://schemas.openxmlformats.org/officeDocument/2006/relationships/hyperlink" Target="../../Soubhagya%20Ranjan/AppData/Local/:f:/g/personal/soubhagya_swain_premierenergies_com/IgBjHVb8F6srRK1GqYN76_RbAXeyNRgMtr89cfqlhQLMQV4%3fe=0cGcQt" TargetMode="External" Id="rId33" /><Relationship Type="http://schemas.openxmlformats.org/officeDocument/2006/relationships/hyperlink" Target="../../Soubhagya%20Ranjan/AppData/Local/:f:/g/personal/soubhagya_swain_premierenergies_com/IgCCYr0VNoMlTbOr3ydOAnBmAeKU4BMKLqEK6RN3RPRmgfY%3fe=TXc3wo" TargetMode="External" Id="rId34" /><Relationship Type="http://schemas.openxmlformats.org/officeDocument/2006/relationships/hyperlink" Target="../../Soubhagya%20Ranjan/AppData/Local/:f:/g/personal/soubhagya_swain_premierenergies_com/IgDEEwYVRKWsSYZxeKZo-qGmAfbxob_iq5t6n_m8hjaXZs8%3fe=v5GYOV" TargetMode="External" Id="rId35" /><Relationship Type="http://schemas.openxmlformats.org/officeDocument/2006/relationships/hyperlink" Target="../../Soubhagya%20Ranjan/AppData/Local/:f:/g/personal/soubhagya_swain_premierenergies_com/IgDEEwYVRKWsSYZxeKZo-qGmAfbxob_iq5t6n_m8hjaXZs8%3fe=v5GYOV" TargetMode="External" Id="rId36" /><Relationship Type="http://schemas.openxmlformats.org/officeDocument/2006/relationships/hyperlink" Target="../../Soubhagya%20Ranjan/AppData/Local/:f:/g/personal/soubhagya_swain_premierenergies_com/IgCCYr0VNoMlTbOr3ydOAnBmAeKU4BMKLqEK6RN3RPRmgfY%3fe=TXc3wo" TargetMode="External" Id="rId37" /><Relationship Type="http://schemas.openxmlformats.org/officeDocument/2006/relationships/hyperlink" Target="../../Soubhagya%20Ranjan/AppData/Local/:f:/g/personal/soubhagya_swain_premierenergies_com/IgCCYr0VNoMlTbOr3ydOAnBmAeKU4BMKLqEK6RN3RPRmgfY%3fe=TXc3wo" TargetMode="External" Id="rId38" /><Relationship Type="http://schemas.openxmlformats.org/officeDocument/2006/relationships/hyperlink" Target="../../Soubhagya%20Ranjan/AppData/Local/:f:/g/personal/soubhagya_swain_premierenergies_com/IgDEEwYVRKWsSYZxeKZo-qGmAfbxob_iq5t6n_m8hjaXZs8%3fe=v5GYOV" TargetMode="External" Id="rId39" /><Relationship Type="http://schemas.openxmlformats.org/officeDocument/2006/relationships/hyperlink" Target="../../Soubhagya%20Ranjan/AppData/Local/:f:/g/personal/soubhagya_swain_premierenergies_com/IgCCYr0VNoMlTbOr3ydOAnBmAeKU4BMKLqEK6RN3RPRmgfY%3fe=TXc3wo" TargetMode="External" Id="rId40" /><Relationship Type="http://schemas.openxmlformats.org/officeDocument/2006/relationships/hyperlink" Target="../../Soubhagya%20Ranjan/AppData/Local/:f:/g/personal/soubhagya_swain_premierenergies_com/IgCCYr0VNoMlTbOr3ydOAnBmAeKU4BMKLqEK6RN3RPRmgfY%3fe=TXc3wo" TargetMode="External" Id="rId41" /><Relationship Type="http://schemas.openxmlformats.org/officeDocument/2006/relationships/hyperlink" Target="../../Soubhagya%20Ranjan/AppData/Local/:f:/g/personal/soubhagya_swain_premierenergies_com/IgCCYr0VNoMlTbOr3ydOAnBmAeKU4BMKLqEK6RN3RPRmgfY%3fe=TXc3wo" TargetMode="External" Id="rId42" /><Relationship Type="http://schemas.openxmlformats.org/officeDocument/2006/relationships/hyperlink" Target="../../Soubhagya%20Ranjan/AppData/Local/:f:/g/personal/soubhagya_swain_premierenergies_com/IgCCYr0VNoMlTbOr3ydOAnBmAeKU4BMKLqEK6RN3RPRmgfY%3fe=TXc3wo" TargetMode="External" Id="rId43" /><Relationship Type="http://schemas.openxmlformats.org/officeDocument/2006/relationships/hyperlink" Target="../../Soubhagya%20Ranjan/AppData/Local/:f:/g/personal/soubhagya_swain_premierenergies_com/IgDEEwYVRKWsSYZxeKZo-qGmAfbxob_iq5t6n_m8hjaXZs8%3fe=v5GYOV" TargetMode="External" Id="rId44" /><Relationship Type="http://schemas.openxmlformats.org/officeDocument/2006/relationships/hyperlink" Target="../../Soubhagya%20Ranjan/AppData/Local/:f:/g/personal/soubhagya_swain_premierenergies_com/IgBjHVb8F6srRK1GqYN76_RbAXeyNRgMtr89cfqlhQLMQV4%3fe=0cGcQt" TargetMode="External" Id="rId45" /><Relationship Type="http://schemas.openxmlformats.org/officeDocument/2006/relationships/hyperlink" Target="../../Soubhagya%20Ranjan/AppData/Local/:f:/g/personal/soubhagya_swain_premierenergies_com/IgBjHVb8F6srRK1GqYN76_RbAXeyNRgMtr89cfqlhQLMQV4%3fe=0cGcQt" TargetMode="External" Id="rId46" /><Relationship Type="http://schemas.openxmlformats.org/officeDocument/2006/relationships/hyperlink" Target="../../Soubhagya%20Ranjan/AppData/Local/:f:/g/personal/soubhagya_swain_premierenergies_com/IgCCYr0VNoMlTbOr3ydOAnBmAeKU4BMKLqEK6RN3RPRmgfY%3fe=TXc3wo" TargetMode="External" Id="rId47" /><Relationship Type="http://schemas.openxmlformats.org/officeDocument/2006/relationships/hyperlink" Target="../../Soubhagya%20Ranjan/AppData/Local/:f:/g/personal/soubhagya_swain_premierenergies_com/IgDEEwYVRKWsSYZxeKZo-qGmAfbxob_iq5t6n_m8hjaXZs8%3fe=v5GYOV" TargetMode="External" Id="rId48" /><Relationship Type="http://schemas.openxmlformats.org/officeDocument/2006/relationships/hyperlink" Target="../../Soubhagya%20Ranjan/AppData/Local/:f:/g/personal/soubhagya_swain_premierenergies_com/IgBgCC2qCDbGRbhSoY2VN5-RAebbM5T5Z4PVOsux3EKPc0A%3fe=mrmyHR" TargetMode="External" Id="rId49" /><Relationship Type="http://schemas.openxmlformats.org/officeDocument/2006/relationships/hyperlink" Target="../../Soubhagya%20Ranjan/AppData/Local/:f:/g/personal/soubhagya_swain_premierenergies_com/IgC-0EqZNn7uQ6fY5bNKxMgBAbRJpt3EPAiNzpjSuCLobu0%3fe=3u4LC6" TargetMode="External" Id="rId50" /><Relationship Type="http://schemas.openxmlformats.org/officeDocument/2006/relationships/hyperlink" Target="../../Soubhagya%20Ranjan/AppData/Local/:f:/g/personal/soubhagya_swain_premierenergies_com/IgCCYr0VNoMlTbOr3ydOAnBmAeKU4BMKLqEK6RN3RPRmgfY%3fe=TXc3wo" TargetMode="External" Id="rId51" /><Relationship Type="http://schemas.openxmlformats.org/officeDocument/2006/relationships/hyperlink" Target="../../Soubhagya%20Ranjan/AppData/Local/:f:/g/personal/soubhagya_swain_premierenergies_com/IgCCYr0VNoMlTbOr3ydOAnBmAeKU4BMKLqEK6RN3RPRmgfY%3fe=TXc3wo" TargetMode="External" Id="rId52" /><Relationship Type="http://schemas.openxmlformats.org/officeDocument/2006/relationships/hyperlink" Target="../../Soubhagya%20Ranjan/AppData/Local/:f:/g/personal/soubhagya_swain_premierenergies_com/IgCCYr0VNoMlTbOr3ydOAnBmAeKU4BMKLqEK6RN3RPRmgfY%3fe=TXc3wo" TargetMode="External" Id="rId53" /><Relationship Type="http://schemas.openxmlformats.org/officeDocument/2006/relationships/hyperlink" Target="../../Soubhagya%20Ranjan/AppData/Local/:f:/g/personal/soubhagya_swain_premierenergies_com/IgB7qJcoaasMTL9qOKIuhBSsAQ4IosHnj6PKzgf-SzxHPR8%3fe=Warnna" TargetMode="External" Id="rId54" /><Relationship Type="http://schemas.openxmlformats.org/officeDocument/2006/relationships/hyperlink" Target="../../Soubhagya%20Ranjan/AppData/Local/:f:/g/personal/soubhagya_swain_premierenergies_com/IgCCYr0VNoMlTbOr3ydOAnBmAeKU4BMKLqEK6RN3RPRmgfY%3fe=TXc3wo" TargetMode="External" Id="rId55" /><Relationship Type="http://schemas.openxmlformats.org/officeDocument/2006/relationships/hyperlink" Target="../../Soubhagya%20Ranjan/AppData/Local/:f:/g/personal/soubhagya_swain_premierenergies_com/IgAyfyMAIZqzSJnZX-omWt21AUjdung9Ens0hSpQvaGsxO4%3fe=QWMY5f" TargetMode="External" Id="rId56" /><Relationship Type="http://schemas.openxmlformats.org/officeDocument/2006/relationships/hyperlink" Target="../../Soubhagya%20Ranjan/AppData/Local/:f:/g/personal/soubhagya_swain_premierenergies_com/IgAHTnOOo2bTRLiS1gZ6qFw2AR8QQJk46b13q0WkKnRPS8Y%3fe=Y2IyTj" TargetMode="External" Id="rId57" /><Relationship Type="http://schemas.openxmlformats.org/officeDocument/2006/relationships/hyperlink" Target="../../Soubhagya%20Ranjan/AppData/Local/:f:/g/personal/soubhagya_swain_premierenergies_com/IgCCYr0VNoMlTbOr3ydOAnBmAeKU4BMKLqEK6RN3RPRmgfY%3fe=TXc3wo" TargetMode="External" Id="rId58" /><Relationship Type="http://schemas.openxmlformats.org/officeDocument/2006/relationships/hyperlink" Target="../../Soubhagya%20Ranjan/AppData/Local/:f:/g/personal/soubhagya_swain_premierenergies_com/IgCiBtvA82qUTaY9PZrpFwVBAXIUWiOJuYtsIQbULPqbKuE%3fe=1wiE9v" TargetMode="External" Id="rId59" /><Relationship Type="http://schemas.openxmlformats.org/officeDocument/2006/relationships/hyperlink" Target="../../Soubhagya%20Ranjan/AppData/Local/:f:/g/personal/soubhagya_swain_premierenergies_com/IgAyfyMAIZqzSJnZX-omWt21AUjdung9Ens0hSpQvaGsxO4%3fe=QWMY5f" TargetMode="External" Id="rId60" /><Relationship Type="http://schemas.openxmlformats.org/officeDocument/2006/relationships/hyperlink" Target="../../Soubhagya%20Ranjan/AppData/Local/:f:/g/personal/soubhagya_swain_premierenergies_com/IgDZZJmd6l4FTpnsS76npeznAbA41DJWrsMfzLBDdWb2KNI%3fe=Cv55cZ" TargetMode="External" Id="rId61" /><Relationship Type="http://schemas.openxmlformats.org/officeDocument/2006/relationships/hyperlink" Target="../../Soubhagya%20Ranjan/AppData/Local/:f:/g/personal/soubhagya_swain_premierenergies_com/IgCikXDUDHkWSazzj5N4PTutAYf6RZSr5FODRPnA8XHrPXc%3fe=Of5UZD" TargetMode="External" Id="rId62" /><Relationship Type="http://schemas.openxmlformats.org/officeDocument/2006/relationships/hyperlink" Target="../../Soubhagya%20Ranjan/AppData/Local/:f:/g/personal/soubhagya_swain_premierenergies_com/IgCCYr0VNoMlTbOr3ydOAnBmAeKU4BMKLqEK6RN3RPRmgfY%3fe=TXc3wo" TargetMode="External" Id="rId63" /><Relationship Type="http://schemas.openxmlformats.org/officeDocument/2006/relationships/hyperlink" Target="../../Soubhagya%20Ranjan/AppData/Local/:f:/g/personal/soubhagya_swain_premierenergies_com/IgAyfyMAIZqzSJnZX-omWt21AUjdung9Ens0hSpQvaGsxO4%3fe=QWMY5f" TargetMode="External" Id="rId64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tel:9890778332" TargetMode="External" Id="rId1" /><Relationship Type="http://schemas.openxmlformats.org/officeDocument/2006/relationships/hyperlink" Target="tel:9890778332" TargetMode="External" Id="rId2" /><Relationship Type="http://schemas.openxmlformats.org/officeDocument/2006/relationships/hyperlink" Target="tel:9890778332" TargetMode="External" Id="rId3" /><Relationship Type="http://schemas.openxmlformats.org/officeDocument/2006/relationships/hyperlink" Target="tel:9890778332" TargetMode="External" Id="rId4" /><Relationship Type="http://schemas.openxmlformats.org/officeDocument/2006/relationships/hyperlink" Target="tel:9890778332" TargetMode="External" Id="rId5" /><Relationship Type="http://schemas.openxmlformats.org/officeDocument/2006/relationships/hyperlink" Target="tel:9890778332" TargetMode="External" Id="rId6" /><Relationship Type="http://schemas.openxmlformats.org/officeDocument/2006/relationships/hyperlink" Target="tel:9890778332" TargetMode="External" Id="rId7" /><Relationship Type="http://schemas.openxmlformats.org/officeDocument/2006/relationships/hyperlink" Target="tel:9890778332" TargetMode="External" Id="rId8" /><Relationship Type="http://schemas.openxmlformats.org/officeDocument/2006/relationships/hyperlink" Target="tel:9890778332" TargetMode="External" Id="rId9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6"/>
  <sheetViews>
    <sheetView zoomScale="90" zoomScaleNormal="90" workbookViewId="0">
      <pane xSplit="1" ySplit="1" topLeftCell="B41" activePane="bottomRight" state="frozen"/>
      <selection pane="topRight" activeCell="B1" sqref="B1"/>
      <selection pane="bottomLeft" activeCell="A2" sqref="A2"/>
      <selection pane="bottomRight" activeCell="E67" sqref="E67"/>
    </sheetView>
  </sheetViews>
  <sheetFormatPr baseColWidth="8" defaultRowHeight="14.5"/>
  <cols>
    <col width="23.81640625" bestFit="1" customWidth="1" min="2" max="2"/>
    <col width="21.1796875" bestFit="1" customWidth="1" min="6" max="6"/>
    <col width="9.1796875" bestFit="1" customWidth="1" min="7" max="7"/>
    <col width="6.54296875" customWidth="1" min="8" max="8"/>
    <col width="8.81640625" customWidth="1" min="9" max="9"/>
    <col width="15.81640625" bestFit="1" customWidth="1" min="10" max="10"/>
    <col width="9.81640625" bestFit="1" customWidth="1" min="11" max="12"/>
    <col width="12.26953125" bestFit="1" customWidth="1" min="13" max="13"/>
  </cols>
  <sheetData>
    <row r="1">
      <c r="A1" s="36" t="inlineStr">
        <is>
          <t>Date</t>
        </is>
      </c>
      <c r="B1" s="36" t="inlineStr">
        <is>
          <t>Site</t>
        </is>
      </c>
      <c r="C1" s="36" t="inlineStr">
        <is>
          <t>Area</t>
        </is>
      </c>
      <c r="D1" s="36" t="inlineStr">
        <is>
          <t>State</t>
        </is>
      </c>
      <c r="E1" s="36" t="inlineStr">
        <is>
          <t>No Of Complaints</t>
        </is>
      </c>
      <c r="F1" s="36" t="inlineStr">
        <is>
          <t>Visited by</t>
        </is>
      </c>
      <c r="G1" s="36" t="inlineStr">
        <is>
          <t>Complaint ID</t>
        </is>
      </c>
      <c r="H1" s="36" t="inlineStr">
        <is>
          <t>Status</t>
        </is>
      </c>
      <c r="I1" s="36" t="inlineStr">
        <is>
          <t>Remarks</t>
        </is>
      </c>
      <c r="J1" s="36" t="inlineStr">
        <is>
          <t>Complaints Register Link</t>
        </is>
      </c>
      <c r="K1" s="36" t="inlineStr">
        <is>
          <t>Start Date</t>
        </is>
      </c>
      <c r="L1" s="36" t="inlineStr">
        <is>
          <t>End Day</t>
        </is>
      </c>
      <c r="M1" s="37" t="inlineStr">
        <is>
          <t>Remarka</t>
        </is>
      </c>
    </row>
    <row r="2">
      <c r="A2" s="9" t="n">
        <v>46174</v>
      </c>
      <c r="B2" s="1" t="inlineStr">
        <is>
          <t>Continuum</t>
        </is>
      </c>
      <c r="C2" s="8" t="inlineStr">
        <is>
          <t>Bhavnagar</t>
        </is>
      </c>
      <c r="D2" s="8" t="inlineStr">
        <is>
          <t>Gujarat</t>
        </is>
      </c>
      <c r="E2" s="3" t="n">
        <v>107</v>
      </c>
      <c r="F2" s="1" t="inlineStr">
        <is>
          <t>Kamal + Raja + Kunal</t>
        </is>
      </c>
      <c r="G2" s="13" t="inlineStr">
        <is>
          <t>PE06052602</t>
        </is>
      </c>
      <c r="H2" s="1" t="inlineStr">
        <is>
          <t>Closed</t>
        </is>
      </c>
      <c r="I2" s="1" t="inlineStr">
        <is>
          <t>Retrofit</t>
        </is>
      </c>
      <c r="J2" s="4" t="inlineStr">
        <is>
          <t>PE06052602</t>
        </is>
      </c>
      <c r="K2" s="9" t="n">
        <v>46174</v>
      </c>
      <c r="L2" s="12" t="n"/>
      <c r="M2" s="12" t="n"/>
    </row>
    <row r="3">
      <c r="A3" s="9" t="n">
        <v>46174</v>
      </c>
      <c r="B3" s="8" t="inlineStr">
        <is>
          <t>Yanara Power</t>
        </is>
      </c>
      <c r="C3" s="11" t="inlineStr">
        <is>
          <t>Holi</t>
        </is>
      </c>
      <c r="D3" s="11" t="inlineStr">
        <is>
          <t>Maharashtra</t>
        </is>
      </c>
      <c r="E3" s="3" t="n">
        <v>62</v>
      </c>
      <c r="F3" s="1" t="inlineStr">
        <is>
          <t>Gourab + Amit</t>
        </is>
      </c>
      <c r="G3" s="10" t="inlineStr">
        <is>
          <t>PE01052601</t>
        </is>
      </c>
      <c r="H3" s="1" t="inlineStr">
        <is>
          <t>Closed</t>
        </is>
      </c>
      <c r="I3" s="1" t="inlineStr">
        <is>
          <t>Retrofit</t>
        </is>
      </c>
      <c r="J3" s="4" t="inlineStr">
        <is>
          <t>PE01052601</t>
        </is>
      </c>
      <c r="K3" s="9" t="n">
        <v>46174</v>
      </c>
      <c r="L3" s="12" t="n"/>
      <c r="M3" s="12" t="n"/>
    </row>
    <row r="4">
      <c r="A4" s="9" t="n">
        <v>46175</v>
      </c>
      <c r="B4" s="1" t="inlineStr">
        <is>
          <t>Continuum</t>
        </is>
      </c>
      <c r="C4" s="8" t="inlineStr">
        <is>
          <t>Bhavnagar</t>
        </is>
      </c>
      <c r="D4" s="8" t="inlineStr">
        <is>
          <t>Gujarat</t>
        </is>
      </c>
      <c r="E4" s="3" t="n">
        <v>101</v>
      </c>
      <c r="F4" s="1" t="inlineStr">
        <is>
          <t>Kamal + Raja + Kunal</t>
        </is>
      </c>
      <c r="G4" s="13" t="inlineStr">
        <is>
          <t>PE06052602</t>
        </is>
      </c>
      <c r="H4" s="1" t="inlineStr">
        <is>
          <t>Closed</t>
        </is>
      </c>
      <c r="I4" s="1" t="inlineStr">
        <is>
          <t>Retrofit</t>
        </is>
      </c>
      <c r="J4" s="4" t="inlineStr">
        <is>
          <t>PE06052602</t>
        </is>
      </c>
      <c r="K4" s="9" t="n"/>
      <c r="L4" s="12" t="n"/>
      <c r="M4" s="12" t="n"/>
    </row>
    <row r="5">
      <c r="A5" s="9" t="n">
        <v>46175</v>
      </c>
      <c r="B5" s="7" t="inlineStr">
        <is>
          <t>Shakti Pump</t>
        </is>
      </c>
      <c r="C5" s="7" t="inlineStr">
        <is>
          <t>BEED</t>
        </is>
      </c>
      <c r="D5" s="15" t="inlineStr">
        <is>
          <t>Maharashtra</t>
        </is>
      </c>
      <c r="E5" s="3" t="n">
        <v>9</v>
      </c>
      <c r="F5" s="1" t="inlineStr">
        <is>
          <t>Chanchal</t>
        </is>
      </c>
      <c r="G5" s="16" t="inlineStr">
        <is>
          <t>PE16052602</t>
        </is>
      </c>
      <c r="H5" s="1" t="inlineStr">
        <is>
          <t>Closed</t>
        </is>
      </c>
      <c r="I5" s="1" t="inlineStr">
        <is>
          <t>Retrofit</t>
        </is>
      </c>
      <c r="J5" s="4" t="inlineStr">
        <is>
          <t>PE16052602</t>
        </is>
      </c>
      <c r="K5" s="9" t="n">
        <v>46174</v>
      </c>
      <c r="L5" s="12" t="n"/>
      <c r="M5" s="12" t="n"/>
    </row>
    <row r="6">
      <c r="A6" s="9" t="n">
        <v>46175</v>
      </c>
      <c r="B6" s="8" t="inlineStr">
        <is>
          <t>Yanara Power</t>
        </is>
      </c>
      <c r="C6" s="11" t="inlineStr">
        <is>
          <t>Holi</t>
        </is>
      </c>
      <c r="D6" s="11" t="inlineStr">
        <is>
          <t>Maharashtra</t>
        </is>
      </c>
      <c r="E6" s="3" t="n">
        <v>51</v>
      </c>
      <c r="F6" s="1" t="inlineStr">
        <is>
          <t>Gourab + Amit</t>
        </is>
      </c>
      <c r="G6" s="10" t="inlineStr">
        <is>
          <t>PE01052601</t>
        </is>
      </c>
      <c r="H6" s="1" t="inlineStr">
        <is>
          <t>Closed</t>
        </is>
      </c>
      <c r="I6" s="1" t="inlineStr">
        <is>
          <t>Retrofit</t>
        </is>
      </c>
      <c r="J6" s="4" t="inlineStr">
        <is>
          <t>PE01052601</t>
        </is>
      </c>
      <c r="K6" s="9" t="n"/>
      <c r="L6" s="12" t="n"/>
      <c r="M6" s="12" t="n"/>
    </row>
    <row r="7">
      <c r="A7" s="9" t="n">
        <v>46176</v>
      </c>
      <c r="B7" s="1" t="inlineStr">
        <is>
          <t>Continuum</t>
        </is>
      </c>
      <c r="C7" s="8" t="inlineStr">
        <is>
          <t>Bhavnagar</t>
        </is>
      </c>
      <c r="D7" s="8" t="inlineStr">
        <is>
          <t>Gujarat</t>
        </is>
      </c>
      <c r="E7" s="3" t="n">
        <v>98</v>
      </c>
      <c r="F7" s="1" t="inlineStr">
        <is>
          <t>Kamal + Raja + Kunal</t>
        </is>
      </c>
      <c r="G7" s="13" t="inlineStr">
        <is>
          <t>PE06052602</t>
        </is>
      </c>
      <c r="H7" s="1" t="inlineStr">
        <is>
          <t>Closed</t>
        </is>
      </c>
      <c r="I7" s="1" t="inlineStr">
        <is>
          <t>Retrofit</t>
        </is>
      </c>
      <c r="J7" s="4" t="inlineStr">
        <is>
          <t>PE06052602</t>
        </is>
      </c>
      <c r="K7" s="9" t="n"/>
      <c r="L7" s="12" t="n"/>
      <c r="M7" s="12" t="n"/>
    </row>
    <row r="8">
      <c r="A8" s="9" t="n">
        <v>46176</v>
      </c>
      <c r="B8" s="7" t="inlineStr">
        <is>
          <t>Baidyanath Power</t>
        </is>
      </c>
      <c r="C8" s="7" t="inlineStr">
        <is>
          <t>Tisgaon</t>
        </is>
      </c>
      <c r="D8" s="7" t="inlineStr">
        <is>
          <t>Maharashtra</t>
        </is>
      </c>
      <c r="E8" s="3" t="n">
        <v>4</v>
      </c>
      <c r="F8" s="1" t="inlineStr">
        <is>
          <t>Chanchal</t>
        </is>
      </c>
      <c r="G8" s="16" t="inlineStr">
        <is>
          <t>PE27052601</t>
        </is>
      </c>
      <c r="H8" s="1" t="inlineStr">
        <is>
          <t>WIP</t>
        </is>
      </c>
      <c r="I8" s="1" t="inlineStr">
        <is>
          <t>Inspection</t>
        </is>
      </c>
      <c r="J8" s="4" t="inlineStr">
        <is>
          <t>PE27052601</t>
        </is>
      </c>
      <c r="K8" s="9" t="n"/>
      <c r="L8" s="12" t="n"/>
      <c r="M8" s="12" t="n"/>
    </row>
    <row r="9">
      <c r="A9" s="9" t="n">
        <v>46176</v>
      </c>
      <c r="B9" s="8" t="inlineStr">
        <is>
          <t>Yanara Power</t>
        </is>
      </c>
      <c r="C9" s="11" t="inlineStr">
        <is>
          <t>Holi</t>
        </is>
      </c>
      <c r="D9" s="11" t="inlineStr">
        <is>
          <t>Maharashtra</t>
        </is>
      </c>
      <c r="E9" s="3" t="n">
        <v>63</v>
      </c>
      <c r="F9" s="1" t="inlineStr">
        <is>
          <t>Gourab + Amit</t>
        </is>
      </c>
      <c r="G9" s="10" t="inlineStr">
        <is>
          <t>PE01052601</t>
        </is>
      </c>
      <c r="H9" s="1" t="inlineStr">
        <is>
          <t>Closed</t>
        </is>
      </c>
      <c r="I9" s="1" t="inlineStr">
        <is>
          <t>Retrofit</t>
        </is>
      </c>
      <c r="J9" s="4" t="inlineStr">
        <is>
          <t>PE01052601</t>
        </is>
      </c>
      <c r="K9" s="9" t="n"/>
      <c r="L9" s="12" t="n"/>
      <c r="M9" s="12" t="n"/>
    </row>
    <row r="10">
      <c r="A10" s="9" t="n">
        <v>46177</v>
      </c>
      <c r="B10" s="7" t="inlineStr">
        <is>
          <t>Solar Square</t>
        </is>
      </c>
      <c r="C10" s="7" t="inlineStr">
        <is>
          <t>Pune</t>
        </is>
      </c>
      <c r="D10" s="15" t="inlineStr">
        <is>
          <t>Maharashtra</t>
        </is>
      </c>
      <c r="E10" s="3" t="n">
        <v>1</v>
      </c>
      <c r="F10" s="1" t="inlineStr">
        <is>
          <t>Chanchal</t>
        </is>
      </c>
      <c r="G10" s="16" t="inlineStr">
        <is>
          <t>PE28052601</t>
        </is>
      </c>
      <c r="H10" s="1" t="inlineStr">
        <is>
          <t>Closed</t>
        </is>
      </c>
      <c r="I10" s="1" t="inlineStr">
        <is>
          <t>Retrofit</t>
        </is>
      </c>
      <c r="J10" s="4" t="inlineStr">
        <is>
          <t>PE28052601</t>
        </is>
      </c>
      <c r="K10" s="9" t="n"/>
      <c r="L10" s="12" t="n"/>
      <c r="M10" s="12" t="n"/>
    </row>
    <row r="11">
      <c r="A11" s="9" t="n">
        <v>46177</v>
      </c>
      <c r="B11" s="1" t="inlineStr">
        <is>
          <t>Continuum</t>
        </is>
      </c>
      <c r="C11" s="8" t="inlineStr">
        <is>
          <t>Bhavnagar</t>
        </is>
      </c>
      <c r="D11" s="8" t="inlineStr">
        <is>
          <t>Gujarat</t>
        </is>
      </c>
      <c r="E11" s="3" t="n">
        <v>100</v>
      </c>
      <c r="F11" s="1" t="inlineStr">
        <is>
          <t>Kamal + Raja + Kunal</t>
        </is>
      </c>
      <c r="G11" s="13" t="inlineStr">
        <is>
          <t>PE06052602</t>
        </is>
      </c>
      <c r="H11" s="1" t="inlineStr">
        <is>
          <t>Closed</t>
        </is>
      </c>
      <c r="I11" s="1" t="inlineStr">
        <is>
          <t>Retrofit</t>
        </is>
      </c>
      <c r="J11" s="4" t="inlineStr">
        <is>
          <t>PE06052602</t>
        </is>
      </c>
      <c r="K11" s="9" t="n"/>
      <c r="L11" s="12" t="n"/>
      <c r="M11" s="12" t="n"/>
    </row>
    <row r="12">
      <c r="A12" s="9" t="n">
        <v>46177</v>
      </c>
      <c r="B12" s="8" t="inlineStr">
        <is>
          <t>Yanara Power</t>
        </is>
      </c>
      <c r="C12" s="11" t="inlineStr">
        <is>
          <t>Holi</t>
        </is>
      </c>
      <c r="D12" s="11" t="inlineStr">
        <is>
          <t>Maharashtra</t>
        </is>
      </c>
      <c r="E12" s="3" t="n">
        <v>58</v>
      </c>
      <c r="F12" s="1" t="inlineStr">
        <is>
          <t>Gourab + Amit</t>
        </is>
      </c>
      <c r="G12" s="10" t="inlineStr">
        <is>
          <t>PE01052601</t>
        </is>
      </c>
      <c r="H12" s="1" t="inlineStr">
        <is>
          <t>Closed</t>
        </is>
      </c>
      <c r="I12" s="1" t="inlineStr">
        <is>
          <t>Retrofit</t>
        </is>
      </c>
      <c r="J12" s="4" t="inlineStr">
        <is>
          <t>PE01052601</t>
        </is>
      </c>
      <c r="K12" s="9" t="n"/>
      <c r="L12" s="12" t="n"/>
      <c r="M12" s="12" t="n"/>
    </row>
    <row r="13">
      <c r="A13" s="9" t="n">
        <v>46178</v>
      </c>
      <c r="B13" s="1" t="inlineStr">
        <is>
          <t>Continuum</t>
        </is>
      </c>
      <c r="C13" s="8" t="inlineStr">
        <is>
          <t>Bhavnagar</t>
        </is>
      </c>
      <c r="D13" s="8" t="inlineStr">
        <is>
          <t>Gujarat</t>
        </is>
      </c>
      <c r="E13" s="3" t="n">
        <v>94</v>
      </c>
      <c r="F13" s="1" t="inlineStr">
        <is>
          <t>Kamal + Raja + Kunal</t>
        </is>
      </c>
      <c r="G13" s="10" t="inlineStr">
        <is>
          <t>PE06052602</t>
        </is>
      </c>
      <c r="H13" s="1" t="inlineStr">
        <is>
          <t>Closed</t>
        </is>
      </c>
      <c r="I13" s="1" t="inlineStr">
        <is>
          <t>Retrofit</t>
        </is>
      </c>
      <c r="J13" s="4" t="inlineStr">
        <is>
          <t>PE06052602</t>
        </is>
      </c>
      <c r="K13" s="9" t="n"/>
      <c r="L13" s="12" t="n"/>
      <c r="M13" s="12" t="n"/>
    </row>
    <row r="14">
      <c r="A14" s="9" t="n">
        <v>46179</v>
      </c>
      <c r="B14" s="7" t="inlineStr">
        <is>
          <t>Solar Square</t>
        </is>
      </c>
      <c r="C14" s="7" t="inlineStr">
        <is>
          <t>Pune</t>
        </is>
      </c>
      <c r="D14" s="15" t="inlineStr">
        <is>
          <t>Maharashtra</t>
        </is>
      </c>
      <c r="E14" s="3" t="n">
        <v>1</v>
      </c>
      <c r="F14" s="1" t="inlineStr">
        <is>
          <t>Chanchal</t>
        </is>
      </c>
      <c r="G14" s="16" t="inlineStr">
        <is>
          <t>PE28052601</t>
        </is>
      </c>
      <c r="H14" s="1" t="inlineStr">
        <is>
          <t>Closed</t>
        </is>
      </c>
      <c r="I14" s="1" t="inlineStr">
        <is>
          <t>CN</t>
        </is>
      </c>
      <c r="J14" s="4" t="inlineStr">
        <is>
          <t>PE28052601</t>
        </is>
      </c>
      <c r="K14" s="9" t="inlineStr">
        <is>
          <t>By Mail</t>
        </is>
      </c>
      <c r="L14" s="9" t="n"/>
      <c r="M14" s="12" t="n"/>
    </row>
    <row r="15">
      <c r="A15" s="9" t="n">
        <v>46179</v>
      </c>
      <c r="B15" s="7" t="inlineStr">
        <is>
          <t>Panasonic</t>
        </is>
      </c>
      <c r="C15" s="7" t="inlineStr">
        <is>
          <t>Belagavi</t>
        </is>
      </c>
      <c r="D15" s="7" t="inlineStr">
        <is>
          <t>Karnataka</t>
        </is>
      </c>
      <c r="E15" s="3" t="n">
        <v>1</v>
      </c>
      <c r="F15" s="1" t="inlineStr">
        <is>
          <t>By mail</t>
        </is>
      </c>
      <c r="G15" s="16" t="inlineStr">
        <is>
          <t>PE28042602</t>
        </is>
      </c>
      <c r="H15" s="1" t="inlineStr">
        <is>
          <t>Closed</t>
        </is>
      </c>
      <c r="I15" s="1" t="inlineStr">
        <is>
          <t>CN</t>
        </is>
      </c>
      <c r="J15" s="4" t="inlineStr">
        <is>
          <t>PE28042602</t>
        </is>
      </c>
      <c r="K15" s="9" t="inlineStr">
        <is>
          <t>By Mail</t>
        </is>
      </c>
      <c r="L15" s="12" t="n"/>
      <c r="M15" s="12" t="n"/>
    </row>
    <row r="16">
      <c r="A16" s="9" t="n">
        <v>46179</v>
      </c>
      <c r="B16" s="7" t="inlineStr">
        <is>
          <t>Panasonic</t>
        </is>
      </c>
      <c r="C16" s="7" t="inlineStr">
        <is>
          <t>Belagavi</t>
        </is>
      </c>
      <c r="D16" s="7" t="inlineStr">
        <is>
          <t>Karnataka</t>
        </is>
      </c>
      <c r="E16" s="3" t="n">
        <v>1</v>
      </c>
      <c r="F16" s="1" t="inlineStr">
        <is>
          <t>By mail</t>
        </is>
      </c>
      <c r="G16" s="16" t="inlineStr">
        <is>
          <t>PE23042601</t>
        </is>
      </c>
      <c r="H16" s="1" t="inlineStr">
        <is>
          <t>Closed</t>
        </is>
      </c>
      <c r="I16" s="1" t="inlineStr">
        <is>
          <t>CN</t>
        </is>
      </c>
      <c r="J16" s="4" t="inlineStr">
        <is>
          <t>PE23042601</t>
        </is>
      </c>
      <c r="K16" s="9" t="inlineStr">
        <is>
          <t>By Mail</t>
        </is>
      </c>
      <c r="L16" s="12" t="n"/>
      <c r="M16" s="12" t="n"/>
    </row>
    <row r="17">
      <c r="A17" s="9" t="n">
        <v>46179</v>
      </c>
      <c r="B17" s="7" t="inlineStr">
        <is>
          <t>Panasonic</t>
        </is>
      </c>
      <c r="C17" s="7" t="inlineStr">
        <is>
          <t>Belagavi</t>
        </is>
      </c>
      <c r="D17" s="7" t="inlineStr">
        <is>
          <t>Karnataka</t>
        </is>
      </c>
      <c r="E17" s="3" t="n">
        <v>1</v>
      </c>
      <c r="F17" s="1" t="inlineStr">
        <is>
          <t>By mail</t>
        </is>
      </c>
      <c r="G17" s="20" t="inlineStr">
        <is>
          <t>PE17042602</t>
        </is>
      </c>
      <c r="H17" s="1" t="inlineStr">
        <is>
          <t>Closed</t>
        </is>
      </c>
      <c r="I17" s="1" t="inlineStr">
        <is>
          <t>CN</t>
        </is>
      </c>
      <c r="J17" s="4" t="inlineStr">
        <is>
          <t>PE17042602</t>
        </is>
      </c>
      <c r="K17" s="9" t="inlineStr">
        <is>
          <t>By Mail</t>
        </is>
      </c>
      <c r="L17" s="12" t="n"/>
      <c r="M17" s="12" t="n"/>
    </row>
    <row r="18">
      <c r="A18" s="9" t="n">
        <v>46179</v>
      </c>
      <c r="B18" s="8" t="inlineStr">
        <is>
          <t>Vashi</t>
        </is>
      </c>
      <c r="C18" s="7" t="inlineStr">
        <is>
          <t>Indore</t>
        </is>
      </c>
      <c r="D18" s="7" t="inlineStr">
        <is>
          <t>MP</t>
        </is>
      </c>
      <c r="E18" s="3" t="n">
        <v>85</v>
      </c>
      <c r="F18" s="1" t="inlineStr">
        <is>
          <t>Chanchal</t>
        </is>
      </c>
      <c r="G18" s="16" t="inlineStr">
        <is>
          <t>PE20052602</t>
        </is>
      </c>
      <c r="H18" s="1" t="inlineStr">
        <is>
          <t>Closed</t>
        </is>
      </c>
      <c r="I18" s="1" t="inlineStr">
        <is>
          <t>Retrofit &amp; Inspection</t>
        </is>
      </c>
      <c r="J18" s="4" t="inlineStr">
        <is>
          <t>PE20052602</t>
        </is>
      </c>
      <c r="K18" s="9" t="n"/>
      <c r="L18" s="9" t="n">
        <v>46181</v>
      </c>
      <c r="M18" s="12" t="n"/>
    </row>
    <row r="19">
      <c r="A19" s="9" t="n">
        <v>46180</v>
      </c>
      <c r="B19" s="8" t="inlineStr">
        <is>
          <t>Yanara Power</t>
        </is>
      </c>
      <c r="C19" s="11" t="inlineStr">
        <is>
          <t>Holi</t>
        </is>
      </c>
      <c r="D19" s="11" t="inlineStr">
        <is>
          <t>Maharashtra</t>
        </is>
      </c>
      <c r="E19" s="3" t="n">
        <v>24</v>
      </c>
      <c r="F19" s="1" t="inlineStr">
        <is>
          <t>Gourab + Amit</t>
        </is>
      </c>
      <c r="G19" s="10" t="inlineStr">
        <is>
          <t>PE01052601</t>
        </is>
      </c>
      <c r="H19" s="1" t="inlineStr">
        <is>
          <t>Closed</t>
        </is>
      </c>
      <c r="I19" s="1" t="inlineStr">
        <is>
          <t>Retrofit</t>
        </is>
      </c>
      <c r="J19" s="4" t="inlineStr">
        <is>
          <t>PE01052601</t>
        </is>
      </c>
      <c r="K19" s="9" t="n"/>
      <c r="L19" s="12" t="n"/>
      <c r="M19" s="12" t="n"/>
    </row>
    <row r="20">
      <c r="A20" s="9" t="n">
        <v>46180</v>
      </c>
      <c r="B20" s="8" t="inlineStr">
        <is>
          <t>Yanara Power</t>
        </is>
      </c>
      <c r="C20" s="11" t="inlineStr">
        <is>
          <t>Holi</t>
        </is>
      </c>
      <c r="D20" s="11" t="inlineStr">
        <is>
          <t>Maharashtra</t>
        </is>
      </c>
      <c r="E20" s="21" t="n">
        <v>12</v>
      </c>
      <c r="F20" s="22" t="inlineStr">
        <is>
          <t>Gourab + Amit</t>
        </is>
      </c>
      <c r="G20" s="10" t="inlineStr">
        <is>
          <t>PE01052601</t>
        </is>
      </c>
      <c r="H20" s="22" t="inlineStr">
        <is>
          <t>Closed</t>
        </is>
      </c>
      <c r="I20" s="22" t="inlineStr">
        <is>
          <t>Inspection</t>
        </is>
      </c>
      <c r="J20" s="23" t="inlineStr">
        <is>
          <t>PE01052601</t>
        </is>
      </c>
      <c r="K20" s="9" t="n"/>
      <c r="L20" s="9" t="n">
        <v>46182</v>
      </c>
      <c r="M20" s="24" t="n"/>
    </row>
    <row r="21">
      <c r="A21" s="9" t="n">
        <v>46181</v>
      </c>
      <c r="B21" s="1" t="inlineStr">
        <is>
          <t>Continuum</t>
        </is>
      </c>
      <c r="C21" s="8" t="inlineStr">
        <is>
          <t>Bhavnagar</t>
        </is>
      </c>
      <c r="D21" s="8" t="inlineStr">
        <is>
          <t>Gujarat</t>
        </is>
      </c>
      <c r="E21" s="3" t="n">
        <v>98</v>
      </c>
      <c r="F21" s="1" t="inlineStr">
        <is>
          <t>Kamal + Raja + Kunal</t>
        </is>
      </c>
      <c r="G21" s="10" t="inlineStr">
        <is>
          <t>PE06052602</t>
        </is>
      </c>
      <c r="H21" s="1" t="inlineStr">
        <is>
          <t>Closed</t>
        </is>
      </c>
      <c r="I21" s="1" t="inlineStr">
        <is>
          <t>Retrofit</t>
        </is>
      </c>
      <c r="J21" s="4" t="inlineStr">
        <is>
          <t>PE06052602</t>
        </is>
      </c>
      <c r="K21" s="9" t="n"/>
      <c r="L21" s="12" t="n"/>
      <c r="M21" s="12" t="n"/>
    </row>
    <row r="22">
      <c r="A22" s="9" t="n">
        <v>46182</v>
      </c>
      <c r="B22" s="1" t="inlineStr">
        <is>
          <t>Continuum</t>
        </is>
      </c>
      <c r="C22" s="8" t="inlineStr">
        <is>
          <t>Bhavnagar</t>
        </is>
      </c>
      <c r="D22" s="8" t="inlineStr">
        <is>
          <t>Gujarat</t>
        </is>
      </c>
      <c r="E22" s="3" t="n">
        <v>87</v>
      </c>
      <c r="F22" s="1" t="inlineStr">
        <is>
          <t>Kamal + Raja + Kunal</t>
        </is>
      </c>
      <c r="G22" s="10" t="inlineStr">
        <is>
          <t>PE06052602</t>
        </is>
      </c>
      <c r="H22" s="1" t="inlineStr">
        <is>
          <t>Closed</t>
        </is>
      </c>
      <c r="I22" s="1" t="inlineStr">
        <is>
          <t>Retrofit</t>
        </is>
      </c>
      <c r="J22" s="4" t="inlineStr">
        <is>
          <t>PE06052602</t>
        </is>
      </c>
      <c r="K22" s="9" t="n"/>
      <c r="L22" s="12" t="n"/>
      <c r="M22" s="12" t="n"/>
    </row>
    <row r="23">
      <c r="A23" s="9" t="n">
        <v>46185</v>
      </c>
      <c r="B23" s="7" t="inlineStr">
        <is>
          <t>TRUE SUN TRADING COMPANY</t>
        </is>
      </c>
      <c r="C23" s="7" t="inlineStr">
        <is>
          <t>CHANGANASSERRY</t>
        </is>
      </c>
      <c r="D23" s="7" t="inlineStr">
        <is>
          <t>Kerala</t>
        </is>
      </c>
      <c r="E23" s="3" t="n">
        <v>1</v>
      </c>
      <c r="F23" s="1" t="inlineStr">
        <is>
          <t>Pavan</t>
        </is>
      </c>
      <c r="G23" s="10" t="inlineStr">
        <is>
          <t>PE07062601</t>
        </is>
      </c>
      <c r="H23" s="1" t="inlineStr">
        <is>
          <t>Closed</t>
        </is>
      </c>
      <c r="I23" s="1" t="inlineStr">
        <is>
          <t>Retrofit</t>
        </is>
      </c>
      <c r="J23" s="4" t="inlineStr">
        <is>
          <t>PE07062601</t>
        </is>
      </c>
      <c r="K23" s="9" t="n">
        <v>46182</v>
      </c>
      <c r="L23" s="18" t="n"/>
      <c r="M23" s="18" t="n"/>
    </row>
    <row r="24">
      <c r="A24" s="9" t="n">
        <v>46185</v>
      </c>
      <c r="B24" s="7" t="inlineStr">
        <is>
          <t>TRUE SUN TRADING COMPANY</t>
        </is>
      </c>
      <c r="C24" s="7" t="inlineStr">
        <is>
          <t>CHANGANASSERRY</t>
        </is>
      </c>
      <c r="D24" s="7" t="inlineStr">
        <is>
          <t>Kerala</t>
        </is>
      </c>
      <c r="E24" s="3" t="n">
        <v>1</v>
      </c>
      <c r="F24" s="1" t="inlineStr">
        <is>
          <t>Pavan</t>
        </is>
      </c>
      <c r="G24" s="10" t="inlineStr">
        <is>
          <t>PE07062602</t>
        </is>
      </c>
      <c r="H24" s="1" t="inlineStr">
        <is>
          <t>Closed</t>
        </is>
      </c>
      <c r="I24" s="1" t="inlineStr">
        <is>
          <t>Retrofit</t>
        </is>
      </c>
      <c r="J24" s="4" t="inlineStr">
        <is>
          <t>PE07062602</t>
        </is>
      </c>
      <c r="K24" s="18" t="n"/>
      <c r="L24" s="18" t="n"/>
      <c r="M24" s="18" t="n"/>
    </row>
    <row r="25">
      <c r="A25" s="9" t="n">
        <v>46185</v>
      </c>
      <c r="B25" s="7" t="inlineStr">
        <is>
          <t>TRUE SUN TRADING COMPANY</t>
        </is>
      </c>
      <c r="C25" s="7" t="inlineStr">
        <is>
          <t>CHANGANASSERRY</t>
        </is>
      </c>
      <c r="D25" s="7" t="inlineStr">
        <is>
          <t>Kerala</t>
        </is>
      </c>
      <c r="E25" s="3" t="n">
        <v>1</v>
      </c>
      <c r="F25" s="1" t="inlineStr">
        <is>
          <t>Pavan</t>
        </is>
      </c>
      <c r="G25" s="26" t="inlineStr">
        <is>
          <t>PE07062603</t>
        </is>
      </c>
      <c r="H25" s="1" t="inlineStr">
        <is>
          <t>Closed</t>
        </is>
      </c>
      <c r="I25" s="1" t="inlineStr">
        <is>
          <t>Retrofit</t>
        </is>
      </c>
      <c r="J25" s="4" t="inlineStr">
        <is>
          <t>PE07062603</t>
        </is>
      </c>
      <c r="K25" s="18" t="n"/>
      <c r="L25" s="18" t="n"/>
      <c r="M25" s="18" t="n"/>
    </row>
    <row r="26">
      <c r="A26" s="9" t="n">
        <v>46185</v>
      </c>
      <c r="B26" s="7" t="inlineStr">
        <is>
          <t>Panasonic</t>
        </is>
      </c>
      <c r="C26" s="8" t="inlineStr">
        <is>
          <t>Adoor</t>
        </is>
      </c>
      <c r="D26" s="7" t="inlineStr">
        <is>
          <t>Kerala</t>
        </is>
      </c>
      <c r="E26" s="3" t="n">
        <v>1</v>
      </c>
      <c r="F26" s="1" t="inlineStr">
        <is>
          <t>Pavan</t>
        </is>
      </c>
      <c r="G26" s="10" t="inlineStr">
        <is>
          <t>PE11062602</t>
        </is>
      </c>
      <c r="H26" s="1" t="inlineStr">
        <is>
          <t>Closed</t>
        </is>
      </c>
      <c r="I26" s="1" t="inlineStr">
        <is>
          <t>Retrofit</t>
        </is>
      </c>
      <c r="J26" s="27" t="inlineStr">
        <is>
          <t>PE11062602</t>
        </is>
      </c>
      <c r="K26" s="18" t="n"/>
      <c r="L26" s="18" t="n"/>
      <c r="M26" s="18" t="n"/>
    </row>
    <row r="27">
      <c r="A27" s="9" t="n">
        <v>46185</v>
      </c>
      <c r="B27" s="15" t="inlineStr">
        <is>
          <t>Ayana</t>
        </is>
      </c>
      <c r="C27" s="7" t="inlineStr">
        <is>
          <t>Jatavira</t>
        </is>
      </c>
      <c r="D27" s="7" t="inlineStr">
        <is>
          <t>Gujarat</t>
        </is>
      </c>
      <c r="E27" s="3" t="n">
        <v>26</v>
      </c>
      <c r="F27" s="1" t="inlineStr">
        <is>
          <t>Raja</t>
        </is>
      </c>
      <c r="G27" s="20" t="inlineStr">
        <is>
          <t>PE04062601</t>
        </is>
      </c>
      <c r="H27" s="6" t="inlineStr">
        <is>
          <t>WIP</t>
        </is>
      </c>
      <c r="I27" s="6" t="inlineStr">
        <is>
          <t>Inspection</t>
        </is>
      </c>
      <c r="J27" s="4" t="inlineStr">
        <is>
          <t>PE04062601</t>
        </is>
      </c>
      <c r="K27" s="9" t="n">
        <v>46184</v>
      </c>
      <c r="L27" s="18" t="n"/>
      <c r="M27" s="18" t="n"/>
    </row>
    <row r="28">
      <c r="A28" s="9" t="n">
        <v>46185</v>
      </c>
      <c r="B28" s="1" t="inlineStr">
        <is>
          <t>Continuum</t>
        </is>
      </c>
      <c r="C28" s="7" t="inlineStr">
        <is>
          <t>Nakhatrana</t>
        </is>
      </c>
      <c r="D28" s="7" t="inlineStr">
        <is>
          <t>Gujarat</t>
        </is>
      </c>
      <c r="E28" s="3" t="n">
        <v>55</v>
      </c>
      <c r="F28" s="1" t="inlineStr">
        <is>
          <t>Kamal + Kunal</t>
        </is>
      </c>
      <c r="G28" s="16" t="inlineStr">
        <is>
          <t>PE19052601</t>
        </is>
      </c>
      <c r="H28" s="1" t="inlineStr">
        <is>
          <t>Closed</t>
        </is>
      </c>
      <c r="I28" s="1" t="inlineStr">
        <is>
          <t>Retrofit</t>
        </is>
      </c>
      <c r="J28" s="4" t="inlineStr">
        <is>
          <t>PE19052601</t>
        </is>
      </c>
      <c r="K28" s="9" t="n">
        <v>46184</v>
      </c>
      <c r="L28" s="18" t="n"/>
      <c r="M28" s="18" t="n"/>
    </row>
    <row r="29">
      <c r="A29" s="9" t="n">
        <v>46186</v>
      </c>
      <c r="B29" s="1" t="inlineStr">
        <is>
          <t>Continuum</t>
        </is>
      </c>
      <c r="C29" s="7" t="inlineStr">
        <is>
          <t>Nakhatrana</t>
        </is>
      </c>
      <c r="D29" s="7" t="inlineStr">
        <is>
          <t>Gujarat</t>
        </is>
      </c>
      <c r="E29" s="3" t="n">
        <v>41</v>
      </c>
      <c r="F29" s="1" t="inlineStr">
        <is>
          <t>Kamal + Kunal</t>
        </is>
      </c>
      <c r="G29" s="16" t="inlineStr">
        <is>
          <t>PE19052601</t>
        </is>
      </c>
      <c r="H29" s="1" t="inlineStr">
        <is>
          <t>Closed</t>
        </is>
      </c>
      <c r="I29" s="1" t="inlineStr">
        <is>
          <t>Retrofit</t>
        </is>
      </c>
      <c r="J29" s="4" t="inlineStr">
        <is>
          <t>PE19052601</t>
        </is>
      </c>
      <c r="K29" s="9" t="n"/>
      <c r="L29" s="18" t="n"/>
      <c r="M29" s="18" t="n"/>
    </row>
    <row r="30">
      <c r="A30" s="9" t="n">
        <v>46187</v>
      </c>
      <c r="B30" s="15" t="inlineStr">
        <is>
          <t>Ayana</t>
        </is>
      </c>
      <c r="C30" s="7" t="inlineStr">
        <is>
          <t>Jatavira</t>
        </is>
      </c>
      <c r="D30" s="7" t="inlineStr">
        <is>
          <t>Gujarat</t>
        </is>
      </c>
      <c r="E30" s="3" t="n">
        <v>20</v>
      </c>
      <c r="F30" s="1" t="inlineStr">
        <is>
          <t>Raja</t>
        </is>
      </c>
      <c r="G30" s="20" t="inlineStr">
        <is>
          <t>PE04062601</t>
        </is>
      </c>
      <c r="H30" s="6" t="inlineStr">
        <is>
          <t>WIP</t>
        </is>
      </c>
      <c r="I30" s="6" t="inlineStr">
        <is>
          <t>Inspection</t>
        </is>
      </c>
      <c r="J30" s="4" t="inlineStr">
        <is>
          <t>PE04062601</t>
        </is>
      </c>
      <c r="K30" s="9" t="n"/>
      <c r="L30" s="18" t="n"/>
      <c r="M30" s="18" t="n"/>
    </row>
    <row r="31">
      <c r="A31" s="9" t="n">
        <v>46188</v>
      </c>
      <c r="B31" s="1" t="inlineStr">
        <is>
          <t>Continuum</t>
        </is>
      </c>
      <c r="C31" s="7" t="inlineStr">
        <is>
          <t>Nakhatrana</t>
        </is>
      </c>
      <c r="D31" s="7" t="inlineStr">
        <is>
          <t>Gujarat</t>
        </is>
      </c>
      <c r="E31" s="3" t="n">
        <v>51</v>
      </c>
      <c r="F31" s="1" t="inlineStr">
        <is>
          <t>Kamal + Kunal</t>
        </is>
      </c>
      <c r="G31" s="16" t="inlineStr">
        <is>
          <t>PE19052601</t>
        </is>
      </c>
      <c r="H31" s="1" t="inlineStr">
        <is>
          <t>Closed</t>
        </is>
      </c>
      <c r="I31" s="1" t="inlineStr">
        <is>
          <t>Retrofit</t>
        </is>
      </c>
      <c r="J31" s="4" t="inlineStr">
        <is>
          <t>PE19052601</t>
        </is>
      </c>
      <c r="K31" s="9" t="n"/>
      <c r="L31" s="18" t="n"/>
      <c r="M31" s="18" t="n"/>
    </row>
    <row r="32">
      <c r="A32" s="9" t="n">
        <v>46188</v>
      </c>
      <c r="B32" s="15" t="inlineStr">
        <is>
          <t>Ayana</t>
        </is>
      </c>
      <c r="C32" s="7" t="inlineStr">
        <is>
          <t>Jatavira</t>
        </is>
      </c>
      <c r="D32" s="7" t="inlineStr">
        <is>
          <t>Gujarat</t>
        </is>
      </c>
      <c r="E32" s="3" t="n">
        <v>31</v>
      </c>
      <c r="F32" s="1" t="inlineStr">
        <is>
          <t>Raja</t>
        </is>
      </c>
      <c r="G32" s="20" t="inlineStr">
        <is>
          <t>PE04062601</t>
        </is>
      </c>
      <c r="H32" s="6" t="inlineStr">
        <is>
          <t>WIP</t>
        </is>
      </c>
      <c r="I32" s="6" t="inlineStr">
        <is>
          <t>Inspection</t>
        </is>
      </c>
      <c r="J32" s="4" t="inlineStr">
        <is>
          <t>PE04062601</t>
        </is>
      </c>
      <c r="K32" s="9" t="n"/>
      <c r="L32" s="18" t="n"/>
      <c r="M32" s="18" t="n"/>
    </row>
    <row r="33">
      <c r="A33" s="9" t="n">
        <v>46188</v>
      </c>
      <c r="B33" s="7" t="inlineStr">
        <is>
          <t>Asian Fab Tec Ltd</t>
        </is>
      </c>
      <c r="C33" s="7" t="inlineStr">
        <is>
          <t>Bangalore</t>
        </is>
      </c>
      <c r="D33" s="7" t="inlineStr">
        <is>
          <t>Karnataka</t>
        </is>
      </c>
      <c r="E33" s="3" t="n">
        <v>32</v>
      </c>
      <c r="F33" s="1" t="inlineStr">
        <is>
          <t>Pavan</t>
        </is>
      </c>
      <c r="G33" s="33" t="inlineStr">
        <is>
          <t>PE25032602</t>
        </is>
      </c>
      <c r="H33" s="1" t="inlineStr">
        <is>
          <t>Closed</t>
        </is>
      </c>
      <c r="I33" s="1" t="inlineStr">
        <is>
          <t>Retrofit</t>
        </is>
      </c>
      <c r="J33" s="4" t="inlineStr">
        <is>
          <t>PE25032602</t>
        </is>
      </c>
      <c r="K33" s="9" t="n"/>
      <c r="L33" s="18" t="n"/>
      <c r="M33" s="18" t="n"/>
    </row>
    <row r="34">
      <c r="A34" s="9" t="n">
        <v>46189</v>
      </c>
      <c r="B34" s="1" t="inlineStr">
        <is>
          <t>Continuum</t>
        </is>
      </c>
      <c r="C34" s="7" t="inlineStr">
        <is>
          <t>Nakhatrana</t>
        </is>
      </c>
      <c r="D34" s="7" t="inlineStr">
        <is>
          <t>Gujarat</t>
        </is>
      </c>
      <c r="E34" s="3" t="n">
        <v>21</v>
      </c>
      <c r="F34" s="1" t="inlineStr">
        <is>
          <t>Kamal + Kunal</t>
        </is>
      </c>
      <c r="G34" s="16" t="inlineStr">
        <is>
          <t>PE19052601</t>
        </is>
      </c>
      <c r="H34" s="1" t="inlineStr">
        <is>
          <t>Closed</t>
        </is>
      </c>
      <c r="I34" s="1" t="inlineStr">
        <is>
          <t>Retrofit</t>
        </is>
      </c>
      <c r="J34" s="4" t="inlineStr">
        <is>
          <t>PE19052601</t>
        </is>
      </c>
      <c r="K34" s="9" t="n"/>
      <c r="L34" s="18" t="n"/>
      <c r="M34" s="18" t="n"/>
    </row>
    <row r="35">
      <c r="A35" s="9" t="n">
        <v>46189</v>
      </c>
      <c r="B35" s="15" t="inlineStr">
        <is>
          <t>Ayana</t>
        </is>
      </c>
      <c r="C35" s="7" t="inlineStr">
        <is>
          <t>Jatavira</t>
        </is>
      </c>
      <c r="D35" s="7" t="inlineStr">
        <is>
          <t>Gujarat</t>
        </is>
      </c>
      <c r="E35" s="3" t="n">
        <v>33</v>
      </c>
      <c r="F35" s="1" t="inlineStr">
        <is>
          <t>Raja</t>
        </is>
      </c>
      <c r="G35" s="20" t="inlineStr">
        <is>
          <t>PE04062601</t>
        </is>
      </c>
      <c r="H35" s="6" t="inlineStr">
        <is>
          <t>WIP</t>
        </is>
      </c>
      <c r="I35" s="6" t="inlineStr">
        <is>
          <t>Inspection</t>
        </is>
      </c>
      <c r="J35" s="4" t="inlineStr">
        <is>
          <t>PE04062601</t>
        </is>
      </c>
      <c r="K35" s="9" t="n"/>
      <c r="L35" s="18" t="n"/>
      <c r="M35" s="18" t="n"/>
    </row>
    <row r="36">
      <c r="A36" s="9" t="n">
        <v>46189</v>
      </c>
      <c r="B36" s="7" t="inlineStr">
        <is>
          <t>Asian Fab Tec Ltd</t>
        </is>
      </c>
      <c r="C36" s="7" t="inlineStr">
        <is>
          <t>Bangalore</t>
        </is>
      </c>
      <c r="D36" s="7" t="inlineStr">
        <is>
          <t>Karnataka</t>
        </is>
      </c>
      <c r="E36" s="3" t="n">
        <v>36</v>
      </c>
      <c r="F36" s="1" t="inlineStr">
        <is>
          <t>Pavan</t>
        </is>
      </c>
      <c r="G36" s="33" t="inlineStr">
        <is>
          <t>PE25032602</t>
        </is>
      </c>
      <c r="H36" s="1" t="inlineStr">
        <is>
          <t>Closed</t>
        </is>
      </c>
      <c r="I36" s="1" t="inlineStr">
        <is>
          <t>Retrofit</t>
        </is>
      </c>
      <c r="J36" s="4" t="inlineStr">
        <is>
          <t>PE25032602</t>
        </is>
      </c>
      <c r="K36" s="9" t="n"/>
      <c r="L36" s="18" t="n"/>
      <c r="M36" s="18" t="n"/>
    </row>
    <row r="37">
      <c r="A37" s="9" t="n">
        <v>46190</v>
      </c>
      <c r="B37" s="7" t="inlineStr">
        <is>
          <t>Asian Fab Tec Ltd</t>
        </is>
      </c>
      <c r="C37" s="7" t="inlineStr">
        <is>
          <t>Bangalore</t>
        </is>
      </c>
      <c r="D37" s="7" t="inlineStr">
        <is>
          <t>Karnataka</t>
        </is>
      </c>
      <c r="E37" s="3" t="n">
        <v>15</v>
      </c>
      <c r="F37" s="1" t="inlineStr">
        <is>
          <t>Pavan</t>
        </is>
      </c>
      <c r="G37" s="33" t="inlineStr">
        <is>
          <t>PE25032602</t>
        </is>
      </c>
      <c r="H37" s="1" t="inlineStr">
        <is>
          <t>Closed</t>
        </is>
      </c>
      <c r="I37" s="1" t="inlineStr">
        <is>
          <t>Retrofit</t>
        </is>
      </c>
      <c r="J37" s="4" t="inlineStr">
        <is>
          <t>PE25032602</t>
        </is>
      </c>
      <c r="K37" s="9" t="n"/>
      <c r="L37" s="18" t="n"/>
      <c r="M37" s="18" t="n"/>
    </row>
    <row r="38">
      <c r="A38" s="9" t="n">
        <v>46190</v>
      </c>
      <c r="B38" s="15" t="inlineStr">
        <is>
          <t>Ayana</t>
        </is>
      </c>
      <c r="C38" s="7" t="inlineStr">
        <is>
          <t>Jatavira</t>
        </is>
      </c>
      <c r="D38" s="7" t="inlineStr">
        <is>
          <t>Gujarat</t>
        </is>
      </c>
      <c r="E38" s="3" t="n">
        <v>37</v>
      </c>
      <c r="F38" s="1" t="inlineStr">
        <is>
          <t>Kamal + Kunal</t>
        </is>
      </c>
      <c r="G38" s="20" t="inlineStr">
        <is>
          <t>PE04062601</t>
        </is>
      </c>
      <c r="H38" s="6" t="inlineStr">
        <is>
          <t>Closed</t>
        </is>
      </c>
      <c r="I38" s="1" t="inlineStr">
        <is>
          <t>Retrofit</t>
        </is>
      </c>
      <c r="J38" s="4" t="inlineStr">
        <is>
          <t>PE04062601</t>
        </is>
      </c>
      <c r="K38" s="9" t="n">
        <v>46189</v>
      </c>
      <c r="L38" s="18" t="n"/>
      <c r="M38" s="18" t="n"/>
    </row>
    <row r="39">
      <c r="A39" s="9" t="n">
        <v>46190</v>
      </c>
      <c r="B39" s="15" t="inlineStr">
        <is>
          <t>Ayana</t>
        </is>
      </c>
      <c r="C39" s="7" t="inlineStr">
        <is>
          <t>Jatavira</t>
        </is>
      </c>
      <c r="D39" s="7" t="inlineStr">
        <is>
          <t>Gujarat</t>
        </is>
      </c>
      <c r="E39" s="3" t="n">
        <v>38</v>
      </c>
      <c r="F39" s="1" t="inlineStr">
        <is>
          <t>Raja</t>
        </is>
      </c>
      <c r="G39" s="20" t="inlineStr">
        <is>
          <t>PE04062601</t>
        </is>
      </c>
      <c r="H39" s="6" t="inlineStr">
        <is>
          <t>WIP</t>
        </is>
      </c>
      <c r="I39" s="6" t="inlineStr">
        <is>
          <t>Inspection</t>
        </is>
      </c>
      <c r="J39" s="4" t="inlineStr">
        <is>
          <t>PE04062601</t>
        </is>
      </c>
      <c r="K39" s="9" t="n"/>
      <c r="L39" s="18" t="n"/>
      <c r="M39" s="18" t="n"/>
    </row>
    <row r="40">
      <c r="A40" s="9" t="n">
        <v>46191</v>
      </c>
      <c r="B40" s="7" t="inlineStr">
        <is>
          <t>Asian Fab Tec Ltd</t>
        </is>
      </c>
      <c r="C40" s="7" t="inlineStr">
        <is>
          <t>Bangalore</t>
        </is>
      </c>
      <c r="D40" s="7" t="inlineStr">
        <is>
          <t>Karnataka</t>
        </is>
      </c>
      <c r="E40" s="3" t="n">
        <v>40</v>
      </c>
      <c r="F40" s="1" t="inlineStr">
        <is>
          <t>Pavan</t>
        </is>
      </c>
      <c r="G40" s="33" t="inlineStr">
        <is>
          <t>PE25032602</t>
        </is>
      </c>
      <c r="H40" s="1" t="inlineStr">
        <is>
          <t>Closed</t>
        </is>
      </c>
      <c r="I40" s="1" t="inlineStr">
        <is>
          <t>Retrofit</t>
        </is>
      </c>
      <c r="J40" s="4" t="inlineStr">
        <is>
          <t>PE25032602</t>
        </is>
      </c>
      <c r="K40" s="9" t="n"/>
      <c r="L40" s="18" t="n"/>
      <c r="M40" s="18" t="n"/>
    </row>
    <row r="41">
      <c r="A41" s="9" t="n">
        <v>46191</v>
      </c>
      <c r="B41" s="15" t="inlineStr">
        <is>
          <t>Ayana</t>
        </is>
      </c>
      <c r="C41" s="7" t="inlineStr">
        <is>
          <t>Jatavira</t>
        </is>
      </c>
      <c r="D41" s="7" t="inlineStr">
        <is>
          <t>Gujarat</t>
        </is>
      </c>
      <c r="E41" s="3" t="n">
        <v>40</v>
      </c>
      <c r="F41" s="1" t="inlineStr">
        <is>
          <t>Raja</t>
        </is>
      </c>
      <c r="G41" s="20" t="inlineStr">
        <is>
          <t>PE04062601</t>
        </is>
      </c>
      <c r="H41" s="6" t="inlineStr">
        <is>
          <t>WIP</t>
        </is>
      </c>
      <c r="I41" s="6" t="inlineStr">
        <is>
          <t>Inspection</t>
        </is>
      </c>
      <c r="J41" s="4" t="inlineStr">
        <is>
          <t>PE04062601</t>
        </is>
      </c>
      <c r="K41" s="9" t="n"/>
      <c r="L41" s="18" t="n"/>
      <c r="M41" s="18" t="n"/>
    </row>
    <row r="42">
      <c r="A42" s="9" t="n">
        <v>46191</v>
      </c>
      <c r="B42" s="15" t="inlineStr">
        <is>
          <t>Ayana</t>
        </is>
      </c>
      <c r="C42" s="7" t="inlineStr">
        <is>
          <t>Jatavira</t>
        </is>
      </c>
      <c r="D42" s="7" t="inlineStr">
        <is>
          <t>Gujarat</t>
        </is>
      </c>
      <c r="E42" s="3" t="n">
        <v>33</v>
      </c>
      <c r="F42" s="1" t="inlineStr">
        <is>
          <t>Kamal + Kunal</t>
        </is>
      </c>
      <c r="G42" s="20" t="inlineStr">
        <is>
          <t>PE04062601</t>
        </is>
      </c>
      <c r="H42" s="6" t="inlineStr">
        <is>
          <t>Closed</t>
        </is>
      </c>
      <c r="I42" s="1" t="inlineStr">
        <is>
          <t>Retrofit</t>
        </is>
      </c>
      <c r="J42" s="4" t="inlineStr">
        <is>
          <t>PE04062601</t>
        </is>
      </c>
      <c r="K42" s="9" t="n"/>
      <c r="L42" s="18" t="n"/>
      <c r="M42" s="18" t="n"/>
    </row>
    <row r="43">
      <c r="A43" s="9" t="n">
        <v>46192</v>
      </c>
      <c r="B43" s="15" t="inlineStr">
        <is>
          <t>Ayana</t>
        </is>
      </c>
      <c r="C43" s="7" t="inlineStr">
        <is>
          <t>Jatavira</t>
        </is>
      </c>
      <c r="D43" s="7" t="inlineStr">
        <is>
          <t>Gujarat</t>
        </is>
      </c>
      <c r="E43" s="3" t="n">
        <v>25</v>
      </c>
      <c r="F43" s="1" t="inlineStr">
        <is>
          <t>Raja</t>
        </is>
      </c>
      <c r="G43" s="20" t="inlineStr">
        <is>
          <t>PE04062601</t>
        </is>
      </c>
      <c r="H43" s="6" t="inlineStr">
        <is>
          <t>WIP</t>
        </is>
      </c>
      <c r="I43" s="6" t="inlineStr">
        <is>
          <t>Inspection</t>
        </is>
      </c>
      <c r="J43" s="4" t="inlineStr">
        <is>
          <t>PE04062601</t>
        </is>
      </c>
      <c r="K43" s="9" t="n"/>
      <c r="L43" s="18" t="n"/>
      <c r="M43" s="18" t="n"/>
    </row>
    <row r="44">
      <c r="A44" s="9" t="n">
        <v>46192</v>
      </c>
      <c r="B44" s="15" t="inlineStr">
        <is>
          <t>Ayana</t>
        </is>
      </c>
      <c r="C44" s="7" t="inlineStr">
        <is>
          <t>Jatavira</t>
        </is>
      </c>
      <c r="D44" s="7" t="inlineStr">
        <is>
          <t>Gujarat</t>
        </is>
      </c>
      <c r="E44" s="3" t="n">
        <v>30</v>
      </c>
      <c r="F44" s="1" t="inlineStr">
        <is>
          <t>Kamal + Kunal</t>
        </is>
      </c>
      <c r="G44" s="20" t="inlineStr">
        <is>
          <t>PE04062601</t>
        </is>
      </c>
      <c r="H44" s="6" t="inlineStr">
        <is>
          <t>Closed</t>
        </is>
      </c>
      <c r="I44" s="1" t="inlineStr">
        <is>
          <t>Retrofit</t>
        </is>
      </c>
      <c r="J44" s="4" t="inlineStr">
        <is>
          <t>PE04062601</t>
        </is>
      </c>
      <c r="K44" s="9" t="n"/>
      <c r="L44" s="18" t="n"/>
      <c r="M44" s="18" t="n"/>
    </row>
    <row r="45">
      <c r="A45" s="9" t="n">
        <v>46192</v>
      </c>
      <c r="B45" s="7" t="inlineStr">
        <is>
          <t>Asian Fab Tec Ltd</t>
        </is>
      </c>
      <c r="C45" s="7" t="inlineStr">
        <is>
          <t>Bangalore</t>
        </is>
      </c>
      <c r="D45" s="7" t="inlineStr">
        <is>
          <t>Karnataka</t>
        </is>
      </c>
      <c r="E45" s="3" t="n">
        <v>36</v>
      </c>
      <c r="F45" s="1" t="inlineStr">
        <is>
          <t>Pavan</t>
        </is>
      </c>
      <c r="G45" s="33" t="inlineStr">
        <is>
          <t>PE25032602</t>
        </is>
      </c>
      <c r="H45" s="1" t="inlineStr">
        <is>
          <t>Closed</t>
        </is>
      </c>
      <c r="I45" s="1" t="inlineStr">
        <is>
          <t>Retrofit</t>
        </is>
      </c>
      <c r="J45" s="4" t="inlineStr">
        <is>
          <t>PE25032602</t>
        </is>
      </c>
      <c r="K45" s="9" t="n"/>
      <c r="L45" s="18" t="n"/>
      <c r="M45" s="18" t="n"/>
    </row>
    <row r="46">
      <c r="A46" s="9" t="n">
        <v>46193</v>
      </c>
      <c r="B46" s="1" t="inlineStr">
        <is>
          <t>Continuum</t>
        </is>
      </c>
      <c r="C46" s="7" t="inlineStr">
        <is>
          <t>Nakhatrana</t>
        </is>
      </c>
      <c r="D46" s="7" t="inlineStr">
        <is>
          <t>Gujarat</t>
        </is>
      </c>
      <c r="E46" s="3" t="n">
        <v>3</v>
      </c>
      <c r="F46" s="1" t="inlineStr">
        <is>
          <t>Kamal + Kunal</t>
        </is>
      </c>
      <c r="G46" s="16" t="inlineStr">
        <is>
          <t>PE19052601</t>
        </is>
      </c>
      <c r="H46" s="1" t="inlineStr">
        <is>
          <t>Closed</t>
        </is>
      </c>
      <c r="I46" s="1" t="inlineStr">
        <is>
          <t>Retrofit</t>
        </is>
      </c>
      <c r="J46" s="4" t="inlineStr">
        <is>
          <t>PE19052601</t>
        </is>
      </c>
      <c r="K46" s="9" t="n"/>
      <c r="L46" s="18" t="n"/>
      <c r="M46" s="18" t="n"/>
    </row>
    <row r="47">
      <c r="A47" s="9" t="n">
        <v>46193</v>
      </c>
      <c r="B47" s="1" t="inlineStr">
        <is>
          <t>Continuum</t>
        </is>
      </c>
      <c r="C47" s="7" t="inlineStr">
        <is>
          <t>Nakhatrana</t>
        </is>
      </c>
      <c r="D47" s="7" t="inlineStr">
        <is>
          <t>Gujarat</t>
        </is>
      </c>
      <c r="E47" s="3" t="n">
        <v>3</v>
      </c>
      <c r="F47" s="1" t="inlineStr">
        <is>
          <t>Kamal + Raja + Kunal</t>
        </is>
      </c>
      <c r="G47" s="16" t="inlineStr">
        <is>
          <t>PE19052601</t>
        </is>
      </c>
      <c r="H47" s="1" t="inlineStr">
        <is>
          <t>WIP</t>
        </is>
      </c>
      <c r="I47" s="1" t="inlineStr">
        <is>
          <t>Inspection</t>
        </is>
      </c>
      <c r="J47" s="4" t="inlineStr">
        <is>
          <t>PE19052601</t>
        </is>
      </c>
      <c r="K47" s="9" t="n"/>
      <c r="L47" s="18" t="n"/>
      <c r="M47" s="18" t="n"/>
    </row>
    <row r="48">
      <c r="A48" s="9" t="n">
        <v>46193</v>
      </c>
      <c r="B48" s="15" t="inlineStr">
        <is>
          <t>Ayana</t>
        </is>
      </c>
      <c r="C48" s="7" t="inlineStr">
        <is>
          <t>Jatavira</t>
        </is>
      </c>
      <c r="D48" s="7" t="inlineStr">
        <is>
          <t>Gujarat</t>
        </is>
      </c>
      <c r="E48" s="3" t="n">
        <v>14</v>
      </c>
      <c r="F48" s="1" t="inlineStr">
        <is>
          <t>Raja</t>
        </is>
      </c>
      <c r="G48" s="20" t="inlineStr">
        <is>
          <t>PE04062601</t>
        </is>
      </c>
      <c r="H48" s="6" t="inlineStr">
        <is>
          <t>WIP</t>
        </is>
      </c>
      <c r="I48" s="6" t="inlineStr">
        <is>
          <t>Inspection</t>
        </is>
      </c>
      <c r="J48" s="4" t="inlineStr">
        <is>
          <t>PE04062601</t>
        </is>
      </c>
      <c r="K48" s="9" t="n"/>
      <c r="L48" s="9" t="n">
        <v>46193</v>
      </c>
      <c r="M48" s="18" t="n"/>
    </row>
    <row r="49">
      <c r="A49" s="9" t="n">
        <v>46193</v>
      </c>
      <c r="B49" s="7" t="inlineStr">
        <is>
          <t>Asian Fab Tec Ltd</t>
        </is>
      </c>
      <c r="C49" s="7" t="inlineStr">
        <is>
          <t>Bangalore</t>
        </is>
      </c>
      <c r="D49" s="7" t="inlineStr">
        <is>
          <t>Karnataka</t>
        </is>
      </c>
      <c r="E49" s="3" t="n">
        <v>20</v>
      </c>
      <c r="F49" s="1" t="inlineStr">
        <is>
          <t>Pavan</t>
        </is>
      </c>
      <c r="G49" s="33" t="inlineStr">
        <is>
          <t>PE25032602</t>
        </is>
      </c>
      <c r="H49" s="1" t="inlineStr">
        <is>
          <t>Closed</t>
        </is>
      </c>
      <c r="I49" s="1" t="inlineStr">
        <is>
          <t>Retrofit</t>
        </is>
      </c>
      <c r="J49" s="4" t="inlineStr">
        <is>
          <t>PE25032602</t>
        </is>
      </c>
      <c r="K49" s="9" t="n"/>
      <c r="L49" s="18" t="n"/>
      <c r="M49" s="18" t="n"/>
    </row>
    <row r="50">
      <c r="A50" s="9" t="n">
        <v>46195</v>
      </c>
      <c r="B50" s="6" t="inlineStr">
        <is>
          <t>Panasonic</t>
        </is>
      </c>
      <c r="C50" s="7" t="inlineStr">
        <is>
          <t>Banglore</t>
        </is>
      </c>
      <c r="D50" s="7" t="inlineStr">
        <is>
          <t>Karnataka</t>
        </is>
      </c>
      <c r="E50" s="3" t="n">
        <v>2</v>
      </c>
      <c r="F50" s="1" t="inlineStr">
        <is>
          <t>Pavan</t>
        </is>
      </c>
      <c r="G50" s="26" t="inlineStr">
        <is>
          <t>PE16062601</t>
        </is>
      </c>
      <c r="H50" s="1" t="inlineStr">
        <is>
          <t>Closed</t>
        </is>
      </c>
      <c r="I50" s="1" t="inlineStr">
        <is>
          <t>Retrofit</t>
        </is>
      </c>
      <c r="J50" s="43" t="inlineStr">
        <is>
          <t>PE16062601</t>
        </is>
      </c>
      <c r="K50" s="9" t="n"/>
      <c r="L50" s="18" t="n"/>
      <c r="M50" s="18" t="n"/>
    </row>
    <row r="51">
      <c r="A51" s="9" t="n">
        <v>46195</v>
      </c>
      <c r="B51" s="7" t="inlineStr">
        <is>
          <t>TRUE SUN TRADING COMPANY</t>
        </is>
      </c>
      <c r="C51" s="7" t="inlineStr">
        <is>
          <t>Bengaluru</t>
        </is>
      </c>
      <c r="D51" s="7" t="inlineStr">
        <is>
          <t>Karnataka</t>
        </is>
      </c>
      <c r="E51" s="3" t="n">
        <v>1</v>
      </c>
      <c r="F51" s="1" t="inlineStr">
        <is>
          <t>Pavan</t>
        </is>
      </c>
      <c r="G51" s="26" t="inlineStr">
        <is>
          <t>PE07062604</t>
        </is>
      </c>
      <c r="H51" s="1" t="inlineStr">
        <is>
          <t>Closed</t>
        </is>
      </c>
      <c r="I51" s="1" t="inlineStr">
        <is>
          <t>Retrofit</t>
        </is>
      </c>
      <c r="J51" s="43" t="inlineStr">
        <is>
          <t>PE07062604</t>
        </is>
      </c>
      <c r="K51" s="9" t="n"/>
      <c r="L51" s="9" t="n">
        <v>46196</v>
      </c>
      <c r="M51" s="18" t="n"/>
    </row>
    <row r="52">
      <c r="A52" s="9" t="n">
        <v>46196</v>
      </c>
      <c r="B52" s="15" t="inlineStr">
        <is>
          <t>Ayana</t>
        </is>
      </c>
      <c r="C52" s="7" t="inlineStr">
        <is>
          <t>Zura</t>
        </is>
      </c>
      <c r="D52" s="7" t="inlineStr">
        <is>
          <t>Gujarat</t>
        </is>
      </c>
      <c r="E52" s="3" t="n">
        <v>84</v>
      </c>
      <c r="F52" s="1" t="inlineStr">
        <is>
          <t>Kamal + Raja + Kunal</t>
        </is>
      </c>
      <c r="G52" s="20" t="inlineStr">
        <is>
          <t>PE04062601</t>
        </is>
      </c>
      <c r="H52" s="1" t="inlineStr">
        <is>
          <t>WIP</t>
        </is>
      </c>
      <c r="I52" s="1" t="inlineStr">
        <is>
          <t>Inspection</t>
        </is>
      </c>
      <c r="J52" s="4" t="inlineStr">
        <is>
          <t>PE04062601</t>
        </is>
      </c>
      <c r="K52" s="9" t="n"/>
      <c r="L52" s="18" t="n"/>
      <c r="M52" s="18" t="n"/>
    </row>
    <row r="53">
      <c r="A53" s="9" t="n">
        <v>46197</v>
      </c>
      <c r="B53" s="15" t="inlineStr">
        <is>
          <t>Ayana</t>
        </is>
      </c>
      <c r="C53" s="7" t="inlineStr">
        <is>
          <t>Zura</t>
        </is>
      </c>
      <c r="D53" s="7" t="inlineStr">
        <is>
          <t>Gujarat</t>
        </is>
      </c>
      <c r="E53" s="3" t="n">
        <v>182</v>
      </c>
      <c r="F53" s="1" t="inlineStr">
        <is>
          <t>Kamal + Raja + Kunal</t>
        </is>
      </c>
      <c r="G53" s="20" t="inlineStr">
        <is>
          <t>PE04062601</t>
        </is>
      </c>
      <c r="H53" s="1" t="inlineStr">
        <is>
          <t>WIP</t>
        </is>
      </c>
      <c r="I53" s="1" t="inlineStr">
        <is>
          <t>Inspection</t>
        </is>
      </c>
      <c r="J53" s="4" t="inlineStr">
        <is>
          <t>PE04062601</t>
        </is>
      </c>
      <c r="K53" s="9" t="n"/>
      <c r="L53" s="18" t="n"/>
      <c r="M53" s="18" t="n"/>
    </row>
    <row r="54">
      <c r="A54" s="9" t="n">
        <v>46198</v>
      </c>
      <c r="B54" s="15" t="inlineStr">
        <is>
          <t>Ayana</t>
        </is>
      </c>
      <c r="C54" s="7" t="inlineStr">
        <is>
          <t>Zura</t>
        </is>
      </c>
      <c r="D54" s="7" t="inlineStr">
        <is>
          <t>Gujarat</t>
        </is>
      </c>
      <c r="E54" s="3" t="n">
        <v>277</v>
      </c>
      <c r="F54" s="1" t="inlineStr">
        <is>
          <t>Kamal + Raja + Kunal</t>
        </is>
      </c>
      <c r="G54" s="20" t="inlineStr">
        <is>
          <t>PE04062601</t>
        </is>
      </c>
      <c r="H54" s="1" t="inlineStr">
        <is>
          <t>WIP</t>
        </is>
      </c>
      <c r="I54" s="1" t="inlineStr">
        <is>
          <t>Inspection</t>
        </is>
      </c>
      <c r="J54" s="4" t="inlineStr">
        <is>
          <t>PE04062601</t>
        </is>
      </c>
      <c r="K54" s="9" t="n"/>
      <c r="L54" s="18" t="n"/>
      <c r="M54" s="18" t="n"/>
    </row>
    <row r="55">
      <c r="A55" s="9" t="n">
        <v>46199</v>
      </c>
      <c r="B55" s="6" t="inlineStr">
        <is>
          <t>Solaark Renewables Pvt. Ltd</t>
        </is>
      </c>
      <c r="C55" s="7" t="inlineStr">
        <is>
          <t>Bangalore</t>
        </is>
      </c>
      <c r="D55" s="7" t="inlineStr">
        <is>
          <t>Karnataka</t>
        </is>
      </c>
      <c r="E55" s="3" t="n">
        <v>1</v>
      </c>
      <c r="F55" s="1" t="inlineStr">
        <is>
          <t>Pavan</t>
        </is>
      </c>
      <c r="G55" s="16" t="inlineStr">
        <is>
          <t>PE27052602</t>
        </is>
      </c>
      <c r="H55" s="6" t="inlineStr">
        <is>
          <t>WIP</t>
        </is>
      </c>
      <c r="I55" s="1" t="inlineStr">
        <is>
          <t>Inspection</t>
        </is>
      </c>
      <c r="J55" s="4" t="inlineStr">
        <is>
          <t>PE27052602</t>
        </is>
      </c>
      <c r="K55" s="9" t="n">
        <v>46198</v>
      </c>
      <c r="L55" s="18" t="n"/>
      <c r="M55" s="18" t="n"/>
    </row>
    <row r="56">
      <c r="A56" s="9" t="n">
        <v>46199</v>
      </c>
      <c r="B56" s="15" t="inlineStr">
        <is>
          <t>Ayana</t>
        </is>
      </c>
      <c r="C56" s="7" t="inlineStr">
        <is>
          <t>Zura</t>
        </is>
      </c>
      <c r="D56" s="7" t="inlineStr">
        <is>
          <t>Gujarat</t>
        </is>
      </c>
      <c r="E56" s="3" t="n">
        <v>215</v>
      </c>
      <c r="F56" s="1" t="inlineStr">
        <is>
          <t>Kamal + Raja + Kunal</t>
        </is>
      </c>
      <c r="G56" s="20" t="inlineStr">
        <is>
          <t>PE04062601</t>
        </is>
      </c>
      <c r="H56" s="1" t="inlineStr">
        <is>
          <t>WIP</t>
        </is>
      </c>
      <c r="I56" s="1" t="inlineStr">
        <is>
          <t>Inspection</t>
        </is>
      </c>
      <c r="J56" s="4" t="inlineStr">
        <is>
          <t>PE04062601</t>
        </is>
      </c>
      <c r="K56" s="9" t="n"/>
      <c r="L56" s="18" t="n"/>
      <c r="M56" s="18" t="n"/>
    </row>
    <row r="57">
      <c r="A57" s="9" t="n">
        <v>46200</v>
      </c>
      <c r="B57" s="7" t="inlineStr">
        <is>
          <t>First Energy</t>
        </is>
      </c>
      <c r="C57" s="7" t="inlineStr">
        <is>
          <t>Tirunelveli</t>
        </is>
      </c>
      <c r="D57" s="7" t="inlineStr">
        <is>
          <t>Tamil Nadu</t>
        </is>
      </c>
      <c r="E57" s="3" t="n">
        <v>98</v>
      </c>
      <c r="F57" s="1" t="inlineStr">
        <is>
          <t>Bhimsen + Bani + Gourab</t>
        </is>
      </c>
      <c r="G57" s="16" t="inlineStr">
        <is>
          <t>PE22042601</t>
        </is>
      </c>
      <c r="H57" s="6" t="inlineStr">
        <is>
          <t>Closed</t>
        </is>
      </c>
      <c r="I57" s="1" t="inlineStr">
        <is>
          <t>Retrofit</t>
        </is>
      </c>
      <c r="J57" s="4" t="inlineStr">
        <is>
          <t>PE22042601</t>
        </is>
      </c>
      <c r="K57" s="9" t="n">
        <v>46197</v>
      </c>
      <c r="L57" s="18" t="n"/>
      <c r="M57" s="18" t="n"/>
    </row>
    <row r="58">
      <c r="A58" s="9" t="n">
        <v>46200</v>
      </c>
      <c r="B58" s="8" t="inlineStr">
        <is>
          <t>Solaark</t>
        </is>
      </c>
      <c r="C58" s="7" t="inlineStr">
        <is>
          <t>Bangalore</t>
        </is>
      </c>
      <c r="D58" s="7" t="inlineStr">
        <is>
          <t>Karnataka</t>
        </is>
      </c>
      <c r="E58" s="3" t="n">
        <v>1</v>
      </c>
      <c r="F58" s="1" t="inlineStr">
        <is>
          <t>Pavan</t>
        </is>
      </c>
      <c r="G58" s="26" t="inlineStr">
        <is>
          <t>PE10062601</t>
        </is>
      </c>
      <c r="H58" s="6" t="inlineStr">
        <is>
          <t>Closed</t>
        </is>
      </c>
      <c r="I58" s="1" t="inlineStr">
        <is>
          <t>Retrofit</t>
        </is>
      </c>
      <c r="J58" s="4" t="inlineStr">
        <is>
          <t>PE10062601</t>
        </is>
      </c>
      <c r="K58" s="9" t="n"/>
      <c r="L58" s="18" t="n"/>
      <c r="M58" s="18" t="n"/>
    </row>
    <row r="59">
      <c r="A59" s="9" t="n">
        <v>46200</v>
      </c>
      <c r="B59" s="15" t="inlineStr">
        <is>
          <t>Ayana</t>
        </is>
      </c>
      <c r="C59" s="7" t="inlineStr">
        <is>
          <t>Zura</t>
        </is>
      </c>
      <c r="D59" s="7" t="inlineStr">
        <is>
          <t>Gujarat</t>
        </is>
      </c>
      <c r="E59" s="3" t="n">
        <v>193</v>
      </c>
      <c r="F59" s="1" t="inlineStr">
        <is>
          <t>Kamal + Raja + Kunal</t>
        </is>
      </c>
      <c r="G59" s="20" t="inlineStr">
        <is>
          <t>PE04062601</t>
        </is>
      </c>
      <c r="H59" s="1" t="inlineStr">
        <is>
          <t>WIP</t>
        </is>
      </c>
      <c r="I59" s="1" t="inlineStr">
        <is>
          <t>Inspection</t>
        </is>
      </c>
      <c r="J59" s="4" t="inlineStr">
        <is>
          <t>PE04062601</t>
        </is>
      </c>
      <c r="K59" s="9" t="n"/>
      <c r="L59" s="18" t="n"/>
      <c r="M59" s="18" t="n"/>
    </row>
    <row r="60">
      <c r="A60" s="9" t="n">
        <v>46202</v>
      </c>
      <c r="B60" s="7" t="inlineStr">
        <is>
          <t>Solar Square</t>
        </is>
      </c>
      <c r="C60" s="7" t="inlineStr">
        <is>
          <t>Manglore</t>
        </is>
      </c>
      <c r="D60" s="7" t="inlineStr">
        <is>
          <t>Karnataka</t>
        </is>
      </c>
      <c r="E60" s="3" t="n">
        <v>5</v>
      </c>
      <c r="F60" s="1" t="inlineStr">
        <is>
          <t>Pavan</t>
        </is>
      </c>
      <c r="G60" s="20" t="inlineStr">
        <is>
          <t>PE12062601</t>
        </is>
      </c>
      <c r="H60" s="6" t="inlineStr">
        <is>
          <t>Closed</t>
        </is>
      </c>
      <c r="I60" s="1" t="inlineStr">
        <is>
          <t>Inspection</t>
        </is>
      </c>
      <c r="J60" s="4" t="inlineStr">
        <is>
          <t>PE12062601</t>
        </is>
      </c>
      <c r="K60" s="18" t="n"/>
      <c r="L60" s="18" t="n"/>
      <c r="M60" s="18" t="n"/>
    </row>
    <row r="61">
      <c r="A61" s="9" t="n">
        <v>46202</v>
      </c>
      <c r="B61" s="7" t="inlineStr">
        <is>
          <t>First Energy</t>
        </is>
      </c>
      <c r="C61" s="7" t="inlineStr">
        <is>
          <t>Tirunelveli</t>
        </is>
      </c>
      <c r="D61" s="7" t="inlineStr">
        <is>
          <t>Tamil Nadu</t>
        </is>
      </c>
      <c r="E61" s="3" t="n">
        <v>92</v>
      </c>
      <c r="F61" s="1" t="inlineStr">
        <is>
          <t>Bhimsen + Bani + Gourab</t>
        </is>
      </c>
      <c r="G61" s="16" t="inlineStr">
        <is>
          <t>PE22042601</t>
        </is>
      </c>
      <c r="H61" s="6" t="inlineStr">
        <is>
          <t>Closed</t>
        </is>
      </c>
      <c r="I61" s="1" t="inlineStr">
        <is>
          <t>Retrofit</t>
        </is>
      </c>
      <c r="J61" s="4" t="inlineStr">
        <is>
          <t>PE22042601</t>
        </is>
      </c>
      <c r="K61" s="9" t="n"/>
      <c r="L61" s="18" t="n"/>
      <c r="M61" s="18" t="n"/>
    </row>
    <row r="62">
      <c r="A62" s="9" t="n">
        <v>46203</v>
      </c>
      <c r="B62" s="2" t="inlineStr">
        <is>
          <t>Maharudra Agencies</t>
        </is>
      </c>
      <c r="C62" s="7" t="inlineStr">
        <is>
          <t>North Goa</t>
        </is>
      </c>
      <c r="D62" s="7" t="inlineStr">
        <is>
          <t>Goa</t>
        </is>
      </c>
      <c r="E62" s="3" t="n">
        <v>1</v>
      </c>
      <c r="F62" s="1" t="inlineStr">
        <is>
          <t>By mail</t>
        </is>
      </c>
      <c r="G62" s="10" t="inlineStr">
        <is>
          <t>PE03062602</t>
        </is>
      </c>
      <c r="H62" s="6" t="inlineStr">
        <is>
          <t>Closed</t>
        </is>
      </c>
      <c r="I62" s="1" t="inlineStr">
        <is>
          <t>Replacement</t>
        </is>
      </c>
      <c r="J62" s="4" t="inlineStr">
        <is>
          <t>PE03062602</t>
        </is>
      </c>
      <c r="K62" s="9" t="n"/>
      <c r="L62" s="18" t="n"/>
      <c r="M62" s="6" t="inlineStr">
        <is>
          <t>Approved By MD Sir</t>
        </is>
      </c>
    </row>
    <row r="63">
      <c r="A63" s="9" t="n">
        <v>46203</v>
      </c>
      <c r="B63" s="7" t="inlineStr">
        <is>
          <t>Axitec Energy</t>
        </is>
      </c>
      <c r="C63" s="7" t="inlineStr">
        <is>
          <t>Trivandrum</t>
        </is>
      </c>
      <c r="D63" s="7" t="inlineStr">
        <is>
          <t>Kerala</t>
        </is>
      </c>
      <c r="E63" s="7" t="n">
        <v>2</v>
      </c>
      <c r="F63" s="1" t="inlineStr">
        <is>
          <t>Pavan</t>
        </is>
      </c>
      <c r="G63" s="26" t="inlineStr">
        <is>
          <t>PE17062601</t>
        </is>
      </c>
      <c r="H63" s="6" t="inlineStr">
        <is>
          <t>Closed</t>
        </is>
      </c>
      <c r="I63" s="1" t="inlineStr">
        <is>
          <t>Retrofit</t>
        </is>
      </c>
      <c r="J63" s="4" t="inlineStr">
        <is>
          <t>PE17062601</t>
        </is>
      </c>
      <c r="K63" s="18" t="n"/>
      <c r="L63" s="18" t="n"/>
      <c r="M63" s="18" t="n"/>
    </row>
    <row r="64">
      <c r="A64" s="9" t="n">
        <v>46203</v>
      </c>
      <c r="B64" s="15" t="inlineStr">
        <is>
          <t>Ayana</t>
        </is>
      </c>
      <c r="C64" s="7" t="inlineStr">
        <is>
          <t>Zura</t>
        </is>
      </c>
      <c r="D64" s="7" t="inlineStr">
        <is>
          <t>Gujarat</t>
        </is>
      </c>
      <c r="E64" s="3" t="n">
        <v>24</v>
      </c>
      <c r="F64" s="1" t="inlineStr">
        <is>
          <t>Kamal + Raja + Kunal</t>
        </is>
      </c>
      <c r="G64" s="20" t="inlineStr">
        <is>
          <t>PE04062601</t>
        </is>
      </c>
      <c r="H64" s="1" t="inlineStr">
        <is>
          <t>WIP</t>
        </is>
      </c>
      <c r="I64" s="1" t="inlineStr">
        <is>
          <t>Inspection</t>
        </is>
      </c>
      <c r="J64" s="4" t="inlineStr">
        <is>
          <t>PE04062601</t>
        </is>
      </c>
      <c r="K64" s="9" t="n"/>
      <c r="L64" s="18" t="n"/>
      <c r="M64" s="18" t="n"/>
    </row>
    <row r="65">
      <c r="A65" s="9" t="n">
        <v>46203</v>
      </c>
      <c r="B65" s="7" t="inlineStr">
        <is>
          <t>First Energy</t>
        </is>
      </c>
      <c r="C65" s="7" t="inlineStr">
        <is>
          <t>Tirunelveli</t>
        </is>
      </c>
      <c r="D65" s="7" t="inlineStr">
        <is>
          <t>Tamil Nadu</t>
        </is>
      </c>
      <c r="E65" s="3" t="n">
        <v>59</v>
      </c>
      <c r="F65" s="1" t="inlineStr">
        <is>
          <t>Bhimsen + Bani + Gourab</t>
        </is>
      </c>
      <c r="G65" s="16" t="inlineStr">
        <is>
          <t>PE22042601</t>
        </is>
      </c>
      <c r="H65" s="6" t="inlineStr">
        <is>
          <t>Closed</t>
        </is>
      </c>
      <c r="I65" s="1" t="inlineStr">
        <is>
          <t>Retrofit</t>
        </is>
      </c>
      <c r="J65" s="4" t="inlineStr">
        <is>
          <t>PE22042601</t>
        </is>
      </c>
      <c r="K65" s="9" t="n"/>
      <c r="L65" s="18" t="n"/>
      <c r="M65" s="18" t="n"/>
    </row>
    <row r="66">
      <c r="E66">
        <f>SUM(E2:E65)</f>
        <v/>
      </c>
    </row>
  </sheetData>
  <autoFilter ref="A1:M59"/>
  <conditionalFormatting sqref="G2">
    <cfRule type="duplicateValues" priority="97" dxfId="1"/>
    <cfRule type="duplicateValues" priority="98" dxfId="1"/>
  </conditionalFormatting>
  <conditionalFormatting sqref="G4">
    <cfRule type="duplicateValues" priority="96" dxfId="1"/>
    <cfRule type="duplicateValues" priority="95" dxfId="1"/>
  </conditionalFormatting>
  <conditionalFormatting sqref="G5">
    <cfRule type="duplicateValues" priority="94" dxfId="1"/>
  </conditionalFormatting>
  <conditionalFormatting sqref="G7">
    <cfRule type="duplicateValues" priority="92" dxfId="1"/>
    <cfRule type="duplicateValues" priority="91" dxfId="1"/>
  </conditionalFormatting>
  <conditionalFormatting sqref="G11">
    <cfRule type="duplicateValues" priority="90" dxfId="1"/>
    <cfRule type="duplicateValues" priority="89" dxfId="1"/>
  </conditionalFormatting>
  <conditionalFormatting sqref="G13">
    <cfRule type="duplicateValues" priority="87" dxfId="1"/>
    <cfRule type="duplicateValues" priority="88" dxfId="1"/>
  </conditionalFormatting>
  <conditionalFormatting sqref="G15">
    <cfRule type="duplicateValues" priority="85" dxfId="1"/>
    <cfRule type="duplicateValues" priority="86" dxfId="1"/>
  </conditionalFormatting>
  <conditionalFormatting sqref="G16">
    <cfRule type="duplicateValues" priority="84" dxfId="1"/>
    <cfRule type="duplicateValues" priority="83" dxfId="1"/>
  </conditionalFormatting>
  <conditionalFormatting sqref="G18">
    <cfRule type="duplicateValues" priority="82" dxfId="1"/>
  </conditionalFormatting>
  <conditionalFormatting sqref="G21:G22">
    <cfRule type="duplicateValues" priority="80" dxfId="1"/>
    <cfRule type="duplicateValues" priority="81" dxfId="1"/>
  </conditionalFormatting>
  <conditionalFormatting sqref="G1:G7 G9 G11:G13 G17 G19:G22 G27 G30 G32 G35 G38:G39 G41:G44 G48 G52:G54 G56 G59:G60 G64 G66:G1048576">
    <cfRule type="duplicateValues" priority="93" dxfId="1"/>
  </conditionalFormatting>
  <conditionalFormatting sqref="G28:G29">
    <cfRule type="duplicateValues" priority="79" dxfId="1"/>
  </conditionalFormatting>
  <conditionalFormatting sqref="G31">
    <cfRule type="duplicateValues" priority="78" dxfId="1"/>
  </conditionalFormatting>
  <conditionalFormatting sqref="G33">
    <cfRule type="duplicateValues" priority="74" dxfId="1"/>
    <cfRule type="duplicateValues" priority="77" dxfId="1"/>
    <cfRule type="duplicateValues" priority="76" dxfId="1"/>
    <cfRule type="duplicateValues" priority="75" dxfId="1"/>
    <cfRule type="duplicateValues" priority="73" dxfId="1"/>
    <cfRule type="duplicateValues" priority="72" dxfId="1"/>
    <cfRule type="duplicateValues" priority="71" dxfId="1"/>
    <cfRule type="duplicateValues" priority="70" dxfId="1"/>
    <cfRule type="duplicateValues" priority="69" dxfId="1"/>
    <cfRule type="duplicateValues" priority="68" dxfId="1"/>
  </conditionalFormatting>
  <conditionalFormatting sqref="G34">
    <cfRule type="duplicateValues" priority="67" dxfId="1"/>
  </conditionalFormatting>
  <conditionalFormatting sqref="G36:G37">
    <cfRule type="duplicateValues" priority="59" dxfId="1"/>
    <cfRule type="duplicateValues" priority="58" dxfId="1"/>
    <cfRule type="duplicateValues" priority="57" dxfId="1"/>
    <cfRule type="duplicateValues" priority="60" dxfId="1"/>
    <cfRule type="duplicateValues" priority="66" dxfId="1"/>
    <cfRule type="duplicateValues" priority="62" dxfId="1"/>
    <cfRule type="duplicateValues" priority="65" dxfId="1"/>
    <cfRule type="duplicateValues" priority="64" dxfId="1"/>
    <cfRule type="duplicateValues" priority="63" dxfId="1"/>
    <cfRule type="duplicateValues" priority="61" dxfId="1"/>
  </conditionalFormatting>
  <conditionalFormatting sqref="G40">
    <cfRule type="duplicateValues" priority="53" dxfId="1"/>
    <cfRule type="duplicateValues" priority="54" dxfId="1"/>
    <cfRule type="duplicateValues" priority="55" dxfId="1"/>
    <cfRule type="duplicateValues" priority="56" dxfId="1"/>
    <cfRule type="duplicateValues" priority="47" dxfId="1"/>
    <cfRule type="duplicateValues" priority="48" dxfId="1"/>
    <cfRule type="duplicateValues" priority="49" dxfId="1"/>
    <cfRule type="duplicateValues" priority="50" dxfId="1"/>
    <cfRule type="duplicateValues" priority="51" dxfId="1"/>
    <cfRule type="duplicateValues" priority="52" dxfId="1"/>
  </conditionalFormatting>
  <conditionalFormatting sqref="G45">
    <cfRule type="duplicateValues" priority="45" dxfId="1"/>
    <cfRule type="duplicateValues" priority="40" dxfId="1"/>
    <cfRule type="duplicateValues" priority="39" dxfId="1"/>
    <cfRule type="duplicateValues" priority="37" dxfId="1"/>
    <cfRule type="duplicateValues" priority="46" dxfId="1"/>
    <cfRule type="duplicateValues" priority="41" dxfId="1"/>
    <cfRule type="duplicateValues" priority="44" dxfId="1"/>
    <cfRule type="duplicateValues" priority="43" dxfId="1"/>
    <cfRule type="duplicateValues" priority="42" dxfId="1"/>
    <cfRule type="duplicateValues" priority="38" dxfId="1"/>
  </conditionalFormatting>
  <conditionalFormatting sqref="G46:G47">
    <cfRule type="duplicateValues" priority="36" dxfId="1"/>
  </conditionalFormatting>
  <conditionalFormatting sqref="G49">
    <cfRule type="duplicateValues" priority="29" dxfId="1"/>
    <cfRule type="duplicateValues" priority="28" dxfId="1"/>
    <cfRule type="duplicateValues" priority="27" dxfId="1"/>
    <cfRule type="duplicateValues" priority="26" dxfId="1"/>
    <cfRule type="duplicateValues" priority="35" dxfId="1"/>
    <cfRule type="duplicateValues" priority="34" dxfId="1"/>
    <cfRule type="duplicateValues" priority="33" dxfId="1"/>
    <cfRule type="duplicateValues" priority="32" dxfId="1"/>
    <cfRule type="duplicateValues" priority="31" dxfId="1"/>
    <cfRule type="duplicateValues" priority="30" dxfId="1"/>
  </conditionalFormatting>
  <conditionalFormatting sqref="G50">
    <cfRule type="duplicateValues" priority="25" dxfId="6"/>
  </conditionalFormatting>
  <conditionalFormatting sqref="G51">
    <cfRule type="duplicateValues" priority="24" dxfId="6"/>
  </conditionalFormatting>
  <conditionalFormatting sqref="G55">
    <cfRule type="duplicateValues" priority="23" dxfId="6"/>
  </conditionalFormatting>
  <conditionalFormatting sqref="G57">
    <cfRule type="duplicateValues" priority="22" dxfId="1"/>
    <cfRule type="duplicateValues" priority="21" dxfId="1"/>
    <cfRule type="duplicateValues" priority="20" dxfId="6"/>
  </conditionalFormatting>
  <conditionalFormatting sqref="G58">
    <cfRule type="duplicateValues" priority="19" dxfId="6"/>
  </conditionalFormatting>
  <conditionalFormatting sqref="G61">
    <cfRule type="duplicateValues" priority="17" dxfId="1"/>
    <cfRule type="duplicateValues" priority="16" dxfId="1"/>
    <cfRule type="duplicateValues" priority="15" dxfId="6"/>
  </conditionalFormatting>
  <conditionalFormatting sqref="G62">
    <cfRule type="duplicateValues" priority="18" dxfId="6"/>
  </conditionalFormatting>
  <conditionalFormatting sqref="G63">
    <cfRule type="duplicateValues" priority="4" dxfId="6"/>
    <cfRule type="duplicateValues" priority="13" dxfId="1"/>
    <cfRule type="duplicateValues" priority="14" dxfId="1"/>
    <cfRule type="duplicateValues" priority="12" dxfId="1"/>
    <cfRule type="duplicateValues" priority="11" dxfId="1"/>
    <cfRule type="duplicateValues" priority="10" dxfId="1"/>
    <cfRule type="duplicateValues" priority="9" dxfId="1"/>
    <cfRule type="duplicateValues" priority="8" dxfId="1"/>
    <cfRule type="duplicateValues" priority="7" dxfId="1"/>
    <cfRule type="duplicateValues" priority="6" dxfId="1"/>
    <cfRule type="duplicateValues" priority="5" dxfId="1"/>
  </conditionalFormatting>
  <conditionalFormatting sqref="G65">
    <cfRule type="duplicateValues" priority="2" dxfId="1"/>
    <cfRule type="duplicateValues" priority="3" dxfId="1"/>
    <cfRule type="duplicateValues" priority="1" dxfId="6"/>
  </conditionalFormatting>
  <hyperlinks>
    <hyperlink xmlns:r="http://schemas.openxmlformats.org/officeDocument/2006/relationships" ref="J2" display="../../../../../:f:/g/personal/soubhagya_swain_premierenergies_com/IgD0adYxOpk8TpQ2Hn0fypcnAT9z8CNI-oIlPkHo6HK3stQ?e=TaQaoA" r:id="rId1"/>
    <hyperlink xmlns:r="http://schemas.openxmlformats.org/officeDocument/2006/relationships" ref="J3" display="../../../../../:f:/g/personal/soubhagya_swain_premierenergies_com/IgCkboAzoen4QI5Ai8jVhl54AX1KcXADr7zA66xtKu5jqxw?e=edaA1y" r:id="rId2"/>
    <hyperlink xmlns:r="http://schemas.openxmlformats.org/officeDocument/2006/relationships" ref="J4" display="../../../../../:f:/g/personal/soubhagya_swain_premierenergies_com/IgD0adYxOpk8TpQ2Hn0fypcnAT9z8CNI-oIlPkHo6HK3stQ?e=TaQaoA" r:id="rId3"/>
    <hyperlink xmlns:r="http://schemas.openxmlformats.org/officeDocument/2006/relationships" ref="J5" display="../../../../../:f:/g/personal/soubhagya_swain_premierenergies_com/IgDngC6ycU55Qov1iP88qFJNAb1egSp8aups7gj9OlLfJBU?e=HSfEYT" r:id="rId4"/>
    <hyperlink xmlns:r="http://schemas.openxmlformats.org/officeDocument/2006/relationships" ref="J6" display="../../../../../:f:/g/personal/soubhagya_swain_premierenergies_com/IgCkboAzoen4QI5Ai8jVhl54AX1KcXADr7zA66xtKu5jqxw?e=edaA1y" r:id="rId5"/>
    <hyperlink xmlns:r="http://schemas.openxmlformats.org/officeDocument/2006/relationships" ref="J7" display="../../../../../:f:/g/personal/soubhagya_swain_premierenergies_com/IgD0adYxOpk8TpQ2Hn0fypcnAT9z8CNI-oIlPkHo6HK3stQ?e=TaQaoA" r:id="rId6"/>
    <hyperlink xmlns:r="http://schemas.openxmlformats.org/officeDocument/2006/relationships" ref="J8" display="../../../../../:f:/g/personal/soubhagya_swain_premierenergies_com/IgAM1Q2QiVPYS6rnbJICWnhWAZ19eWzuSxrSodpGjlIhYNY?e=bm7Sxd" r:id="rId7"/>
    <hyperlink xmlns:r="http://schemas.openxmlformats.org/officeDocument/2006/relationships" ref="J9" display="../../../../../:f:/g/personal/soubhagya_swain_premierenergies_com/IgCkboAzoen4QI5Ai8jVhl54AX1KcXADr7zA66xtKu5jqxw?e=edaA1y" r:id="rId8"/>
    <hyperlink xmlns:r="http://schemas.openxmlformats.org/officeDocument/2006/relationships" ref="J10" display="../../../../../:f:/g/personal/soubhagya_swain_premierenergies_com/IgDwrD2llZ4eSI0a2kd6ekH2Af-w2mwV--_I9K22ahyFlac?e=QHfwQj" r:id="rId9"/>
    <hyperlink xmlns:r="http://schemas.openxmlformats.org/officeDocument/2006/relationships" ref="J11" display="../../../../../:f:/g/personal/soubhagya_swain_premierenergies_com/IgD0adYxOpk8TpQ2Hn0fypcnAT9z8CNI-oIlPkHo6HK3stQ?e=TaQaoA" r:id="rId10"/>
    <hyperlink xmlns:r="http://schemas.openxmlformats.org/officeDocument/2006/relationships" ref="J12" display="../../../../../:f:/g/personal/soubhagya_swain_premierenergies_com/IgCkboAzoen4QI5Ai8jVhl54AX1KcXADr7zA66xtKu5jqxw?e=edaA1y" r:id="rId11"/>
    <hyperlink xmlns:r="http://schemas.openxmlformats.org/officeDocument/2006/relationships" ref="J13" display="../../../../../:f:/g/personal/soubhagya_swain_premierenergies_com/IgD0adYxOpk8TpQ2Hn0fypcnAT9z8CNI-oIlPkHo6HK3stQ?e=TaQaoA" r:id="rId12"/>
    <hyperlink xmlns:r="http://schemas.openxmlformats.org/officeDocument/2006/relationships" ref="J14" display="../../../../../:f:/g/personal/soubhagya_swain_premierenergies_com/IgDwrD2llZ4eSI0a2kd6ekH2Af-w2mwV--_I9K22ahyFlac?e=QHfwQj" r:id="rId13"/>
    <hyperlink xmlns:r="http://schemas.openxmlformats.org/officeDocument/2006/relationships" ref="J15" display="../../../../../:f:/g/personal/soubhagya_swain_premierenergies_com/IgAI6oGoh_XzS5Mw5uiin-oNAUACICeXAUEQuYudx8RajNM?e=Ty4Xli" r:id="rId14"/>
    <hyperlink xmlns:r="http://schemas.openxmlformats.org/officeDocument/2006/relationships" ref="J16" display="../../../../../:f:/g/personal/soubhagya_swain_premierenergies_com/IgB_LQHQEKC9QIFMnPeRFHbhAZ5VZaYb4T9m5mlJ4lQgbp0?e=g6l5AE" r:id="rId15"/>
    <hyperlink xmlns:r="http://schemas.openxmlformats.org/officeDocument/2006/relationships" ref="J17" display="../../../../../:f:/g/personal/soubhagya_swain_premierenergies_com/IgDCpQzuwlwpRbVZQVM18PZTATLt2VArlMQZErVObP693F0?e=BCsZjF" r:id="rId16"/>
    <hyperlink xmlns:r="http://schemas.openxmlformats.org/officeDocument/2006/relationships" ref="J18" display="../../../../../:f:/g/personal/soubhagya_swain_premierenergies_com/IgDiR5eG2eSrTK5EQUIXX7c0ATlMbZn40uutVc2fZl5j4vs?e=Yvgtjc" r:id="rId17"/>
    <hyperlink xmlns:r="http://schemas.openxmlformats.org/officeDocument/2006/relationships" ref="J19" display="../../../../../:f:/g/personal/soubhagya_swain_premierenergies_com/IgCkboAzoen4QI5Ai8jVhl54AX1KcXADr7zA66xtKu5jqxw?e=edaA1y" r:id="rId18"/>
    <hyperlink xmlns:r="http://schemas.openxmlformats.org/officeDocument/2006/relationships" ref="J20" display="../../../../../:f:/g/personal/soubhagya_swain_premierenergies_com/IgCkboAzoen4QI5Ai8jVhl54AX1KcXADr7zA66xtKu5jqxw?e=edaA1y" r:id="rId19"/>
    <hyperlink xmlns:r="http://schemas.openxmlformats.org/officeDocument/2006/relationships" ref="J21" display="../../../../../:f:/g/personal/soubhagya_swain_premierenergies_com/IgD0adYxOpk8TpQ2Hn0fypcnAT9z8CNI-oIlPkHo6HK3stQ?e=TaQaoA" r:id="rId20"/>
    <hyperlink xmlns:r="http://schemas.openxmlformats.org/officeDocument/2006/relationships" ref="J22" display="../../../../../:f:/g/personal/soubhagya_swain_premierenergies_com/IgD0adYxOpk8TpQ2Hn0fypcnAT9z8CNI-oIlPkHo6HK3stQ?e=TaQaoA" r:id="rId21"/>
    <hyperlink xmlns:r="http://schemas.openxmlformats.org/officeDocument/2006/relationships" ref="J23" display="https://adminpel-my.sharepoint.com/:f:/g/personal/soubhagya_swain_premierenergies_com/IgCEUpCBYrSjSbZTGqjTfH0PASbL6XYay4GfGDj-PEIDcpg?e=JIJ68j" r:id="rId22"/>
    <hyperlink xmlns:r="http://schemas.openxmlformats.org/officeDocument/2006/relationships" ref="J24" display="https://adminpel-my.sharepoint.com/:f:/g/personal/soubhagya_swain_premierenergies_com/IgDdco3C7S5pQqVS_oJuj9E4AZHu7gOeWZ4ZSgXs5P01Plc?e=270Eaa" r:id="rId23"/>
    <hyperlink xmlns:r="http://schemas.openxmlformats.org/officeDocument/2006/relationships" ref="J25" display="https://adminpel-my.sharepoint.com/:f:/g/personal/soubhagya_swain_premierenergies_com/IgCIcqjmwegqSahYy8H3g3L8AXFA6A0EhEcyY0Rh3xXNuBI?e=JQ3Qgo" r:id="rId24"/>
    <hyperlink xmlns:r="http://schemas.openxmlformats.org/officeDocument/2006/relationships" ref="J26" display="https://adminpel-my.sharepoint.com/:f:/g/personal/soubhagya_swain_premierenergies_com/IgBu8wFhml1kTLHGdlP0U0P_AYPMqQuxd38W8zJpRVcCQV4?e=LD03JG" r:id="rId25"/>
    <hyperlink xmlns:r="http://schemas.openxmlformats.org/officeDocument/2006/relationships" ref="J27" display="https://adminpel-my.sharepoint.com/:f:/g/personal/soubhagya_swain_premierenergies_com/IgCCYr0VNoMlTbOr3ydOAnBmAeKU4BMKLqEK6RN3RPRmgfY?e=TXc3wo" r:id="rId26"/>
    <hyperlink xmlns:r="http://schemas.openxmlformats.org/officeDocument/2006/relationships" ref="J28" display="https://adminpel-my.sharepoint.com/:f:/g/personal/soubhagya_swain_premierenergies_com/IgBjHVb8F6srRK1GqYN76_RbAXeyNRgMtr89cfqlhQLMQV4?e=0cGcQt" r:id="rId27"/>
    <hyperlink xmlns:r="http://schemas.openxmlformats.org/officeDocument/2006/relationships" ref="J29" display="https://adminpel-my.sharepoint.com/:f:/g/personal/soubhagya_swain_premierenergies_com/IgBjHVb8F6srRK1GqYN76_RbAXeyNRgMtr89cfqlhQLMQV4?e=0cGcQt" r:id="rId28"/>
    <hyperlink xmlns:r="http://schemas.openxmlformats.org/officeDocument/2006/relationships" ref="J30" display="https://adminpel-my.sharepoint.com/:f:/g/personal/soubhagya_swain_premierenergies_com/IgCCYr0VNoMlTbOr3ydOAnBmAeKU4BMKLqEK6RN3RPRmgfY?e=TXc3wo" r:id="rId29"/>
    <hyperlink xmlns:r="http://schemas.openxmlformats.org/officeDocument/2006/relationships" ref="J31" display="https://adminpel-my.sharepoint.com/:f:/g/personal/soubhagya_swain_premierenergies_com/IgBjHVb8F6srRK1GqYN76_RbAXeyNRgMtr89cfqlhQLMQV4?e=0cGcQt" r:id="rId30"/>
    <hyperlink xmlns:r="http://schemas.openxmlformats.org/officeDocument/2006/relationships" ref="J32" display="https://adminpel-my.sharepoint.com/:f:/g/personal/soubhagya_swain_premierenergies_com/IgCCYr0VNoMlTbOr3ydOAnBmAeKU4BMKLqEK6RN3RPRmgfY?e=TXc3wo" r:id="rId31"/>
    <hyperlink xmlns:r="http://schemas.openxmlformats.org/officeDocument/2006/relationships" ref="J33" display="../../../../../:f:/g/personal/soubhagya_swain_premierenergies_com/IgDEEwYVRKWsSYZxeKZo-qGmAfbxob_iq5t6n_m8hjaXZs8?e=v5GYOV" r:id="rId32"/>
    <hyperlink xmlns:r="http://schemas.openxmlformats.org/officeDocument/2006/relationships" ref="J34" display="https://adminpel-my.sharepoint.com/:f:/g/personal/soubhagya_swain_premierenergies_com/IgBjHVb8F6srRK1GqYN76_RbAXeyNRgMtr89cfqlhQLMQV4?e=0cGcQt" r:id="rId33"/>
    <hyperlink xmlns:r="http://schemas.openxmlformats.org/officeDocument/2006/relationships" ref="J35" display="https://adminpel-my.sharepoint.com/:f:/g/personal/soubhagya_swain_premierenergies_com/IgCCYr0VNoMlTbOr3ydOAnBmAeKU4BMKLqEK6RN3RPRmgfY?e=TXc3wo" r:id="rId34"/>
    <hyperlink xmlns:r="http://schemas.openxmlformats.org/officeDocument/2006/relationships" ref="J36" display="../../../../../:f:/g/personal/soubhagya_swain_premierenergies_com/IgDEEwYVRKWsSYZxeKZo-qGmAfbxob_iq5t6n_m8hjaXZs8?e=v5GYOV" r:id="rId35"/>
    <hyperlink xmlns:r="http://schemas.openxmlformats.org/officeDocument/2006/relationships" ref="J37" display="../../../../../:f:/g/personal/soubhagya_swain_premierenergies_com/IgDEEwYVRKWsSYZxeKZo-qGmAfbxob_iq5t6n_m8hjaXZs8?e=v5GYOV" r:id="rId36"/>
    <hyperlink xmlns:r="http://schemas.openxmlformats.org/officeDocument/2006/relationships" ref="J38" display="https://adminpel-my.sharepoint.com/:f:/g/personal/soubhagya_swain_premierenergies_com/IgCCYr0VNoMlTbOr3ydOAnBmAeKU4BMKLqEK6RN3RPRmgfY?e=TXc3wo" r:id="rId37"/>
    <hyperlink xmlns:r="http://schemas.openxmlformats.org/officeDocument/2006/relationships" ref="J39" display="https://adminpel-my.sharepoint.com/:f:/g/personal/soubhagya_swain_premierenergies_com/IgCCYr0VNoMlTbOr3ydOAnBmAeKU4BMKLqEK6RN3RPRmgfY?e=TXc3wo" r:id="rId38"/>
    <hyperlink xmlns:r="http://schemas.openxmlformats.org/officeDocument/2006/relationships" ref="J40" display="../../../../../:f:/g/personal/soubhagya_swain_premierenergies_com/IgDEEwYVRKWsSYZxeKZo-qGmAfbxob_iq5t6n_m8hjaXZs8?e=v5GYOV" r:id="rId39"/>
    <hyperlink xmlns:r="http://schemas.openxmlformats.org/officeDocument/2006/relationships" ref="J41" display="https://adminpel-my.sharepoint.com/:f:/g/personal/soubhagya_swain_premierenergies_com/IgCCYr0VNoMlTbOr3ydOAnBmAeKU4BMKLqEK6RN3RPRmgfY?e=TXc3wo" r:id="rId40"/>
    <hyperlink xmlns:r="http://schemas.openxmlformats.org/officeDocument/2006/relationships" ref="J42" display="https://adminpel-my.sharepoint.com/:f:/g/personal/soubhagya_swain_premierenergies_com/IgCCYr0VNoMlTbOr3ydOAnBmAeKU4BMKLqEK6RN3RPRmgfY?e=TXc3wo" r:id="rId41"/>
    <hyperlink xmlns:r="http://schemas.openxmlformats.org/officeDocument/2006/relationships" ref="J43" display="https://adminpel-my.sharepoint.com/:f:/g/personal/soubhagya_swain_premierenergies_com/IgCCYr0VNoMlTbOr3ydOAnBmAeKU4BMKLqEK6RN3RPRmgfY?e=TXc3wo" r:id="rId42"/>
    <hyperlink xmlns:r="http://schemas.openxmlformats.org/officeDocument/2006/relationships" ref="J44" display="https://adminpel-my.sharepoint.com/:f:/g/personal/soubhagya_swain_premierenergies_com/IgCCYr0VNoMlTbOr3ydOAnBmAeKU4BMKLqEK6RN3RPRmgfY?e=TXc3wo" r:id="rId43"/>
    <hyperlink xmlns:r="http://schemas.openxmlformats.org/officeDocument/2006/relationships" ref="J45" display="../../../../../:f:/g/personal/soubhagya_swain_premierenergies_com/IgDEEwYVRKWsSYZxeKZo-qGmAfbxob_iq5t6n_m8hjaXZs8?e=v5GYOV" r:id="rId44"/>
    <hyperlink xmlns:r="http://schemas.openxmlformats.org/officeDocument/2006/relationships" ref="J46" display="https://adminpel-my.sharepoint.com/:f:/g/personal/soubhagya_swain_premierenergies_com/IgBjHVb8F6srRK1GqYN76_RbAXeyNRgMtr89cfqlhQLMQV4?e=0cGcQt" r:id="rId45"/>
    <hyperlink xmlns:r="http://schemas.openxmlformats.org/officeDocument/2006/relationships" ref="J47" display="https://adminpel-my.sharepoint.com/:f:/g/personal/soubhagya_swain_premierenergies_com/IgBjHVb8F6srRK1GqYN76_RbAXeyNRgMtr89cfqlhQLMQV4?e=0cGcQt" r:id="rId46"/>
    <hyperlink xmlns:r="http://schemas.openxmlformats.org/officeDocument/2006/relationships" ref="J48" display="https://adminpel-my.sharepoint.com/:f:/g/personal/soubhagya_swain_premierenergies_com/IgCCYr0VNoMlTbOr3ydOAnBmAeKU4BMKLqEK6RN3RPRmgfY?e=TXc3wo" r:id="rId47"/>
    <hyperlink xmlns:r="http://schemas.openxmlformats.org/officeDocument/2006/relationships" ref="J49" display="../../../../../:f:/g/personal/soubhagya_swain_premierenergies_com/IgDEEwYVRKWsSYZxeKZo-qGmAfbxob_iq5t6n_m8hjaXZs8?e=v5GYOV" r:id="rId48"/>
    <hyperlink xmlns:r="http://schemas.openxmlformats.org/officeDocument/2006/relationships" ref="J50" display="../../../../../:f:/g/personal/soubhagya_swain_premierenergies_com/IgBgCC2qCDbGRbhSoY2VN5-RAebbM5T5Z4PVOsux3EKPc0A?e=mrmyHR" r:id="rId49"/>
    <hyperlink xmlns:r="http://schemas.openxmlformats.org/officeDocument/2006/relationships" ref="J51" display="../../../../../:f:/g/personal/soubhagya_swain_premierenergies_com/IgC-0EqZNn7uQ6fY5bNKxMgBAbRJpt3EPAiNzpjSuCLobu0?e=3u4LC6" r:id="rId50"/>
    <hyperlink xmlns:r="http://schemas.openxmlformats.org/officeDocument/2006/relationships" ref="J52" display="https://adminpel-my.sharepoint.com/:f:/g/personal/soubhagya_swain_premierenergies_com/IgCCYr0VNoMlTbOr3ydOAnBmAeKU4BMKLqEK6RN3RPRmgfY?e=TXc3wo" r:id="rId51"/>
    <hyperlink xmlns:r="http://schemas.openxmlformats.org/officeDocument/2006/relationships" ref="J53" display="https://adminpel-my.sharepoint.com/:f:/g/personal/soubhagya_swain_premierenergies_com/IgCCYr0VNoMlTbOr3ydOAnBmAeKU4BMKLqEK6RN3RPRmgfY?e=TXc3wo" r:id="rId52"/>
    <hyperlink xmlns:r="http://schemas.openxmlformats.org/officeDocument/2006/relationships" ref="J54" display="https://adminpel-my.sharepoint.com/:f:/g/personal/soubhagya_swain_premierenergies_com/IgCCYr0VNoMlTbOr3ydOAnBmAeKU4BMKLqEK6RN3RPRmgfY?e=TXc3wo" r:id="rId53"/>
    <hyperlink xmlns:r="http://schemas.openxmlformats.org/officeDocument/2006/relationships" ref="J55" display="../../../../../:f:/g/personal/soubhagya_swain_premierenergies_com/IgB7qJcoaasMTL9qOKIuhBSsAQ4IosHnj6PKzgf-SzxHPR8?e=Warnna" r:id="rId54"/>
    <hyperlink xmlns:r="http://schemas.openxmlformats.org/officeDocument/2006/relationships" ref="J56" display="https://adminpel-my.sharepoint.com/:f:/g/personal/soubhagya_swain_premierenergies_com/IgCCYr0VNoMlTbOr3ydOAnBmAeKU4BMKLqEK6RN3RPRmgfY?e=TXc3wo" r:id="rId55"/>
    <hyperlink xmlns:r="http://schemas.openxmlformats.org/officeDocument/2006/relationships" ref="J57" display="../../../../../:f:/g/personal/soubhagya_swain_premierenergies_com/IgAyfyMAIZqzSJnZX-omWt21AUjdung9Ens0hSpQvaGsxO4?e=QWMY5f" r:id="rId56"/>
    <hyperlink xmlns:r="http://schemas.openxmlformats.org/officeDocument/2006/relationships" ref="J58" display="../../../../../:f:/g/personal/soubhagya_swain_premierenergies_com/IgAHTnOOo2bTRLiS1gZ6qFw2AR8QQJk46b13q0WkKnRPS8Y?e=Y2IyTj" r:id="rId57"/>
    <hyperlink xmlns:r="http://schemas.openxmlformats.org/officeDocument/2006/relationships" ref="J59" display="https://adminpel-my.sharepoint.com/:f:/g/personal/soubhagya_swain_premierenergies_com/IgCCYr0VNoMlTbOr3ydOAnBmAeKU4BMKLqEK6RN3RPRmgfY?e=TXc3wo" r:id="rId58"/>
    <hyperlink xmlns:r="http://schemas.openxmlformats.org/officeDocument/2006/relationships" ref="J60" display="../../../../../:f:/g/personal/soubhagya_swain_premierenergies_com/IgCiBtvA82qUTaY9PZrpFwVBAXIUWiOJuYtsIQbULPqbKuE?e=1wiE9v" r:id="rId59"/>
    <hyperlink xmlns:r="http://schemas.openxmlformats.org/officeDocument/2006/relationships" ref="J61" display="../../../../../:f:/g/personal/soubhagya_swain_premierenergies_com/IgAyfyMAIZqzSJnZX-omWt21AUjdung9Ens0hSpQvaGsxO4?e=QWMY5f" r:id="rId60"/>
    <hyperlink xmlns:r="http://schemas.openxmlformats.org/officeDocument/2006/relationships" ref="J62" display="../../../../../:f:/g/personal/soubhagya_swain_premierenergies_com/IgDZZJmd6l4FTpnsS76npeznAbA41DJWrsMfzLBDdWb2KNI?e=Cv55cZ" r:id="rId61"/>
    <hyperlink xmlns:r="http://schemas.openxmlformats.org/officeDocument/2006/relationships" ref="J63" display="../../../../../:f:/g/personal/soubhagya_swain_premierenergies_com/IgCikXDUDHkWSazzj5N4PTutAYf6RZSr5FODRPnA8XHrPXc?e=Of5UZD" r:id="rId62"/>
    <hyperlink xmlns:r="http://schemas.openxmlformats.org/officeDocument/2006/relationships" ref="J64" display="https://adminpel-my.sharepoint.com/:f:/g/personal/soubhagya_swain_premierenergies_com/IgCCYr0VNoMlTbOr3ydOAnBmAeKU4BMKLqEK6RN3RPRmgfY?e=TXc3wo" r:id="rId63"/>
    <hyperlink xmlns:r="http://schemas.openxmlformats.org/officeDocument/2006/relationships" ref="J65" display="../../../../../:f:/g/personal/soubhagya_swain_premierenergies_com/IgAyfyMAIZqzSJnZX-omWt21AUjdung9Ens0hSpQvaGsxO4?e=QWMY5f" r:id="rId6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B6"/>
  <sheetViews>
    <sheetView workbookViewId="0">
      <selection activeCell="A3" sqref="A3"/>
    </sheetView>
  </sheetViews>
  <sheetFormatPr baseColWidth="8" defaultRowHeight="14.5"/>
  <cols>
    <col width="13.453125" bestFit="1" customWidth="1" min="1" max="1"/>
    <col width="22.81640625" bestFit="1" customWidth="1" min="2" max="2"/>
  </cols>
  <sheetData>
    <row r="3">
      <c r="A3" s="172" t="inlineStr">
        <is>
          <t>Row Labels</t>
        </is>
      </c>
      <c r="B3" t="inlineStr">
        <is>
          <t>Count of Current Status</t>
        </is>
      </c>
    </row>
    <row r="4">
      <c r="A4" s="173" t="inlineStr">
        <is>
          <t>Closed</t>
        </is>
      </c>
      <c r="B4" t="n">
        <v>1815</v>
      </c>
    </row>
    <row r="5">
      <c r="A5" s="173" t="inlineStr">
        <is>
          <t>WIP</t>
        </is>
      </c>
      <c r="B5" t="n">
        <v>1164</v>
      </c>
    </row>
    <row r="6">
      <c r="A6" s="173" t="inlineStr">
        <is>
          <t>Grand Total</t>
        </is>
      </c>
      <c r="B6" t="n">
        <v>2979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AE2981"/>
  <sheetViews>
    <sheetView tabSelected="1" topLeftCell="U1" zoomScale="90" zoomScaleNormal="90" workbookViewId="0">
      <selection activeCell="W498" sqref="W498:W753"/>
    </sheetView>
  </sheetViews>
  <sheetFormatPr baseColWidth="8" defaultRowHeight="14.5"/>
  <cols>
    <col width="10.54296875" bestFit="1" customWidth="1" min="1" max="2"/>
    <col width="25" bestFit="1" customWidth="1" min="3" max="3"/>
    <col width="19.54296875" bestFit="1" customWidth="1" min="4" max="4"/>
    <col width="18.26953125" bestFit="1" customWidth="1" min="5" max="5"/>
    <col width="19.1796875" bestFit="1" customWidth="1" min="6" max="6"/>
    <col width="22.7265625" bestFit="1" customWidth="1" min="7" max="7"/>
    <col width="17" bestFit="1" customWidth="1" min="8" max="8"/>
    <col width="37" bestFit="1" customWidth="1" min="9" max="9"/>
    <col width="34.81640625" bestFit="1" customWidth="1" min="10" max="10"/>
    <col width="21.7265625" bestFit="1" customWidth="1" min="11" max="11"/>
    <col width="11.26953125" bestFit="1" customWidth="1" min="12" max="12"/>
    <col width="49.7265625" bestFit="1" customWidth="1" min="13" max="13"/>
    <col width="24.1796875" bestFit="1" customWidth="1" min="14" max="14"/>
    <col width="18.7265625" bestFit="1" customWidth="1" min="15" max="15"/>
    <col width="25.81640625" bestFit="1" customWidth="1" min="16" max="16"/>
    <col width="22.7265625" bestFit="1" customWidth="1" min="17" max="17"/>
    <col width="24" bestFit="1" customWidth="1" min="18" max="18"/>
    <col width="17.54296875" bestFit="1" customWidth="1" min="19" max="19"/>
    <col width="24.54296875" bestFit="1" customWidth="1" min="20" max="20"/>
    <col width="49.7265625" bestFit="1" customWidth="1" min="21" max="21"/>
    <col width="19.26953125" bestFit="1" customWidth="1" min="22" max="22"/>
    <col width="28.54296875" bestFit="1" customWidth="1" min="23" max="23"/>
    <col width="25.26953125" bestFit="1" customWidth="1" min="24" max="24"/>
    <col width="29.7265625" bestFit="1" customWidth="1" min="25" max="25"/>
    <col width="14.81640625" bestFit="1" customWidth="1" min="26" max="26"/>
    <col width="19.1796875" bestFit="1" customWidth="1" min="27" max="27"/>
    <col width="17.1796875" bestFit="1" customWidth="1" min="28" max="28"/>
  </cols>
  <sheetData>
    <row r="1" customFormat="1" s="69">
      <c r="A1" s="67" t="inlineStr">
        <is>
          <t>Date</t>
        </is>
      </c>
      <c r="B1" s="67" t="inlineStr">
        <is>
          <t>Year</t>
        </is>
      </c>
      <c r="C1" s="67" t="inlineStr">
        <is>
          <t>Complaint Raised By</t>
        </is>
      </c>
      <c r="D1" s="67" t="inlineStr">
        <is>
          <t>Customer Type</t>
        </is>
      </c>
      <c r="E1" s="67" t="inlineStr">
        <is>
          <t>Project Name</t>
        </is>
      </c>
      <c r="F1" s="67" t="inlineStr">
        <is>
          <t>Current Status</t>
        </is>
      </c>
      <c r="G1" s="67" t="inlineStr">
        <is>
          <t>Claim Reported By</t>
        </is>
      </c>
      <c r="H1" s="67" t="inlineStr">
        <is>
          <t>Contact No.</t>
        </is>
      </c>
      <c r="I1" s="67" t="inlineStr">
        <is>
          <t>Contract / Complaint  / Invoice No.</t>
        </is>
      </c>
      <c r="J1" s="67" t="inlineStr">
        <is>
          <t>Customer Reported Problem</t>
        </is>
      </c>
      <c r="K1" s="67" t="inlineStr">
        <is>
          <t>Venue / Location</t>
        </is>
      </c>
      <c r="L1" s="67" t="inlineStr">
        <is>
          <t>State</t>
        </is>
      </c>
      <c r="M1" s="68" t="inlineStr">
        <is>
          <t>Field Evaluation</t>
        </is>
      </c>
      <c r="N1" s="67" t="inlineStr">
        <is>
          <t>Our Evaluation</t>
        </is>
      </c>
      <c r="O1" s="67" t="inlineStr">
        <is>
          <t>PV Panels Wp</t>
        </is>
      </c>
      <c r="P1" s="67" t="inlineStr">
        <is>
          <t>Module Serial Number</t>
        </is>
      </c>
      <c r="Q1" s="67" t="inlineStr">
        <is>
          <t>Module Make Year</t>
        </is>
      </c>
      <c r="R1" s="67" t="inlineStr">
        <is>
          <t>Module Make Month</t>
        </is>
      </c>
      <c r="S1" s="67" t="inlineStr">
        <is>
          <t>Moduel Type</t>
        </is>
      </c>
      <c r="T1" s="67" t="inlineStr">
        <is>
          <t>Manufacturing Plant</t>
        </is>
      </c>
      <c r="U1" s="67" t="inlineStr">
        <is>
          <t>Remark</t>
        </is>
      </c>
      <c r="V1" s="67" t="inlineStr">
        <is>
          <t>Action Taken</t>
        </is>
      </c>
      <c r="W1" s="67" t="inlineStr">
        <is>
          <t>Resolution Type</t>
        </is>
      </c>
      <c r="X1" s="67" t="inlineStr">
        <is>
          <t>Date of Claim Settled</t>
        </is>
      </c>
      <c r="Y1" s="67" t="inlineStr">
        <is>
          <t>Claim Settlement Duration</t>
        </is>
      </c>
      <c r="Z1" s="67" t="inlineStr">
        <is>
          <t>Visit Date</t>
        </is>
      </c>
      <c r="AA1" s="67" t="inlineStr">
        <is>
          <t>Rework Srl No.</t>
        </is>
      </c>
      <c r="AB1" s="67" t="inlineStr">
        <is>
          <t>Work details</t>
        </is>
      </c>
    </row>
    <row r="2" hidden="1">
      <c r="A2" s="9" t="n">
        <v>46148</v>
      </c>
      <c r="B2" s="1" t="n">
        <v>2026</v>
      </c>
      <c r="C2" s="8" t="inlineStr">
        <is>
          <t>Continuum</t>
        </is>
      </c>
      <c r="D2" s="1" t="inlineStr">
        <is>
          <t>Utility and C&amp;I</t>
        </is>
      </c>
      <c r="E2" s="1" t="n"/>
      <c r="F2" s="1" t="inlineStr">
        <is>
          <t>Closed</t>
        </is>
      </c>
      <c r="G2" s="8" t="inlineStr">
        <is>
          <t>Amiya Ranjan Behera</t>
        </is>
      </c>
      <c r="H2" s="8" t="n">
        <v>8917436223</v>
      </c>
      <c r="I2" s="10" t="inlineStr">
        <is>
          <t>PE06052602</t>
        </is>
      </c>
      <c r="J2" s="8" t="inlineStr">
        <is>
          <t>Diode Bypass Module Issue</t>
        </is>
      </c>
      <c r="K2" s="8" t="inlineStr">
        <is>
          <t>Bhavnagar</t>
        </is>
      </c>
      <c r="L2" s="8" t="inlineStr">
        <is>
          <t>Gujarat</t>
        </is>
      </c>
      <c r="M2" s="2" t="inlineStr">
        <is>
          <t>PS</t>
        </is>
      </c>
      <c r="N2" s="1" t="inlineStr">
        <is>
          <t>Cold Soldering</t>
        </is>
      </c>
      <c r="O2" s="11" t="n">
        <v>540</v>
      </c>
      <c r="P2" s="2" t="inlineStr">
        <is>
          <t>NSMP2305131089</t>
        </is>
      </c>
      <c r="Q2" s="14">
        <f>MID(P2,5,2)</f>
        <v/>
      </c>
      <c r="R2" s="14">
        <f>MID(P2,7,2)</f>
        <v/>
      </c>
      <c r="S2" s="1" t="inlineStr">
        <is>
          <t>G2B</t>
        </is>
      </c>
      <c r="T2" s="1" t="inlineStr">
        <is>
          <t>P2 - PEPPL</t>
        </is>
      </c>
      <c r="U2" s="1" t="inlineStr">
        <is>
          <t>P JB Cold Soldering</t>
        </is>
      </c>
      <c r="V2" s="1" t="inlineStr">
        <is>
          <t>Soldering</t>
        </is>
      </c>
      <c r="W2" s="1" t="inlineStr">
        <is>
          <t>Repair</t>
        </is>
      </c>
      <c r="X2" s="5" t="n">
        <v>46174</v>
      </c>
      <c r="Y2" s="1">
        <f>IF(X2="","",X2-A2)</f>
        <v/>
      </c>
      <c r="Z2" s="5" t="n">
        <v>46174</v>
      </c>
      <c r="AA2" s="3" t="n"/>
      <c r="AB2" s="3" t="n"/>
      <c r="AE2" s="146">
        <f>IF(AND(F2="Closed",X2&gt;=DATE(2026,6,1),X2&lt;=DATE(2026,6,30)),"Closed in June","other")</f>
        <v/>
      </c>
    </row>
    <row r="3" hidden="1">
      <c r="A3" s="9" t="n">
        <v>46148</v>
      </c>
      <c r="B3" s="1" t="n">
        <v>2026</v>
      </c>
      <c r="C3" s="8" t="inlineStr">
        <is>
          <t>Continuum</t>
        </is>
      </c>
      <c r="D3" s="1" t="inlineStr">
        <is>
          <t>Utility and C&amp;I</t>
        </is>
      </c>
      <c r="E3" s="1" t="n"/>
      <c r="F3" s="1" t="inlineStr">
        <is>
          <t>Closed</t>
        </is>
      </c>
      <c r="G3" s="8" t="inlineStr">
        <is>
          <t>Amiya Ranjan Behera</t>
        </is>
      </c>
      <c r="H3" s="8" t="n">
        <v>8917436223</v>
      </c>
      <c r="I3" s="10" t="inlineStr">
        <is>
          <t>PE06052602</t>
        </is>
      </c>
      <c r="J3" s="8" t="inlineStr">
        <is>
          <t>Diode Bypass Module Issue</t>
        </is>
      </c>
      <c r="K3" s="8" t="inlineStr">
        <is>
          <t>Bhavnagar</t>
        </is>
      </c>
      <c r="L3" s="8" t="inlineStr">
        <is>
          <t>Gujarat</t>
        </is>
      </c>
      <c r="M3" s="2" t="inlineStr">
        <is>
          <t>PS</t>
        </is>
      </c>
      <c r="N3" s="1" t="inlineStr">
        <is>
          <t>Cold Soldering</t>
        </is>
      </c>
      <c r="O3" s="11" t="n">
        <v>540</v>
      </c>
      <c r="P3" s="2" t="inlineStr">
        <is>
          <t>NSMP2305189276</t>
        </is>
      </c>
      <c r="Q3" s="14">
        <f>MID(P3,5,2)</f>
        <v/>
      </c>
      <c r="R3" s="14">
        <f>MID(P3,7,2)</f>
        <v/>
      </c>
      <c r="S3" s="1" t="inlineStr">
        <is>
          <t>G2B</t>
        </is>
      </c>
      <c r="T3" s="1" t="inlineStr">
        <is>
          <t>P2 - PEPPL</t>
        </is>
      </c>
      <c r="U3" s="1" t="inlineStr">
        <is>
          <t>P JB Cold Soldering</t>
        </is>
      </c>
      <c r="V3" s="1" t="inlineStr">
        <is>
          <t>Soldering</t>
        </is>
      </c>
      <c r="W3" s="1" t="inlineStr">
        <is>
          <t>Repair</t>
        </is>
      </c>
      <c r="X3" s="5" t="n">
        <v>46174</v>
      </c>
      <c r="Y3" s="1">
        <f>IF(X3="","",X3-A3)</f>
        <v/>
      </c>
      <c r="Z3" s="5" t="n">
        <v>46174</v>
      </c>
      <c r="AA3" s="3" t="n"/>
      <c r="AB3" s="3" t="n"/>
      <c r="AE3" s="146">
        <f>IF(AND(F3="Closed",X3&gt;=DATE(2026,6,1),X3&lt;=DATE(2026,6,30)),"Closed in June","other")</f>
        <v/>
      </c>
    </row>
    <row r="4" hidden="1">
      <c r="A4" s="9" t="n">
        <v>46148</v>
      </c>
      <c r="B4" s="1" t="n">
        <v>2026</v>
      </c>
      <c r="C4" s="8" t="inlineStr">
        <is>
          <t>Continuum</t>
        </is>
      </c>
      <c r="D4" s="1" t="inlineStr">
        <is>
          <t>Utility and C&amp;I</t>
        </is>
      </c>
      <c r="E4" s="1" t="n"/>
      <c r="F4" s="1" t="inlineStr">
        <is>
          <t>Closed</t>
        </is>
      </c>
      <c r="G4" s="8" t="inlineStr">
        <is>
          <t>Amiya Ranjan Behera</t>
        </is>
      </c>
      <c r="H4" s="8" t="n">
        <v>8917436223</v>
      </c>
      <c r="I4" s="10" t="inlineStr">
        <is>
          <t>PE06052602</t>
        </is>
      </c>
      <c r="J4" s="8" t="inlineStr">
        <is>
          <t>Diode Bypass Module Issue</t>
        </is>
      </c>
      <c r="K4" s="8" t="inlineStr">
        <is>
          <t>Bhavnagar</t>
        </is>
      </c>
      <c r="L4" s="8" t="inlineStr">
        <is>
          <t>Gujarat</t>
        </is>
      </c>
      <c r="M4" s="2" t="inlineStr">
        <is>
          <t>PS</t>
        </is>
      </c>
      <c r="N4" s="1" t="inlineStr">
        <is>
          <t>Cold Soldering</t>
        </is>
      </c>
      <c r="O4" s="11" t="n">
        <v>540</v>
      </c>
      <c r="P4" s="2" t="inlineStr">
        <is>
          <t>NSMP2305132869</t>
        </is>
      </c>
      <c r="Q4" s="14">
        <f>MID(P4,5,2)</f>
        <v/>
      </c>
      <c r="R4" s="14">
        <f>MID(P4,7,2)</f>
        <v/>
      </c>
      <c r="S4" s="1" t="inlineStr">
        <is>
          <t>G2B</t>
        </is>
      </c>
      <c r="T4" s="1" t="inlineStr">
        <is>
          <t>P2 - PEPPL</t>
        </is>
      </c>
      <c r="U4" s="1" t="inlineStr">
        <is>
          <t>P JB Cold Soldering</t>
        </is>
      </c>
      <c r="V4" s="1" t="inlineStr">
        <is>
          <t>Soldering</t>
        </is>
      </c>
      <c r="W4" s="1" t="inlineStr">
        <is>
          <t>Repair</t>
        </is>
      </c>
      <c r="X4" s="5" t="n">
        <v>46174</v>
      </c>
      <c r="Y4" s="1">
        <f>IF(X4="","",X4-A4)</f>
        <v/>
      </c>
      <c r="Z4" s="5" t="n">
        <v>46174</v>
      </c>
      <c r="AA4" s="3" t="n"/>
      <c r="AB4" s="3" t="n"/>
      <c r="AE4" s="146">
        <f>IF(AND(F4="Closed",X4&gt;=DATE(2026,6,1),X4&lt;=DATE(2026,6,30)),"Closed in June","other")</f>
        <v/>
      </c>
    </row>
    <row r="5" hidden="1">
      <c r="A5" s="9" t="n">
        <v>46148</v>
      </c>
      <c r="B5" s="1" t="n">
        <v>2026</v>
      </c>
      <c r="C5" s="8" t="inlineStr">
        <is>
          <t>Continuum</t>
        </is>
      </c>
      <c r="D5" s="1" t="inlineStr">
        <is>
          <t>Utility and C&amp;I</t>
        </is>
      </c>
      <c r="E5" s="1" t="n"/>
      <c r="F5" s="1" t="inlineStr">
        <is>
          <t>Closed</t>
        </is>
      </c>
      <c r="G5" s="8" t="inlineStr">
        <is>
          <t>Amiya Ranjan Behera</t>
        </is>
      </c>
      <c r="H5" s="8" t="n">
        <v>8917436223</v>
      </c>
      <c r="I5" s="10" t="inlineStr">
        <is>
          <t>PE06052602</t>
        </is>
      </c>
      <c r="J5" s="8" t="inlineStr">
        <is>
          <t>Diode Bypass Module Issue</t>
        </is>
      </c>
      <c r="K5" s="8" t="inlineStr">
        <is>
          <t>Bhavnagar</t>
        </is>
      </c>
      <c r="L5" s="8" t="inlineStr">
        <is>
          <t>Gujarat</t>
        </is>
      </c>
      <c r="M5" s="2" t="inlineStr">
        <is>
          <t>PS</t>
        </is>
      </c>
      <c r="N5" s="1" t="inlineStr">
        <is>
          <t>Cold Soldering</t>
        </is>
      </c>
      <c r="O5" s="11" t="n">
        <v>540</v>
      </c>
      <c r="P5" s="2" t="inlineStr">
        <is>
          <t>NSMP2305132603</t>
        </is>
      </c>
      <c r="Q5" s="14">
        <f>MID(P5,5,2)</f>
        <v/>
      </c>
      <c r="R5" s="14">
        <f>MID(P5,7,2)</f>
        <v/>
      </c>
      <c r="S5" s="1" t="inlineStr">
        <is>
          <t>G2B</t>
        </is>
      </c>
      <c r="T5" s="1" t="inlineStr">
        <is>
          <t>P2 - PEPPL</t>
        </is>
      </c>
      <c r="U5" s="1" t="inlineStr">
        <is>
          <t>P JB Cold Soldering</t>
        </is>
      </c>
      <c r="V5" s="1" t="inlineStr">
        <is>
          <t>Soldering</t>
        </is>
      </c>
      <c r="W5" s="1" t="inlineStr">
        <is>
          <t>Repair</t>
        </is>
      </c>
      <c r="X5" s="5" t="n">
        <v>46174</v>
      </c>
      <c r="Y5" s="1">
        <f>IF(X5="","",X5-A5)</f>
        <v/>
      </c>
      <c r="Z5" s="5" t="n">
        <v>46174</v>
      </c>
      <c r="AA5" s="3" t="n"/>
      <c r="AB5" s="3" t="n"/>
      <c r="AE5" s="146">
        <f>IF(AND(F5="Closed",X5&gt;=DATE(2026,6,1),X5&lt;=DATE(2026,6,30)),"Closed in June","other")</f>
        <v/>
      </c>
    </row>
    <row r="6" hidden="1">
      <c r="A6" s="9" t="n">
        <v>46148</v>
      </c>
      <c r="B6" s="1" t="n">
        <v>2026</v>
      </c>
      <c r="C6" s="8" t="inlineStr">
        <is>
          <t>Continuum</t>
        </is>
      </c>
      <c r="D6" s="1" t="inlineStr">
        <is>
          <t>Utility and C&amp;I</t>
        </is>
      </c>
      <c r="E6" s="1" t="n"/>
      <c r="F6" s="1" t="inlineStr">
        <is>
          <t>Closed</t>
        </is>
      </c>
      <c r="G6" s="8" t="inlineStr">
        <is>
          <t>Amiya Ranjan Behera</t>
        </is>
      </c>
      <c r="H6" s="8" t="n">
        <v>8917436223</v>
      </c>
      <c r="I6" s="10" t="inlineStr">
        <is>
          <t>PE06052602</t>
        </is>
      </c>
      <c r="J6" s="8" t="inlineStr">
        <is>
          <t>Diode Bypass Module Issue</t>
        </is>
      </c>
      <c r="K6" s="8" t="inlineStr">
        <is>
          <t>Bhavnagar</t>
        </is>
      </c>
      <c r="L6" s="8" t="inlineStr">
        <is>
          <t>Gujarat</t>
        </is>
      </c>
      <c r="M6" s="2" t="inlineStr">
        <is>
          <t>PS</t>
        </is>
      </c>
      <c r="N6" s="1" t="inlineStr">
        <is>
          <t>Cold Soldering</t>
        </is>
      </c>
      <c r="O6" s="11" t="n">
        <v>540</v>
      </c>
      <c r="P6" s="2" t="inlineStr">
        <is>
          <t>NSMP2305134324</t>
        </is>
      </c>
      <c r="Q6" s="14">
        <f>MID(P6,5,2)</f>
        <v/>
      </c>
      <c r="R6" s="14">
        <f>MID(P6,7,2)</f>
        <v/>
      </c>
      <c r="S6" s="1" t="inlineStr">
        <is>
          <t>G2B</t>
        </is>
      </c>
      <c r="T6" s="1" t="inlineStr">
        <is>
          <t>P2 - PEPPL</t>
        </is>
      </c>
      <c r="U6" s="1" t="inlineStr">
        <is>
          <t>P JB Cold Soldering</t>
        </is>
      </c>
      <c r="V6" s="1" t="inlineStr">
        <is>
          <t>Soldering</t>
        </is>
      </c>
      <c r="W6" s="1" t="inlineStr">
        <is>
          <t>Repair</t>
        </is>
      </c>
      <c r="X6" s="5" t="n">
        <v>46174</v>
      </c>
      <c r="Y6" s="1">
        <f>IF(X6="","",X6-A6)</f>
        <v/>
      </c>
      <c r="Z6" s="5" t="n">
        <v>46174</v>
      </c>
      <c r="AA6" s="3" t="n"/>
      <c r="AB6" s="3" t="n"/>
      <c r="AE6" s="146">
        <f>IF(AND(F6="Closed",X6&gt;=DATE(2026,6,1),X6&lt;=DATE(2026,6,30)),"Closed in June","other")</f>
        <v/>
      </c>
    </row>
    <row r="7" hidden="1">
      <c r="A7" s="9" t="n">
        <v>46148</v>
      </c>
      <c r="B7" s="1" t="n">
        <v>2026</v>
      </c>
      <c r="C7" s="8" t="inlineStr">
        <is>
          <t>Continuum</t>
        </is>
      </c>
      <c r="D7" s="1" t="inlineStr">
        <is>
          <t>Utility and C&amp;I</t>
        </is>
      </c>
      <c r="E7" s="1" t="n"/>
      <c r="F7" s="1" t="inlineStr">
        <is>
          <t>Closed</t>
        </is>
      </c>
      <c r="G7" s="8" t="inlineStr">
        <is>
          <t>Amiya Ranjan Behera</t>
        </is>
      </c>
      <c r="H7" s="8" t="n">
        <v>8917436223</v>
      </c>
      <c r="I7" s="10" t="inlineStr">
        <is>
          <t>PE06052602</t>
        </is>
      </c>
      <c r="J7" s="8" t="inlineStr">
        <is>
          <t>Diode Bypass Module Issue</t>
        </is>
      </c>
      <c r="K7" s="8" t="inlineStr">
        <is>
          <t>Bhavnagar</t>
        </is>
      </c>
      <c r="L7" s="8" t="inlineStr">
        <is>
          <t>Gujarat</t>
        </is>
      </c>
      <c r="M7" s="2" t="inlineStr">
        <is>
          <t>PS</t>
        </is>
      </c>
      <c r="N7" s="1" t="inlineStr">
        <is>
          <t>Cold Soldering</t>
        </is>
      </c>
      <c r="O7" s="11" t="n">
        <v>540</v>
      </c>
      <c r="P7" s="2" t="inlineStr">
        <is>
          <t>NSMP2305134333</t>
        </is>
      </c>
      <c r="Q7" s="14">
        <f>MID(P7,5,2)</f>
        <v/>
      </c>
      <c r="R7" s="14">
        <f>MID(P7,7,2)</f>
        <v/>
      </c>
      <c r="S7" s="1" t="inlineStr">
        <is>
          <t>G2B</t>
        </is>
      </c>
      <c r="T7" s="1" t="inlineStr">
        <is>
          <t>P2 - PEPPL</t>
        </is>
      </c>
      <c r="U7" s="1" t="inlineStr">
        <is>
          <t>P JB Cold Soldering</t>
        </is>
      </c>
      <c r="V7" s="1" t="inlineStr">
        <is>
          <t>Soldering</t>
        </is>
      </c>
      <c r="W7" s="1" t="inlineStr">
        <is>
          <t>Repair</t>
        </is>
      </c>
      <c r="X7" s="5" t="n">
        <v>46174</v>
      </c>
      <c r="Y7" s="1">
        <f>IF(X7="","",X7-A7)</f>
        <v/>
      </c>
      <c r="Z7" s="5" t="n">
        <v>46174</v>
      </c>
      <c r="AA7" s="3" t="n"/>
      <c r="AB7" s="3" t="n"/>
      <c r="AE7" s="146">
        <f>IF(AND(F7="Closed",X7&gt;=DATE(2026,6,1),X7&lt;=DATE(2026,6,30)),"Closed in June","other")</f>
        <v/>
      </c>
    </row>
    <row r="8" hidden="1">
      <c r="A8" s="9" t="n">
        <v>46148</v>
      </c>
      <c r="B8" s="1" t="n">
        <v>2026</v>
      </c>
      <c r="C8" s="8" t="inlineStr">
        <is>
          <t>Continuum</t>
        </is>
      </c>
      <c r="D8" s="1" t="inlineStr">
        <is>
          <t>Utility and C&amp;I</t>
        </is>
      </c>
      <c r="E8" s="1" t="n"/>
      <c r="F8" s="1" t="inlineStr">
        <is>
          <t>Closed</t>
        </is>
      </c>
      <c r="G8" s="8" t="inlineStr">
        <is>
          <t>Amiya Ranjan Behera</t>
        </is>
      </c>
      <c r="H8" s="8" t="n">
        <v>8917436223</v>
      </c>
      <c r="I8" s="10" t="inlineStr">
        <is>
          <t>PE06052602</t>
        </is>
      </c>
      <c r="J8" s="8" t="inlineStr">
        <is>
          <t>Diode Bypass Module Issue</t>
        </is>
      </c>
      <c r="K8" s="8" t="inlineStr">
        <is>
          <t>Bhavnagar</t>
        </is>
      </c>
      <c r="L8" s="8" t="inlineStr">
        <is>
          <t>Gujarat</t>
        </is>
      </c>
      <c r="M8" s="2" t="inlineStr">
        <is>
          <t>NR</t>
        </is>
      </c>
      <c r="N8" s="8" t="inlineStr">
        <is>
          <t>JB Issue</t>
        </is>
      </c>
      <c r="O8" s="11" t="n">
        <v>540</v>
      </c>
      <c r="P8" s="2" t="inlineStr">
        <is>
          <t>NSMP2305123070</t>
        </is>
      </c>
      <c r="Q8" s="14">
        <f>MID(P8,5,2)</f>
        <v/>
      </c>
      <c r="R8" s="14">
        <f>MID(P8,7,2)</f>
        <v/>
      </c>
      <c r="S8" s="1" t="inlineStr">
        <is>
          <t>G2B</t>
        </is>
      </c>
      <c r="T8" s="1" t="inlineStr">
        <is>
          <t>P2 - PEPPL</t>
        </is>
      </c>
      <c r="U8" s="6" t="inlineStr">
        <is>
          <t>N JB Issue</t>
        </is>
      </c>
      <c r="V8" s="6" t="inlineStr">
        <is>
          <t>JB Changed</t>
        </is>
      </c>
      <c r="W8" s="1" t="inlineStr">
        <is>
          <t>Repair</t>
        </is>
      </c>
      <c r="X8" s="5" t="n">
        <v>46174</v>
      </c>
      <c r="Y8" s="1">
        <f>IF(X8="","",X8-A8)</f>
        <v/>
      </c>
      <c r="Z8" s="5" t="n">
        <v>46174</v>
      </c>
      <c r="AA8" s="3" t="n"/>
      <c r="AB8" s="3" t="n"/>
      <c r="AE8" s="146">
        <f>IF(AND(F8="Closed",X8&gt;=DATE(2026,6,1),X8&lt;=DATE(2026,6,30)),"Closed in June","other")</f>
        <v/>
      </c>
    </row>
    <row r="9" hidden="1">
      <c r="A9" s="9" t="n">
        <v>46148</v>
      </c>
      <c r="B9" s="1" t="n">
        <v>2026</v>
      </c>
      <c r="C9" s="8" t="inlineStr">
        <is>
          <t>Continuum</t>
        </is>
      </c>
      <c r="D9" s="1" t="inlineStr">
        <is>
          <t>Utility and C&amp;I</t>
        </is>
      </c>
      <c r="E9" s="1" t="n"/>
      <c r="F9" s="1" t="inlineStr">
        <is>
          <t>Closed</t>
        </is>
      </c>
      <c r="G9" s="8" t="inlineStr">
        <is>
          <t>Amiya Ranjan Behera</t>
        </is>
      </c>
      <c r="H9" s="8" t="n">
        <v>8917436223</v>
      </c>
      <c r="I9" s="10" t="inlineStr">
        <is>
          <t>PE06052602</t>
        </is>
      </c>
      <c r="J9" s="8" t="inlineStr">
        <is>
          <t>Diode Bypass Module Issue</t>
        </is>
      </c>
      <c r="K9" s="8" t="inlineStr">
        <is>
          <t>Bhavnagar</t>
        </is>
      </c>
      <c r="L9" s="8" t="inlineStr">
        <is>
          <t>Gujarat</t>
        </is>
      </c>
      <c r="M9" s="2" t="inlineStr">
        <is>
          <t>PR</t>
        </is>
      </c>
      <c r="N9" s="1" t="inlineStr">
        <is>
          <t>JB Issue</t>
        </is>
      </c>
      <c r="O9" s="11" t="n">
        <v>540</v>
      </c>
      <c r="P9" s="2" t="inlineStr">
        <is>
          <t>NSMP2305189363</t>
        </is>
      </c>
      <c r="Q9" s="14">
        <f>MID(P9,5,2)</f>
        <v/>
      </c>
      <c r="R9" s="14">
        <f>MID(P9,7,2)</f>
        <v/>
      </c>
      <c r="S9" s="1" t="inlineStr">
        <is>
          <t>G2B</t>
        </is>
      </c>
      <c r="T9" s="1" t="inlineStr">
        <is>
          <t>P2 - PEPPL</t>
        </is>
      </c>
      <c r="U9" s="1" t="inlineStr">
        <is>
          <t>P JB Issue</t>
        </is>
      </c>
      <c r="V9" s="3" t="inlineStr">
        <is>
          <t>JB Changed</t>
        </is>
      </c>
      <c r="W9" s="1" t="inlineStr">
        <is>
          <t>Repair</t>
        </is>
      </c>
      <c r="X9" s="5" t="n">
        <v>46174</v>
      </c>
      <c r="Y9" s="1">
        <f>IF(X9="","",X9-A9)</f>
        <v/>
      </c>
      <c r="Z9" s="5" t="n">
        <v>46174</v>
      </c>
      <c r="AA9" s="3" t="n"/>
      <c r="AB9" s="3" t="n"/>
      <c r="AE9" s="146">
        <f>IF(AND(F9="Closed",X9&gt;=DATE(2026,6,1),X9&lt;=DATE(2026,6,30)),"Closed in June","other")</f>
        <v/>
      </c>
    </row>
    <row r="10" hidden="1">
      <c r="A10" s="9" t="n">
        <v>46148</v>
      </c>
      <c r="B10" s="1" t="n">
        <v>2026</v>
      </c>
      <c r="C10" s="8" t="inlineStr">
        <is>
          <t>Continuum</t>
        </is>
      </c>
      <c r="D10" s="1" t="inlineStr">
        <is>
          <t>Utility and C&amp;I</t>
        </is>
      </c>
      <c r="E10" s="1" t="n"/>
      <c r="F10" s="1" t="inlineStr">
        <is>
          <t>Closed</t>
        </is>
      </c>
      <c r="G10" s="8" t="inlineStr">
        <is>
          <t>Amiya Ranjan Behera</t>
        </is>
      </c>
      <c r="H10" s="8" t="n">
        <v>8917436223</v>
      </c>
      <c r="I10" s="10" t="inlineStr">
        <is>
          <t>PE06052602</t>
        </is>
      </c>
      <c r="J10" s="8" t="inlineStr">
        <is>
          <t>Diode Bypass Module Issue</t>
        </is>
      </c>
      <c r="K10" s="8" t="inlineStr">
        <is>
          <t>Bhavnagar</t>
        </is>
      </c>
      <c r="L10" s="8" t="inlineStr">
        <is>
          <t>Gujarat</t>
        </is>
      </c>
      <c r="M10" s="2" t="inlineStr">
        <is>
          <t>PS</t>
        </is>
      </c>
      <c r="N10" s="1" t="inlineStr">
        <is>
          <t>Cold Soldering</t>
        </is>
      </c>
      <c r="O10" s="11" t="n">
        <v>540</v>
      </c>
      <c r="P10" s="2" t="inlineStr">
        <is>
          <t>NSMP2305189364</t>
        </is>
      </c>
      <c r="Q10" s="14">
        <f>MID(P10,5,2)</f>
        <v/>
      </c>
      <c r="R10" s="14">
        <f>MID(P10,7,2)</f>
        <v/>
      </c>
      <c r="S10" s="1" t="inlineStr">
        <is>
          <t>G2B</t>
        </is>
      </c>
      <c r="T10" s="1" t="inlineStr">
        <is>
          <t>P2 - PEPPL</t>
        </is>
      </c>
      <c r="U10" s="1" t="inlineStr">
        <is>
          <t>P JB Cold Soldering</t>
        </is>
      </c>
      <c r="V10" s="1" t="inlineStr">
        <is>
          <t>Soldering</t>
        </is>
      </c>
      <c r="W10" s="1" t="inlineStr">
        <is>
          <t>Repair</t>
        </is>
      </c>
      <c r="X10" s="5" t="n">
        <v>46174</v>
      </c>
      <c r="Y10" s="1">
        <f>IF(X10="","",X10-A10)</f>
        <v/>
      </c>
      <c r="Z10" s="5" t="n">
        <v>46174</v>
      </c>
      <c r="AA10" s="3" t="n"/>
      <c r="AB10" s="3" t="n"/>
      <c r="AE10" s="146">
        <f>IF(AND(F10="Closed",X10&gt;=DATE(2026,6,1),X10&lt;=DATE(2026,6,30)),"Closed in June","other")</f>
        <v/>
      </c>
    </row>
    <row r="11" hidden="1">
      <c r="A11" s="9" t="n">
        <v>46148</v>
      </c>
      <c r="B11" s="1" t="n">
        <v>2026</v>
      </c>
      <c r="C11" s="8" t="inlineStr">
        <is>
          <t>Continuum</t>
        </is>
      </c>
      <c r="D11" s="1" t="inlineStr">
        <is>
          <t>Utility and C&amp;I</t>
        </is>
      </c>
      <c r="E11" s="1" t="n"/>
      <c r="F11" s="1" t="inlineStr">
        <is>
          <t>Closed</t>
        </is>
      </c>
      <c r="G11" s="8" t="inlineStr">
        <is>
          <t>Amiya Ranjan Behera</t>
        </is>
      </c>
      <c r="H11" s="8" t="n">
        <v>8917436223</v>
      </c>
      <c r="I11" s="10" t="inlineStr">
        <is>
          <t>PE06052602</t>
        </is>
      </c>
      <c r="J11" s="8" t="inlineStr">
        <is>
          <t>Diode Bypass Module Issue</t>
        </is>
      </c>
      <c r="K11" s="8" t="inlineStr">
        <is>
          <t>Bhavnagar</t>
        </is>
      </c>
      <c r="L11" s="8" t="inlineStr">
        <is>
          <t>Gujarat</t>
        </is>
      </c>
      <c r="M11" s="2" t="inlineStr">
        <is>
          <t>PS</t>
        </is>
      </c>
      <c r="N11" s="1" t="inlineStr">
        <is>
          <t>Cold Soldering</t>
        </is>
      </c>
      <c r="O11" s="11" t="n">
        <v>540</v>
      </c>
      <c r="P11" s="2" t="inlineStr">
        <is>
          <t>NSMP2305189187</t>
        </is>
      </c>
      <c r="Q11" s="14">
        <f>MID(P11,5,2)</f>
        <v/>
      </c>
      <c r="R11" s="14">
        <f>MID(P11,7,2)</f>
        <v/>
      </c>
      <c r="S11" s="1" t="inlineStr">
        <is>
          <t>G2B</t>
        </is>
      </c>
      <c r="T11" s="1" t="inlineStr">
        <is>
          <t>P2 - PEPPL</t>
        </is>
      </c>
      <c r="U11" s="1" t="inlineStr">
        <is>
          <t>P JB Cold Soldering</t>
        </is>
      </c>
      <c r="V11" s="1" t="inlineStr">
        <is>
          <t>Soldering</t>
        </is>
      </c>
      <c r="W11" s="1" t="inlineStr">
        <is>
          <t>Repair</t>
        </is>
      </c>
      <c r="X11" s="5" t="n">
        <v>46174</v>
      </c>
      <c r="Y11" s="1">
        <f>IF(X11="","",X11-A11)</f>
        <v/>
      </c>
      <c r="Z11" s="5" t="n">
        <v>46174</v>
      </c>
      <c r="AA11" s="3" t="n"/>
      <c r="AB11" s="3" t="n"/>
      <c r="AE11" s="146">
        <f>IF(AND(F11="Closed",X11&gt;=DATE(2026,6,1),X11&lt;=DATE(2026,6,30)),"Closed in June","other")</f>
        <v/>
      </c>
    </row>
    <row r="12" hidden="1">
      <c r="A12" s="9" t="n">
        <v>46148</v>
      </c>
      <c r="B12" s="1" t="n">
        <v>2026</v>
      </c>
      <c r="C12" s="8" t="inlineStr">
        <is>
          <t>Continuum</t>
        </is>
      </c>
      <c r="D12" s="1" t="inlineStr">
        <is>
          <t>Utility and C&amp;I</t>
        </is>
      </c>
      <c r="E12" s="1" t="n"/>
      <c r="F12" s="1" t="inlineStr">
        <is>
          <t>Closed</t>
        </is>
      </c>
      <c r="G12" s="8" t="inlineStr">
        <is>
          <t>Amiya Ranjan Behera</t>
        </is>
      </c>
      <c r="H12" s="8" t="n">
        <v>8917436223</v>
      </c>
      <c r="I12" s="10" t="inlineStr">
        <is>
          <t>PE06052602</t>
        </is>
      </c>
      <c r="J12" s="8" t="inlineStr">
        <is>
          <t>Diode Bypass Module Issue</t>
        </is>
      </c>
      <c r="K12" s="8" t="inlineStr">
        <is>
          <t>Bhavnagar</t>
        </is>
      </c>
      <c r="L12" s="8" t="inlineStr">
        <is>
          <t>Gujarat</t>
        </is>
      </c>
      <c r="M12" s="2" t="inlineStr">
        <is>
          <t>NS</t>
        </is>
      </c>
      <c r="N12" s="8" t="inlineStr">
        <is>
          <t>Cold Soldering</t>
        </is>
      </c>
      <c r="O12" s="11" t="n">
        <v>540</v>
      </c>
      <c r="P12" s="2" t="inlineStr">
        <is>
          <t>NSMP2305124646</t>
        </is>
      </c>
      <c r="Q12" s="14">
        <f>MID(P12,5,2)</f>
        <v/>
      </c>
      <c r="R12" s="14">
        <f>MID(P12,7,2)</f>
        <v/>
      </c>
      <c r="S12" s="1" t="inlineStr">
        <is>
          <t>G2B</t>
        </is>
      </c>
      <c r="T12" s="1" t="inlineStr">
        <is>
          <t>P2 - PEPPL</t>
        </is>
      </c>
      <c r="U12" s="6" t="inlineStr">
        <is>
          <t>N JB Cold Soldering</t>
        </is>
      </c>
      <c r="V12" s="6" t="inlineStr">
        <is>
          <t>Soldering</t>
        </is>
      </c>
      <c r="W12" s="1" t="inlineStr">
        <is>
          <t>Repair</t>
        </is>
      </c>
      <c r="X12" s="5" t="n">
        <v>46174</v>
      </c>
      <c r="Y12" s="1">
        <f>IF(X12="","",X12-A12)</f>
        <v/>
      </c>
      <c r="Z12" s="5" t="n">
        <v>46174</v>
      </c>
      <c r="AA12" s="3" t="n"/>
      <c r="AB12" s="3" t="n"/>
      <c r="AE12" s="146">
        <f>IF(AND(F12="Closed",X12&gt;=DATE(2026,6,1),X12&lt;=DATE(2026,6,30)),"Closed in June","other")</f>
        <v/>
      </c>
    </row>
    <row r="13" hidden="1">
      <c r="A13" s="9" t="n">
        <v>46148</v>
      </c>
      <c r="B13" s="1" t="n">
        <v>2026</v>
      </c>
      <c r="C13" s="8" t="inlineStr">
        <is>
          <t>Continuum</t>
        </is>
      </c>
      <c r="D13" s="1" t="inlineStr">
        <is>
          <t>Utility and C&amp;I</t>
        </is>
      </c>
      <c r="E13" s="1" t="n"/>
      <c r="F13" s="1" t="inlineStr">
        <is>
          <t>Closed</t>
        </is>
      </c>
      <c r="G13" s="8" t="inlineStr">
        <is>
          <t>Amiya Ranjan Behera</t>
        </is>
      </c>
      <c r="H13" s="8" t="n">
        <v>8917436223</v>
      </c>
      <c r="I13" s="10" t="inlineStr">
        <is>
          <t>PE06052602</t>
        </is>
      </c>
      <c r="J13" s="8" t="inlineStr">
        <is>
          <t>Diode Bypass Module Issue</t>
        </is>
      </c>
      <c r="K13" s="8" t="inlineStr">
        <is>
          <t>Bhavnagar</t>
        </is>
      </c>
      <c r="L13" s="8" t="inlineStr">
        <is>
          <t>Gujarat</t>
        </is>
      </c>
      <c r="M13" s="2" t="inlineStr">
        <is>
          <t>PS</t>
        </is>
      </c>
      <c r="N13" s="1" t="inlineStr">
        <is>
          <t>Cold Soldering</t>
        </is>
      </c>
      <c r="O13" s="11" t="n">
        <v>540</v>
      </c>
      <c r="P13" s="2" t="inlineStr">
        <is>
          <t>NSMP2305172932</t>
        </is>
      </c>
      <c r="Q13" s="14">
        <f>MID(P13,5,2)</f>
        <v/>
      </c>
      <c r="R13" s="14">
        <f>MID(P13,7,2)</f>
        <v/>
      </c>
      <c r="S13" s="1" t="inlineStr">
        <is>
          <t>G2B</t>
        </is>
      </c>
      <c r="T13" s="1" t="inlineStr">
        <is>
          <t>P2 - PEPPL</t>
        </is>
      </c>
      <c r="U13" s="1" t="inlineStr">
        <is>
          <t>P JB Cold Soldering</t>
        </is>
      </c>
      <c r="V13" s="1" t="inlineStr">
        <is>
          <t>Soldering</t>
        </is>
      </c>
      <c r="W13" s="1" t="inlineStr">
        <is>
          <t>Repair</t>
        </is>
      </c>
      <c r="X13" s="5" t="n">
        <v>46174</v>
      </c>
      <c r="Y13" s="1">
        <f>IF(X13="","",X13-A13)</f>
        <v/>
      </c>
      <c r="Z13" s="5" t="n">
        <v>46174</v>
      </c>
      <c r="AA13" s="3" t="n"/>
      <c r="AB13" s="3" t="n"/>
      <c r="AE13" s="146">
        <f>IF(AND(F13="Closed",X13&gt;=DATE(2026,6,1),X13&lt;=DATE(2026,6,30)),"Closed in June","other")</f>
        <v/>
      </c>
    </row>
    <row r="14" hidden="1">
      <c r="A14" s="9" t="n">
        <v>46148</v>
      </c>
      <c r="B14" s="1" t="n">
        <v>2026</v>
      </c>
      <c r="C14" s="8" t="inlineStr">
        <is>
          <t>Continuum</t>
        </is>
      </c>
      <c r="D14" s="1" t="inlineStr">
        <is>
          <t>Utility and C&amp;I</t>
        </is>
      </c>
      <c r="E14" s="1" t="n"/>
      <c r="F14" s="1" t="inlineStr">
        <is>
          <t>Closed</t>
        </is>
      </c>
      <c r="G14" s="8" t="inlineStr">
        <is>
          <t>Amiya Ranjan Behera</t>
        </is>
      </c>
      <c r="H14" s="8" t="n">
        <v>8917436223</v>
      </c>
      <c r="I14" s="10" t="inlineStr">
        <is>
          <t>PE06052602</t>
        </is>
      </c>
      <c r="J14" s="8" t="inlineStr">
        <is>
          <t>Diode Bypass Module Issue</t>
        </is>
      </c>
      <c r="K14" s="8" t="inlineStr">
        <is>
          <t>Bhavnagar</t>
        </is>
      </c>
      <c r="L14" s="8" t="inlineStr">
        <is>
          <t>Gujarat</t>
        </is>
      </c>
      <c r="M14" s="2" t="inlineStr">
        <is>
          <t>PS</t>
        </is>
      </c>
      <c r="N14" s="1" t="inlineStr">
        <is>
          <t>Cold Soldering</t>
        </is>
      </c>
      <c r="O14" s="11" t="n">
        <v>540</v>
      </c>
      <c r="P14" s="2" t="inlineStr">
        <is>
          <t>NSMP2305172883</t>
        </is>
      </c>
      <c r="Q14" s="14">
        <f>MID(P14,5,2)</f>
        <v/>
      </c>
      <c r="R14" s="14">
        <f>MID(P14,7,2)</f>
        <v/>
      </c>
      <c r="S14" s="1" t="inlineStr">
        <is>
          <t>G2B</t>
        </is>
      </c>
      <c r="T14" s="1" t="inlineStr">
        <is>
          <t>P2 - PEPPL</t>
        </is>
      </c>
      <c r="U14" s="1" t="inlineStr">
        <is>
          <t>P JB Cold Soldering</t>
        </is>
      </c>
      <c r="V14" s="1" t="inlineStr">
        <is>
          <t>Soldering</t>
        </is>
      </c>
      <c r="W14" s="1" t="inlineStr">
        <is>
          <t>Repair</t>
        </is>
      </c>
      <c r="X14" s="5" t="n">
        <v>46174</v>
      </c>
      <c r="Y14" s="1">
        <f>IF(X14="","",X14-A14)</f>
        <v/>
      </c>
      <c r="Z14" s="5" t="n">
        <v>46174</v>
      </c>
      <c r="AA14" s="3" t="n"/>
      <c r="AB14" s="3" t="n"/>
      <c r="AE14" s="146">
        <f>IF(AND(F14="Closed",X14&gt;=DATE(2026,6,1),X14&lt;=DATE(2026,6,30)),"Closed in June","other")</f>
        <v/>
      </c>
    </row>
    <row r="15" hidden="1">
      <c r="A15" s="9" t="n">
        <v>46148</v>
      </c>
      <c r="B15" s="1" t="n">
        <v>2026</v>
      </c>
      <c r="C15" s="8" t="inlineStr">
        <is>
          <t>Continuum</t>
        </is>
      </c>
      <c r="D15" s="1" t="inlineStr">
        <is>
          <t>Utility and C&amp;I</t>
        </is>
      </c>
      <c r="E15" s="1" t="n"/>
      <c r="F15" s="1" t="inlineStr">
        <is>
          <t>Closed</t>
        </is>
      </c>
      <c r="G15" s="8" t="inlineStr">
        <is>
          <t>Amiya Ranjan Behera</t>
        </is>
      </c>
      <c r="H15" s="8" t="n">
        <v>8917436223</v>
      </c>
      <c r="I15" s="10" t="inlineStr">
        <is>
          <t>PE06052602</t>
        </is>
      </c>
      <c r="J15" s="8" t="inlineStr">
        <is>
          <t>Diode Bypass Module Issue</t>
        </is>
      </c>
      <c r="K15" s="8" t="inlineStr">
        <is>
          <t>Bhavnagar</t>
        </is>
      </c>
      <c r="L15" s="8" t="inlineStr">
        <is>
          <t>Gujarat</t>
        </is>
      </c>
      <c r="M15" s="2" t="inlineStr">
        <is>
          <t>PS</t>
        </is>
      </c>
      <c r="N15" s="1" t="inlineStr">
        <is>
          <t>Cold Soldering</t>
        </is>
      </c>
      <c r="O15" s="11" t="n">
        <v>540</v>
      </c>
      <c r="P15" s="2" t="inlineStr">
        <is>
          <t>NSMP2305182499</t>
        </is>
      </c>
      <c r="Q15" s="14">
        <f>MID(P15,5,2)</f>
        <v/>
      </c>
      <c r="R15" s="14">
        <f>MID(P15,7,2)</f>
        <v/>
      </c>
      <c r="S15" s="1" t="inlineStr">
        <is>
          <t>G2B</t>
        </is>
      </c>
      <c r="T15" s="1" t="inlineStr">
        <is>
          <t>P2 - PEPPL</t>
        </is>
      </c>
      <c r="U15" s="1" t="inlineStr">
        <is>
          <t>P JB Cold Soldering</t>
        </is>
      </c>
      <c r="V15" s="1" t="inlineStr">
        <is>
          <t>Soldering</t>
        </is>
      </c>
      <c r="W15" s="1" t="inlineStr">
        <is>
          <t>Repair</t>
        </is>
      </c>
      <c r="X15" s="5" t="n">
        <v>46174</v>
      </c>
      <c r="Y15" s="1">
        <f>IF(X15="","",X15-A15)</f>
        <v/>
      </c>
      <c r="Z15" s="5" t="n">
        <v>46174</v>
      </c>
      <c r="AA15" s="3" t="n"/>
      <c r="AB15" s="3" t="n"/>
      <c r="AE15" s="146">
        <f>IF(AND(F15="Closed",X15&gt;=DATE(2026,6,1),X15&lt;=DATE(2026,6,30)),"Closed in June","other")</f>
        <v/>
      </c>
    </row>
    <row r="16" hidden="1">
      <c r="A16" s="9" t="n">
        <v>46148</v>
      </c>
      <c r="B16" s="1" t="n">
        <v>2026</v>
      </c>
      <c r="C16" s="8" t="inlineStr">
        <is>
          <t>Continuum</t>
        </is>
      </c>
      <c r="D16" s="1" t="inlineStr">
        <is>
          <t>Utility and C&amp;I</t>
        </is>
      </c>
      <c r="E16" s="1" t="n"/>
      <c r="F16" s="1" t="inlineStr">
        <is>
          <t>Closed</t>
        </is>
      </c>
      <c r="G16" s="8" t="inlineStr">
        <is>
          <t>Amiya Ranjan Behera</t>
        </is>
      </c>
      <c r="H16" s="8" t="n">
        <v>8917436223</v>
      </c>
      <c r="I16" s="10" t="inlineStr">
        <is>
          <t>PE06052602</t>
        </is>
      </c>
      <c r="J16" s="8" t="inlineStr">
        <is>
          <t>Diode Bypass Module Issue</t>
        </is>
      </c>
      <c r="K16" s="8" t="inlineStr">
        <is>
          <t>Bhavnagar</t>
        </is>
      </c>
      <c r="L16" s="8" t="inlineStr">
        <is>
          <t>Gujarat</t>
        </is>
      </c>
      <c r="M16" s="2" t="inlineStr">
        <is>
          <t>PR</t>
        </is>
      </c>
      <c r="N16" s="1" t="inlineStr">
        <is>
          <t>JB Issue</t>
        </is>
      </c>
      <c r="O16" s="11" t="n">
        <v>540</v>
      </c>
      <c r="P16" s="2" t="inlineStr">
        <is>
          <t>NSMP2305132848</t>
        </is>
      </c>
      <c r="Q16" s="14">
        <f>MID(P16,5,2)</f>
        <v/>
      </c>
      <c r="R16" s="14">
        <f>MID(P16,7,2)</f>
        <v/>
      </c>
      <c r="S16" s="1" t="inlineStr">
        <is>
          <t>G2B</t>
        </is>
      </c>
      <c r="T16" s="1" t="inlineStr">
        <is>
          <t>P2 - PEPPL</t>
        </is>
      </c>
      <c r="U16" s="1" t="inlineStr">
        <is>
          <t>P JB Issue</t>
        </is>
      </c>
      <c r="V16" s="3" t="inlineStr">
        <is>
          <t>JB Changed</t>
        </is>
      </c>
      <c r="W16" s="1" t="inlineStr">
        <is>
          <t>Repair</t>
        </is>
      </c>
      <c r="X16" s="5" t="n">
        <v>46174</v>
      </c>
      <c r="Y16" s="1">
        <f>IF(X16="","",X16-A16)</f>
        <v/>
      </c>
      <c r="Z16" s="5" t="n">
        <v>46174</v>
      </c>
      <c r="AA16" s="3" t="n"/>
      <c r="AB16" s="3" t="n"/>
      <c r="AE16" s="146">
        <f>IF(AND(F16="Closed",X16&gt;=DATE(2026,6,1),X16&lt;=DATE(2026,6,30)),"Closed in June","other")</f>
        <v/>
      </c>
    </row>
    <row r="17" hidden="1">
      <c r="A17" s="9" t="n">
        <v>46148</v>
      </c>
      <c r="B17" s="1" t="n">
        <v>2026</v>
      </c>
      <c r="C17" s="8" t="inlineStr">
        <is>
          <t>Continuum</t>
        </is>
      </c>
      <c r="D17" s="1" t="inlineStr">
        <is>
          <t>Utility and C&amp;I</t>
        </is>
      </c>
      <c r="E17" s="1" t="n"/>
      <c r="F17" s="1" t="inlineStr">
        <is>
          <t>Closed</t>
        </is>
      </c>
      <c r="G17" s="8" t="inlineStr">
        <is>
          <t>Amiya Ranjan Behera</t>
        </is>
      </c>
      <c r="H17" s="8" t="n">
        <v>8917436223</v>
      </c>
      <c r="I17" s="10" t="inlineStr">
        <is>
          <t>PE06052602</t>
        </is>
      </c>
      <c r="J17" s="8" t="inlineStr">
        <is>
          <t>Diode Bypass Module Issue</t>
        </is>
      </c>
      <c r="K17" s="8" t="inlineStr">
        <is>
          <t>Bhavnagar</t>
        </is>
      </c>
      <c r="L17" s="8" t="inlineStr">
        <is>
          <t>Gujarat</t>
        </is>
      </c>
      <c r="M17" s="2" t="inlineStr">
        <is>
          <t>PS</t>
        </is>
      </c>
      <c r="N17" s="1" t="inlineStr">
        <is>
          <t>Cold Soldering</t>
        </is>
      </c>
      <c r="O17" s="11" t="n">
        <v>540</v>
      </c>
      <c r="P17" s="2" t="inlineStr">
        <is>
          <t>NSMP2305172928</t>
        </is>
      </c>
      <c r="Q17" s="14">
        <f>MID(P17,5,2)</f>
        <v/>
      </c>
      <c r="R17" s="14">
        <f>MID(P17,7,2)</f>
        <v/>
      </c>
      <c r="S17" s="1" t="inlineStr">
        <is>
          <t>G2B</t>
        </is>
      </c>
      <c r="T17" s="1" t="inlineStr">
        <is>
          <t>P2 - PEPPL</t>
        </is>
      </c>
      <c r="U17" s="1" t="inlineStr">
        <is>
          <t>P JB Cold Soldering</t>
        </is>
      </c>
      <c r="V17" s="1" t="inlineStr">
        <is>
          <t>Soldering</t>
        </is>
      </c>
      <c r="W17" s="1" t="inlineStr">
        <is>
          <t>Repair</t>
        </is>
      </c>
      <c r="X17" s="5" t="n">
        <v>46174</v>
      </c>
      <c r="Y17" s="1">
        <f>IF(X17="","",X17-A17)</f>
        <v/>
      </c>
      <c r="Z17" s="5" t="n">
        <v>46174</v>
      </c>
      <c r="AA17" s="3" t="n"/>
      <c r="AB17" s="3" t="n"/>
      <c r="AE17" s="146">
        <f>IF(AND(F17="Closed",X17&gt;=DATE(2026,6,1),X17&lt;=DATE(2026,6,30)),"Closed in June","other")</f>
        <v/>
      </c>
    </row>
    <row r="18" hidden="1">
      <c r="A18" s="9" t="n">
        <v>46148</v>
      </c>
      <c r="B18" s="1" t="n">
        <v>2026</v>
      </c>
      <c r="C18" s="8" t="inlineStr">
        <is>
          <t>Continuum</t>
        </is>
      </c>
      <c r="D18" s="1" t="inlineStr">
        <is>
          <t>Utility and C&amp;I</t>
        </is>
      </c>
      <c r="E18" s="1" t="n"/>
      <c r="F18" s="1" t="inlineStr">
        <is>
          <t>Closed</t>
        </is>
      </c>
      <c r="G18" s="8" t="inlineStr">
        <is>
          <t>Amiya Ranjan Behera</t>
        </is>
      </c>
      <c r="H18" s="8" t="n">
        <v>8917436223</v>
      </c>
      <c r="I18" s="10" t="inlineStr">
        <is>
          <t>PE06052602</t>
        </is>
      </c>
      <c r="J18" s="8" t="inlineStr">
        <is>
          <t>Diode Bypass Module Issue</t>
        </is>
      </c>
      <c r="K18" s="8" t="inlineStr">
        <is>
          <t>Bhavnagar</t>
        </is>
      </c>
      <c r="L18" s="8" t="inlineStr">
        <is>
          <t>Gujarat</t>
        </is>
      </c>
      <c r="M18" s="2" t="inlineStr">
        <is>
          <t>PS</t>
        </is>
      </c>
      <c r="N18" s="1" t="inlineStr">
        <is>
          <t>Cold Soldering</t>
        </is>
      </c>
      <c r="O18" s="11" t="n">
        <v>540</v>
      </c>
      <c r="P18" s="2" t="inlineStr">
        <is>
          <t>NSMP2305133535</t>
        </is>
      </c>
      <c r="Q18" s="14">
        <f>MID(P18,5,2)</f>
        <v/>
      </c>
      <c r="R18" s="14">
        <f>MID(P18,7,2)</f>
        <v/>
      </c>
      <c r="S18" s="1" t="inlineStr">
        <is>
          <t>G2B</t>
        </is>
      </c>
      <c r="T18" s="1" t="inlineStr">
        <is>
          <t>P2 - PEPPL</t>
        </is>
      </c>
      <c r="U18" s="1" t="inlineStr">
        <is>
          <t>P JB Cold Soldering</t>
        </is>
      </c>
      <c r="V18" s="1" t="inlineStr">
        <is>
          <t>Soldering</t>
        </is>
      </c>
      <c r="W18" s="1" t="inlineStr">
        <is>
          <t>Repair</t>
        </is>
      </c>
      <c r="X18" s="5" t="n">
        <v>46174</v>
      </c>
      <c r="Y18" s="1">
        <f>IF(X18="","",X18-A18)</f>
        <v/>
      </c>
      <c r="Z18" s="5" t="n">
        <v>46174</v>
      </c>
      <c r="AA18" s="3" t="n"/>
      <c r="AB18" s="3" t="n"/>
      <c r="AE18" s="146">
        <f>IF(AND(F18="Closed",X18&gt;=DATE(2026,6,1),X18&lt;=DATE(2026,6,30)),"Closed in June","other")</f>
        <v/>
      </c>
    </row>
    <row r="19" hidden="1">
      <c r="A19" s="9" t="n">
        <v>46148</v>
      </c>
      <c r="B19" s="1" t="n">
        <v>2026</v>
      </c>
      <c r="C19" s="8" t="inlineStr">
        <is>
          <t>Continuum</t>
        </is>
      </c>
      <c r="D19" s="1" t="inlineStr">
        <is>
          <t>Utility and C&amp;I</t>
        </is>
      </c>
      <c r="E19" s="1" t="n"/>
      <c r="F19" s="1" t="inlineStr">
        <is>
          <t>Closed</t>
        </is>
      </c>
      <c r="G19" s="8" t="inlineStr">
        <is>
          <t>Amiya Ranjan Behera</t>
        </is>
      </c>
      <c r="H19" s="8" t="n">
        <v>8917436223</v>
      </c>
      <c r="I19" s="10" t="inlineStr">
        <is>
          <t>PE06052602</t>
        </is>
      </c>
      <c r="J19" s="8" t="inlineStr">
        <is>
          <t>Diode Bypass Module Issue</t>
        </is>
      </c>
      <c r="K19" s="8" t="inlineStr">
        <is>
          <t>Bhavnagar</t>
        </is>
      </c>
      <c r="L19" s="8" t="inlineStr">
        <is>
          <t>Gujarat</t>
        </is>
      </c>
      <c r="M19" s="2" t="inlineStr">
        <is>
          <t>PS</t>
        </is>
      </c>
      <c r="N19" s="1" t="inlineStr">
        <is>
          <t>Cold Soldering</t>
        </is>
      </c>
      <c r="O19" s="11" t="n">
        <v>540</v>
      </c>
      <c r="P19" s="2" t="inlineStr">
        <is>
          <t>NSMP2305133542</t>
        </is>
      </c>
      <c r="Q19" s="14">
        <f>MID(P19,5,2)</f>
        <v/>
      </c>
      <c r="R19" s="14">
        <f>MID(P19,7,2)</f>
        <v/>
      </c>
      <c r="S19" s="1" t="inlineStr">
        <is>
          <t>G2B</t>
        </is>
      </c>
      <c r="T19" s="1" t="inlineStr">
        <is>
          <t>P2 - PEPPL</t>
        </is>
      </c>
      <c r="U19" s="1" t="inlineStr">
        <is>
          <t>P JB Cold Soldering</t>
        </is>
      </c>
      <c r="V19" s="1" t="inlineStr">
        <is>
          <t>Soldering</t>
        </is>
      </c>
      <c r="W19" s="1" t="inlineStr">
        <is>
          <t>Repair</t>
        </is>
      </c>
      <c r="X19" s="5" t="n">
        <v>46174</v>
      </c>
      <c r="Y19" s="1">
        <f>IF(X19="","",X19-A19)</f>
        <v/>
      </c>
      <c r="Z19" s="5" t="n">
        <v>46174</v>
      </c>
      <c r="AA19" s="3" t="n"/>
      <c r="AB19" s="3" t="n"/>
      <c r="AE19" s="146">
        <f>IF(AND(F19="Closed",X19&gt;=DATE(2026,6,1),X19&lt;=DATE(2026,6,30)),"Closed in June","other")</f>
        <v/>
      </c>
    </row>
    <row r="20" hidden="1">
      <c r="A20" s="9" t="n">
        <v>46148</v>
      </c>
      <c r="B20" s="1" t="n">
        <v>2026</v>
      </c>
      <c r="C20" s="8" t="inlineStr">
        <is>
          <t>Continuum</t>
        </is>
      </c>
      <c r="D20" s="1" t="inlineStr">
        <is>
          <t>Utility and C&amp;I</t>
        </is>
      </c>
      <c r="E20" s="1" t="n"/>
      <c r="F20" s="1" t="inlineStr">
        <is>
          <t>Closed</t>
        </is>
      </c>
      <c r="G20" s="8" t="inlineStr">
        <is>
          <t>Amiya Ranjan Behera</t>
        </is>
      </c>
      <c r="H20" s="8" t="n">
        <v>8917436223</v>
      </c>
      <c r="I20" s="10" t="inlineStr">
        <is>
          <t>PE06052602</t>
        </is>
      </c>
      <c r="J20" s="8" t="inlineStr">
        <is>
          <t>Diode Bypass Module Issue</t>
        </is>
      </c>
      <c r="K20" s="8" t="inlineStr">
        <is>
          <t>Bhavnagar</t>
        </is>
      </c>
      <c r="L20" s="8" t="inlineStr">
        <is>
          <t>Gujarat</t>
        </is>
      </c>
      <c r="M20" s="2" t="inlineStr">
        <is>
          <t>PS</t>
        </is>
      </c>
      <c r="N20" s="1" t="inlineStr">
        <is>
          <t>Cold Soldering</t>
        </is>
      </c>
      <c r="O20" s="11" t="n">
        <v>540</v>
      </c>
      <c r="P20" s="2" t="inlineStr">
        <is>
          <t>NSMP2305133559</t>
        </is>
      </c>
      <c r="Q20" s="14">
        <f>MID(P20,5,2)</f>
        <v/>
      </c>
      <c r="R20" s="14">
        <f>MID(P20,7,2)</f>
        <v/>
      </c>
      <c r="S20" s="1" t="inlineStr">
        <is>
          <t>G2B</t>
        </is>
      </c>
      <c r="T20" s="1" t="inlineStr">
        <is>
          <t>P2 - PEPPL</t>
        </is>
      </c>
      <c r="U20" s="1" t="inlineStr">
        <is>
          <t>P JB Cold Soldering</t>
        </is>
      </c>
      <c r="V20" s="1" t="inlineStr">
        <is>
          <t>Soldering</t>
        </is>
      </c>
      <c r="W20" s="1" t="inlineStr">
        <is>
          <t>Repair</t>
        </is>
      </c>
      <c r="X20" s="5" t="n">
        <v>46174</v>
      </c>
      <c r="Y20" s="1">
        <f>IF(X20="","",X20-A20)</f>
        <v/>
      </c>
      <c r="Z20" s="5" t="n">
        <v>46174</v>
      </c>
      <c r="AA20" s="3" t="n"/>
      <c r="AB20" s="3" t="n"/>
      <c r="AE20" s="146">
        <f>IF(AND(F20="Closed",X20&gt;=DATE(2026,6,1),X20&lt;=DATE(2026,6,30)),"Closed in June","other")</f>
        <v/>
      </c>
    </row>
    <row r="21" hidden="1">
      <c r="A21" s="9" t="n">
        <v>46148</v>
      </c>
      <c r="B21" s="1" t="n">
        <v>2026</v>
      </c>
      <c r="C21" s="8" t="inlineStr">
        <is>
          <t>Continuum</t>
        </is>
      </c>
      <c r="D21" s="1" t="inlineStr">
        <is>
          <t>Utility and C&amp;I</t>
        </is>
      </c>
      <c r="E21" s="1" t="n"/>
      <c r="F21" s="1" t="inlineStr">
        <is>
          <t>Closed</t>
        </is>
      </c>
      <c r="G21" s="8" t="inlineStr">
        <is>
          <t>Amiya Ranjan Behera</t>
        </is>
      </c>
      <c r="H21" s="8" t="n">
        <v>8917436223</v>
      </c>
      <c r="I21" s="10" t="inlineStr">
        <is>
          <t>PE06052602</t>
        </is>
      </c>
      <c r="J21" s="8" t="inlineStr">
        <is>
          <t>Diode Bypass Module Issue</t>
        </is>
      </c>
      <c r="K21" s="8" t="inlineStr">
        <is>
          <t>Bhavnagar</t>
        </is>
      </c>
      <c r="L21" s="8" t="inlineStr">
        <is>
          <t>Gujarat</t>
        </is>
      </c>
      <c r="M21" s="2" t="inlineStr">
        <is>
          <t>PR</t>
        </is>
      </c>
      <c r="N21" s="1" t="inlineStr">
        <is>
          <t>JB Issue</t>
        </is>
      </c>
      <c r="O21" s="11" t="n">
        <v>540</v>
      </c>
      <c r="P21" s="2" t="inlineStr">
        <is>
          <t>NSMP2304067086</t>
        </is>
      </c>
      <c r="Q21" s="14">
        <f>MID(P21,5,2)</f>
        <v/>
      </c>
      <c r="R21" s="14">
        <f>MID(P21,7,2)</f>
        <v/>
      </c>
      <c r="S21" s="1" t="inlineStr">
        <is>
          <t>G2B</t>
        </is>
      </c>
      <c r="T21" s="1" t="inlineStr">
        <is>
          <t>P2 - PEPPL</t>
        </is>
      </c>
      <c r="U21" s="1" t="inlineStr">
        <is>
          <t>P JB Issue</t>
        </is>
      </c>
      <c r="V21" s="3" t="inlineStr">
        <is>
          <t>JB Changed</t>
        </is>
      </c>
      <c r="W21" s="1" t="inlineStr">
        <is>
          <t>Repair</t>
        </is>
      </c>
      <c r="X21" s="5" t="n">
        <v>46174</v>
      </c>
      <c r="Y21" s="1">
        <f>IF(X21="","",X21-A21)</f>
        <v/>
      </c>
      <c r="Z21" s="5" t="n">
        <v>46174</v>
      </c>
      <c r="AA21" s="3" t="n"/>
      <c r="AB21" s="3" t="n"/>
      <c r="AE21" s="146">
        <f>IF(AND(F21="Closed",X21&gt;=DATE(2026,6,1),X21&lt;=DATE(2026,6,30)),"Closed in June","other")</f>
        <v/>
      </c>
    </row>
    <row r="22" hidden="1">
      <c r="A22" s="9" t="n">
        <v>46148</v>
      </c>
      <c r="B22" s="1" t="n">
        <v>2026</v>
      </c>
      <c r="C22" s="8" t="inlineStr">
        <is>
          <t>Continuum</t>
        </is>
      </c>
      <c r="D22" s="1" t="inlineStr">
        <is>
          <t>Utility and C&amp;I</t>
        </is>
      </c>
      <c r="E22" s="1" t="n"/>
      <c r="F22" s="1" t="inlineStr">
        <is>
          <t>Closed</t>
        </is>
      </c>
      <c r="G22" s="8" t="inlineStr">
        <is>
          <t>Amiya Ranjan Behera</t>
        </is>
      </c>
      <c r="H22" s="8" t="n">
        <v>8917436223</v>
      </c>
      <c r="I22" s="10" t="inlineStr">
        <is>
          <t>PE06052602</t>
        </is>
      </c>
      <c r="J22" s="8" t="inlineStr">
        <is>
          <t>Diode Bypass Module Issue</t>
        </is>
      </c>
      <c r="K22" s="8" t="inlineStr">
        <is>
          <t>Bhavnagar</t>
        </is>
      </c>
      <c r="L22" s="8" t="inlineStr">
        <is>
          <t>Gujarat</t>
        </is>
      </c>
      <c r="M22" s="2" t="inlineStr">
        <is>
          <t>PR</t>
        </is>
      </c>
      <c r="N22" s="1" t="inlineStr">
        <is>
          <t>JB Issue</t>
        </is>
      </c>
      <c r="O22" s="11" t="n">
        <v>540</v>
      </c>
      <c r="P22" s="2" t="inlineStr">
        <is>
          <t>NSMP2305132895</t>
        </is>
      </c>
      <c r="Q22" s="14">
        <f>MID(P22,5,2)</f>
        <v/>
      </c>
      <c r="R22" s="14">
        <f>MID(P22,7,2)</f>
        <v/>
      </c>
      <c r="S22" s="1" t="inlineStr">
        <is>
          <t>G2B</t>
        </is>
      </c>
      <c r="T22" s="1" t="inlineStr">
        <is>
          <t>P2 - PEPPL</t>
        </is>
      </c>
      <c r="U22" s="1" t="inlineStr">
        <is>
          <t>P JB Issue</t>
        </is>
      </c>
      <c r="V22" s="3" t="inlineStr">
        <is>
          <t>JB Changed</t>
        </is>
      </c>
      <c r="W22" s="1" t="inlineStr">
        <is>
          <t>Repair</t>
        </is>
      </c>
      <c r="X22" s="5" t="n">
        <v>46174</v>
      </c>
      <c r="Y22" s="1">
        <f>IF(X22="","",X22-A22)</f>
        <v/>
      </c>
      <c r="Z22" s="5" t="n">
        <v>46174</v>
      </c>
      <c r="AA22" s="3" t="n"/>
      <c r="AB22" s="3" t="n"/>
      <c r="AE22" s="146">
        <f>IF(AND(F22="Closed",X22&gt;=DATE(2026,6,1),X22&lt;=DATE(2026,6,30)),"Closed in June","other")</f>
        <v/>
      </c>
    </row>
    <row r="23" hidden="1">
      <c r="A23" s="9" t="n">
        <v>46148</v>
      </c>
      <c r="B23" s="1" t="n">
        <v>2026</v>
      </c>
      <c r="C23" s="8" t="inlineStr">
        <is>
          <t>Continuum</t>
        </is>
      </c>
      <c r="D23" s="1" t="inlineStr">
        <is>
          <t>Utility and C&amp;I</t>
        </is>
      </c>
      <c r="E23" s="1" t="n"/>
      <c r="F23" s="1" t="inlineStr">
        <is>
          <t>Closed</t>
        </is>
      </c>
      <c r="G23" s="8" t="inlineStr">
        <is>
          <t>Amiya Ranjan Behera</t>
        </is>
      </c>
      <c r="H23" s="8" t="n">
        <v>8917436223</v>
      </c>
      <c r="I23" s="10" t="inlineStr">
        <is>
          <t>PE06052602</t>
        </is>
      </c>
      <c r="J23" s="8" t="inlineStr">
        <is>
          <t>Diode Bypass Module Issue</t>
        </is>
      </c>
      <c r="K23" s="8" t="inlineStr">
        <is>
          <t>Bhavnagar</t>
        </is>
      </c>
      <c r="L23" s="8" t="inlineStr">
        <is>
          <t>Gujarat</t>
        </is>
      </c>
      <c r="M23" s="2" t="inlineStr">
        <is>
          <t>PR</t>
        </is>
      </c>
      <c r="N23" s="1" t="inlineStr">
        <is>
          <t>JB Issue</t>
        </is>
      </c>
      <c r="O23" s="11" t="n">
        <v>540</v>
      </c>
      <c r="P23" s="2" t="inlineStr">
        <is>
          <t>NSMP2304068770</t>
        </is>
      </c>
      <c r="Q23" s="14">
        <f>MID(P23,5,2)</f>
        <v/>
      </c>
      <c r="R23" s="14">
        <f>MID(P23,7,2)</f>
        <v/>
      </c>
      <c r="S23" s="1" t="inlineStr">
        <is>
          <t>G2B</t>
        </is>
      </c>
      <c r="T23" s="1" t="inlineStr">
        <is>
          <t>P2 - PEPPL</t>
        </is>
      </c>
      <c r="U23" s="1" t="inlineStr">
        <is>
          <t>P JB Issue</t>
        </is>
      </c>
      <c r="V23" s="3" t="inlineStr">
        <is>
          <t>JB Changed</t>
        </is>
      </c>
      <c r="W23" s="1" t="inlineStr">
        <is>
          <t>Repair</t>
        </is>
      </c>
      <c r="X23" s="5" t="n">
        <v>46174</v>
      </c>
      <c r="Y23" s="1">
        <f>IF(X23="","",X23-A23)</f>
        <v/>
      </c>
      <c r="Z23" s="5" t="n">
        <v>46174</v>
      </c>
      <c r="AA23" s="3" t="n"/>
      <c r="AB23" s="3" t="n"/>
      <c r="AE23" s="146">
        <f>IF(AND(F23="Closed",X23&gt;=DATE(2026,6,1),X23&lt;=DATE(2026,6,30)),"Closed in June","other")</f>
        <v/>
      </c>
    </row>
    <row r="24" hidden="1">
      <c r="A24" s="9" t="n">
        <v>46148</v>
      </c>
      <c r="B24" s="1" t="n">
        <v>2026</v>
      </c>
      <c r="C24" s="8" t="inlineStr">
        <is>
          <t>Continuum</t>
        </is>
      </c>
      <c r="D24" s="1" t="inlineStr">
        <is>
          <t>Utility and C&amp;I</t>
        </is>
      </c>
      <c r="E24" s="1" t="n"/>
      <c r="F24" s="1" t="inlineStr">
        <is>
          <t>Closed</t>
        </is>
      </c>
      <c r="G24" s="8" t="inlineStr">
        <is>
          <t>Amiya Ranjan Behera</t>
        </is>
      </c>
      <c r="H24" s="8" t="n">
        <v>8917436223</v>
      </c>
      <c r="I24" s="10" t="inlineStr">
        <is>
          <t>PE06052602</t>
        </is>
      </c>
      <c r="J24" s="8" t="inlineStr">
        <is>
          <t>Diode Bypass Module Issue</t>
        </is>
      </c>
      <c r="K24" s="8" t="inlineStr">
        <is>
          <t>Bhavnagar</t>
        </is>
      </c>
      <c r="L24" s="8" t="inlineStr">
        <is>
          <t>Gujarat</t>
        </is>
      </c>
      <c r="M24" s="2" t="inlineStr">
        <is>
          <t>PS</t>
        </is>
      </c>
      <c r="N24" s="1" t="inlineStr">
        <is>
          <t>Cold Soldering</t>
        </is>
      </c>
      <c r="O24" s="11" t="n">
        <v>540</v>
      </c>
      <c r="P24" s="2" t="inlineStr">
        <is>
          <t>NSMP2304068769</t>
        </is>
      </c>
      <c r="Q24" s="14">
        <f>MID(P24,5,2)</f>
        <v/>
      </c>
      <c r="R24" s="14">
        <f>MID(P24,7,2)</f>
        <v/>
      </c>
      <c r="S24" s="1" t="inlineStr">
        <is>
          <t>G2B</t>
        </is>
      </c>
      <c r="T24" s="1" t="inlineStr">
        <is>
          <t>P2 - PEPPL</t>
        </is>
      </c>
      <c r="U24" s="1" t="inlineStr">
        <is>
          <t>P JB Cold Soldering</t>
        </is>
      </c>
      <c r="V24" s="1" t="inlineStr">
        <is>
          <t>Soldering</t>
        </is>
      </c>
      <c r="W24" s="1" t="inlineStr">
        <is>
          <t>Repair</t>
        </is>
      </c>
      <c r="X24" s="5" t="n">
        <v>46174</v>
      </c>
      <c r="Y24" s="1">
        <f>IF(X24="","",X24-A24)</f>
        <v/>
      </c>
      <c r="Z24" s="5" t="n">
        <v>46174</v>
      </c>
      <c r="AA24" s="3" t="n"/>
      <c r="AB24" s="3" t="n"/>
      <c r="AE24" s="146">
        <f>IF(AND(F24="Closed",X24&gt;=DATE(2026,6,1),X24&lt;=DATE(2026,6,30)),"Closed in June","other")</f>
        <v/>
      </c>
    </row>
    <row r="25" hidden="1">
      <c r="A25" s="9" t="n">
        <v>46148</v>
      </c>
      <c r="B25" s="1" t="n">
        <v>2026</v>
      </c>
      <c r="C25" s="8" t="inlineStr">
        <is>
          <t>Continuum</t>
        </is>
      </c>
      <c r="D25" s="1" t="inlineStr">
        <is>
          <t>Utility and C&amp;I</t>
        </is>
      </c>
      <c r="E25" s="1" t="n"/>
      <c r="F25" s="1" t="inlineStr">
        <is>
          <t>Closed</t>
        </is>
      </c>
      <c r="G25" s="8" t="inlineStr">
        <is>
          <t>Amiya Ranjan Behera</t>
        </is>
      </c>
      <c r="H25" s="8" t="n">
        <v>8917436223</v>
      </c>
      <c r="I25" s="10" t="inlineStr">
        <is>
          <t>PE06052602</t>
        </is>
      </c>
      <c r="J25" s="8" t="inlineStr">
        <is>
          <t>Diode Bypass Module Issue</t>
        </is>
      </c>
      <c r="K25" s="8" t="inlineStr">
        <is>
          <t>Bhavnagar</t>
        </is>
      </c>
      <c r="L25" s="8" t="inlineStr">
        <is>
          <t>Gujarat</t>
        </is>
      </c>
      <c r="M25" s="2" t="inlineStr">
        <is>
          <t>PS</t>
        </is>
      </c>
      <c r="N25" s="1" t="inlineStr">
        <is>
          <t>Cold Soldering</t>
        </is>
      </c>
      <c r="O25" s="11" t="n">
        <v>540</v>
      </c>
      <c r="P25" s="2" t="inlineStr">
        <is>
          <t>NSMP2305132901</t>
        </is>
      </c>
      <c r="Q25" s="14">
        <f>MID(P25,5,2)</f>
        <v/>
      </c>
      <c r="R25" s="14">
        <f>MID(P25,7,2)</f>
        <v/>
      </c>
      <c r="S25" s="1" t="inlineStr">
        <is>
          <t>G2B</t>
        </is>
      </c>
      <c r="T25" s="1" t="inlineStr">
        <is>
          <t>P2 - PEPPL</t>
        </is>
      </c>
      <c r="U25" s="1" t="inlineStr">
        <is>
          <t>P JB Cold Soldering</t>
        </is>
      </c>
      <c r="V25" s="1" t="inlineStr">
        <is>
          <t>Soldering</t>
        </is>
      </c>
      <c r="W25" s="1" t="inlineStr">
        <is>
          <t>Repair</t>
        </is>
      </c>
      <c r="X25" s="5" t="n">
        <v>46174</v>
      </c>
      <c r="Y25" s="1">
        <f>IF(X25="","",X25-A25)</f>
        <v/>
      </c>
      <c r="Z25" s="5" t="n">
        <v>46174</v>
      </c>
      <c r="AA25" s="3" t="n"/>
      <c r="AB25" s="3" t="n"/>
      <c r="AE25" s="146">
        <f>IF(AND(F25="Closed",X25&gt;=DATE(2026,6,1),X25&lt;=DATE(2026,6,30)),"Closed in June","other")</f>
        <v/>
      </c>
    </row>
    <row r="26" hidden="1">
      <c r="A26" s="9" t="n">
        <v>46148</v>
      </c>
      <c r="B26" s="1" t="n">
        <v>2026</v>
      </c>
      <c r="C26" s="8" t="inlineStr">
        <is>
          <t>Continuum</t>
        </is>
      </c>
      <c r="D26" s="1" t="inlineStr">
        <is>
          <t>Utility and C&amp;I</t>
        </is>
      </c>
      <c r="E26" s="1" t="n"/>
      <c r="F26" s="1" t="inlineStr">
        <is>
          <t>Closed</t>
        </is>
      </c>
      <c r="G26" s="8" t="inlineStr">
        <is>
          <t>Amiya Ranjan Behera</t>
        </is>
      </c>
      <c r="H26" s="8" t="n">
        <v>8917436223</v>
      </c>
      <c r="I26" s="10" t="inlineStr">
        <is>
          <t>PE06052602</t>
        </is>
      </c>
      <c r="J26" s="8" t="inlineStr">
        <is>
          <t>Diode Bypass Module Issue</t>
        </is>
      </c>
      <c r="K26" s="8" t="inlineStr">
        <is>
          <t>Bhavnagar</t>
        </is>
      </c>
      <c r="L26" s="8" t="inlineStr">
        <is>
          <t>Gujarat</t>
        </is>
      </c>
      <c r="M26" s="2" t="inlineStr">
        <is>
          <t>PS</t>
        </is>
      </c>
      <c r="N26" s="1" t="inlineStr">
        <is>
          <t>Cold Soldering</t>
        </is>
      </c>
      <c r="O26" s="11" t="n">
        <v>540</v>
      </c>
      <c r="P26" s="2" t="inlineStr">
        <is>
          <t>NSMP2305132732</t>
        </is>
      </c>
      <c r="Q26" s="14">
        <f>MID(P26,5,2)</f>
        <v/>
      </c>
      <c r="R26" s="14">
        <f>MID(P26,7,2)</f>
        <v/>
      </c>
      <c r="S26" s="1" t="inlineStr">
        <is>
          <t>G2B</t>
        </is>
      </c>
      <c r="T26" s="1" t="inlineStr">
        <is>
          <t>P2 - PEPPL</t>
        </is>
      </c>
      <c r="U26" s="1" t="inlineStr">
        <is>
          <t>P JB Cold Soldering</t>
        </is>
      </c>
      <c r="V26" s="1" t="inlineStr">
        <is>
          <t>Soldering</t>
        </is>
      </c>
      <c r="W26" s="1" t="inlineStr">
        <is>
          <t>Repair</t>
        </is>
      </c>
      <c r="X26" s="5" t="n">
        <v>46174</v>
      </c>
      <c r="Y26" s="1">
        <f>IF(X26="","",X26-A26)</f>
        <v/>
      </c>
      <c r="Z26" s="5" t="n">
        <v>46174</v>
      </c>
      <c r="AA26" s="3" t="n"/>
      <c r="AB26" s="3" t="n"/>
      <c r="AE26" s="146">
        <f>IF(AND(F26="Closed",X26&gt;=DATE(2026,6,1),X26&lt;=DATE(2026,6,30)),"Closed in June","other")</f>
        <v/>
      </c>
    </row>
    <row r="27" hidden="1">
      <c r="A27" s="9" t="n">
        <v>46148</v>
      </c>
      <c r="B27" s="1" t="n">
        <v>2026</v>
      </c>
      <c r="C27" s="8" t="inlineStr">
        <is>
          <t>Continuum</t>
        </is>
      </c>
      <c r="D27" s="1" t="inlineStr">
        <is>
          <t>Utility and C&amp;I</t>
        </is>
      </c>
      <c r="E27" s="1" t="n"/>
      <c r="F27" s="1" t="inlineStr">
        <is>
          <t>Closed</t>
        </is>
      </c>
      <c r="G27" s="8" t="inlineStr">
        <is>
          <t>Amiya Ranjan Behera</t>
        </is>
      </c>
      <c r="H27" s="8" t="n">
        <v>8917436223</v>
      </c>
      <c r="I27" s="10" t="inlineStr">
        <is>
          <t>PE06052602</t>
        </is>
      </c>
      <c r="J27" s="8" t="inlineStr">
        <is>
          <t>Diode Bypass Module Issue</t>
        </is>
      </c>
      <c r="K27" s="8" t="inlineStr">
        <is>
          <t>Bhavnagar</t>
        </is>
      </c>
      <c r="L27" s="8" t="inlineStr">
        <is>
          <t>Gujarat</t>
        </is>
      </c>
      <c r="M27" s="2" t="inlineStr">
        <is>
          <t>PS</t>
        </is>
      </c>
      <c r="N27" s="1" t="inlineStr">
        <is>
          <t>Cold Soldering</t>
        </is>
      </c>
      <c r="O27" s="11" t="n">
        <v>540</v>
      </c>
      <c r="P27" s="2" t="inlineStr">
        <is>
          <t>NSMP2305134350</t>
        </is>
      </c>
      <c r="Q27" s="14">
        <f>MID(P27,5,2)</f>
        <v/>
      </c>
      <c r="R27" s="14">
        <f>MID(P27,7,2)</f>
        <v/>
      </c>
      <c r="S27" s="1" t="inlineStr">
        <is>
          <t>G2B</t>
        </is>
      </c>
      <c r="T27" s="1" t="inlineStr">
        <is>
          <t>P2 - PEPPL</t>
        </is>
      </c>
      <c r="U27" s="1" t="inlineStr">
        <is>
          <t>P JB Cold Soldering</t>
        </is>
      </c>
      <c r="V27" s="1" t="inlineStr">
        <is>
          <t>Soldering</t>
        </is>
      </c>
      <c r="W27" s="1" t="inlineStr">
        <is>
          <t>Repair</t>
        </is>
      </c>
      <c r="X27" s="5" t="n">
        <v>46174</v>
      </c>
      <c r="Y27" s="1">
        <f>IF(X27="","",X27-A27)</f>
        <v/>
      </c>
      <c r="Z27" s="5" t="n">
        <v>46174</v>
      </c>
      <c r="AA27" s="3" t="n"/>
      <c r="AB27" s="3" t="n"/>
      <c r="AE27" s="146">
        <f>IF(AND(F27="Closed",X27&gt;=DATE(2026,6,1),X27&lt;=DATE(2026,6,30)),"Closed in June","other")</f>
        <v/>
      </c>
    </row>
    <row r="28" hidden="1">
      <c r="A28" s="9" t="n">
        <v>46148</v>
      </c>
      <c r="B28" s="1" t="n">
        <v>2026</v>
      </c>
      <c r="C28" s="8" t="inlineStr">
        <is>
          <t>Continuum</t>
        </is>
      </c>
      <c r="D28" s="1" t="inlineStr">
        <is>
          <t>Utility and C&amp;I</t>
        </is>
      </c>
      <c r="E28" s="1" t="n"/>
      <c r="F28" s="1" t="inlineStr">
        <is>
          <t>Closed</t>
        </is>
      </c>
      <c r="G28" s="8" t="inlineStr">
        <is>
          <t>Amiya Ranjan Behera</t>
        </is>
      </c>
      <c r="H28" s="8" t="n">
        <v>8917436223</v>
      </c>
      <c r="I28" s="10" t="inlineStr">
        <is>
          <t>PE06052602</t>
        </is>
      </c>
      <c r="J28" s="8" t="inlineStr">
        <is>
          <t>Diode Bypass Module Issue</t>
        </is>
      </c>
      <c r="K28" s="8" t="inlineStr">
        <is>
          <t>Bhavnagar</t>
        </is>
      </c>
      <c r="L28" s="8" t="inlineStr">
        <is>
          <t>Gujarat</t>
        </is>
      </c>
      <c r="M28" s="2" t="inlineStr">
        <is>
          <t>PS</t>
        </is>
      </c>
      <c r="N28" s="1" t="inlineStr">
        <is>
          <t>Cold Soldering</t>
        </is>
      </c>
      <c r="O28" s="11" t="n">
        <v>540</v>
      </c>
      <c r="P28" s="2" t="inlineStr">
        <is>
          <t>NSMP2305188908</t>
        </is>
      </c>
      <c r="Q28" s="14">
        <f>MID(P28,5,2)</f>
        <v/>
      </c>
      <c r="R28" s="14">
        <f>MID(P28,7,2)</f>
        <v/>
      </c>
      <c r="S28" s="1" t="inlineStr">
        <is>
          <t>G2B</t>
        </is>
      </c>
      <c r="T28" s="1" t="inlineStr">
        <is>
          <t>P2 - PEPPL</t>
        </is>
      </c>
      <c r="U28" s="1" t="inlineStr">
        <is>
          <t>P JB Cold Soldering</t>
        </is>
      </c>
      <c r="V28" s="1" t="inlineStr">
        <is>
          <t>Soldering</t>
        </is>
      </c>
      <c r="W28" s="1" t="inlineStr">
        <is>
          <t>Repair</t>
        </is>
      </c>
      <c r="X28" s="5" t="n">
        <v>46174</v>
      </c>
      <c r="Y28" s="1">
        <f>IF(X28="","",X28-A28)</f>
        <v/>
      </c>
      <c r="Z28" s="5" t="n">
        <v>46174</v>
      </c>
      <c r="AA28" s="3" t="n"/>
      <c r="AB28" s="3" t="n"/>
      <c r="AE28" s="146">
        <f>IF(AND(F28="Closed",X28&gt;=DATE(2026,6,1),X28&lt;=DATE(2026,6,30)),"Closed in June","other")</f>
        <v/>
      </c>
    </row>
    <row r="29" hidden="1">
      <c r="A29" s="9" t="n">
        <v>46148</v>
      </c>
      <c r="B29" s="1" t="n">
        <v>2026</v>
      </c>
      <c r="C29" s="8" t="inlineStr">
        <is>
          <t>Continuum</t>
        </is>
      </c>
      <c r="D29" s="1" t="inlineStr">
        <is>
          <t>Utility and C&amp;I</t>
        </is>
      </c>
      <c r="E29" s="1" t="n"/>
      <c r="F29" s="1" t="inlineStr">
        <is>
          <t>Closed</t>
        </is>
      </c>
      <c r="G29" s="8" t="inlineStr">
        <is>
          <t>Amiya Ranjan Behera</t>
        </is>
      </c>
      <c r="H29" s="8" t="n">
        <v>8917436223</v>
      </c>
      <c r="I29" s="10" t="inlineStr">
        <is>
          <t>PE06052602</t>
        </is>
      </c>
      <c r="J29" s="8" t="inlineStr">
        <is>
          <t>Diode Bypass Module Issue</t>
        </is>
      </c>
      <c r="K29" s="8" t="inlineStr">
        <is>
          <t>Bhavnagar</t>
        </is>
      </c>
      <c r="L29" s="8" t="inlineStr">
        <is>
          <t>Gujarat</t>
        </is>
      </c>
      <c r="M29" s="2" t="inlineStr">
        <is>
          <t>PS</t>
        </is>
      </c>
      <c r="N29" s="1" t="inlineStr">
        <is>
          <t>Cold Soldering</t>
        </is>
      </c>
      <c r="O29" s="11" t="n">
        <v>540</v>
      </c>
      <c r="P29" s="2" t="inlineStr">
        <is>
          <t>NSMP2305133584</t>
        </is>
      </c>
      <c r="Q29" s="14">
        <f>MID(P29,5,2)</f>
        <v/>
      </c>
      <c r="R29" s="14">
        <f>MID(P29,7,2)</f>
        <v/>
      </c>
      <c r="S29" s="1" t="inlineStr">
        <is>
          <t>G2B</t>
        </is>
      </c>
      <c r="T29" s="1" t="inlineStr">
        <is>
          <t>P2 - PEPPL</t>
        </is>
      </c>
      <c r="U29" s="1" t="inlineStr">
        <is>
          <t>P JB Cold Soldering</t>
        </is>
      </c>
      <c r="V29" s="1" t="inlineStr">
        <is>
          <t>Soldering</t>
        </is>
      </c>
      <c r="W29" s="1" t="inlineStr">
        <is>
          <t>Repair</t>
        </is>
      </c>
      <c r="X29" s="5" t="n">
        <v>46174</v>
      </c>
      <c r="Y29" s="1">
        <f>IF(X29="","",X29-A29)</f>
        <v/>
      </c>
      <c r="Z29" s="5" t="n">
        <v>46174</v>
      </c>
      <c r="AA29" s="3" t="n"/>
      <c r="AB29" s="3" t="n"/>
      <c r="AE29" s="146">
        <f>IF(AND(F29="Closed",X29&gt;=DATE(2026,6,1),X29&lt;=DATE(2026,6,30)),"Closed in June","other")</f>
        <v/>
      </c>
    </row>
    <row r="30" hidden="1">
      <c r="A30" s="9" t="n">
        <v>46148</v>
      </c>
      <c r="B30" s="1" t="n">
        <v>2026</v>
      </c>
      <c r="C30" s="8" t="inlineStr">
        <is>
          <t>Continuum</t>
        </is>
      </c>
      <c r="D30" s="1" t="inlineStr">
        <is>
          <t>Utility and C&amp;I</t>
        </is>
      </c>
      <c r="E30" s="1" t="n"/>
      <c r="F30" s="1" t="inlineStr">
        <is>
          <t>Closed</t>
        </is>
      </c>
      <c r="G30" s="8" t="inlineStr">
        <is>
          <t>Amiya Ranjan Behera</t>
        </is>
      </c>
      <c r="H30" s="8" t="n">
        <v>8917436223</v>
      </c>
      <c r="I30" s="10" t="inlineStr">
        <is>
          <t>PE06052602</t>
        </is>
      </c>
      <c r="J30" s="8" t="inlineStr">
        <is>
          <t>Diode Bypass Module Issue</t>
        </is>
      </c>
      <c r="K30" s="8" t="inlineStr">
        <is>
          <t>Bhavnagar</t>
        </is>
      </c>
      <c r="L30" s="8" t="inlineStr">
        <is>
          <t>Gujarat</t>
        </is>
      </c>
      <c r="M30" s="2" t="inlineStr">
        <is>
          <t>PS</t>
        </is>
      </c>
      <c r="N30" s="1" t="inlineStr">
        <is>
          <t>Cold Soldering</t>
        </is>
      </c>
      <c r="O30" s="11" t="n">
        <v>540</v>
      </c>
      <c r="P30" s="2" t="inlineStr">
        <is>
          <t>NSMP2305133621</t>
        </is>
      </c>
      <c r="Q30" s="14">
        <f>MID(P30,5,2)</f>
        <v/>
      </c>
      <c r="R30" s="14">
        <f>MID(P30,7,2)</f>
        <v/>
      </c>
      <c r="S30" s="1" t="inlineStr">
        <is>
          <t>G2B</t>
        </is>
      </c>
      <c r="T30" s="1" t="inlineStr">
        <is>
          <t>P2 - PEPPL</t>
        </is>
      </c>
      <c r="U30" s="1" t="inlineStr">
        <is>
          <t>P JB Cold Soldering</t>
        </is>
      </c>
      <c r="V30" s="1" t="inlineStr">
        <is>
          <t>Soldering</t>
        </is>
      </c>
      <c r="W30" s="1" t="inlineStr">
        <is>
          <t>Repair</t>
        </is>
      </c>
      <c r="X30" s="5" t="n">
        <v>46174</v>
      </c>
      <c r="Y30" s="1">
        <f>IF(X30="","",X30-A30)</f>
        <v/>
      </c>
      <c r="Z30" s="5" t="n">
        <v>46174</v>
      </c>
      <c r="AA30" s="3" t="n"/>
      <c r="AB30" s="3" t="n"/>
      <c r="AE30" s="146">
        <f>IF(AND(F30="Closed",X30&gt;=DATE(2026,6,1),X30&lt;=DATE(2026,6,30)),"Closed in June","other")</f>
        <v/>
      </c>
    </row>
    <row r="31" hidden="1">
      <c r="A31" s="9" t="n">
        <v>46148</v>
      </c>
      <c r="B31" s="1" t="n">
        <v>2026</v>
      </c>
      <c r="C31" s="8" t="inlineStr">
        <is>
          <t>Continuum</t>
        </is>
      </c>
      <c r="D31" s="1" t="inlineStr">
        <is>
          <t>Utility and C&amp;I</t>
        </is>
      </c>
      <c r="E31" s="1" t="n"/>
      <c r="F31" s="1" t="inlineStr">
        <is>
          <t>Closed</t>
        </is>
      </c>
      <c r="G31" s="8" t="inlineStr">
        <is>
          <t>Amiya Ranjan Behera</t>
        </is>
      </c>
      <c r="H31" s="8" t="n">
        <v>8917436223</v>
      </c>
      <c r="I31" s="10" t="inlineStr">
        <is>
          <t>PE06052602</t>
        </is>
      </c>
      <c r="J31" s="8" t="inlineStr">
        <is>
          <t>Diode Bypass Module Issue</t>
        </is>
      </c>
      <c r="K31" s="8" t="inlineStr">
        <is>
          <t>Bhavnagar</t>
        </is>
      </c>
      <c r="L31" s="8" t="inlineStr">
        <is>
          <t>Gujarat</t>
        </is>
      </c>
      <c r="M31" s="2" t="inlineStr">
        <is>
          <t>PR</t>
        </is>
      </c>
      <c r="N31" s="1" t="inlineStr">
        <is>
          <t>JB Issue</t>
        </is>
      </c>
      <c r="O31" s="11" t="n">
        <v>540</v>
      </c>
      <c r="P31" s="2" t="inlineStr">
        <is>
          <t>NSMP2304071463</t>
        </is>
      </c>
      <c r="Q31" s="14">
        <f>MID(P31,5,2)</f>
        <v/>
      </c>
      <c r="R31" s="14">
        <f>MID(P31,7,2)</f>
        <v/>
      </c>
      <c r="S31" s="1" t="inlineStr">
        <is>
          <t>G2B</t>
        </is>
      </c>
      <c r="T31" s="1" t="inlineStr">
        <is>
          <t>P2 - PEPPL</t>
        </is>
      </c>
      <c r="U31" s="1" t="inlineStr">
        <is>
          <t>P JB Issue</t>
        </is>
      </c>
      <c r="V31" s="3" t="inlineStr">
        <is>
          <t>JB Changed</t>
        </is>
      </c>
      <c r="W31" s="1" t="inlineStr">
        <is>
          <t>Repair</t>
        </is>
      </c>
      <c r="X31" s="5" t="n">
        <v>46174</v>
      </c>
      <c r="Y31" s="1">
        <f>IF(X31="","",X31-A31)</f>
        <v/>
      </c>
      <c r="Z31" s="5" t="n">
        <v>46174</v>
      </c>
      <c r="AA31" s="3" t="n"/>
      <c r="AB31" s="3" t="n"/>
      <c r="AE31" s="146">
        <f>IF(AND(F31="Closed",X31&gt;=DATE(2026,6,1),X31&lt;=DATE(2026,6,30)),"Closed in June","other")</f>
        <v/>
      </c>
    </row>
    <row r="32" hidden="1">
      <c r="A32" s="9" t="n">
        <v>46148</v>
      </c>
      <c r="B32" s="1" t="n">
        <v>2026</v>
      </c>
      <c r="C32" s="8" t="inlineStr">
        <is>
          <t>Continuum</t>
        </is>
      </c>
      <c r="D32" s="1" t="inlineStr">
        <is>
          <t>Utility and C&amp;I</t>
        </is>
      </c>
      <c r="E32" s="1" t="n"/>
      <c r="F32" s="1" t="inlineStr">
        <is>
          <t>Closed</t>
        </is>
      </c>
      <c r="G32" s="8" t="inlineStr">
        <is>
          <t>Amiya Ranjan Behera</t>
        </is>
      </c>
      <c r="H32" s="8" t="n">
        <v>8917436223</v>
      </c>
      <c r="I32" s="10" t="inlineStr">
        <is>
          <t>PE06052602</t>
        </is>
      </c>
      <c r="J32" s="8" t="inlineStr">
        <is>
          <t>Diode Bypass Module Issue</t>
        </is>
      </c>
      <c r="K32" s="8" t="inlineStr">
        <is>
          <t>Bhavnagar</t>
        </is>
      </c>
      <c r="L32" s="8" t="inlineStr">
        <is>
          <t>Gujarat</t>
        </is>
      </c>
      <c r="M32" s="2" t="inlineStr">
        <is>
          <t>NR</t>
        </is>
      </c>
      <c r="N32" s="8" t="inlineStr">
        <is>
          <t>JB Issue</t>
        </is>
      </c>
      <c r="O32" s="11" t="n">
        <v>540</v>
      </c>
      <c r="P32" s="2" t="inlineStr">
        <is>
          <t>NSMP2304071472</t>
        </is>
      </c>
      <c r="Q32" s="14">
        <f>MID(P32,5,2)</f>
        <v/>
      </c>
      <c r="R32" s="14">
        <f>MID(P32,7,2)</f>
        <v/>
      </c>
      <c r="S32" s="1" t="inlineStr">
        <is>
          <t>G2B</t>
        </is>
      </c>
      <c r="T32" s="1" t="inlineStr">
        <is>
          <t>P2 - PEPPL</t>
        </is>
      </c>
      <c r="U32" s="6" t="inlineStr">
        <is>
          <t>N JB Issue</t>
        </is>
      </c>
      <c r="V32" s="6" t="inlineStr">
        <is>
          <t>JB Changed</t>
        </is>
      </c>
      <c r="W32" s="1" t="inlineStr">
        <is>
          <t>Repair</t>
        </is>
      </c>
      <c r="X32" s="5" t="n">
        <v>46174</v>
      </c>
      <c r="Y32" s="1">
        <f>IF(X32="","",X32-A32)</f>
        <v/>
      </c>
      <c r="Z32" s="5" t="n">
        <v>46174</v>
      </c>
      <c r="AA32" s="3" t="n"/>
      <c r="AB32" s="3" t="n"/>
      <c r="AE32" s="146">
        <f>IF(AND(F32="Closed",X32&gt;=DATE(2026,6,1),X32&lt;=DATE(2026,6,30)),"Closed in June","other")</f>
        <v/>
      </c>
    </row>
    <row r="33" hidden="1">
      <c r="A33" s="9" t="n">
        <v>46148</v>
      </c>
      <c r="B33" s="1" t="n">
        <v>2026</v>
      </c>
      <c r="C33" s="8" t="inlineStr">
        <is>
          <t>Continuum</t>
        </is>
      </c>
      <c r="D33" s="1" t="inlineStr">
        <is>
          <t>Utility and C&amp;I</t>
        </is>
      </c>
      <c r="E33" s="1" t="n"/>
      <c r="F33" s="1" t="inlineStr">
        <is>
          <t>Closed</t>
        </is>
      </c>
      <c r="G33" s="8" t="inlineStr">
        <is>
          <t>Amiya Ranjan Behera</t>
        </is>
      </c>
      <c r="H33" s="8" t="n">
        <v>8917436223</v>
      </c>
      <c r="I33" s="10" t="inlineStr">
        <is>
          <t>PE06052602</t>
        </is>
      </c>
      <c r="J33" s="8" t="inlineStr">
        <is>
          <t>Diode Bypass Module Issue</t>
        </is>
      </c>
      <c r="K33" s="8" t="inlineStr">
        <is>
          <t>Bhavnagar</t>
        </is>
      </c>
      <c r="L33" s="8" t="inlineStr">
        <is>
          <t>Gujarat</t>
        </is>
      </c>
      <c r="M33" s="2" t="inlineStr">
        <is>
          <t>PS</t>
        </is>
      </c>
      <c r="N33" s="1" t="inlineStr">
        <is>
          <t>Cold Soldering</t>
        </is>
      </c>
      <c r="O33" s="11" t="n">
        <v>540</v>
      </c>
      <c r="P33" s="2" t="inlineStr">
        <is>
          <t>NSMP2304075018</t>
        </is>
      </c>
      <c r="Q33" s="14">
        <f>MID(P33,5,2)</f>
        <v/>
      </c>
      <c r="R33" s="14">
        <f>MID(P33,7,2)</f>
        <v/>
      </c>
      <c r="S33" s="1" t="inlineStr">
        <is>
          <t>G2B</t>
        </is>
      </c>
      <c r="T33" s="1" t="inlineStr">
        <is>
          <t>P2 - PEPPL</t>
        </is>
      </c>
      <c r="U33" s="1" t="inlineStr">
        <is>
          <t>P JB Cold Soldering</t>
        </is>
      </c>
      <c r="V33" s="1" t="inlineStr">
        <is>
          <t>Soldering</t>
        </is>
      </c>
      <c r="W33" s="1" t="inlineStr">
        <is>
          <t>Repair</t>
        </is>
      </c>
      <c r="X33" s="5" t="n">
        <v>46174</v>
      </c>
      <c r="Y33" s="1">
        <f>IF(X33="","",X33-A33)</f>
        <v/>
      </c>
      <c r="Z33" s="5" t="n">
        <v>46174</v>
      </c>
      <c r="AA33" s="3" t="n"/>
      <c r="AB33" s="3" t="n"/>
      <c r="AE33" s="146">
        <f>IF(AND(F33="Closed",X33&gt;=DATE(2026,6,1),X33&lt;=DATE(2026,6,30)),"Closed in June","other")</f>
        <v/>
      </c>
    </row>
    <row r="34" hidden="1">
      <c r="A34" s="9" t="n">
        <v>46148</v>
      </c>
      <c r="B34" s="1" t="n">
        <v>2026</v>
      </c>
      <c r="C34" s="8" t="inlineStr">
        <is>
          <t>Continuum</t>
        </is>
      </c>
      <c r="D34" s="1" t="inlineStr">
        <is>
          <t>Utility and C&amp;I</t>
        </is>
      </c>
      <c r="E34" s="1" t="n"/>
      <c r="F34" s="1" t="inlineStr">
        <is>
          <t>Closed</t>
        </is>
      </c>
      <c r="G34" s="8" t="inlineStr">
        <is>
          <t>Amiya Ranjan Behera</t>
        </is>
      </c>
      <c r="H34" s="8" t="n">
        <v>8917436223</v>
      </c>
      <c r="I34" s="10" t="inlineStr">
        <is>
          <t>PE06052602</t>
        </is>
      </c>
      <c r="J34" s="8" t="inlineStr">
        <is>
          <t>Diode Bypass Module Issue</t>
        </is>
      </c>
      <c r="K34" s="8" t="inlineStr">
        <is>
          <t>Bhavnagar</t>
        </is>
      </c>
      <c r="L34" s="8" t="inlineStr">
        <is>
          <t>Gujarat</t>
        </is>
      </c>
      <c r="M34" s="2" t="inlineStr">
        <is>
          <t>PS</t>
        </is>
      </c>
      <c r="N34" s="1" t="inlineStr">
        <is>
          <t>Cold Soldering</t>
        </is>
      </c>
      <c r="O34" s="11" t="n">
        <v>540</v>
      </c>
      <c r="P34" s="2" t="inlineStr">
        <is>
          <t>NSMP2304075005</t>
        </is>
      </c>
      <c r="Q34" s="14">
        <f>MID(P34,5,2)</f>
        <v/>
      </c>
      <c r="R34" s="14">
        <f>MID(P34,7,2)</f>
        <v/>
      </c>
      <c r="S34" s="1" t="inlineStr">
        <is>
          <t>G2B</t>
        </is>
      </c>
      <c r="T34" s="1" t="inlineStr">
        <is>
          <t>P2 - PEPPL</t>
        </is>
      </c>
      <c r="U34" s="1" t="inlineStr">
        <is>
          <t>P JB Cold Soldering</t>
        </is>
      </c>
      <c r="V34" s="1" t="inlineStr">
        <is>
          <t>Soldering</t>
        </is>
      </c>
      <c r="W34" s="1" t="inlineStr">
        <is>
          <t>Repair</t>
        </is>
      </c>
      <c r="X34" s="5" t="n">
        <v>46174</v>
      </c>
      <c r="Y34" s="1">
        <f>IF(X34="","",X34-A34)</f>
        <v/>
      </c>
      <c r="Z34" s="5" t="n">
        <v>46174</v>
      </c>
      <c r="AA34" s="3" t="n"/>
      <c r="AB34" s="3" t="n"/>
      <c r="AE34" s="146">
        <f>IF(AND(F34="Closed",X34&gt;=DATE(2026,6,1),X34&lt;=DATE(2026,6,30)),"Closed in June","other")</f>
        <v/>
      </c>
    </row>
    <row r="35" hidden="1">
      <c r="A35" s="9" t="n">
        <v>46148</v>
      </c>
      <c r="B35" s="1" t="n">
        <v>2026</v>
      </c>
      <c r="C35" s="8" t="inlineStr">
        <is>
          <t>Continuum</t>
        </is>
      </c>
      <c r="D35" s="1" t="inlineStr">
        <is>
          <t>Utility and C&amp;I</t>
        </is>
      </c>
      <c r="E35" s="1" t="n"/>
      <c r="F35" s="1" t="inlineStr">
        <is>
          <t>Closed</t>
        </is>
      </c>
      <c r="G35" s="8" t="inlineStr">
        <is>
          <t>Amiya Ranjan Behera</t>
        </is>
      </c>
      <c r="H35" s="8" t="n">
        <v>8917436223</v>
      </c>
      <c r="I35" s="10" t="inlineStr">
        <is>
          <t>PE06052602</t>
        </is>
      </c>
      <c r="J35" s="8" t="inlineStr">
        <is>
          <t>Diode Bypass Module Issue</t>
        </is>
      </c>
      <c r="K35" s="8" t="inlineStr">
        <is>
          <t>Bhavnagar</t>
        </is>
      </c>
      <c r="L35" s="8" t="inlineStr">
        <is>
          <t>Gujarat</t>
        </is>
      </c>
      <c r="M35" s="2" t="inlineStr">
        <is>
          <t>PS</t>
        </is>
      </c>
      <c r="N35" s="1" t="inlineStr">
        <is>
          <t>Cold Soldering</t>
        </is>
      </c>
      <c r="O35" s="11" t="n">
        <v>540</v>
      </c>
      <c r="P35" s="2" t="inlineStr">
        <is>
          <t>NSMP2305171348</t>
        </is>
      </c>
      <c r="Q35" s="14">
        <f>MID(P35,5,2)</f>
        <v/>
      </c>
      <c r="R35" s="14">
        <f>MID(P35,7,2)</f>
        <v/>
      </c>
      <c r="S35" s="1" t="inlineStr">
        <is>
          <t>G2B</t>
        </is>
      </c>
      <c r="T35" s="1" t="inlineStr">
        <is>
          <t>P2 - PEPPL</t>
        </is>
      </c>
      <c r="U35" s="1" t="inlineStr">
        <is>
          <t>P JB Cold Soldering</t>
        </is>
      </c>
      <c r="V35" s="1" t="inlineStr">
        <is>
          <t>Soldering</t>
        </is>
      </c>
      <c r="W35" s="1" t="inlineStr">
        <is>
          <t>Repair</t>
        </is>
      </c>
      <c r="X35" s="5" t="n">
        <v>46174</v>
      </c>
      <c r="Y35" s="1">
        <f>IF(X35="","",X35-A35)</f>
        <v/>
      </c>
      <c r="Z35" s="5" t="n">
        <v>46174</v>
      </c>
      <c r="AA35" s="3" t="n"/>
      <c r="AB35" s="3" t="n"/>
      <c r="AE35" s="146">
        <f>IF(AND(F35="Closed",X35&gt;=DATE(2026,6,1),X35&lt;=DATE(2026,6,30)),"Closed in June","other")</f>
        <v/>
      </c>
    </row>
    <row r="36" hidden="1">
      <c r="A36" s="9" t="n">
        <v>46148</v>
      </c>
      <c r="B36" s="1" t="n">
        <v>2026</v>
      </c>
      <c r="C36" s="8" t="inlineStr">
        <is>
          <t>Continuum</t>
        </is>
      </c>
      <c r="D36" s="1" t="inlineStr">
        <is>
          <t>Utility and C&amp;I</t>
        </is>
      </c>
      <c r="E36" s="1" t="n"/>
      <c r="F36" s="1" t="inlineStr">
        <is>
          <t>Closed</t>
        </is>
      </c>
      <c r="G36" s="8" t="inlineStr">
        <is>
          <t>Amiya Ranjan Behera</t>
        </is>
      </c>
      <c r="H36" s="8" t="n">
        <v>8917436223</v>
      </c>
      <c r="I36" s="10" t="inlineStr">
        <is>
          <t>PE06052602</t>
        </is>
      </c>
      <c r="J36" s="8" t="inlineStr">
        <is>
          <t>Diode Bypass Module Issue</t>
        </is>
      </c>
      <c r="K36" s="8" t="inlineStr">
        <is>
          <t>Bhavnagar</t>
        </is>
      </c>
      <c r="L36" s="8" t="inlineStr">
        <is>
          <t>Gujarat</t>
        </is>
      </c>
      <c r="M36" s="2" t="inlineStr">
        <is>
          <t>NS</t>
        </is>
      </c>
      <c r="N36" s="8" t="inlineStr">
        <is>
          <t>Cold Soldering</t>
        </is>
      </c>
      <c r="O36" s="11" t="n">
        <v>540</v>
      </c>
      <c r="P36" s="2" t="inlineStr">
        <is>
          <t>NSMP2305124820</t>
        </is>
      </c>
      <c r="Q36" s="14">
        <f>MID(P36,5,2)</f>
        <v/>
      </c>
      <c r="R36" s="14">
        <f>MID(P36,7,2)</f>
        <v/>
      </c>
      <c r="S36" s="1" t="inlineStr">
        <is>
          <t>G2B</t>
        </is>
      </c>
      <c r="T36" s="1" t="inlineStr">
        <is>
          <t>P2 - PEPPL</t>
        </is>
      </c>
      <c r="U36" s="6" t="inlineStr">
        <is>
          <t>N JB Cold Soldering</t>
        </is>
      </c>
      <c r="V36" s="6" t="inlineStr">
        <is>
          <t>Soldering</t>
        </is>
      </c>
      <c r="W36" s="1" t="inlineStr">
        <is>
          <t>Repair</t>
        </is>
      </c>
      <c r="X36" s="5" t="n">
        <v>46174</v>
      </c>
      <c r="Y36" s="1">
        <f>IF(X36="","",X36-A36)</f>
        <v/>
      </c>
      <c r="Z36" s="5" t="n">
        <v>46174</v>
      </c>
      <c r="AA36" s="3" t="n"/>
      <c r="AB36" s="3" t="n"/>
      <c r="AE36" s="146">
        <f>IF(AND(F36="Closed",X36&gt;=DATE(2026,6,1),X36&lt;=DATE(2026,6,30)),"Closed in June","other")</f>
        <v/>
      </c>
    </row>
    <row r="37" hidden="1">
      <c r="A37" s="9" t="n">
        <v>46148</v>
      </c>
      <c r="B37" s="1" t="n">
        <v>2026</v>
      </c>
      <c r="C37" s="8" t="inlineStr">
        <is>
          <t>Continuum</t>
        </is>
      </c>
      <c r="D37" s="1" t="inlineStr">
        <is>
          <t>Utility and C&amp;I</t>
        </is>
      </c>
      <c r="E37" s="1" t="n"/>
      <c r="F37" s="1" t="inlineStr">
        <is>
          <t>Closed</t>
        </is>
      </c>
      <c r="G37" s="8" t="inlineStr">
        <is>
          <t>Amiya Ranjan Behera</t>
        </is>
      </c>
      <c r="H37" s="8" t="n">
        <v>8917436223</v>
      </c>
      <c r="I37" s="10" t="inlineStr">
        <is>
          <t>PE06052602</t>
        </is>
      </c>
      <c r="J37" s="8" t="inlineStr">
        <is>
          <t>Diode Bypass Module Issue</t>
        </is>
      </c>
      <c r="K37" s="8" t="inlineStr">
        <is>
          <t>Bhavnagar</t>
        </is>
      </c>
      <c r="L37" s="8" t="inlineStr">
        <is>
          <t>Gujarat</t>
        </is>
      </c>
      <c r="M37" s="2" t="inlineStr">
        <is>
          <t>NS</t>
        </is>
      </c>
      <c r="N37" s="8" t="inlineStr">
        <is>
          <t>Cold Soldering</t>
        </is>
      </c>
      <c r="O37" s="11" t="n">
        <v>540</v>
      </c>
      <c r="P37" s="2" t="inlineStr">
        <is>
          <t>NSMP2305124749</t>
        </is>
      </c>
      <c r="Q37" s="14">
        <f>MID(P37,5,2)</f>
        <v/>
      </c>
      <c r="R37" s="14">
        <f>MID(P37,7,2)</f>
        <v/>
      </c>
      <c r="S37" s="1" t="inlineStr">
        <is>
          <t>G2B</t>
        </is>
      </c>
      <c r="T37" s="1" t="inlineStr">
        <is>
          <t>P2 - PEPPL</t>
        </is>
      </c>
      <c r="U37" s="6" t="inlineStr">
        <is>
          <t>N JB Cold Soldering</t>
        </is>
      </c>
      <c r="V37" s="6" t="inlineStr">
        <is>
          <t>Soldering</t>
        </is>
      </c>
      <c r="W37" s="1" t="inlineStr">
        <is>
          <t>Repair</t>
        </is>
      </c>
      <c r="X37" s="5" t="n">
        <v>46174</v>
      </c>
      <c r="Y37" s="1">
        <f>IF(X37="","",X37-A37)</f>
        <v/>
      </c>
      <c r="Z37" s="5" t="n">
        <v>46174</v>
      </c>
      <c r="AA37" s="3" t="n"/>
      <c r="AB37" s="3" t="n"/>
      <c r="AE37" s="146">
        <f>IF(AND(F37="Closed",X37&gt;=DATE(2026,6,1),X37&lt;=DATE(2026,6,30)),"Closed in June","other")</f>
        <v/>
      </c>
    </row>
    <row r="38" hidden="1">
      <c r="A38" s="9" t="n">
        <v>46148</v>
      </c>
      <c r="B38" s="1" t="n">
        <v>2026</v>
      </c>
      <c r="C38" s="8" t="inlineStr">
        <is>
          <t>Continuum</t>
        </is>
      </c>
      <c r="D38" s="1" t="inlineStr">
        <is>
          <t>Utility and C&amp;I</t>
        </is>
      </c>
      <c r="E38" s="1" t="n"/>
      <c r="F38" s="1" t="inlineStr">
        <is>
          <t>Closed</t>
        </is>
      </c>
      <c r="G38" s="8" t="inlineStr">
        <is>
          <t>Amiya Ranjan Behera</t>
        </is>
      </c>
      <c r="H38" s="8" t="n">
        <v>8917436223</v>
      </c>
      <c r="I38" s="10" t="inlineStr">
        <is>
          <t>PE06052602</t>
        </is>
      </c>
      <c r="J38" s="8" t="inlineStr">
        <is>
          <t>Diode Bypass Module Issue</t>
        </is>
      </c>
      <c r="K38" s="8" t="inlineStr">
        <is>
          <t>Bhavnagar</t>
        </is>
      </c>
      <c r="L38" s="8" t="inlineStr">
        <is>
          <t>Gujarat</t>
        </is>
      </c>
      <c r="M38" s="2" t="inlineStr">
        <is>
          <t>PR</t>
        </is>
      </c>
      <c r="N38" s="1" t="inlineStr">
        <is>
          <t>JB Issue</t>
        </is>
      </c>
      <c r="O38" s="11" t="n">
        <v>540</v>
      </c>
      <c r="P38" s="2" t="inlineStr">
        <is>
          <t>NSMP2305133539</t>
        </is>
      </c>
      <c r="Q38" s="14">
        <f>MID(P38,5,2)</f>
        <v/>
      </c>
      <c r="R38" s="14">
        <f>MID(P38,7,2)</f>
        <v/>
      </c>
      <c r="S38" s="1" t="inlineStr">
        <is>
          <t>G2B</t>
        </is>
      </c>
      <c r="T38" s="1" t="inlineStr">
        <is>
          <t>P2 - PEPPL</t>
        </is>
      </c>
      <c r="U38" s="1" t="inlineStr">
        <is>
          <t>P JB Issue</t>
        </is>
      </c>
      <c r="V38" s="3" t="inlineStr">
        <is>
          <t>JB Changed</t>
        </is>
      </c>
      <c r="W38" s="1" t="inlineStr">
        <is>
          <t>Repair</t>
        </is>
      </c>
      <c r="X38" s="5" t="n">
        <v>46174</v>
      </c>
      <c r="Y38" s="1">
        <f>IF(X38="","",X38-A38)</f>
        <v/>
      </c>
      <c r="Z38" s="5" t="n">
        <v>46174</v>
      </c>
      <c r="AA38" s="3" t="n"/>
      <c r="AB38" s="3" t="n"/>
      <c r="AE38" s="146">
        <f>IF(AND(F38="Closed",X38&gt;=DATE(2026,6,1),X38&lt;=DATE(2026,6,30)),"Closed in June","other")</f>
        <v/>
      </c>
    </row>
    <row r="39" hidden="1">
      <c r="A39" s="9" t="n">
        <v>46148</v>
      </c>
      <c r="B39" s="1" t="n">
        <v>2026</v>
      </c>
      <c r="C39" s="8" t="inlineStr">
        <is>
          <t>Continuum</t>
        </is>
      </c>
      <c r="D39" s="1" t="inlineStr">
        <is>
          <t>Utility and C&amp;I</t>
        </is>
      </c>
      <c r="E39" s="1" t="n"/>
      <c r="F39" s="1" t="inlineStr">
        <is>
          <t>Closed</t>
        </is>
      </c>
      <c r="G39" s="8" t="inlineStr">
        <is>
          <t>Amiya Ranjan Behera</t>
        </is>
      </c>
      <c r="H39" s="8" t="n">
        <v>8917436223</v>
      </c>
      <c r="I39" s="10" t="inlineStr">
        <is>
          <t>PE06052602</t>
        </is>
      </c>
      <c r="J39" s="8" t="inlineStr">
        <is>
          <t>Diode Bypass Module Issue</t>
        </is>
      </c>
      <c r="K39" s="8" t="inlineStr">
        <is>
          <t>Bhavnagar</t>
        </is>
      </c>
      <c r="L39" s="8" t="inlineStr">
        <is>
          <t>Gujarat</t>
        </is>
      </c>
      <c r="M39" s="2" t="inlineStr">
        <is>
          <t>PS</t>
        </is>
      </c>
      <c r="N39" s="1" t="inlineStr">
        <is>
          <t>Cold Soldering</t>
        </is>
      </c>
      <c r="O39" s="11" t="n">
        <v>540</v>
      </c>
      <c r="P39" s="2" t="inlineStr">
        <is>
          <t>NSMP2304045542</t>
        </is>
      </c>
      <c r="Q39" s="14">
        <f>MID(P39,5,2)</f>
        <v/>
      </c>
      <c r="R39" s="14">
        <f>MID(P39,7,2)</f>
        <v/>
      </c>
      <c r="S39" s="1" t="inlineStr">
        <is>
          <t>G2B</t>
        </is>
      </c>
      <c r="T39" s="1" t="inlineStr">
        <is>
          <t>P2 - PEPPL</t>
        </is>
      </c>
      <c r="U39" s="1" t="inlineStr">
        <is>
          <t>P JB Cold Soldering</t>
        </is>
      </c>
      <c r="V39" s="1" t="inlineStr">
        <is>
          <t>Soldering</t>
        </is>
      </c>
      <c r="W39" s="1" t="inlineStr">
        <is>
          <t>Repair</t>
        </is>
      </c>
      <c r="X39" s="5" t="n">
        <v>46174</v>
      </c>
      <c r="Y39" s="1">
        <f>IF(X39="","",X39-A39)</f>
        <v/>
      </c>
      <c r="Z39" s="5" t="n">
        <v>46174</v>
      </c>
      <c r="AA39" s="3" t="n"/>
      <c r="AB39" s="3" t="n"/>
      <c r="AE39" s="146">
        <f>IF(AND(F39="Closed",X39&gt;=DATE(2026,6,1),X39&lt;=DATE(2026,6,30)),"Closed in June","other")</f>
        <v/>
      </c>
    </row>
    <row r="40" hidden="1">
      <c r="A40" s="9" t="n">
        <v>46148</v>
      </c>
      <c r="B40" s="1" t="n">
        <v>2026</v>
      </c>
      <c r="C40" s="8" t="inlineStr">
        <is>
          <t>Continuum</t>
        </is>
      </c>
      <c r="D40" s="1" t="inlineStr">
        <is>
          <t>Utility and C&amp;I</t>
        </is>
      </c>
      <c r="E40" s="1" t="n"/>
      <c r="F40" s="1" t="inlineStr">
        <is>
          <t>Closed</t>
        </is>
      </c>
      <c r="G40" s="8" t="inlineStr">
        <is>
          <t>Amiya Ranjan Behera</t>
        </is>
      </c>
      <c r="H40" s="8" t="n">
        <v>8917436223</v>
      </c>
      <c r="I40" s="10" t="inlineStr">
        <is>
          <t>PE06052602</t>
        </is>
      </c>
      <c r="J40" s="8" t="inlineStr">
        <is>
          <t>Diode Bypass Module Issue</t>
        </is>
      </c>
      <c r="K40" s="8" t="inlineStr">
        <is>
          <t>Bhavnagar</t>
        </is>
      </c>
      <c r="L40" s="8" t="inlineStr">
        <is>
          <t>Gujarat</t>
        </is>
      </c>
      <c r="M40" s="2" t="inlineStr">
        <is>
          <t>PR</t>
        </is>
      </c>
      <c r="N40" s="1" t="inlineStr">
        <is>
          <t>JB Issue</t>
        </is>
      </c>
      <c r="O40" s="11" t="n">
        <v>540</v>
      </c>
      <c r="P40" s="2" t="inlineStr">
        <is>
          <t>NSMP2304070980</t>
        </is>
      </c>
      <c r="Q40" s="14">
        <f>MID(P40,5,2)</f>
        <v/>
      </c>
      <c r="R40" s="14">
        <f>MID(P40,7,2)</f>
        <v/>
      </c>
      <c r="S40" s="1" t="inlineStr">
        <is>
          <t>G2B</t>
        </is>
      </c>
      <c r="T40" s="1" t="inlineStr">
        <is>
          <t>P2 - PEPPL</t>
        </is>
      </c>
      <c r="U40" s="1" t="inlineStr">
        <is>
          <t>P JB Issue</t>
        </is>
      </c>
      <c r="V40" s="3" t="inlineStr">
        <is>
          <t>JB Changed</t>
        </is>
      </c>
      <c r="W40" s="1" t="inlineStr">
        <is>
          <t>Repair</t>
        </is>
      </c>
      <c r="X40" s="5" t="n">
        <v>46174</v>
      </c>
      <c r="Y40" s="1">
        <f>IF(X40="","",X40-A40)</f>
        <v/>
      </c>
      <c r="Z40" s="5" t="n">
        <v>46174</v>
      </c>
      <c r="AA40" s="3" t="n"/>
      <c r="AB40" s="3" t="n"/>
      <c r="AE40" s="146">
        <f>IF(AND(F40="Closed",X40&gt;=DATE(2026,6,1),X40&lt;=DATE(2026,6,30)),"Closed in June","other")</f>
        <v/>
      </c>
    </row>
    <row r="41" hidden="1">
      <c r="A41" s="9" t="n">
        <v>46148</v>
      </c>
      <c r="B41" s="1" t="n">
        <v>2026</v>
      </c>
      <c r="C41" s="8" t="inlineStr">
        <is>
          <t>Continuum</t>
        </is>
      </c>
      <c r="D41" s="1" t="inlineStr">
        <is>
          <t>Utility and C&amp;I</t>
        </is>
      </c>
      <c r="E41" s="1" t="n"/>
      <c r="F41" s="1" t="inlineStr">
        <is>
          <t>Closed</t>
        </is>
      </c>
      <c r="G41" s="8" t="inlineStr">
        <is>
          <t>Amiya Ranjan Behera</t>
        </is>
      </c>
      <c r="H41" s="8" t="n">
        <v>8917436223</v>
      </c>
      <c r="I41" s="10" t="inlineStr">
        <is>
          <t>PE06052602</t>
        </is>
      </c>
      <c r="J41" s="8" t="inlineStr">
        <is>
          <t>Diode Bypass Module Issue</t>
        </is>
      </c>
      <c r="K41" s="8" t="inlineStr">
        <is>
          <t>Bhavnagar</t>
        </is>
      </c>
      <c r="L41" s="8" t="inlineStr">
        <is>
          <t>Gujarat</t>
        </is>
      </c>
      <c r="M41" s="2" t="inlineStr">
        <is>
          <t>PR</t>
        </is>
      </c>
      <c r="N41" s="1" t="inlineStr">
        <is>
          <t>JB Issue</t>
        </is>
      </c>
      <c r="O41" s="11" t="n">
        <v>540</v>
      </c>
      <c r="P41" s="2" t="inlineStr">
        <is>
          <t>NSMP2304071583</t>
        </is>
      </c>
      <c r="Q41" s="14">
        <f>MID(P41,5,2)</f>
        <v/>
      </c>
      <c r="R41" s="14">
        <f>MID(P41,7,2)</f>
        <v/>
      </c>
      <c r="S41" s="1" t="inlineStr">
        <is>
          <t>G2B</t>
        </is>
      </c>
      <c r="T41" s="1" t="inlineStr">
        <is>
          <t>P2 - PEPPL</t>
        </is>
      </c>
      <c r="U41" s="1" t="inlineStr">
        <is>
          <t>P JB Issue</t>
        </is>
      </c>
      <c r="V41" s="3" t="inlineStr">
        <is>
          <t>JB Changed</t>
        </is>
      </c>
      <c r="W41" s="1" t="inlineStr">
        <is>
          <t>Repair</t>
        </is>
      </c>
      <c r="X41" s="5" t="n">
        <v>46174</v>
      </c>
      <c r="Y41" s="1">
        <f>IF(X41="","",X41-A41)</f>
        <v/>
      </c>
      <c r="Z41" s="5" t="n">
        <v>46174</v>
      </c>
      <c r="AA41" s="3" t="n"/>
      <c r="AB41" s="3" t="n"/>
      <c r="AE41" s="146">
        <f>IF(AND(F41="Closed",X41&gt;=DATE(2026,6,1),X41&lt;=DATE(2026,6,30)),"Closed in June","other")</f>
        <v/>
      </c>
    </row>
    <row r="42" hidden="1">
      <c r="A42" s="9" t="n">
        <v>46148</v>
      </c>
      <c r="B42" s="1" t="n">
        <v>2026</v>
      </c>
      <c r="C42" s="8" t="inlineStr">
        <is>
          <t>Continuum</t>
        </is>
      </c>
      <c r="D42" s="1" t="inlineStr">
        <is>
          <t>Utility and C&amp;I</t>
        </is>
      </c>
      <c r="E42" s="1" t="n"/>
      <c r="F42" s="1" t="inlineStr">
        <is>
          <t>Closed</t>
        </is>
      </c>
      <c r="G42" s="8" t="inlineStr">
        <is>
          <t>Amiya Ranjan Behera</t>
        </is>
      </c>
      <c r="H42" s="8" t="n">
        <v>8917436223</v>
      </c>
      <c r="I42" s="10" t="inlineStr">
        <is>
          <t>PE06052602</t>
        </is>
      </c>
      <c r="J42" s="8" t="inlineStr">
        <is>
          <t>Diode Bypass Module Issue</t>
        </is>
      </c>
      <c r="K42" s="8" t="inlineStr">
        <is>
          <t>Bhavnagar</t>
        </is>
      </c>
      <c r="L42" s="8" t="inlineStr">
        <is>
          <t>Gujarat</t>
        </is>
      </c>
      <c r="M42" s="2" t="inlineStr">
        <is>
          <t>PS</t>
        </is>
      </c>
      <c r="N42" s="1" t="inlineStr">
        <is>
          <t>Cold Soldering</t>
        </is>
      </c>
      <c r="O42" s="11" t="n">
        <v>540</v>
      </c>
      <c r="P42" s="2" t="inlineStr">
        <is>
          <t>NSMP2304071741</t>
        </is>
      </c>
      <c r="Q42" s="14">
        <f>MID(P42,5,2)</f>
        <v/>
      </c>
      <c r="R42" s="14">
        <f>MID(P42,7,2)</f>
        <v/>
      </c>
      <c r="S42" s="1" t="inlineStr">
        <is>
          <t>G2B</t>
        </is>
      </c>
      <c r="T42" s="1" t="inlineStr">
        <is>
          <t>P2 - PEPPL</t>
        </is>
      </c>
      <c r="U42" s="1" t="inlineStr">
        <is>
          <t>P JB Cold Soldering</t>
        </is>
      </c>
      <c r="V42" s="1" t="inlineStr">
        <is>
          <t>Soldering</t>
        </is>
      </c>
      <c r="W42" s="1" t="inlineStr">
        <is>
          <t>Repair</t>
        </is>
      </c>
      <c r="X42" s="5" t="n">
        <v>46174</v>
      </c>
      <c r="Y42" s="1">
        <f>IF(X42="","",X42-A42)</f>
        <v/>
      </c>
      <c r="Z42" s="5" t="n">
        <v>46174</v>
      </c>
      <c r="AA42" s="3" t="n"/>
      <c r="AB42" s="3" t="n"/>
      <c r="AE42" s="146">
        <f>IF(AND(F42="Closed",X42&gt;=DATE(2026,6,1),X42&lt;=DATE(2026,6,30)),"Closed in June","other")</f>
        <v/>
      </c>
    </row>
    <row r="43" hidden="1">
      <c r="A43" s="9" t="n">
        <v>46148</v>
      </c>
      <c r="B43" s="1" t="n">
        <v>2026</v>
      </c>
      <c r="C43" s="8" t="inlineStr">
        <is>
          <t>Continuum</t>
        </is>
      </c>
      <c r="D43" s="1" t="inlineStr">
        <is>
          <t>Utility and C&amp;I</t>
        </is>
      </c>
      <c r="E43" s="1" t="n"/>
      <c r="F43" s="1" t="inlineStr">
        <is>
          <t>Closed</t>
        </is>
      </c>
      <c r="G43" s="8" t="inlineStr">
        <is>
          <t>Amiya Ranjan Behera</t>
        </is>
      </c>
      <c r="H43" s="8" t="n">
        <v>8917436223</v>
      </c>
      <c r="I43" s="10" t="inlineStr">
        <is>
          <t>PE06052602</t>
        </is>
      </c>
      <c r="J43" s="8" t="inlineStr">
        <is>
          <t>Diode Bypass Module Issue</t>
        </is>
      </c>
      <c r="K43" s="8" t="inlineStr">
        <is>
          <t>Bhavnagar</t>
        </is>
      </c>
      <c r="L43" s="8" t="inlineStr">
        <is>
          <t>Gujarat</t>
        </is>
      </c>
      <c r="M43" s="2" t="inlineStr">
        <is>
          <t xml:space="preserve">OK </t>
        </is>
      </c>
      <c r="N43" s="2" t="inlineStr">
        <is>
          <t>No Issue Found</t>
        </is>
      </c>
      <c r="O43" s="11" t="n">
        <v>540</v>
      </c>
      <c r="P43" s="2" t="inlineStr">
        <is>
          <t>NSMP2304073920</t>
        </is>
      </c>
      <c r="Q43" s="14">
        <f>MID(P43,5,2)</f>
        <v/>
      </c>
      <c r="R43" s="14">
        <f>MID(P43,7,2)</f>
        <v/>
      </c>
      <c r="S43" s="1" t="inlineStr">
        <is>
          <t>G2B</t>
        </is>
      </c>
      <c r="T43" s="1" t="inlineStr">
        <is>
          <t>P2 - PEPPL</t>
        </is>
      </c>
      <c r="U43" s="6" t="inlineStr">
        <is>
          <t>No Issue Found</t>
        </is>
      </c>
      <c r="V43" s="6" t="inlineStr">
        <is>
          <t>Inspection</t>
        </is>
      </c>
      <c r="W43" s="1" t="inlineStr">
        <is>
          <t>Rejected</t>
        </is>
      </c>
      <c r="X43" s="5" t="n">
        <v>46174</v>
      </c>
      <c r="Y43" s="1">
        <f>IF(X43="","",X43-A43)</f>
        <v/>
      </c>
      <c r="Z43" s="5" t="n">
        <v>46174</v>
      </c>
      <c r="AA43" s="3" t="n"/>
      <c r="AB43" s="3" t="n"/>
      <c r="AE43" s="146">
        <f>IF(AND(F43="Closed",X43&gt;=DATE(2026,6,1),X43&lt;=DATE(2026,6,30)),"Closed in June","other")</f>
        <v/>
      </c>
    </row>
    <row r="44" hidden="1">
      <c r="A44" s="9" t="n">
        <v>46148</v>
      </c>
      <c r="B44" s="1" t="n">
        <v>2026</v>
      </c>
      <c r="C44" s="8" t="inlineStr">
        <is>
          <t>Continuum</t>
        </is>
      </c>
      <c r="D44" s="1" t="inlineStr">
        <is>
          <t>Utility and C&amp;I</t>
        </is>
      </c>
      <c r="E44" s="1" t="n"/>
      <c r="F44" s="1" t="inlineStr">
        <is>
          <t>Closed</t>
        </is>
      </c>
      <c r="G44" s="8" t="inlineStr">
        <is>
          <t>Amiya Ranjan Behera</t>
        </is>
      </c>
      <c r="H44" s="8" t="n">
        <v>8917436223</v>
      </c>
      <c r="I44" s="10" t="inlineStr">
        <is>
          <t>PE06052602</t>
        </is>
      </c>
      <c r="J44" s="8" t="inlineStr">
        <is>
          <t>Diode Bypass Module Issue</t>
        </is>
      </c>
      <c r="K44" s="8" t="inlineStr">
        <is>
          <t>Bhavnagar</t>
        </is>
      </c>
      <c r="L44" s="8" t="inlineStr">
        <is>
          <t>Gujarat</t>
        </is>
      </c>
      <c r="M44" s="2" t="inlineStr">
        <is>
          <t>PS</t>
        </is>
      </c>
      <c r="N44" s="1" t="inlineStr">
        <is>
          <t>Cold Soldering</t>
        </is>
      </c>
      <c r="O44" s="11" t="n">
        <v>540</v>
      </c>
      <c r="P44" s="2" t="inlineStr">
        <is>
          <t>NSMP2304037129</t>
        </is>
      </c>
      <c r="Q44" s="14">
        <f>MID(P44,5,2)</f>
        <v/>
      </c>
      <c r="R44" s="14">
        <f>MID(P44,7,2)</f>
        <v/>
      </c>
      <c r="S44" s="1" t="inlineStr">
        <is>
          <t>G2B</t>
        </is>
      </c>
      <c r="T44" s="1" t="inlineStr">
        <is>
          <t>P2 - PEPPL</t>
        </is>
      </c>
      <c r="U44" s="1" t="inlineStr">
        <is>
          <t>P JB Cold Soldering</t>
        </is>
      </c>
      <c r="V44" s="1" t="inlineStr">
        <is>
          <t>Soldering</t>
        </is>
      </c>
      <c r="W44" s="1" t="inlineStr">
        <is>
          <t>Repair</t>
        </is>
      </c>
      <c r="X44" s="5" t="n">
        <v>46174</v>
      </c>
      <c r="Y44" s="1">
        <f>IF(X44="","",X44-A44)</f>
        <v/>
      </c>
      <c r="Z44" s="5" t="n">
        <v>46174</v>
      </c>
      <c r="AA44" s="3" t="n"/>
      <c r="AB44" s="3" t="n"/>
      <c r="AE44" s="146">
        <f>IF(AND(F44="Closed",X44&gt;=DATE(2026,6,1),X44&lt;=DATE(2026,6,30)),"Closed in June","other")</f>
        <v/>
      </c>
    </row>
    <row r="45" hidden="1">
      <c r="A45" s="9" t="n">
        <v>46148</v>
      </c>
      <c r="B45" s="1" t="n">
        <v>2026</v>
      </c>
      <c r="C45" s="8" t="inlineStr">
        <is>
          <t>Continuum</t>
        </is>
      </c>
      <c r="D45" s="1" t="inlineStr">
        <is>
          <t>Utility and C&amp;I</t>
        </is>
      </c>
      <c r="E45" s="1" t="n"/>
      <c r="F45" s="1" t="inlineStr">
        <is>
          <t>Closed</t>
        </is>
      </c>
      <c r="G45" s="8" t="inlineStr">
        <is>
          <t>Amiya Ranjan Behera</t>
        </is>
      </c>
      <c r="H45" s="8" t="n">
        <v>8917436223</v>
      </c>
      <c r="I45" s="10" t="inlineStr">
        <is>
          <t>PE06052602</t>
        </is>
      </c>
      <c r="J45" s="8" t="inlineStr">
        <is>
          <t>Diode Bypass Module Issue</t>
        </is>
      </c>
      <c r="K45" s="8" t="inlineStr">
        <is>
          <t>Bhavnagar</t>
        </is>
      </c>
      <c r="L45" s="8" t="inlineStr">
        <is>
          <t>Gujarat</t>
        </is>
      </c>
      <c r="M45" s="2" t="inlineStr">
        <is>
          <t xml:space="preserve">OK </t>
        </is>
      </c>
      <c r="N45" s="2" t="inlineStr">
        <is>
          <t>No Issue Found</t>
        </is>
      </c>
      <c r="O45" s="11" t="n">
        <v>540</v>
      </c>
      <c r="P45" s="2" t="inlineStr">
        <is>
          <t>NSMP2304074461</t>
        </is>
      </c>
      <c r="Q45" s="14">
        <f>MID(P45,5,2)</f>
        <v/>
      </c>
      <c r="R45" s="14">
        <f>MID(P45,7,2)</f>
        <v/>
      </c>
      <c r="S45" s="1" t="inlineStr">
        <is>
          <t>G2B</t>
        </is>
      </c>
      <c r="T45" s="1" t="inlineStr">
        <is>
          <t>P2 - PEPPL</t>
        </is>
      </c>
      <c r="U45" s="6" t="inlineStr">
        <is>
          <t>No Issue Found</t>
        </is>
      </c>
      <c r="V45" s="6" t="inlineStr">
        <is>
          <t>Inspection</t>
        </is>
      </c>
      <c r="W45" s="1" t="inlineStr">
        <is>
          <t>Rejected</t>
        </is>
      </c>
      <c r="X45" s="5" t="n">
        <v>46174</v>
      </c>
      <c r="Y45" s="1">
        <f>IF(X45="","",X45-A45)</f>
        <v/>
      </c>
      <c r="Z45" s="5" t="n">
        <v>46174</v>
      </c>
      <c r="AA45" s="3" t="n"/>
      <c r="AB45" s="3" t="n"/>
      <c r="AE45" s="146">
        <f>IF(AND(F45="Closed",X45&gt;=DATE(2026,6,1),X45&lt;=DATE(2026,6,30)),"Closed in June","other")</f>
        <v/>
      </c>
    </row>
    <row r="46" hidden="1">
      <c r="A46" s="9" t="n">
        <v>46148</v>
      </c>
      <c r="B46" s="1" t="n">
        <v>2026</v>
      </c>
      <c r="C46" s="8" t="inlineStr">
        <is>
          <t>Continuum</t>
        </is>
      </c>
      <c r="D46" s="1" t="inlineStr">
        <is>
          <t>Utility and C&amp;I</t>
        </is>
      </c>
      <c r="E46" s="1" t="n"/>
      <c r="F46" s="1" t="inlineStr">
        <is>
          <t>Closed</t>
        </is>
      </c>
      <c r="G46" s="8" t="inlineStr">
        <is>
          <t>Amiya Ranjan Behera</t>
        </is>
      </c>
      <c r="H46" s="8" t="n">
        <v>8917436223</v>
      </c>
      <c r="I46" s="10" t="inlineStr">
        <is>
          <t>PE06052602</t>
        </is>
      </c>
      <c r="J46" s="8" t="inlineStr">
        <is>
          <t>Diode Bypass Module Issue</t>
        </is>
      </c>
      <c r="K46" s="8" t="inlineStr">
        <is>
          <t>Bhavnagar</t>
        </is>
      </c>
      <c r="L46" s="8" t="inlineStr">
        <is>
          <t>Gujarat</t>
        </is>
      </c>
      <c r="M46" s="2" t="inlineStr">
        <is>
          <t>NS</t>
        </is>
      </c>
      <c r="N46" s="8" t="inlineStr">
        <is>
          <t>Cold Soldering</t>
        </is>
      </c>
      <c r="O46" s="11" t="n">
        <v>540</v>
      </c>
      <c r="P46" s="2" t="inlineStr">
        <is>
          <t>NSMP2304073594</t>
        </is>
      </c>
      <c r="Q46" s="14">
        <f>MID(P46,5,2)</f>
        <v/>
      </c>
      <c r="R46" s="14">
        <f>MID(P46,7,2)</f>
        <v/>
      </c>
      <c r="S46" s="1" t="inlineStr">
        <is>
          <t>G2B</t>
        </is>
      </c>
      <c r="T46" s="1" t="inlineStr">
        <is>
          <t>P2 - PEPPL</t>
        </is>
      </c>
      <c r="U46" s="6" t="inlineStr">
        <is>
          <t>N JB Cold Soldering</t>
        </is>
      </c>
      <c r="V46" s="6" t="inlineStr">
        <is>
          <t>Soldering</t>
        </is>
      </c>
      <c r="W46" s="1" t="inlineStr">
        <is>
          <t>Repair</t>
        </is>
      </c>
      <c r="X46" s="5" t="n">
        <v>46174</v>
      </c>
      <c r="Y46" s="1">
        <f>IF(X46="","",X46-A46)</f>
        <v/>
      </c>
      <c r="Z46" s="5" t="n">
        <v>46174</v>
      </c>
      <c r="AA46" s="3" t="n"/>
      <c r="AB46" s="3" t="n"/>
      <c r="AE46" s="146">
        <f>IF(AND(F46="Closed",X46&gt;=DATE(2026,6,1),X46&lt;=DATE(2026,6,30)),"Closed in June","other")</f>
        <v/>
      </c>
    </row>
    <row r="47" hidden="1">
      <c r="A47" s="9" t="n">
        <v>46148</v>
      </c>
      <c r="B47" s="1" t="n">
        <v>2026</v>
      </c>
      <c r="C47" s="8" t="inlineStr">
        <is>
          <t>Continuum</t>
        </is>
      </c>
      <c r="D47" s="1" t="inlineStr">
        <is>
          <t>Utility and C&amp;I</t>
        </is>
      </c>
      <c r="E47" s="1" t="n"/>
      <c r="F47" s="1" t="inlineStr">
        <is>
          <t>Closed</t>
        </is>
      </c>
      <c r="G47" s="8" t="inlineStr">
        <is>
          <t>Amiya Ranjan Behera</t>
        </is>
      </c>
      <c r="H47" s="8" t="n">
        <v>8917436223</v>
      </c>
      <c r="I47" s="10" t="inlineStr">
        <is>
          <t>PE06052602</t>
        </is>
      </c>
      <c r="J47" s="8" t="inlineStr">
        <is>
          <t>Diode Bypass Module Issue</t>
        </is>
      </c>
      <c r="K47" s="8" t="inlineStr">
        <is>
          <t>Bhavnagar</t>
        </is>
      </c>
      <c r="L47" s="8" t="inlineStr">
        <is>
          <t>Gujarat</t>
        </is>
      </c>
      <c r="M47" s="2" t="inlineStr">
        <is>
          <t xml:space="preserve">OK </t>
        </is>
      </c>
      <c r="N47" s="2" t="inlineStr">
        <is>
          <t>No Issue Found</t>
        </is>
      </c>
      <c r="O47" s="11" t="n">
        <v>540</v>
      </c>
      <c r="P47" s="2" t="inlineStr">
        <is>
          <t>NSMP2304073636</t>
        </is>
      </c>
      <c r="Q47" s="14">
        <f>MID(P47,5,2)</f>
        <v/>
      </c>
      <c r="R47" s="14">
        <f>MID(P47,7,2)</f>
        <v/>
      </c>
      <c r="S47" s="1" t="inlineStr">
        <is>
          <t>G2B</t>
        </is>
      </c>
      <c r="T47" s="1" t="inlineStr">
        <is>
          <t>P2 - PEPPL</t>
        </is>
      </c>
      <c r="U47" s="6" t="inlineStr">
        <is>
          <t>No Issue Found</t>
        </is>
      </c>
      <c r="V47" s="6" t="inlineStr">
        <is>
          <t>Inspection</t>
        </is>
      </c>
      <c r="W47" s="1" t="inlineStr">
        <is>
          <t>Rejected</t>
        </is>
      </c>
      <c r="X47" s="5" t="n">
        <v>46174</v>
      </c>
      <c r="Y47" s="1">
        <f>IF(X47="","",X47-A47)</f>
        <v/>
      </c>
      <c r="Z47" s="5" t="n">
        <v>46174</v>
      </c>
      <c r="AA47" s="3" t="n"/>
      <c r="AB47" s="3" t="n"/>
      <c r="AE47" s="146">
        <f>IF(AND(F47="Closed",X47&gt;=DATE(2026,6,1),X47&lt;=DATE(2026,6,30)),"Closed in June","other")</f>
        <v/>
      </c>
    </row>
    <row r="48" hidden="1">
      <c r="A48" s="9" t="n">
        <v>46148</v>
      </c>
      <c r="B48" s="1" t="n">
        <v>2026</v>
      </c>
      <c r="C48" s="8" t="inlineStr">
        <is>
          <t>Continuum</t>
        </is>
      </c>
      <c r="D48" s="1" t="inlineStr">
        <is>
          <t>Utility and C&amp;I</t>
        </is>
      </c>
      <c r="E48" s="1" t="n"/>
      <c r="F48" s="1" t="inlineStr">
        <is>
          <t>Closed</t>
        </is>
      </c>
      <c r="G48" s="8" t="inlineStr">
        <is>
          <t>Amiya Ranjan Behera</t>
        </is>
      </c>
      <c r="H48" s="8" t="n">
        <v>8917436223</v>
      </c>
      <c r="I48" s="10" t="inlineStr">
        <is>
          <t>PE06052602</t>
        </is>
      </c>
      <c r="J48" s="8" t="inlineStr">
        <is>
          <t>Diode Bypass Module Issue</t>
        </is>
      </c>
      <c r="K48" s="8" t="inlineStr">
        <is>
          <t>Bhavnagar</t>
        </is>
      </c>
      <c r="L48" s="8" t="inlineStr">
        <is>
          <t>Gujarat</t>
        </is>
      </c>
      <c r="M48" s="2" t="inlineStr">
        <is>
          <t>PS</t>
        </is>
      </c>
      <c r="N48" s="1" t="inlineStr">
        <is>
          <t>Cold Soldering</t>
        </is>
      </c>
      <c r="O48" s="11" t="n">
        <v>540</v>
      </c>
      <c r="P48" s="2" t="inlineStr">
        <is>
          <t>NSMP2304073339</t>
        </is>
      </c>
      <c r="Q48" s="14">
        <f>MID(P48,5,2)</f>
        <v/>
      </c>
      <c r="R48" s="14">
        <f>MID(P48,7,2)</f>
        <v/>
      </c>
      <c r="S48" s="1" t="inlineStr">
        <is>
          <t>G2B</t>
        </is>
      </c>
      <c r="T48" s="1" t="inlineStr">
        <is>
          <t>P2 - PEPPL</t>
        </is>
      </c>
      <c r="U48" s="1" t="inlineStr">
        <is>
          <t>P JB Cold Soldering</t>
        </is>
      </c>
      <c r="V48" s="1" t="inlineStr">
        <is>
          <t>Soldering</t>
        </is>
      </c>
      <c r="W48" s="1" t="inlineStr">
        <is>
          <t>Repair</t>
        </is>
      </c>
      <c r="X48" s="5" t="n">
        <v>46174</v>
      </c>
      <c r="Y48" s="1">
        <f>IF(X48="","",X48-A48)</f>
        <v/>
      </c>
      <c r="Z48" s="5" t="n">
        <v>46174</v>
      </c>
      <c r="AA48" s="3" t="n"/>
      <c r="AB48" s="3" t="n"/>
      <c r="AE48" s="146">
        <f>IF(AND(F48="Closed",X48&gt;=DATE(2026,6,1),X48&lt;=DATE(2026,6,30)),"Closed in June","other")</f>
        <v/>
      </c>
    </row>
    <row r="49" hidden="1">
      <c r="A49" s="9" t="n">
        <v>46148</v>
      </c>
      <c r="B49" s="1" t="n">
        <v>2026</v>
      </c>
      <c r="C49" s="8" t="inlineStr">
        <is>
          <t>Continuum</t>
        </is>
      </c>
      <c r="D49" s="1" t="inlineStr">
        <is>
          <t>Utility and C&amp;I</t>
        </is>
      </c>
      <c r="E49" s="1" t="n"/>
      <c r="F49" s="1" t="inlineStr">
        <is>
          <t>Closed</t>
        </is>
      </c>
      <c r="G49" s="8" t="inlineStr">
        <is>
          <t>Amiya Ranjan Behera</t>
        </is>
      </c>
      <c r="H49" s="8" t="n">
        <v>8917436223</v>
      </c>
      <c r="I49" s="10" t="inlineStr">
        <is>
          <t>PE06052602</t>
        </is>
      </c>
      <c r="J49" s="8" t="inlineStr">
        <is>
          <t>Diode Bypass Module Issue</t>
        </is>
      </c>
      <c r="K49" s="8" t="inlineStr">
        <is>
          <t>Bhavnagar</t>
        </is>
      </c>
      <c r="L49" s="8" t="inlineStr">
        <is>
          <t>Gujarat</t>
        </is>
      </c>
      <c r="M49" s="2" t="inlineStr">
        <is>
          <t>NR</t>
        </is>
      </c>
      <c r="N49" s="8" t="inlineStr">
        <is>
          <t>JB Issue</t>
        </is>
      </c>
      <c r="O49" s="11" t="n">
        <v>540</v>
      </c>
      <c r="P49" s="2" t="inlineStr">
        <is>
          <t>NSMP2305175834</t>
        </is>
      </c>
      <c r="Q49" s="14">
        <f>MID(P49,5,2)</f>
        <v/>
      </c>
      <c r="R49" s="14">
        <f>MID(P49,7,2)</f>
        <v/>
      </c>
      <c r="S49" s="1" t="inlineStr">
        <is>
          <t>G2B</t>
        </is>
      </c>
      <c r="T49" s="1" t="inlineStr">
        <is>
          <t>P2 - PEPPL</t>
        </is>
      </c>
      <c r="U49" s="6" t="inlineStr">
        <is>
          <t>N JB Issue</t>
        </is>
      </c>
      <c r="V49" s="6" t="inlineStr">
        <is>
          <t>JB Changed</t>
        </is>
      </c>
      <c r="W49" s="1" t="inlineStr">
        <is>
          <t>Repair</t>
        </is>
      </c>
      <c r="X49" s="5" t="n">
        <v>46174</v>
      </c>
      <c r="Y49" s="1">
        <f>IF(X49="","",X49-A49)</f>
        <v/>
      </c>
      <c r="Z49" s="5" t="n">
        <v>46174</v>
      </c>
      <c r="AA49" s="3" t="n"/>
      <c r="AB49" s="3" t="n"/>
      <c r="AE49" s="146">
        <f>IF(AND(F49="Closed",X49&gt;=DATE(2026,6,1),X49&lt;=DATE(2026,6,30)),"Closed in June","other")</f>
        <v/>
      </c>
    </row>
    <row r="50" hidden="1">
      <c r="A50" s="9" t="n">
        <v>46148</v>
      </c>
      <c r="B50" s="1" t="n">
        <v>2026</v>
      </c>
      <c r="C50" s="8" t="inlineStr">
        <is>
          <t>Continuum</t>
        </is>
      </c>
      <c r="D50" s="1" t="inlineStr">
        <is>
          <t>Utility and C&amp;I</t>
        </is>
      </c>
      <c r="E50" s="1" t="n"/>
      <c r="F50" s="1" t="inlineStr">
        <is>
          <t>Closed</t>
        </is>
      </c>
      <c r="G50" s="8" t="inlineStr">
        <is>
          <t>Amiya Ranjan Behera</t>
        </is>
      </c>
      <c r="H50" s="8" t="n">
        <v>8917436223</v>
      </c>
      <c r="I50" s="10" t="inlineStr">
        <is>
          <t>PE06052602</t>
        </is>
      </c>
      <c r="J50" s="8" t="inlineStr">
        <is>
          <t>Diode Bypass Module Issue</t>
        </is>
      </c>
      <c r="K50" s="8" t="inlineStr">
        <is>
          <t>Bhavnagar</t>
        </is>
      </c>
      <c r="L50" s="8" t="inlineStr">
        <is>
          <t>Gujarat</t>
        </is>
      </c>
      <c r="M50" s="2" t="inlineStr">
        <is>
          <t>NS</t>
        </is>
      </c>
      <c r="N50" s="8" t="inlineStr">
        <is>
          <t>Cold Soldering</t>
        </is>
      </c>
      <c r="O50" s="11" t="n">
        <v>540</v>
      </c>
      <c r="P50" s="2" t="inlineStr">
        <is>
          <t>NSMP2305124973</t>
        </is>
      </c>
      <c r="Q50" s="14">
        <f>MID(P50,5,2)</f>
        <v/>
      </c>
      <c r="R50" s="14">
        <f>MID(P50,7,2)</f>
        <v/>
      </c>
      <c r="S50" s="1" t="inlineStr">
        <is>
          <t>G2B</t>
        </is>
      </c>
      <c r="T50" s="1" t="inlineStr">
        <is>
          <t>P2 - PEPPL</t>
        </is>
      </c>
      <c r="U50" s="6" t="inlineStr">
        <is>
          <t>N JB Cold Soldering</t>
        </is>
      </c>
      <c r="V50" s="6" t="inlineStr">
        <is>
          <t>Soldering</t>
        </is>
      </c>
      <c r="W50" s="1" t="inlineStr">
        <is>
          <t>Repair</t>
        </is>
      </c>
      <c r="X50" s="5" t="n">
        <v>46174</v>
      </c>
      <c r="Y50" s="1">
        <f>IF(X50="","",X50-A50)</f>
        <v/>
      </c>
      <c r="Z50" s="5" t="n">
        <v>46174</v>
      </c>
      <c r="AA50" s="3" t="n"/>
      <c r="AB50" s="3" t="n"/>
      <c r="AE50" s="146">
        <f>IF(AND(F50="Closed",X50&gt;=DATE(2026,6,1),X50&lt;=DATE(2026,6,30)),"Closed in June","other")</f>
        <v/>
      </c>
    </row>
    <row r="51" hidden="1">
      <c r="A51" s="9" t="n">
        <v>46148</v>
      </c>
      <c r="B51" s="1" t="n">
        <v>2026</v>
      </c>
      <c r="C51" s="8" t="inlineStr">
        <is>
          <t>Continuum</t>
        </is>
      </c>
      <c r="D51" s="1" t="inlineStr">
        <is>
          <t>Utility and C&amp;I</t>
        </is>
      </c>
      <c r="E51" s="1" t="n"/>
      <c r="F51" s="1" t="inlineStr">
        <is>
          <t>Closed</t>
        </is>
      </c>
      <c r="G51" s="8" t="inlineStr">
        <is>
          <t>Amiya Ranjan Behera</t>
        </is>
      </c>
      <c r="H51" s="8" t="n">
        <v>8917436223</v>
      </c>
      <c r="I51" s="10" t="inlineStr">
        <is>
          <t>PE06052602</t>
        </is>
      </c>
      <c r="J51" s="8" t="inlineStr">
        <is>
          <t>Diode Bypass Module Issue</t>
        </is>
      </c>
      <c r="K51" s="8" t="inlineStr">
        <is>
          <t>Bhavnagar</t>
        </is>
      </c>
      <c r="L51" s="8" t="inlineStr">
        <is>
          <t>Gujarat</t>
        </is>
      </c>
      <c r="M51" s="2" t="inlineStr">
        <is>
          <t>PS</t>
        </is>
      </c>
      <c r="N51" s="1" t="inlineStr">
        <is>
          <t>Cold Soldering</t>
        </is>
      </c>
      <c r="O51" s="11" t="n">
        <v>540</v>
      </c>
      <c r="P51" s="2" t="inlineStr">
        <is>
          <t>NSMP2305175118</t>
        </is>
      </c>
      <c r="Q51" s="14">
        <f>MID(P51,5,2)</f>
        <v/>
      </c>
      <c r="R51" s="14">
        <f>MID(P51,7,2)</f>
        <v/>
      </c>
      <c r="S51" s="1" t="inlineStr">
        <is>
          <t>G2B</t>
        </is>
      </c>
      <c r="T51" s="1" t="inlineStr">
        <is>
          <t>P2 - PEPPL</t>
        </is>
      </c>
      <c r="U51" s="1" t="inlineStr">
        <is>
          <t>P JB Cold Soldering</t>
        </is>
      </c>
      <c r="V51" s="1" t="inlineStr">
        <is>
          <t>Soldering</t>
        </is>
      </c>
      <c r="W51" s="1" t="inlineStr">
        <is>
          <t>Repair</t>
        </is>
      </c>
      <c r="X51" s="5" t="n">
        <v>46174</v>
      </c>
      <c r="Y51" s="1">
        <f>IF(X51="","",X51-A51)</f>
        <v/>
      </c>
      <c r="Z51" s="5" t="n">
        <v>46174</v>
      </c>
      <c r="AA51" s="3" t="n"/>
      <c r="AB51" s="3" t="n"/>
      <c r="AE51" s="146">
        <f>IF(AND(F51="Closed",X51&gt;=DATE(2026,6,1),X51&lt;=DATE(2026,6,30)),"Closed in June","other")</f>
        <v/>
      </c>
    </row>
    <row r="52" hidden="1">
      <c r="A52" s="9" t="n">
        <v>46148</v>
      </c>
      <c r="B52" s="1" t="n">
        <v>2026</v>
      </c>
      <c r="C52" s="8" t="inlineStr">
        <is>
          <t>Continuum</t>
        </is>
      </c>
      <c r="D52" s="1" t="inlineStr">
        <is>
          <t>Utility and C&amp;I</t>
        </is>
      </c>
      <c r="E52" s="1" t="n"/>
      <c r="F52" s="1" t="inlineStr">
        <is>
          <t>Closed</t>
        </is>
      </c>
      <c r="G52" s="8" t="inlineStr">
        <is>
          <t>Amiya Ranjan Behera</t>
        </is>
      </c>
      <c r="H52" s="8" t="n">
        <v>8917436223</v>
      </c>
      <c r="I52" s="10" t="inlineStr">
        <is>
          <t>PE06052602</t>
        </is>
      </c>
      <c r="J52" s="8" t="inlineStr">
        <is>
          <t>Diode Bypass Module Issue</t>
        </is>
      </c>
      <c r="K52" s="8" t="inlineStr">
        <is>
          <t>Bhavnagar</t>
        </is>
      </c>
      <c r="L52" s="8" t="inlineStr">
        <is>
          <t>Gujarat</t>
        </is>
      </c>
      <c r="M52" s="2" t="inlineStr">
        <is>
          <t>NR</t>
        </is>
      </c>
      <c r="N52" s="8" t="inlineStr">
        <is>
          <t>JB Issue</t>
        </is>
      </c>
      <c r="O52" s="11" t="n">
        <v>540</v>
      </c>
      <c r="P52" s="2" t="inlineStr">
        <is>
          <t>NSMP2304073374</t>
        </is>
      </c>
      <c r="Q52" s="14">
        <f>MID(P52,5,2)</f>
        <v/>
      </c>
      <c r="R52" s="14">
        <f>MID(P52,7,2)</f>
        <v/>
      </c>
      <c r="S52" s="1" t="inlineStr">
        <is>
          <t>G2B</t>
        </is>
      </c>
      <c r="T52" s="1" t="inlineStr">
        <is>
          <t>P2 - PEPPL</t>
        </is>
      </c>
      <c r="U52" s="6" t="inlineStr">
        <is>
          <t>N JB Issue</t>
        </is>
      </c>
      <c r="V52" s="6" t="inlineStr">
        <is>
          <t>JB Changed</t>
        </is>
      </c>
      <c r="W52" s="1" t="inlineStr">
        <is>
          <t>Repair</t>
        </is>
      </c>
      <c r="X52" s="5" t="n">
        <v>46174</v>
      </c>
      <c r="Y52" s="1">
        <f>IF(X52="","",X52-A52)</f>
        <v/>
      </c>
      <c r="Z52" s="5" t="n">
        <v>46174</v>
      </c>
      <c r="AA52" s="3" t="n"/>
      <c r="AB52" s="3" t="n"/>
      <c r="AE52" s="146">
        <f>IF(AND(F52="Closed",X52&gt;=DATE(2026,6,1),X52&lt;=DATE(2026,6,30)),"Closed in June","other")</f>
        <v/>
      </c>
    </row>
    <row r="53" hidden="1">
      <c r="A53" s="9" t="n">
        <v>46148</v>
      </c>
      <c r="B53" s="1" t="n">
        <v>2026</v>
      </c>
      <c r="C53" s="8" t="inlineStr">
        <is>
          <t>Continuum</t>
        </is>
      </c>
      <c r="D53" s="1" t="inlineStr">
        <is>
          <t>Utility and C&amp;I</t>
        </is>
      </c>
      <c r="E53" s="1" t="n"/>
      <c r="F53" s="1" t="inlineStr">
        <is>
          <t>Closed</t>
        </is>
      </c>
      <c r="G53" s="8" t="inlineStr">
        <is>
          <t>Amiya Ranjan Behera</t>
        </is>
      </c>
      <c r="H53" s="8" t="n">
        <v>8917436223</v>
      </c>
      <c r="I53" s="10" t="inlineStr">
        <is>
          <t>PE06052602</t>
        </is>
      </c>
      <c r="J53" s="8" t="inlineStr">
        <is>
          <t>Diode Bypass Module Issue</t>
        </is>
      </c>
      <c r="K53" s="8" t="inlineStr">
        <is>
          <t>Bhavnagar</t>
        </is>
      </c>
      <c r="L53" s="8" t="inlineStr">
        <is>
          <t>Gujarat</t>
        </is>
      </c>
      <c r="M53" s="2" t="inlineStr">
        <is>
          <t xml:space="preserve">OK </t>
        </is>
      </c>
      <c r="N53" s="2" t="inlineStr">
        <is>
          <t>No Issue Found</t>
        </is>
      </c>
      <c r="O53" s="11" t="n">
        <v>540</v>
      </c>
      <c r="P53" s="2" t="inlineStr">
        <is>
          <t>NSMP2304073515</t>
        </is>
      </c>
      <c r="Q53" s="14">
        <f>MID(P53,5,2)</f>
        <v/>
      </c>
      <c r="R53" s="14">
        <f>MID(P53,7,2)</f>
        <v/>
      </c>
      <c r="S53" s="1" t="inlineStr">
        <is>
          <t>G2B</t>
        </is>
      </c>
      <c r="T53" s="1" t="inlineStr">
        <is>
          <t>P2 - PEPPL</t>
        </is>
      </c>
      <c r="U53" s="6" t="inlineStr">
        <is>
          <t>No Issue Found</t>
        </is>
      </c>
      <c r="V53" s="6" t="inlineStr">
        <is>
          <t>Inspection</t>
        </is>
      </c>
      <c r="W53" s="1" t="inlineStr">
        <is>
          <t>Rejected</t>
        </is>
      </c>
      <c r="X53" s="5" t="n">
        <v>46174</v>
      </c>
      <c r="Y53" s="1">
        <f>IF(X53="","",X53-A53)</f>
        <v/>
      </c>
      <c r="Z53" s="5" t="n">
        <v>46174</v>
      </c>
      <c r="AA53" s="3" t="n"/>
      <c r="AB53" s="3" t="n"/>
      <c r="AE53" s="146">
        <f>IF(AND(F53="Closed",X53&gt;=DATE(2026,6,1),X53&lt;=DATE(2026,6,30)),"Closed in June","other")</f>
        <v/>
      </c>
    </row>
    <row r="54" hidden="1">
      <c r="A54" s="9" t="n">
        <v>46148</v>
      </c>
      <c r="B54" s="1" t="n">
        <v>2026</v>
      </c>
      <c r="C54" s="8" t="inlineStr">
        <is>
          <t>Continuum</t>
        </is>
      </c>
      <c r="D54" s="1" t="inlineStr">
        <is>
          <t>Utility and C&amp;I</t>
        </is>
      </c>
      <c r="E54" s="1" t="n"/>
      <c r="F54" s="1" t="inlineStr">
        <is>
          <t>Closed</t>
        </is>
      </c>
      <c r="G54" s="8" t="inlineStr">
        <is>
          <t>Amiya Ranjan Behera</t>
        </is>
      </c>
      <c r="H54" s="8" t="n">
        <v>8917436223</v>
      </c>
      <c r="I54" s="10" t="inlineStr">
        <is>
          <t>PE06052602</t>
        </is>
      </c>
      <c r="J54" s="8" t="inlineStr">
        <is>
          <t>Diode Bypass Module Issue</t>
        </is>
      </c>
      <c r="K54" s="8" t="inlineStr">
        <is>
          <t>Bhavnagar</t>
        </is>
      </c>
      <c r="L54" s="8" t="inlineStr">
        <is>
          <t>Gujarat</t>
        </is>
      </c>
      <c r="M54" s="2" t="inlineStr">
        <is>
          <t xml:space="preserve">OK </t>
        </is>
      </c>
      <c r="N54" s="2" t="inlineStr">
        <is>
          <t>No Issue Found</t>
        </is>
      </c>
      <c r="O54" s="11" t="n">
        <v>540</v>
      </c>
      <c r="P54" s="2" t="inlineStr">
        <is>
          <t>NSMP2304073513</t>
        </is>
      </c>
      <c r="Q54" s="14">
        <f>MID(P54,5,2)</f>
        <v/>
      </c>
      <c r="R54" s="14">
        <f>MID(P54,7,2)</f>
        <v/>
      </c>
      <c r="S54" s="1" t="inlineStr">
        <is>
          <t>G2B</t>
        </is>
      </c>
      <c r="T54" s="1" t="inlineStr">
        <is>
          <t>P2 - PEPPL</t>
        </is>
      </c>
      <c r="U54" s="6" t="inlineStr">
        <is>
          <t>No Issue Found</t>
        </is>
      </c>
      <c r="V54" s="6" t="inlineStr">
        <is>
          <t>Inspection</t>
        </is>
      </c>
      <c r="W54" s="1" t="inlineStr">
        <is>
          <t>Rejected</t>
        </is>
      </c>
      <c r="X54" s="5" t="n">
        <v>46174</v>
      </c>
      <c r="Y54" s="1">
        <f>IF(X54="","",X54-A54)</f>
        <v/>
      </c>
      <c r="Z54" s="5" t="n">
        <v>46174</v>
      </c>
      <c r="AA54" s="3" t="n"/>
      <c r="AB54" s="3" t="n"/>
      <c r="AE54" s="146">
        <f>IF(AND(F54="Closed",X54&gt;=DATE(2026,6,1),X54&lt;=DATE(2026,6,30)),"Closed in June","other")</f>
        <v/>
      </c>
    </row>
    <row r="55" hidden="1">
      <c r="A55" s="9" t="n">
        <v>46148</v>
      </c>
      <c r="B55" s="1" t="n">
        <v>2026</v>
      </c>
      <c r="C55" s="8" t="inlineStr">
        <is>
          <t>Continuum</t>
        </is>
      </c>
      <c r="D55" s="1" t="inlineStr">
        <is>
          <t>Utility and C&amp;I</t>
        </is>
      </c>
      <c r="E55" s="1" t="n"/>
      <c r="F55" s="1" t="inlineStr">
        <is>
          <t>Closed</t>
        </is>
      </c>
      <c r="G55" s="8" t="inlineStr">
        <is>
          <t>Amiya Ranjan Behera</t>
        </is>
      </c>
      <c r="H55" s="8" t="n">
        <v>8917436223</v>
      </c>
      <c r="I55" s="10" t="inlineStr">
        <is>
          <t>PE06052602</t>
        </is>
      </c>
      <c r="J55" s="8" t="inlineStr">
        <is>
          <t>Diode Bypass Module Issue</t>
        </is>
      </c>
      <c r="K55" s="8" t="inlineStr">
        <is>
          <t>Bhavnagar</t>
        </is>
      </c>
      <c r="L55" s="8" t="inlineStr">
        <is>
          <t>Gujarat</t>
        </is>
      </c>
      <c r="M55" s="2" t="inlineStr">
        <is>
          <t xml:space="preserve">OK </t>
        </is>
      </c>
      <c r="N55" s="2" t="inlineStr">
        <is>
          <t>No Issue Found</t>
        </is>
      </c>
      <c r="O55" s="11" t="n">
        <v>540</v>
      </c>
      <c r="P55" s="2" t="inlineStr">
        <is>
          <t>NSMP2304073490</t>
        </is>
      </c>
      <c r="Q55" s="14">
        <f>MID(P55,5,2)</f>
        <v/>
      </c>
      <c r="R55" s="14">
        <f>MID(P55,7,2)</f>
        <v/>
      </c>
      <c r="S55" s="1" t="inlineStr">
        <is>
          <t>G2B</t>
        </is>
      </c>
      <c r="T55" s="1" t="inlineStr">
        <is>
          <t>P2 - PEPPL</t>
        </is>
      </c>
      <c r="U55" s="6" t="inlineStr">
        <is>
          <t>No Issue Found</t>
        </is>
      </c>
      <c r="V55" s="6" t="inlineStr">
        <is>
          <t>Inspection</t>
        </is>
      </c>
      <c r="W55" s="1" t="inlineStr">
        <is>
          <t>Rejected</t>
        </is>
      </c>
      <c r="X55" s="5" t="n">
        <v>46174</v>
      </c>
      <c r="Y55" s="1">
        <f>IF(X55="","",X55-A55)</f>
        <v/>
      </c>
      <c r="Z55" s="5" t="n">
        <v>46174</v>
      </c>
      <c r="AA55" s="3" t="n"/>
      <c r="AB55" s="3" t="n"/>
      <c r="AE55" s="146">
        <f>IF(AND(F55="Closed",X55&gt;=DATE(2026,6,1),X55&lt;=DATE(2026,6,30)),"Closed in June","other")</f>
        <v/>
      </c>
    </row>
    <row r="56" hidden="1">
      <c r="A56" s="9" t="n">
        <v>46148</v>
      </c>
      <c r="B56" s="1" t="n">
        <v>2026</v>
      </c>
      <c r="C56" s="8" t="inlineStr">
        <is>
          <t>Continuum</t>
        </is>
      </c>
      <c r="D56" s="1" t="inlineStr">
        <is>
          <t>Utility and C&amp;I</t>
        </is>
      </c>
      <c r="E56" s="1" t="n"/>
      <c r="F56" s="1" t="inlineStr">
        <is>
          <t>Closed</t>
        </is>
      </c>
      <c r="G56" s="8" t="inlineStr">
        <is>
          <t>Amiya Ranjan Behera</t>
        </is>
      </c>
      <c r="H56" s="8" t="n">
        <v>8917436223</v>
      </c>
      <c r="I56" s="10" t="inlineStr">
        <is>
          <t>PE06052602</t>
        </is>
      </c>
      <c r="J56" s="8" t="inlineStr">
        <is>
          <t>Diode Bypass Module Issue</t>
        </is>
      </c>
      <c r="K56" s="8" t="inlineStr">
        <is>
          <t>Bhavnagar</t>
        </is>
      </c>
      <c r="L56" s="8" t="inlineStr">
        <is>
          <t>Gujarat</t>
        </is>
      </c>
      <c r="M56" s="2" t="inlineStr">
        <is>
          <t xml:space="preserve">OK </t>
        </is>
      </c>
      <c r="N56" s="2" t="inlineStr">
        <is>
          <t>No Issue Found</t>
        </is>
      </c>
      <c r="O56" s="11" t="n">
        <v>540</v>
      </c>
      <c r="P56" s="2" t="inlineStr">
        <is>
          <t>NSMP2304073511</t>
        </is>
      </c>
      <c r="Q56" s="14">
        <f>MID(P56,5,2)</f>
        <v/>
      </c>
      <c r="R56" s="14">
        <f>MID(P56,7,2)</f>
        <v/>
      </c>
      <c r="S56" s="1" t="inlineStr">
        <is>
          <t>G2B</t>
        </is>
      </c>
      <c r="T56" s="1" t="inlineStr">
        <is>
          <t>P2 - PEPPL</t>
        </is>
      </c>
      <c r="U56" s="6" t="inlineStr">
        <is>
          <t>No Issue Found</t>
        </is>
      </c>
      <c r="V56" s="6" t="inlineStr">
        <is>
          <t>Inspection</t>
        </is>
      </c>
      <c r="W56" s="1" t="inlineStr">
        <is>
          <t>Rejected</t>
        </is>
      </c>
      <c r="X56" s="5" t="n">
        <v>46174</v>
      </c>
      <c r="Y56" s="1">
        <f>IF(X56="","",X56-A56)</f>
        <v/>
      </c>
      <c r="Z56" s="5" t="n">
        <v>46174</v>
      </c>
      <c r="AA56" s="3" t="n"/>
      <c r="AB56" s="3" t="n"/>
      <c r="AE56" s="146">
        <f>IF(AND(F56="Closed",X56&gt;=DATE(2026,6,1),X56&lt;=DATE(2026,6,30)),"Closed in June","other")</f>
        <v/>
      </c>
    </row>
    <row r="57" hidden="1">
      <c r="A57" s="9" t="n">
        <v>46148</v>
      </c>
      <c r="B57" s="1" t="n">
        <v>2026</v>
      </c>
      <c r="C57" s="8" t="inlineStr">
        <is>
          <t>Continuum</t>
        </is>
      </c>
      <c r="D57" s="1" t="inlineStr">
        <is>
          <t>Utility and C&amp;I</t>
        </is>
      </c>
      <c r="E57" s="1" t="n"/>
      <c r="F57" s="1" t="inlineStr">
        <is>
          <t>Closed</t>
        </is>
      </c>
      <c r="G57" s="8" t="inlineStr">
        <is>
          <t>Amiya Ranjan Behera</t>
        </is>
      </c>
      <c r="H57" s="8" t="n">
        <v>8917436223</v>
      </c>
      <c r="I57" s="10" t="inlineStr">
        <is>
          <t>PE06052602</t>
        </is>
      </c>
      <c r="J57" s="8" t="inlineStr">
        <is>
          <t>Diode Bypass Module Issue</t>
        </is>
      </c>
      <c r="K57" s="8" t="inlineStr">
        <is>
          <t>Bhavnagar</t>
        </is>
      </c>
      <c r="L57" s="8" t="inlineStr">
        <is>
          <t>Gujarat</t>
        </is>
      </c>
      <c r="M57" s="2" t="inlineStr">
        <is>
          <t xml:space="preserve">OK </t>
        </is>
      </c>
      <c r="N57" s="2" t="inlineStr">
        <is>
          <t>No Issue Found</t>
        </is>
      </c>
      <c r="O57" s="11" t="n">
        <v>540</v>
      </c>
      <c r="P57" s="2" t="inlineStr">
        <is>
          <t>NSMP2304073509</t>
        </is>
      </c>
      <c r="Q57" s="14">
        <f>MID(P57,5,2)</f>
        <v/>
      </c>
      <c r="R57" s="14">
        <f>MID(P57,7,2)</f>
        <v/>
      </c>
      <c r="S57" s="1" t="inlineStr">
        <is>
          <t>G2B</t>
        </is>
      </c>
      <c r="T57" s="1" t="inlineStr">
        <is>
          <t>P2 - PEPPL</t>
        </is>
      </c>
      <c r="U57" s="6" t="inlineStr">
        <is>
          <t>No Issue Found</t>
        </is>
      </c>
      <c r="V57" s="6" t="inlineStr">
        <is>
          <t>Inspection</t>
        </is>
      </c>
      <c r="W57" s="1" t="inlineStr">
        <is>
          <t>Rejected</t>
        </is>
      </c>
      <c r="X57" s="5" t="n">
        <v>46174</v>
      </c>
      <c r="Y57" s="1">
        <f>IF(X57="","",X57-A57)</f>
        <v/>
      </c>
      <c r="Z57" s="5" t="n">
        <v>46174</v>
      </c>
      <c r="AA57" s="3" t="n"/>
      <c r="AB57" s="3" t="n"/>
      <c r="AE57" s="146">
        <f>IF(AND(F57="Closed",X57&gt;=DATE(2026,6,1),X57&lt;=DATE(2026,6,30)),"Closed in June","other")</f>
        <v/>
      </c>
    </row>
    <row r="58" hidden="1">
      <c r="A58" s="9" t="n">
        <v>46148</v>
      </c>
      <c r="B58" s="1" t="n">
        <v>2026</v>
      </c>
      <c r="C58" s="8" t="inlineStr">
        <is>
          <t>Continuum</t>
        </is>
      </c>
      <c r="D58" s="1" t="inlineStr">
        <is>
          <t>Utility and C&amp;I</t>
        </is>
      </c>
      <c r="E58" s="1" t="n"/>
      <c r="F58" s="1" t="inlineStr">
        <is>
          <t>Closed</t>
        </is>
      </c>
      <c r="G58" s="8" t="inlineStr">
        <is>
          <t>Amiya Ranjan Behera</t>
        </is>
      </c>
      <c r="H58" s="8" t="n">
        <v>8917436223</v>
      </c>
      <c r="I58" s="10" t="inlineStr">
        <is>
          <t>PE06052602</t>
        </is>
      </c>
      <c r="J58" s="8" t="inlineStr">
        <is>
          <t>Diode Bypass Module Issue</t>
        </is>
      </c>
      <c r="K58" s="8" t="inlineStr">
        <is>
          <t>Bhavnagar</t>
        </is>
      </c>
      <c r="L58" s="8" t="inlineStr">
        <is>
          <t>Gujarat</t>
        </is>
      </c>
      <c r="M58" s="2" t="inlineStr">
        <is>
          <t xml:space="preserve">OK </t>
        </is>
      </c>
      <c r="N58" s="2" t="inlineStr">
        <is>
          <t>No Issue Found</t>
        </is>
      </c>
      <c r="O58" s="11" t="n">
        <v>540</v>
      </c>
      <c r="P58" s="2" t="inlineStr">
        <is>
          <t>NSMP2304073492</t>
        </is>
      </c>
      <c r="Q58" s="14">
        <f>MID(P58,5,2)</f>
        <v/>
      </c>
      <c r="R58" s="14">
        <f>MID(P58,7,2)</f>
        <v/>
      </c>
      <c r="S58" s="1" t="inlineStr">
        <is>
          <t>G2B</t>
        </is>
      </c>
      <c r="T58" s="1" t="inlineStr">
        <is>
          <t>P2 - PEPPL</t>
        </is>
      </c>
      <c r="U58" s="6" t="inlineStr">
        <is>
          <t>No Issue Found</t>
        </is>
      </c>
      <c r="V58" s="6" t="inlineStr">
        <is>
          <t>Inspection</t>
        </is>
      </c>
      <c r="W58" s="1" t="inlineStr">
        <is>
          <t>Rejected</t>
        </is>
      </c>
      <c r="X58" s="5" t="n">
        <v>46174</v>
      </c>
      <c r="Y58" s="1">
        <f>IF(X58="","",X58-A58)</f>
        <v/>
      </c>
      <c r="Z58" s="5" t="n">
        <v>46174</v>
      </c>
      <c r="AA58" s="3" t="n"/>
      <c r="AB58" s="3" t="n"/>
      <c r="AE58" s="146">
        <f>IF(AND(F58="Closed",X58&gt;=DATE(2026,6,1),X58&lt;=DATE(2026,6,30)),"Closed in June","other")</f>
        <v/>
      </c>
    </row>
    <row r="59" hidden="1">
      <c r="A59" s="9" t="n">
        <v>46148</v>
      </c>
      <c r="B59" s="1" t="n">
        <v>2026</v>
      </c>
      <c r="C59" s="8" t="inlineStr">
        <is>
          <t>Continuum</t>
        </is>
      </c>
      <c r="D59" s="1" t="inlineStr">
        <is>
          <t>Utility and C&amp;I</t>
        </is>
      </c>
      <c r="E59" s="1" t="n"/>
      <c r="F59" s="1" t="inlineStr">
        <is>
          <t>Closed</t>
        </is>
      </c>
      <c r="G59" s="8" t="inlineStr">
        <is>
          <t>Amiya Ranjan Behera</t>
        </is>
      </c>
      <c r="H59" s="8" t="n">
        <v>8917436223</v>
      </c>
      <c r="I59" s="10" t="inlineStr">
        <is>
          <t>PE06052602</t>
        </is>
      </c>
      <c r="J59" s="8" t="inlineStr">
        <is>
          <t>Diode Bypass Module Issue</t>
        </is>
      </c>
      <c r="K59" s="8" t="inlineStr">
        <is>
          <t>Bhavnagar</t>
        </is>
      </c>
      <c r="L59" s="8" t="inlineStr">
        <is>
          <t>Gujarat</t>
        </is>
      </c>
      <c r="M59" s="2" t="inlineStr">
        <is>
          <t xml:space="preserve">OK </t>
        </is>
      </c>
      <c r="N59" s="2" t="inlineStr">
        <is>
          <t>No Issue Found</t>
        </is>
      </c>
      <c r="O59" s="11" t="n">
        <v>540</v>
      </c>
      <c r="P59" s="2" t="inlineStr">
        <is>
          <t>NSMP2304054592</t>
        </is>
      </c>
      <c r="Q59" s="14">
        <f>MID(P59,5,2)</f>
        <v/>
      </c>
      <c r="R59" s="14">
        <f>MID(P59,7,2)</f>
        <v/>
      </c>
      <c r="S59" s="1" t="inlineStr">
        <is>
          <t>G2B</t>
        </is>
      </c>
      <c r="T59" s="1" t="inlineStr">
        <is>
          <t>P2 - PEPPL</t>
        </is>
      </c>
      <c r="U59" s="6" t="inlineStr">
        <is>
          <t>No Issue Found</t>
        </is>
      </c>
      <c r="V59" s="6" t="inlineStr">
        <is>
          <t>Inspection</t>
        </is>
      </c>
      <c r="W59" s="1" t="inlineStr">
        <is>
          <t>Rejected</t>
        </is>
      </c>
      <c r="X59" s="5" t="n">
        <v>46174</v>
      </c>
      <c r="Y59" s="1">
        <f>IF(X59="","",X59-A59)</f>
        <v/>
      </c>
      <c r="Z59" s="5" t="n">
        <v>46174</v>
      </c>
      <c r="AA59" s="3" t="n"/>
      <c r="AB59" s="3" t="n"/>
      <c r="AE59" s="146">
        <f>IF(AND(F59="Closed",X59&gt;=DATE(2026,6,1),X59&lt;=DATE(2026,6,30)),"Closed in June","other")</f>
        <v/>
      </c>
    </row>
    <row r="60" hidden="1">
      <c r="A60" s="9" t="n">
        <v>46148</v>
      </c>
      <c r="B60" s="1" t="n">
        <v>2026</v>
      </c>
      <c r="C60" s="8" t="inlineStr">
        <is>
          <t>Continuum</t>
        </is>
      </c>
      <c r="D60" s="1" t="inlineStr">
        <is>
          <t>Utility and C&amp;I</t>
        </is>
      </c>
      <c r="E60" s="1" t="n"/>
      <c r="F60" s="1" t="inlineStr">
        <is>
          <t>Closed</t>
        </is>
      </c>
      <c r="G60" s="8" t="inlineStr">
        <is>
          <t>Amiya Ranjan Behera</t>
        </is>
      </c>
      <c r="H60" s="8" t="n">
        <v>8917436223</v>
      </c>
      <c r="I60" s="10" t="inlineStr">
        <is>
          <t>PE06052602</t>
        </is>
      </c>
      <c r="J60" s="8" t="inlineStr">
        <is>
          <t>Diode Bypass Module Issue</t>
        </is>
      </c>
      <c r="K60" s="8" t="inlineStr">
        <is>
          <t>Bhavnagar</t>
        </is>
      </c>
      <c r="L60" s="8" t="inlineStr">
        <is>
          <t>Gujarat</t>
        </is>
      </c>
      <c r="M60" s="2" t="inlineStr">
        <is>
          <t xml:space="preserve">OK </t>
        </is>
      </c>
      <c r="N60" s="2" t="inlineStr">
        <is>
          <t>No Issue Found</t>
        </is>
      </c>
      <c r="O60" s="11" t="n">
        <v>540</v>
      </c>
      <c r="P60" s="2" t="inlineStr">
        <is>
          <t>NSMP2304054602</t>
        </is>
      </c>
      <c r="Q60" s="14">
        <f>MID(P60,5,2)</f>
        <v/>
      </c>
      <c r="R60" s="14">
        <f>MID(P60,7,2)</f>
        <v/>
      </c>
      <c r="S60" s="1" t="inlineStr">
        <is>
          <t>G2B</t>
        </is>
      </c>
      <c r="T60" s="1" t="inlineStr">
        <is>
          <t>P2 - PEPPL</t>
        </is>
      </c>
      <c r="U60" s="6" t="inlineStr">
        <is>
          <t>No Issue Found</t>
        </is>
      </c>
      <c r="V60" s="6" t="inlineStr">
        <is>
          <t>Inspection</t>
        </is>
      </c>
      <c r="W60" s="1" t="inlineStr">
        <is>
          <t>Rejected</t>
        </is>
      </c>
      <c r="X60" s="5" t="n">
        <v>46174</v>
      </c>
      <c r="Y60" s="1">
        <f>IF(X60="","",X60-A60)</f>
        <v/>
      </c>
      <c r="Z60" s="5" t="n">
        <v>46174</v>
      </c>
      <c r="AA60" s="3" t="n"/>
      <c r="AB60" s="3" t="n"/>
      <c r="AE60" s="146">
        <f>IF(AND(F60="Closed",X60&gt;=DATE(2026,6,1),X60&lt;=DATE(2026,6,30)),"Closed in June","other")</f>
        <v/>
      </c>
    </row>
    <row r="61" hidden="1">
      <c r="A61" s="9" t="n">
        <v>46148</v>
      </c>
      <c r="B61" s="1" t="n">
        <v>2026</v>
      </c>
      <c r="C61" s="8" t="inlineStr">
        <is>
          <t>Continuum</t>
        </is>
      </c>
      <c r="D61" s="1" t="inlineStr">
        <is>
          <t>Utility and C&amp;I</t>
        </is>
      </c>
      <c r="E61" s="1" t="n"/>
      <c r="F61" s="1" t="inlineStr">
        <is>
          <t>Closed</t>
        </is>
      </c>
      <c r="G61" s="8" t="inlineStr">
        <is>
          <t>Amiya Ranjan Behera</t>
        </is>
      </c>
      <c r="H61" s="8" t="n">
        <v>8917436223</v>
      </c>
      <c r="I61" s="10" t="inlineStr">
        <is>
          <t>PE06052602</t>
        </is>
      </c>
      <c r="J61" s="8" t="inlineStr">
        <is>
          <t>Diode Bypass Module Issue</t>
        </is>
      </c>
      <c r="K61" s="8" t="inlineStr">
        <is>
          <t>Bhavnagar</t>
        </is>
      </c>
      <c r="L61" s="8" t="inlineStr">
        <is>
          <t>Gujarat</t>
        </is>
      </c>
      <c r="M61" s="2" t="inlineStr">
        <is>
          <t xml:space="preserve">OK </t>
        </is>
      </c>
      <c r="N61" s="2" t="inlineStr">
        <is>
          <t>No Issue Found</t>
        </is>
      </c>
      <c r="O61" s="11" t="n">
        <v>540</v>
      </c>
      <c r="P61" s="2" t="inlineStr">
        <is>
          <t>NSMP2304054603</t>
        </is>
      </c>
      <c r="Q61" s="14">
        <f>MID(P61,5,2)</f>
        <v/>
      </c>
      <c r="R61" s="14">
        <f>MID(P61,7,2)</f>
        <v/>
      </c>
      <c r="S61" s="1" t="inlineStr">
        <is>
          <t>G2B</t>
        </is>
      </c>
      <c r="T61" s="1" t="inlineStr">
        <is>
          <t>P2 - PEPPL</t>
        </is>
      </c>
      <c r="U61" s="6" t="inlineStr">
        <is>
          <t>No Issue Found</t>
        </is>
      </c>
      <c r="V61" s="6" t="inlineStr">
        <is>
          <t>Inspection</t>
        </is>
      </c>
      <c r="W61" s="1" t="inlineStr">
        <is>
          <t>Rejected</t>
        </is>
      </c>
      <c r="X61" s="5" t="n">
        <v>46174</v>
      </c>
      <c r="Y61" s="1">
        <f>IF(X61="","",X61-A61)</f>
        <v/>
      </c>
      <c r="Z61" s="5" t="n">
        <v>46174</v>
      </c>
      <c r="AA61" s="3" t="n"/>
      <c r="AB61" s="3" t="n"/>
      <c r="AE61" s="146">
        <f>IF(AND(F61="Closed",X61&gt;=DATE(2026,6,1),X61&lt;=DATE(2026,6,30)),"Closed in June","other")</f>
        <v/>
      </c>
    </row>
    <row r="62" hidden="1">
      <c r="A62" s="9" t="n">
        <v>46148</v>
      </c>
      <c r="B62" s="1" t="n">
        <v>2026</v>
      </c>
      <c r="C62" s="8" t="inlineStr">
        <is>
          <t>Continuum</t>
        </is>
      </c>
      <c r="D62" s="1" t="inlineStr">
        <is>
          <t>Utility and C&amp;I</t>
        </is>
      </c>
      <c r="E62" s="1" t="n"/>
      <c r="F62" s="1" t="inlineStr">
        <is>
          <t>Closed</t>
        </is>
      </c>
      <c r="G62" s="8" t="inlineStr">
        <is>
          <t>Amiya Ranjan Behera</t>
        </is>
      </c>
      <c r="H62" s="8" t="n">
        <v>8917436223</v>
      </c>
      <c r="I62" s="10" t="inlineStr">
        <is>
          <t>PE06052602</t>
        </is>
      </c>
      <c r="J62" s="8" t="inlineStr">
        <is>
          <t>Diode Bypass Module Issue</t>
        </is>
      </c>
      <c r="K62" s="8" t="inlineStr">
        <is>
          <t>Bhavnagar</t>
        </is>
      </c>
      <c r="L62" s="8" t="inlineStr">
        <is>
          <t>Gujarat</t>
        </is>
      </c>
      <c r="M62" s="2" t="inlineStr">
        <is>
          <t xml:space="preserve">OK </t>
        </is>
      </c>
      <c r="N62" s="2" t="inlineStr">
        <is>
          <t>No Issue Found</t>
        </is>
      </c>
      <c r="O62" s="11" t="n">
        <v>540</v>
      </c>
      <c r="P62" s="2" t="inlineStr">
        <is>
          <t>NSMP2304054565</t>
        </is>
      </c>
      <c r="Q62" s="14">
        <f>MID(P62,5,2)</f>
        <v/>
      </c>
      <c r="R62" s="14">
        <f>MID(P62,7,2)</f>
        <v/>
      </c>
      <c r="S62" s="1" t="inlineStr">
        <is>
          <t>G2B</t>
        </is>
      </c>
      <c r="T62" s="1" t="inlineStr">
        <is>
          <t>P2 - PEPPL</t>
        </is>
      </c>
      <c r="U62" s="6" t="inlineStr">
        <is>
          <t>No Issue Found</t>
        </is>
      </c>
      <c r="V62" s="6" t="inlineStr">
        <is>
          <t>Inspection</t>
        </is>
      </c>
      <c r="W62" s="1" t="inlineStr">
        <is>
          <t>Rejected</t>
        </is>
      </c>
      <c r="X62" s="5" t="n">
        <v>46174</v>
      </c>
      <c r="Y62" s="1">
        <f>IF(X62="","",X62-A62)</f>
        <v/>
      </c>
      <c r="Z62" s="5" t="n">
        <v>46174</v>
      </c>
      <c r="AA62" s="3" t="n"/>
      <c r="AB62" s="3" t="n"/>
      <c r="AE62" s="146">
        <f>IF(AND(F62="Closed",X62&gt;=DATE(2026,6,1),X62&lt;=DATE(2026,6,30)),"Closed in June","other")</f>
        <v/>
      </c>
    </row>
    <row r="63" hidden="1">
      <c r="A63" s="9" t="n">
        <v>46148</v>
      </c>
      <c r="B63" s="1" t="n">
        <v>2026</v>
      </c>
      <c r="C63" s="8" t="inlineStr">
        <is>
          <t>Continuum</t>
        </is>
      </c>
      <c r="D63" s="1" t="inlineStr">
        <is>
          <t>Utility and C&amp;I</t>
        </is>
      </c>
      <c r="E63" s="1" t="n"/>
      <c r="F63" s="1" t="inlineStr">
        <is>
          <t>Closed</t>
        </is>
      </c>
      <c r="G63" s="8" t="inlineStr">
        <is>
          <t>Amiya Ranjan Behera</t>
        </is>
      </c>
      <c r="H63" s="8" t="n">
        <v>8917436223</v>
      </c>
      <c r="I63" s="10" t="inlineStr">
        <is>
          <t>PE06052602</t>
        </is>
      </c>
      <c r="J63" s="8" t="inlineStr">
        <is>
          <t>Diode Bypass Module Issue</t>
        </is>
      </c>
      <c r="K63" s="8" t="inlineStr">
        <is>
          <t>Bhavnagar</t>
        </is>
      </c>
      <c r="L63" s="8" t="inlineStr">
        <is>
          <t>Gujarat</t>
        </is>
      </c>
      <c r="M63" s="2" t="inlineStr">
        <is>
          <t xml:space="preserve">OK </t>
        </is>
      </c>
      <c r="N63" s="2" t="inlineStr">
        <is>
          <t>No Issue Found</t>
        </is>
      </c>
      <c r="O63" s="11" t="n">
        <v>540</v>
      </c>
      <c r="P63" s="2" t="inlineStr">
        <is>
          <t>NSMP2304074587</t>
        </is>
      </c>
      <c r="Q63" s="14">
        <f>MID(P63,5,2)</f>
        <v/>
      </c>
      <c r="R63" s="14">
        <f>MID(P63,7,2)</f>
        <v/>
      </c>
      <c r="S63" s="1" t="inlineStr">
        <is>
          <t>G2B</t>
        </is>
      </c>
      <c r="T63" s="1" t="inlineStr">
        <is>
          <t>P2 - PEPPL</t>
        </is>
      </c>
      <c r="U63" s="6" t="inlineStr">
        <is>
          <t>No Issue Found</t>
        </is>
      </c>
      <c r="V63" s="6" t="inlineStr">
        <is>
          <t>Inspection</t>
        </is>
      </c>
      <c r="W63" s="1" t="inlineStr">
        <is>
          <t>Rejected</t>
        </is>
      </c>
      <c r="X63" s="5" t="n">
        <v>46174</v>
      </c>
      <c r="Y63" s="1">
        <f>IF(X63="","",X63-A63)</f>
        <v/>
      </c>
      <c r="Z63" s="5" t="n">
        <v>46174</v>
      </c>
      <c r="AA63" s="3" t="n"/>
      <c r="AB63" s="3" t="n"/>
      <c r="AE63" s="146">
        <f>IF(AND(F63="Closed",X63&gt;=DATE(2026,6,1),X63&lt;=DATE(2026,6,30)),"Closed in June","other")</f>
        <v/>
      </c>
    </row>
    <row r="64" hidden="1">
      <c r="A64" s="9" t="n">
        <v>46148</v>
      </c>
      <c r="B64" s="1" t="n">
        <v>2026</v>
      </c>
      <c r="C64" s="8" t="inlineStr">
        <is>
          <t>Continuum</t>
        </is>
      </c>
      <c r="D64" s="1" t="inlineStr">
        <is>
          <t>Utility and C&amp;I</t>
        </is>
      </c>
      <c r="E64" s="1" t="n"/>
      <c r="F64" s="1" t="inlineStr">
        <is>
          <t>Closed</t>
        </is>
      </c>
      <c r="G64" s="8" t="inlineStr">
        <is>
          <t>Amiya Ranjan Behera</t>
        </is>
      </c>
      <c r="H64" s="8" t="n">
        <v>8917436223</v>
      </c>
      <c r="I64" s="10" t="inlineStr">
        <is>
          <t>PE06052602</t>
        </is>
      </c>
      <c r="J64" s="8" t="inlineStr">
        <is>
          <t>Diode Bypass Module Issue</t>
        </is>
      </c>
      <c r="K64" s="8" t="inlineStr">
        <is>
          <t>Bhavnagar</t>
        </is>
      </c>
      <c r="L64" s="8" t="inlineStr">
        <is>
          <t>Gujarat</t>
        </is>
      </c>
      <c r="M64" s="2" t="inlineStr">
        <is>
          <t xml:space="preserve">OK </t>
        </is>
      </c>
      <c r="N64" s="2" t="inlineStr">
        <is>
          <t>No Issue Found</t>
        </is>
      </c>
      <c r="O64" s="11" t="n">
        <v>540</v>
      </c>
      <c r="P64" s="2" t="inlineStr">
        <is>
          <t>NSMP2304074633</t>
        </is>
      </c>
      <c r="Q64" s="14">
        <f>MID(P64,5,2)</f>
        <v/>
      </c>
      <c r="R64" s="14">
        <f>MID(P64,7,2)</f>
        <v/>
      </c>
      <c r="S64" s="1" t="inlineStr">
        <is>
          <t>G2B</t>
        </is>
      </c>
      <c r="T64" s="1" t="inlineStr">
        <is>
          <t>P2 - PEPPL</t>
        </is>
      </c>
      <c r="U64" s="6" t="inlineStr">
        <is>
          <t>No Issue Found</t>
        </is>
      </c>
      <c r="V64" s="6" t="inlineStr">
        <is>
          <t>Inspection</t>
        </is>
      </c>
      <c r="W64" s="1" t="inlineStr">
        <is>
          <t>Rejected</t>
        </is>
      </c>
      <c r="X64" s="5" t="n">
        <v>46174</v>
      </c>
      <c r="Y64" s="1">
        <f>IF(X64="","",X64-A64)</f>
        <v/>
      </c>
      <c r="Z64" s="5" t="n">
        <v>46174</v>
      </c>
      <c r="AA64" s="3" t="n"/>
      <c r="AB64" s="3" t="n"/>
      <c r="AE64" s="146">
        <f>IF(AND(F64="Closed",X64&gt;=DATE(2026,6,1),X64&lt;=DATE(2026,6,30)),"Closed in June","other")</f>
        <v/>
      </c>
    </row>
    <row r="65" hidden="1">
      <c r="A65" s="9" t="n">
        <v>46148</v>
      </c>
      <c r="B65" s="1" t="n">
        <v>2026</v>
      </c>
      <c r="C65" s="8" t="inlineStr">
        <is>
          <t>Continuum</t>
        </is>
      </c>
      <c r="D65" s="1" t="inlineStr">
        <is>
          <t>Utility and C&amp;I</t>
        </is>
      </c>
      <c r="E65" s="1" t="n"/>
      <c r="F65" s="1" t="inlineStr">
        <is>
          <t>Closed</t>
        </is>
      </c>
      <c r="G65" s="8" t="inlineStr">
        <is>
          <t>Amiya Ranjan Behera</t>
        </is>
      </c>
      <c r="H65" s="8" t="n">
        <v>8917436223</v>
      </c>
      <c r="I65" s="10" t="inlineStr">
        <is>
          <t>PE06052602</t>
        </is>
      </c>
      <c r="J65" s="8" t="inlineStr">
        <is>
          <t>Diode Bypass Module Issue</t>
        </is>
      </c>
      <c r="K65" s="8" t="inlineStr">
        <is>
          <t>Bhavnagar</t>
        </is>
      </c>
      <c r="L65" s="8" t="inlineStr">
        <is>
          <t>Gujarat</t>
        </is>
      </c>
      <c r="M65" s="2" t="inlineStr">
        <is>
          <t xml:space="preserve">OK </t>
        </is>
      </c>
      <c r="N65" s="2" t="inlineStr">
        <is>
          <t>No Issue Found</t>
        </is>
      </c>
      <c r="O65" s="11" t="n">
        <v>540</v>
      </c>
      <c r="P65" s="2" t="inlineStr">
        <is>
          <t>NSMP2304074631</t>
        </is>
      </c>
      <c r="Q65" s="14">
        <f>MID(P65,5,2)</f>
        <v/>
      </c>
      <c r="R65" s="14">
        <f>MID(P65,7,2)</f>
        <v/>
      </c>
      <c r="S65" s="1" t="inlineStr">
        <is>
          <t>G2B</t>
        </is>
      </c>
      <c r="T65" s="1" t="inlineStr">
        <is>
          <t>P2 - PEPPL</t>
        </is>
      </c>
      <c r="U65" s="6" t="inlineStr">
        <is>
          <t>No Issue Found</t>
        </is>
      </c>
      <c r="V65" s="6" t="inlineStr">
        <is>
          <t>Inspection</t>
        </is>
      </c>
      <c r="W65" s="1" t="inlineStr">
        <is>
          <t>Rejected</t>
        </is>
      </c>
      <c r="X65" s="5" t="n">
        <v>46174</v>
      </c>
      <c r="Y65" s="1">
        <f>IF(X65="","",X65-A65)</f>
        <v/>
      </c>
      <c r="Z65" s="5" t="n">
        <v>46174</v>
      </c>
      <c r="AA65" s="3" t="n"/>
      <c r="AB65" s="3" t="n"/>
      <c r="AE65" s="146">
        <f>IF(AND(F65="Closed",X65&gt;=DATE(2026,6,1),X65&lt;=DATE(2026,6,30)),"Closed in June","other")</f>
        <v/>
      </c>
    </row>
    <row r="66" hidden="1">
      <c r="A66" s="9" t="n">
        <v>46148</v>
      </c>
      <c r="B66" s="1" t="n">
        <v>2026</v>
      </c>
      <c r="C66" s="8" t="inlineStr">
        <is>
          <t>Continuum</t>
        </is>
      </c>
      <c r="D66" s="1" t="inlineStr">
        <is>
          <t>Utility and C&amp;I</t>
        </is>
      </c>
      <c r="E66" s="1" t="n"/>
      <c r="F66" s="1" t="inlineStr">
        <is>
          <t>Closed</t>
        </is>
      </c>
      <c r="G66" s="8" t="inlineStr">
        <is>
          <t>Amiya Ranjan Behera</t>
        </is>
      </c>
      <c r="H66" s="8" t="n">
        <v>8917436223</v>
      </c>
      <c r="I66" s="10" t="inlineStr">
        <is>
          <t>PE06052602</t>
        </is>
      </c>
      <c r="J66" s="8" t="inlineStr">
        <is>
          <t>Diode Bypass Module Issue</t>
        </is>
      </c>
      <c r="K66" s="8" t="inlineStr">
        <is>
          <t>Bhavnagar</t>
        </is>
      </c>
      <c r="L66" s="8" t="inlineStr">
        <is>
          <t>Gujarat</t>
        </is>
      </c>
      <c r="M66" s="2" t="inlineStr">
        <is>
          <t xml:space="preserve">OK </t>
        </is>
      </c>
      <c r="N66" s="2" t="inlineStr">
        <is>
          <t>No Issue Found</t>
        </is>
      </c>
      <c r="O66" s="11" t="n">
        <v>540</v>
      </c>
      <c r="P66" s="2" t="inlineStr">
        <is>
          <t>NSMP2304076499</t>
        </is>
      </c>
      <c r="Q66" s="14">
        <f>MID(P66,5,2)</f>
        <v/>
      </c>
      <c r="R66" s="14">
        <f>MID(P66,7,2)</f>
        <v/>
      </c>
      <c r="S66" s="1" t="inlineStr">
        <is>
          <t>G2B</t>
        </is>
      </c>
      <c r="T66" s="1" t="inlineStr">
        <is>
          <t>P2 - PEPPL</t>
        </is>
      </c>
      <c r="U66" s="6" t="inlineStr">
        <is>
          <t>No Issue Found</t>
        </is>
      </c>
      <c r="V66" s="6" t="inlineStr">
        <is>
          <t>Inspection</t>
        </is>
      </c>
      <c r="W66" s="1" t="inlineStr">
        <is>
          <t>Rejected</t>
        </is>
      </c>
      <c r="X66" s="5" t="n">
        <v>46174</v>
      </c>
      <c r="Y66" s="1">
        <f>IF(X66="","",X66-A66)</f>
        <v/>
      </c>
      <c r="Z66" s="5" t="n">
        <v>46174</v>
      </c>
      <c r="AA66" s="3" t="n"/>
      <c r="AB66" s="3" t="n"/>
      <c r="AE66" s="146">
        <f>IF(AND(F66="Closed",X66&gt;=DATE(2026,6,1),X66&lt;=DATE(2026,6,30)),"Closed in June","other")</f>
        <v/>
      </c>
    </row>
    <row r="67" hidden="1">
      <c r="A67" s="9" t="n">
        <v>46148</v>
      </c>
      <c r="B67" s="1" t="n">
        <v>2026</v>
      </c>
      <c r="C67" s="8" t="inlineStr">
        <is>
          <t>Continuum</t>
        </is>
      </c>
      <c r="D67" s="1" t="inlineStr">
        <is>
          <t>Utility and C&amp;I</t>
        </is>
      </c>
      <c r="E67" s="1" t="n"/>
      <c r="F67" s="1" t="inlineStr">
        <is>
          <t>Closed</t>
        </is>
      </c>
      <c r="G67" s="8" t="inlineStr">
        <is>
          <t>Amiya Ranjan Behera</t>
        </is>
      </c>
      <c r="H67" s="8" t="n">
        <v>8917436223</v>
      </c>
      <c r="I67" s="10" t="inlineStr">
        <is>
          <t>PE06052602</t>
        </is>
      </c>
      <c r="J67" s="8" t="inlineStr">
        <is>
          <t>Diode Bypass Module Issue</t>
        </is>
      </c>
      <c r="K67" s="8" t="inlineStr">
        <is>
          <t>Bhavnagar</t>
        </is>
      </c>
      <c r="L67" s="8" t="inlineStr">
        <is>
          <t>Gujarat</t>
        </is>
      </c>
      <c r="M67" s="2" t="inlineStr">
        <is>
          <t xml:space="preserve">OK </t>
        </is>
      </c>
      <c r="N67" s="2" t="inlineStr">
        <is>
          <t>No Issue Found</t>
        </is>
      </c>
      <c r="O67" s="11" t="n">
        <v>540</v>
      </c>
      <c r="P67" s="1" t="inlineStr">
        <is>
          <t>NSMP2304076581</t>
        </is>
      </c>
      <c r="Q67" s="14">
        <f>MID(P67,5,2)</f>
        <v/>
      </c>
      <c r="R67" s="14">
        <f>MID(P67,7,2)</f>
        <v/>
      </c>
      <c r="S67" s="1" t="inlineStr">
        <is>
          <t>G2B</t>
        </is>
      </c>
      <c r="T67" s="1" t="inlineStr">
        <is>
          <t>P2 - PEPPL</t>
        </is>
      </c>
      <c r="U67" s="6" t="inlineStr">
        <is>
          <t>No Issue Found</t>
        </is>
      </c>
      <c r="V67" s="6" t="inlineStr">
        <is>
          <t>Inspection</t>
        </is>
      </c>
      <c r="W67" s="1" t="inlineStr">
        <is>
          <t>Rejected</t>
        </is>
      </c>
      <c r="X67" s="5" t="n">
        <v>46174</v>
      </c>
      <c r="Y67" s="1">
        <f>IF(X67="","",X67-A67)</f>
        <v/>
      </c>
      <c r="Z67" s="5" t="n">
        <v>46174</v>
      </c>
      <c r="AA67" s="3" t="n"/>
      <c r="AB67" s="3" t="n"/>
      <c r="AE67" s="146">
        <f>IF(AND(F67="Closed",X67&gt;=DATE(2026,6,1),X67&lt;=DATE(2026,6,30)),"Closed in June","other")</f>
        <v/>
      </c>
    </row>
    <row r="68" hidden="1">
      <c r="A68" s="9" t="n">
        <v>46148</v>
      </c>
      <c r="B68" s="1" t="n">
        <v>2026</v>
      </c>
      <c r="C68" s="8" t="inlineStr">
        <is>
          <t>Continuum</t>
        </is>
      </c>
      <c r="D68" s="1" t="inlineStr">
        <is>
          <t>Utility and C&amp;I</t>
        </is>
      </c>
      <c r="E68" s="1" t="n"/>
      <c r="F68" s="1" t="inlineStr">
        <is>
          <t>Closed</t>
        </is>
      </c>
      <c r="G68" s="8" t="inlineStr">
        <is>
          <t>Amiya Ranjan Behera</t>
        </is>
      </c>
      <c r="H68" s="8" t="n">
        <v>8917436223</v>
      </c>
      <c r="I68" s="10" t="inlineStr">
        <is>
          <t>PE06052602</t>
        </is>
      </c>
      <c r="J68" s="8" t="inlineStr">
        <is>
          <t>Diode Bypass Module Issue</t>
        </is>
      </c>
      <c r="K68" s="8" t="inlineStr">
        <is>
          <t>Bhavnagar</t>
        </is>
      </c>
      <c r="L68" s="8" t="inlineStr">
        <is>
          <t>Gujarat</t>
        </is>
      </c>
      <c r="M68" s="2" t="inlineStr">
        <is>
          <t xml:space="preserve">OK </t>
        </is>
      </c>
      <c r="N68" s="2" t="inlineStr">
        <is>
          <t>No Issue Found</t>
        </is>
      </c>
      <c r="O68" s="11" t="n">
        <v>540</v>
      </c>
      <c r="P68" s="2" t="inlineStr">
        <is>
          <t>NSMP2304065421</t>
        </is>
      </c>
      <c r="Q68" s="14">
        <f>MID(P68,5,2)</f>
        <v/>
      </c>
      <c r="R68" s="14">
        <f>MID(P68,7,2)</f>
        <v/>
      </c>
      <c r="S68" s="1" t="inlineStr">
        <is>
          <t>G2B</t>
        </is>
      </c>
      <c r="T68" s="1" t="inlineStr">
        <is>
          <t>P2 - PEPPL</t>
        </is>
      </c>
      <c r="U68" s="6" t="inlineStr">
        <is>
          <t>No Issue Found</t>
        </is>
      </c>
      <c r="V68" s="6" t="inlineStr">
        <is>
          <t>Inspection</t>
        </is>
      </c>
      <c r="W68" s="1" t="inlineStr">
        <is>
          <t>Rejected</t>
        </is>
      </c>
      <c r="X68" s="5" t="n">
        <v>46174</v>
      </c>
      <c r="Y68" s="1">
        <f>IF(X68="","",X68-A68)</f>
        <v/>
      </c>
      <c r="Z68" s="5" t="n">
        <v>46174</v>
      </c>
      <c r="AA68" s="3" t="n"/>
      <c r="AB68" s="3" t="n"/>
      <c r="AE68" s="146">
        <f>IF(AND(F68="Closed",X68&gt;=DATE(2026,6,1),X68&lt;=DATE(2026,6,30)),"Closed in June","other")</f>
        <v/>
      </c>
    </row>
    <row r="69" hidden="1">
      <c r="A69" s="9" t="n">
        <v>46148</v>
      </c>
      <c r="B69" s="1" t="n">
        <v>2026</v>
      </c>
      <c r="C69" s="8" t="inlineStr">
        <is>
          <t>Continuum</t>
        </is>
      </c>
      <c r="D69" s="1" t="inlineStr">
        <is>
          <t>Utility and C&amp;I</t>
        </is>
      </c>
      <c r="E69" s="1" t="n"/>
      <c r="F69" s="1" t="inlineStr">
        <is>
          <t>Closed</t>
        </is>
      </c>
      <c r="G69" s="8" t="inlineStr">
        <is>
          <t>Amiya Ranjan Behera</t>
        </is>
      </c>
      <c r="H69" s="8" t="n">
        <v>8917436223</v>
      </c>
      <c r="I69" s="10" t="inlineStr">
        <is>
          <t>PE06052602</t>
        </is>
      </c>
      <c r="J69" s="8" t="inlineStr">
        <is>
          <t>Diode Bypass Module Issue</t>
        </is>
      </c>
      <c r="K69" s="8" t="inlineStr">
        <is>
          <t>Bhavnagar</t>
        </is>
      </c>
      <c r="L69" s="8" t="inlineStr">
        <is>
          <t>Gujarat</t>
        </is>
      </c>
      <c r="M69" s="2" t="inlineStr">
        <is>
          <t xml:space="preserve">OK </t>
        </is>
      </c>
      <c r="N69" s="2" t="inlineStr">
        <is>
          <t>No Issue Found</t>
        </is>
      </c>
      <c r="O69" s="11" t="n">
        <v>540</v>
      </c>
      <c r="P69" s="2" t="inlineStr">
        <is>
          <t>NSMP2304065717</t>
        </is>
      </c>
      <c r="Q69" s="14">
        <f>MID(P69,5,2)</f>
        <v/>
      </c>
      <c r="R69" s="14">
        <f>MID(P69,7,2)</f>
        <v/>
      </c>
      <c r="S69" s="1" t="inlineStr">
        <is>
          <t>G2B</t>
        </is>
      </c>
      <c r="T69" s="1" t="inlineStr">
        <is>
          <t>P2 - PEPPL</t>
        </is>
      </c>
      <c r="U69" s="6" t="inlineStr">
        <is>
          <t>No Issue Found</t>
        </is>
      </c>
      <c r="V69" s="6" t="inlineStr">
        <is>
          <t>Inspection</t>
        </is>
      </c>
      <c r="W69" s="1" t="inlineStr">
        <is>
          <t>Rejected</t>
        </is>
      </c>
      <c r="X69" s="5" t="n">
        <v>46174</v>
      </c>
      <c r="Y69" s="1">
        <f>IF(X69="","",X69-A69)</f>
        <v/>
      </c>
      <c r="Z69" s="5" t="n">
        <v>46174</v>
      </c>
      <c r="AA69" s="3" t="n"/>
      <c r="AB69" s="3" t="n"/>
      <c r="AE69" s="146">
        <f>IF(AND(F69="Closed",X69&gt;=DATE(2026,6,1),X69&lt;=DATE(2026,6,30)),"Closed in June","other")</f>
        <v/>
      </c>
    </row>
    <row r="70" hidden="1">
      <c r="A70" s="9" t="n">
        <v>46148</v>
      </c>
      <c r="B70" s="1" t="n">
        <v>2026</v>
      </c>
      <c r="C70" s="8" t="inlineStr">
        <is>
          <t>Continuum</t>
        </is>
      </c>
      <c r="D70" s="1" t="inlineStr">
        <is>
          <t>Utility and C&amp;I</t>
        </is>
      </c>
      <c r="E70" s="1" t="n"/>
      <c r="F70" s="1" t="inlineStr">
        <is>
          <t>Closed</t>
        </is>
      </c>
      <c r="G70" s="8" t="inlineStr">
        <is>
          <t>Amiya Ranjan Behera</t>
        </is>
      </c>
      <c r="H70" s="8" t="n">
        <v>8917436223</v>
      </c>
      <c r="I70" s="10" t="inlineStr">
        <is>
          <t>PE06052602</t>
        </is>
      </c>
      <c r="J70" s="8" t="inlineStr">
        <is>
          <t>Diode Bypass Module Issue</t>
        </is>
      </c>
      <c r="K70" s="8" t="inlineStr">
        <is>
          <t>Bhavnagar</t>
        </is>
      </c>
      <c r="L70" s="8" t="inlineStr">
        <is>
          <t>Gujarat</t>
        </is>
      </c>
      <c r="M70" s="2" t="inlineStr">
        <is>
          <t xml:space="preserve">OK </t>
        </is>
      </c>
      <c r="N70" s="2" t="inlineStr">
        <is>
          <t>No Issue Found</t>
        </is>
      </c>
      <c r="O70" s="11" t="n">
        <v>540</v>
      </c>
      <c r="P70" s="2" t="inlineStr">
        <is>
          <t>NSMP2304071697</t>
        </is>
      </c>
      <c r="Q70" s="14">
        <f>MID(P70,5,2)</f>
        <v/>
      </c>
      <c r="R70" s="14">
        <f>MID(P70,7,2)</f>
        <v/>
      </c>
      <c r="S70" s="1" t="inlineStr">
        <is>
          <t>G2B</t>
        </is>
      </c>
      <c r="T70" s="1" t="inlineStr">
        <is>
          <t>P2 - PEPPL</t>
        </is>
      </c>
      <c r="U70" s="6" t="inlineStr">
        <is>
          <t>No Issue Found</t>
        </is>
      </c>
      <c r="V70" s="6" t="inlineStr">
        <is>
          <t>Inspection</t>
        </is>
      </c>
      <c r="W70" s="1" t="inlineStr">
        <is>
          <t>Rejected</t>
        </is>
      </c>
      <c r="X70" s="5" t="n">
        <v>46174</v>
      </c>
      <c r="Y70" s="1">
        <f>IF(X70="","",X70-A70)</f>
        <v/>
      </c>
      <c r="Z70" s="5" t="n">
        <v>46174</v>
      </c>
      <c r="AA70" s="3" t="n"/>
      <c r="AB70" s="3" t="n"/>
      <c r="AE70" s="146">
        <f>IF(AND(F70="Closed",X70&gt;=DATE(2026,6,1),X70&lt;=DATE(2026,6,30)),"Closed in June","other")</f>
        <v/>
      </c>
    </row>
    <row r="71" hidden="1">
      <c r="A71" s="9" t="n">
        <v>46148</v>
      </c>
      <c r="B71" s="1" t="n">
        <v>2026</v>
      </c>
      <c r="C71" s="8" t="inlineStr">
        <is>
          <t>Continuum</t>
        </is>
      </c>
      <c r="D71" s="1" t="inlineStr">
        <is>
          <t>Utility and C&amp;I</t>
        </is>
      </c>
      <c r="E71" s="1" t="n"/>
      <c r="F71" s="1" t="inlineStr">
        <is>
          <t>Closed</t>
        </is>
      </c>
      <c r="G71" s="8" t="inlineStr">
        <is>
          <t>Amiya Ranjan Behera</t>
        </is>
      </c>
      <c r="H71" s="8" t="n">
        <v>8917436223</v>
      </c>
      <c r="I71" s="10" t="inlineStr">
        <is>
          <t>PE06052602</t>
        </is>
      </c>
      <c r="J71" s="8" t="inlineStr">
        <is>
          <t>Diode Bypass Module Issue</t>
        </is>
      </c>
      <c r="K71" s="8" t="inlineStr">
        <is>
          <t>Bhavnagar</t>
        </is>
      </c>
      <c r="L71" s="8" t="inlineStr">
        <is>
          <t>Gujarat</t>
        </is>
      </c>
      <c r="M71" s="2" t="inlineStr">
        <is>
          <t xml:space="preserve">OK </t>
        </is>
      </c>
      <c r="N71" s="2" t="inlineStr">
        <is>
          <t>No Issue Found</t>
        </is>
      </c>
      <c r="O71" s="11" t="n">
        <v>540</v>
      </c>
      <c r="P71" s="2" t="inlineStr">
        <is>
          <t>NSMP2304074206</t>
        </is>
      </c>
      <c r="Q71" s="14">
        <f>MID(P71,5,2)</f>
        <v/>
      </c>
      <c r="R71" s="14">
        <f>MID(P71,7,2)</f>
        <v/>
      </c>
      <c r="S71" s="1" t="inlineStr">
        <is>
          <t>G2B</t>
        </is>
      </c>
      <c r="T71" s="1" t="inlineStr">
        <is>
          <t>P2 - PEPPL</t>
        </is>
      </c>
      <c r="U71" s="6" t="inlineStr">
        <is>
          <t>No Issue Found</t>
        </is>
      </c>
      <c r="V71" s="6" t="inlineStr">
        <is>
          <t>Inspection</t>
        </is>
      </c>
      <c r="W71" s="1" t="inlineStr">
        <is>
          <t>Rejected</t>
        </is>
      </c>
      <c r="X71" s="5" t="n">
        <v>46174</v>
      </c>
      <c r="Y71" s="1">
        <f>IF(X71="","",X71-A71)</f>
        <v/>
      </c>
      <c r="Z71" s="5" t="n">
        <v>46174</v>
      </c>
      <c r="AA71" s="3" t="n"/>
      <c r="AB71" s="3" t="n"/>
      <c r="AE71" s="146">
        <f>IF(AND(F71="Closed",X71&gt;=DATE(2026,6,1),X71&lt;=DATE(2026,6,30)),"Closed in June","other")</f>
        <v/>
      </c>
    </row>
    <row r="72" hidden="1">
      <c r="A72" s="9" t="n">
        <v>46148</v>
      </c>
      <c r="B72" s="1" t="n">
        <v>2026</v>
      </c>
      <c r="C72" s="8" t="inlineStr">
        <is>
          <t>Continuum</t>
        </is>
      </c>
      <c r="D72" s="1" t="inlineStr">
        <is>
          <t>Utility and C&amp;I</t>
        </is>
      </c>
      <c r="E72" s="1" t="n"/>
      <c r="F72" s="1" t="inlineStr">
        <is>
          <t>Closed</t>
        </is>
      </c>
      <c r="G72" s="8" t="inlineStr">
        <is>
          <t>Amiya Ranjan Behera</t>
        </is>
      </c>
      <c r="H72" s="8" t="n">
        <v>8917436223</v>
      </c>
      <c r="I72" s="10" t="inlineStr">
        <is>
          <t>PE06052602</t>
        </is>
      </c>
      <c r="J72" s="8" t="inlineStr">
        <is>
          <t>Diode Bypass Module Issue</t>
        </is>
      </c>
      <c r="K72" s="8" t="inlineStr">
        <is>
          <t>Bhavnagar</t>
        </is>
      </c>
      <c r="L72" s="8" t="inlineStr">
        <is>
          <t>Gujarat</t>
        </is>
      </c>
      <c r="M72" s="2" t="inlineStr">
        <is>
          <t>PS</t>
        </is>
      </c>
      <c r="N72" s="1" t="inlineStr">
        <is>
          <t>Cold Soldering</t>
        </is>
      </c>
      <c r="O72" s="11" t="n">
        <v>540</v>
      </c>
      <c r="P72" s="2" t="inlineStr">
        <is>
          <t>NSMP2304074919</t>
        </is>
      </c>
      <c r="Q72" s="14">
        <f>MID(P72,5,2)</f>
        <v/>
      </c>
      <c r="R72" s="14">
        <f>MID(P72,7,2)</f>
        <v/>
      </c>
      <c r="S72" s="1" t="inlineStr">
        <is>
          <t>G2B</t>
        </is>
      </c>
      <c r="T72" s="1" t="inlineStr">
        <is>
          <t>P2 - PEPPL</t>
        </is>
      </c>
      <c r="U72" s="1" t="inlineStr">
        <is>
          <t>P JB Cold Soldering</t>
        </is>
      </c>
      <c r="V72" s="1" t="inlineStr">
        <is>
          <t>Soldering</t>
        </is>
      </c>
      <c r="W72" s="1" t="inlineStr">
        <is>
          <t>Repair</t>
        </is>
      </c>
      <c r="X72" s="5" t="n">
        <v>46174</v>
      </c>
      <c r="Y72" s="1">
        <f>IF(X72="","",X72-A72)</f>
        <v/>
      </c>
      <c r="Z72" s="5" t="n">
        <v>46174</v>
      </c>
      <c r="AA72" s="3" t="n"/>
      <c r="AB72" s="3" t="n"/>
      <c r="AE72" s="146">
        <f>IF(AND(F72="Closed",X72&gt;=DATE(2026,6,1),X72&lt;=DATE(2026,6,30)),"Closed in June","other")</f>
        <v/>
      </c>
    </row>
    <row r="73" hidden="1">
      <c r="A73" s="9" t="n">
        <v>46148</v>
      </c>
      <c r="B73" s="1" t="n">
        <v>2026</v>
      </c>
      <c r="C73" s="8" t="inlineStr">
        <is>
          <t>Continuum</t>
        </is>
      </c>
      <c r="D73" s="1" t="inlineStr">
        <is>
          <t>Utility and C&amp;I</t>
        </is>
      </c>
      <c r="E73" s="1" t="n"/>
      <c r="F73" s="1" t="inlineStr">
        <is>
          <t>Closed</t>
        </is>
      </c>
      <c r="G73" s="8" t="inlineStr">
        <is>
          <t>Amiya Ranjan Behera</t>
        </is>
      </c>
      <c r="H73" s="8" t="n">
        <v>8917436223</v>
      </c>
      <c r="I73" s="10" t="inlineStr">
        <is>
          <t>PE06052602</t>
        </is>
      </c>
      <c r="J73" s="8" t="inlineStr">
        <is>
          <t>Diode Bypass Module Issue</t>
        </is>
      </c>
      <c r="K73" s="8" t="inlineStr">
        <is>
          <t>Bhavnagar</t>
        </is>
      </c>
      <c r="L73" s="8" t="inlineStr">
        <is>
          <t>Gujarat</t>
        </is>
      </c>
      <c r="M73" s="2" t="inlineStr">
        <is>
          <t xml:space="preserve">OK </t>
        </is>
      </c>
      <c r="N73" s="2" t="inlineStr">
        <is>
          <t>No Issue Found</t>
        </is>
      </c>
      <c r="O73" s="11" t="n">
        <v>540</v>
      </c>
      <c r="P73" s="2" t="inlineStr">
        <is>
          <t>NSMP2305124187</t>
        </is>
      </c>
      <c r="Q73" s="14">
        <f>MID(P73,5,2)</f>
        <v/>
      </c>
      <c r="R73" s="14">
        <f>MID(P73,7,2)</f>
        <v/>
      </c>
      <c r="S73" s="1" t="inlineStr">
        <is>
          <t>G2B</t>
        </is>
      </c>
      <c r="T73" s="1" t="inlineStr">
        <is>
          <t>P2 - PEPPL</t>
        </is>
      </c>
      <c r="U73" s="6" t="inlineStr">
        <is>
          <t>No Issue Found</t>
        </is>
      </c>
      <c r="V73" s="6" t="inlineStr">
        <is>
          <t>Inspection</t>
        </is>
      </c>
      <c r="W73" s="1" t="inlineStr">
        <is>
          <t>Rejected</t>
        </is>
      </c>
      <c r="X73" s="5" t="n">
        <v>46174</v>
      </c>
      <c r="Y73" s="1">
        <f>IF(X73="","",X73-A73)</f>
        <v/>
      </c>
      <c r="Z73" s="5" t="n">
        <v>46174</v>
      </c>
      <c r="AA73" s="3" t="n"/>
      <c r="AB73" s="3" t="n"/>
      <c r="AE73" s="146">
        <f>IF(AND(F73="Closed",X73&gt;=DATE(2026,6,1),X73&lt;=DATE(2026,6,30)),"Closed in June","other")</f>
        <v/>
      </c>
    </row>
    <row r="74" hidden="1">
      <c r="A74" s="9" t="n">
        <v>46148</v>
      </c>
      <c r="B74" s="1" t="n">
        <v>2026</v>
      </c>
      <c r="C74" s="8" t="inlineStr">
        <is>
          <t>Continuum</t>
        </is>
      </c>
      <c r="D74" s="1" t="inlineStr">
        <is>
          <t>Utility and C&amp;I</t>
        </is>
      </c>
      <c r="E74" s="1" t="n"/>
      <c r="F74" s="1" t="inlineStr">
        <is>
          <t>Closed</t>
        </is>
      </c>
      <c r="G74" s="8" t="inlineStr">
        <is>
          <t>Amiya Ranjan Behera</t>
        </is>
      </c>
      <c r="H74" s="8" t="n">
        <v>8917436223</v>
      </c>
      <c r="I74" s="10" t="inlineStr">
        <is>
          <t>PE06052602</t>
        </is>
      </c>
      <c r="J74" s="8" t="inlineStr">
        <is>
          <t>Diode Bypass Module Issue</t>
        </is>
      </c>
      <c r="K74" s="8" t="inlineStr">
        <is>
          <t>Bhavnagar</t>
        </is>
      </c>
      <c r="L74" s="8" t="inlineStr">
        <is>
          <t>Gujarat</t>
        </is>
      </c>
      <c r="M74" s="2" t="inlineStr">
        <is>
          <t xml:space="preserve">OK </t>
        </is>
      </c>
      <c r="N74" s="2" t="inlineStr">
        <is>
          <t>No Issue Found</t>
        </is>
      </c>
      <c r="O74" s="11" t="n">
        <v>540</v>
      </c>
      <c r="P74" s="2" t="inlineStr">
        <is>
          <t>NSMP2305124174</t>
        </is>
      </c>
      <c r="Q74" s="14">
        <f>MID(P74,5,2)</f>
        <v/>
      </c>
      <c r="R74" s="14">
        <f>MID(P74,7,2)</f>
        <v/>
      </c>
      <c r="S74" s="1" t="inlineStr">
        <is>
          <t>G2B</t>
        </is>
      </c>
      <c r="T74" s="1" t="inlineStr">
        <is>
          <t>P2 - PEPPL</t>
        </is>
      </c>
      <c r="U74" s="6" t="inlineStr">
        <is>
          <t>No Issue Found</t>
        </is>
      </c>
      <c r="V74" s="6" t="inlineStr">
        <is>
          <t>Inspection</t>
        </is>
      </c>
      <c r="W74" s="1" t="inlineStr">
        <is>
          <t>Rejected</t>
        </is>
      </c>
      <c r="X74" s="5" t="n">
        <v>46174</v>
      </c>
      <c r="Y74" s="1">
        <f>IF(X74="","",X74-A74)</f>
        <v/>
      </c>
      <c r="Z74" s="5" t="n">
        <v>46174</v>
      </c>
      <c r="AA74" s="3" t="n"/>
      <c r="AB74" s="3" t="n"/>
      <c r="AE74" s="146">
        <f>IF(AND(F74="Closed",X74&gt;=DATE(2026,6,1),X74&lt;=DATE(2026,6,30)),"Closed in June","other")</f>
        <v/>
      </c>
    </row>
    <row r="75" hidden="1">
      <c r="A75" s="9" t="n">
        <v>46148</v>
      </c>
      <c r="B75" s="1" t="n">
        <v>2026</v>
      </c>
      <c r="C75" s="8" t="inlineStr">
        <is>
          <t>Continuum</t>
        </is>
      </c>
      <c r="D75" s="1" t="inlineStr">
        <is>
          <t>Utility and C&amp;I</t>
        </is>
      </c>
      <c r="E75" s="1" t="n"/>
      <c r="F75" s="1" t="inlineStr">
        <is>
          <t>Closed</t>
        </is>
      </c>
      <c r="G75" s="8" t="inlineStr">
        <is>
          <t>Amiya Ranjan Behera</t>
        </is>
      </c>
      <c r="H75" s="8" t="n">
        <v>8917436223</v>
      </c>
      <c r="I75" s="10" t="inlineStr">
        <is>
          <t>PE06052602</t>
        </is>
      </c>
      <c r="J75" s="8" t="inlineStr">
        <is>
          <t>Diode Bypass Module Issue</t>
        </is>
      </c>
      <c r="K75" s="8" t="inlineStr">
        <is>
          <t>Bhavnagar</t>
        </is>
      </c>
      <c r="L75" s="8" t="inlineStr">
        <is>
          <t>Gujarat</t>
        </is>
      </c>
      <c r="M75" s="2" t="inlineStr">
        <is>
          <t>PS</t>
        </is>
      </c>
      <c r="N75" s="1" t="inlineStr">
        <is>
          <t>Cold Soldering</t>
        </is>
      </c>
      <c r="O75" s="11" t="n">
        <v>540</v>
      </c>
      <c r="P75" s="2" t="inlineStr">
        <is>
          <t>NSMP2304067163</t>
        </is>
      </c>
      <c r="Q75" s="14">
        <f>MID(P75,5,2)</f>
        <v/>
      </c>
      <c r="R75" s="14">
        <f>MID(P75,7,2)</f>
        <v/>
      </c>
      <c r="S75" s="1" t="inlineStr">
        <is>
          <t>G2B</t>
        </is>
      </c>
      <c r="T75" s="1" t="inlineStr">
        <is>
          <t>P2 - PEPPL</t>
        </is>
      </c>
      <c r="U75" s="1" t="inlineStr">
        <is>
          <t>P JB Cold Soldering</t>
        </is>
      </c>
      <c r="V75" s="1" t="inlineStr">
        <is>
          <t>Soldering</t>
        </is>
      </c>
      <c r="W75" s="1" t="inlineStr">
        <is>
          <t>Repair</t>
        </is>
      </c>
      <c r="X75" s="5" t="n">
        <v>46174</v>
      </c>
      <c r="Y75" s="1">
        <f>IF(X75="","",X75-A75)</f>
        <v/>
      </c>
      <c r="Z75" s="5" t="n">
        <v>46174</v>
      </c>
      <c r="AA75" s="3" t="n"/>
      <c r="AB75" s="3" t="n"/>
      <c r="AE75" s="146">
        <f>IF(AND(F75="Closed",X75&gt;=DATE(2026,6,1),X75&lt;=DATE(2026,6,30)),"Closed in June","other")</f>
        <v/>
      </c>
    </row>
    <row r="76" hidden="1">
      <c r="A76" s="9" t="n">
        <v>46148</v>
      </c>
      <c r="B76" s="1" t="n">
        <v>2026</v>
      </c>
      <c r="C76" s="8" t="inlineStr">
        <is>
          <t>Continuum</t>
        </is>
      </c>
      <c r="D76" s="1" t="inlineStr">
        <is>
          <t>Utility and C&amp;I</t>
        </is>
      </c>
      <c r="E76" s="1" t="n"/>
      <c r="F76" s="1" t="inlineStr">
        <is>
          <t>Closed</t>
        </is>
      </c>
      <c r="G76" s="8" t="inlineStr">
        <is>
          <t>Amiya Ranjan Behera</t>
        </is>
      </c>
      <c r="H76" s="8" t="n">
        <v>8917436223</v>
      </c>
      <c r="I76" s="10" t="inlineStr">
        <is>
          <t>PE06052602</t>
        </is>
      </c>
      <c r="J76" s="8" t="inlineStr">
        <is>
          <t>Diode Bypass Module Issue</t>
        </is>
      </c>
      <c r="K76" s="8" t="inlineStr">
        <is>
          <t>Bhavnagar</t>
        </is>
      </c>
      <c r="L76" s="8" t="inlineStr">
        <is>
          <t>Gujarat</t>
        </is>
      </c>
      <c r="M76" s="2" t="inlineStr">
        <is>
          <t>PS</t>
        </is>
      </c>
      <c r="N76" s="1" t="inlineStr">
        <is>
          <t>Cold Soldering</t>
        </is>
      </c>
      <c r="O76" s="11" t="n">
        <v>540</v>
      </c>
      <c r="P76" s="2" t="inlineStr">
        <is>
          <t>NSMP2304067186</t>
        </is>
      </c>
      <c r="Q76" s="14">
        <f>MID(P76,5,2)</f>
        <v/>
      </c>
      <c r="R76" s="14">
        <f>MID(P76,7,2)</f>
        <v/>
      </c>
      <c r="S76" s="1" t="inlineStr">
        <is>
          <t>G2B</t>
        </is>
      </c>
      <c r="T76" s="1" t="inlineStr">
        <is>
          <t>P2 - PEPPL</t>
        </is>
      </c>
      <c r="U76" s="1" t="inlineStr">
        <is>
          <t>P JB Cold Soldering</t>
        </is>
      </c>
      <c r="V76" s="1" t="inlineStr">
        <is>
          <t>Soldering</t>
        </is>
      </c>
      <c r="W76" s="1" t="inlineStr">
        <is>
          <t>Repair</t>
        </is>
      </c>
      <c r="X76" s="5" t="n">
        <v>46174</v>
      </c>
      <c r="Y76" s="1">
        <f>IF(X76="","",X76-A76)</f>
        <v/>
      </c>
      <c r="Z76" s="5" t="n">
        <v>46174</v>
      </c>
      <c r="AA76" s="3" t="n"/>
      <c r="AB76" s="3" t="n"/>
      <c r="AE76" s="146">
        <f>IF(AND(F76="Closed",X76&gt;=DATE(2026,6,1),X76&lt;=DATE(2026,6,30)),"Closed in June","other")</f>
        <v/>
      </c>
    </row>
    <row r="77" hidden="1">
      <c r="A77" s="9" t="n">
        <v>46148</v>
      </c>
      <c r="B77" s="1" t="n">
        <v>2026</v>
      </c>
      <c r="C77" s="8" t="inlineStr">
        <is>
          <t>Continuum</t>
        </is>
      </c>
      <c r="D77" s="1" t="inlineStr">
        <is>
          <t>Utility and C&amp;I</t>
        </is>
      </c>
      <c r="E77" s="1" t="n"/>
      <c r="F77" s="1" t="inlineStr">
        <is>
          <t>Closed</t>
        </is>
      </c>
      <c r="G77" s="8" t="inlineStr">
        <is>
          <t>Amiya Ranjan Behera</t>
        </is>
      </c>
      <c r="H77" s="8" t="n">
        <v>8917436223</v>
      </c>
      <c r="I77" s="10" t="inlineStr">
        <is>
          <t>PE06052602</t>
        </is>
      </c>
      <c r="J77" s="8" t="inlineStr">
        <is>
          <t>Diode Bypass Module Issue</t>
        </is>
      </c>
      <c r="K77" s="8" t="inlineStr">
        <is>
          <t>Bhavnagar</t>
        </is>
      </c>
      <c r="L77" s="8" t="inlineStr">
        <is>
          <t>Gujarat</t>
        </is>
      </c>
      <c r="M77" s="2" t="inlineStr">
        <is>
          <t>PS</t>
        </is>
      </c>
      <c r="N77" s="1" t="inlineStr">
        <is>
          <t>Cold Soldering</t>
        </is>
      </c>
      <c r="O77" s="11" t="n">
        <v>540</v>
      </c>
      <c r="P77" s="2" t="inlineStr">
        <is>
          <t>NSMP2304067236</t>
        </is>
      </c>
      <c r="Q77" s="14">
        <f>MID(P77,5,2)</f>
        <v/>
      </c>
      <c r="R77" s="14">
        <f>MID(P77,7,2)</f>
        <v/>
      </c>
      <c r="S77" s="1" t="inlineStr">
        <is>
          <t>G2B</t>
        </is>
      </c>
      <c r="T77" s="1" t="inlineStr">
        <is>
          <t>P2 - PEPPL</t>
        </is>
      </c>
      <c r="U77" s="1" t="inlineStr">
        <is>
          <t>P JB Cold Soldering</t>
        </is>
      </c>
      <c r="V77" s="1" t="inlineStr">
        <is>
          <t>Soldering</t>
        </is>
      </c>
      <c r="W77" s="1" t="inlineStr">
        <is>
          <t>Repair</t>
        </is>
      </c>
      <c r="X77" s="5" t="n">
        <v>46174</v>
      </c>
      <c r="Y77" s="1">
        <f>IF(X77="","",X77-A77)</f>
        <v/>
      </c>
      <c r="Z77" s="5" t="n">
        <v>46174</v>
      </c>
      <c r="AA77" s="3" t="n"/>
      <c r="AB77" s="3" t="n"/>
      <c r="AE77" s="146">
        <f>IF(AND(F77="Closed",X77&gt;=DATE(2026,6,1),X77&lt;=DATE(2026,6,30)),"Closed in June","other")</f>
        <v/>
      </c>
    </row>
    <row r="78" hidden="1">
      <c r="A78" s="9" t="n">
        <v>46148</v>
      </c>
      <c r="B78" s="1" t="n">
        <v>2026</v>
      </c>
      <c r="C78" s="8" t="inlineStr">
        <is>
          <t>Continuum</t>
        </is>
      </c>
      <c r="D78" s="1" t="inlineStr">
        <is>
          <t>Utility and C&amp;I</t>
        </is>
      </c>
      <c r="E78" s="1" t="n"/>
      <c r="F78" s="1" t="inlineStr">
        <is>
          <t>Closed</t>
        </is>
      </c>
      <c r="G78" s="8" t="inlineStr">
        <is>
          <t>Amiya Ranjan Behera</t>
        </is>
      </c>
      <c r="H78" s="8" t="n">
        <v>8917436223</v>
      </c>
      <c r="I78" s="10" t="inlineStr">
        <is>
          <t>PE06052602</t>
        </is>
      </c>
      <c r="J78" s="8" t="inlineStr">
        <is>
          <t>Diode Bypass Module Issue</t>
        </is>
      </c>
      <c r="K78" s="8" t="inlineStr">
        <is>
          <t>Bhavnagar</t>
        </is>
      </c>
      <c r="L78" s="8" t="inlineStr">
        <is>
          <t>Gujarat</t>
        </is>
      </c>
      <c r="M78" s="2" t="inlineStr">
        <is>
          <t>PS</t>
        </is>
      </c>
      <c r="N78" s="1" t="inlineStr">
        <is>
          <t>Cold Soldering</t>
        </is>
      </c>
      <c r="O78" s="11" t="n">
        <v>540</v>
      </c>
      <c r="P78" s="2" t="inlineStr">
        <is>
          <t>NSMP2304067056</t>
        </is>
      </c>
      <c r="Q78" s="14">
        <f>MID(P78,5,2)</f>
        <v/>
      </c>
      <c r="R78" s="14">
        <f>MID(P78,7,2)</f>
        <v/>
      </c>
      <c r="S78" s="1" t="inlineStr">
        <is>
          <t>G2B</t>
        </is>
      </c>
      <c r="T78" s="1" t="inlineStr">
        <is>
          <t>P2 - PEPPL</t>
        </is>
      </c>
      <c r="U78" s="1" t="inlineStr">
        <is>
          <t>P JB Cold Soldering</t>
        </is>
      </c>
      <c r="V78" s="1" t="inlineStr">
        <is>
          <t>Soldering</t>
        </is>
      </c>
      <c r="W78" s="1" t="inlineStr">
        <is>
          <t>Repair</t>
        </is>
      </c>
      <c r="X78" s="5" t="n">
        <v>46174</v>
      </c>
      <c r="Y78" s="1">
        <f>IF(X78="","",X78-A78)</f>
        <v/>
      </c>
      <c r="Z78" s="5" t="n">
        <v>46174</v>
      </c>
      <c r="AA78" s="3" t="n"/>
      <c r="AB78" s="3" t="n"/>
      <c r="AE78" s="146">
        <f>IF(AND(F78="Closed",X78&gt;=DATE(2026,6,1),X78&lt;=DATE(2026,6,30)),"Closed in June","other")</f>
        <v/>
      </c>
    </row>
    <row r="79" hidden="1">
      <c r="A79" s="9" t="n">
        <v>46148</v>
      </c>
      <c r="B79" s="1" t="n">
        <v>2026</v>
      </c>
      <c r="C79" s="8" t="inlineStr">
        <is>
          <t>Continuum</t>
        </is>
      </c>
      <c r="D79" s="1" t="inlineStr">
        <is>
          <t>Utility and C&amp;I</t>
        </is>
      </c>
      <c r="E79" s="1" t="n"/>
      <c r="F79" s="1" t="inlineStr">
        <is>
          <t>Closed</t>
        </is>
      </c>
      <c r="G79" s="8" t="inlineStr">
        <is>
          <t>Amiya Ranjan Behera</t>
        </is>
      </c>
      <c r="H79" s="8" t="n">
        <v>8917436223</v>
      </c>
      <c r="I79" s="10" t="inlineStr">
        <is>
          <t>PE06052602</t>
        </is>
      </c>
      <c r="J79" s="8" t="inlineStr">
        <is>
          <t>Diode Bypass Module Issue</t>
        </is>
      </c>
      <c r="K79" s="8" t="inlineStr">
        <is>
          <t>Bhavnagar</t>
        </is>
      </c>
      <c r="L79" s="8" t="inlineStr">
        <is>
          <t>Gujarat</t>
        </is>
      </c>
      <c r="M79" s="2" t="inlineStr">
        <is>
          <t>PS</t>
        </is>
      </c>
      <c r="N79" s="1" t="inlineStr">
        <is>
          <t>Cold Soldering</t>
        </is>
      </c>
      <c r="O79" s="11" t="n">
        <v>540</v>
      </c>
      <c r="P79" s="2" t="inlineStr">
        <is>
          <t>NSMP2304067222</t>
        </is>
      </c>
      <c r="Q79" s="14">
        <f>MID(P79,5,2)</f>
        <v/>
      </c>
      <c r="R79" s="14">
        <f>MID(P79,7,2)</f>
        <v/>
      </c>
      <c r="S79" s="1" t="inlineStr">
        <is>
          <t>G2B</t>
        </is>
      </c>
      <c r="T79" s="1" t="inlineStr">
        <is>
          <t>P2 - PEPPL</t>
        </is>
      </c>
      <c r="U79" s="1" t="inlineStr">
        <is>
          <t>P JB Cold Soldering</t>
        </is>
      </c>
      <c r="V79" s="1" t="inlineStr">
        <is>
          <t>Soldering</t>
        </is>
      </c>
      <c r="W79" s="1" t="inlineStr">
        <is>
          <t>Repair</t>
        </is>
      </c>
      <c r="X79" s="5" t="n">
        <v>46174</v>
      </c>
      <c r="Y79" s="1">
        <f>IF(X79="","",X79-A79)</f>
        <v/>
      </c>
      <c r="Z79" s="5" t="n">
        <v>46174</v>
      </c>
      <c r="AA79" s="3" t="n"/>
      <c r="AB79" s="3" t="n"/>
      <c r="AE79" s="146">
        <f>IF(AND(F79="Closed",X79&gt;=DATE(2026,6,1),X79&lt;=DATE(2026,6,30)),"Closed in June","other")</f>
        <v/>
      </c>
    </row>
    <row r="80" hidden="1">
      <c r="A80" s="9" t="n">
        <v>46148</v>
      </c>
      <c r="B80" s="1" t="n">
        <v>2026</v>
      </c>
      <c r="C80" s="8" t="inlineStr">
        <is>
          <t>Continuum</t>
        </is>
      </c>
      <c r="D80" s="1" t="inlineStr">
        <is>
          <t>Utility and C&amp;I</t>
        </is>
      </c>
      <c r="E80" s="1" t="n"/>
      <c r="F80" s="1" t="inlineStr">
        <is>
          <t>Closed</t>
        </is>
      </c>
      <c r="G80" s="8" t="inlineStr">
        <is>
          <t>Amiya Ranjan Behera</t>
        </is>
      </c>
      <c r="H80" s="8" t="n">
        <v>8917436223</v>
      </c>
      <c r="I80" s="10" t="inlineStr">
        <is>
          <t>PE06052602</t>
        </is>
      </c>
      <c r="J80" s="8" t="inlineStr">
        <is>
          <t>Diode Bypass Module Issue</t>
        </is>
      </c>
      <c r="K80" s="8" t="inlineStr">
        <is>
          <t>Bhavnagar</t>
        </is>
      </c>
      <c r="L80" s="8" t="inlineStr">
        <is>
          <t>Gujarat</t>
        </is>
      </c>
      <c r="M80" s="2" t="inlineStr">
        <is>
          <t>PS</t>
        </is>
      </c>
      <c r="N80" s="1" t="inlineStr">
        <is>
          <t>Cold Soldering</t>
        </is>
      </c>
      <c r="O80" s="11" t="n">
        <v>540</v>
      </c>
      <c r="P80" s="2" t="inlineStr">
        <is>
          <t>NSMP2304067229</t>
        </is>
      </c>
      <c r="Q80" s="14">
        <f>MID(P80,5,2)</f>
        <v/>
      </c>
      <c r="R80" s="14">
        <f>MID(P80,7,2)</f>
        <v/>
      </c>
      <c r="S80" s="1" t="inlineStr">
        <is>
          <t>G2B</t>
        </is>
      </c>
      <c r="T80" s="1" t="inlineStr">
        <is>
          <t>P2 - PEPPL</t>
        </is>
      </c>
      <c r="U80" s="1" t="inlineStr">
        <is>
          <t>P JB Cold Soldering</t>
        </is>
      </c>
      <c r="V80" s="1" t="inlineStr">
        <is>
          <t>Soldering</t>
        </is>
      </c>
      <c r="W80" s="1" t="inlineStr">
        <is>
          <t>Repair</t>
        </is>
      </c>
      <c r="X80" s="5" t="n">
        <v>46174</v>
      </c>
      <c r="Y80" s="1">
        <f>IF(X80="","",X80-A80)</f>
        <v/>
      </c>
      <c r="Z80" s="5" t="n">
        <v>46174</v>
      </c>
      <c r="AA80" s="3" t="n"/>
      <c r="AB80" s="3" t="n"/>
      <c r="AE80" s="146">
        <f>IF(AND(F80="Closed",X80&gt;=DATE(2026,6,1),X80&lt;=DATE(2026,6,30)),"Closed in June","other")</f>
        <v/>
      </c>
    </row>
    <row r="81" hidden="1">
      <c r="A81" s="9" t="n">
        <v>46148</v>
      </c>
      <c r="B81" s="1" t="n">
        <v>2026</v>
      </c>
      <c r="C81" s="8" t="inlineStr">
        <is>
          <t>Continuum</t>
        </is>
      </c>
      <c r="D81" s="1" t="inlineStr">
        <is>
          <t>Utility and C&amp;I</t>
        </is>
      </c>
      <c r="E81" s="1" t="n"/>
      <c r="F81" s="1" t="inlineStr">
        <is>
          <t>Closed</t>
        </is>
      </c>
      <c r="G81" s="8" t="inlineStr">
        <is>
          <t>Amiya Ranjan Behera</t>
        </is>
      </c>
      <c r="H81" s="8" t="n">
        <v>8917436223</v>
      </c>
      <c r="I81" s="10" t="inlineStr">
        <is>
          <t>PE06052602</t>
        </is>
      </c>
      <c r="J81" s="8" t="inlineStr">
        <is>
          <t>Diode Bypass Module Issue</t>
        </is>
      </c>
      <c r="K81" s="8" t="inlineStr">
        <is>
          <t>Bhavnagar</t>
        </is>
      </c>
      <c r="L81" s="8" t="inlineStr">
        <is>
          <t>Gujarat</t>
        </is>
      </c>
      <c r="M81" s="2" t="inlineStr">
        <is>
          <t>PS</t>
        </is>
      </c>
      <c r="N81" s="1" t="inlineStr">
        <is>
          <t>Cold Soldering</t>
        </is>
      </c>
      <c r="O81" s="11" t="n">
        <v>540</v>
      </c>
      <c r="P81" s="2" t="inlineStr">
        <is>
          <t>NSMP2304067224</t>
        </is>
      </c>
      <c r="Q81" s="14">
        <f>MID(P81,5,2)</f>
        <v/>
      </c>
      <c r="R81" s="14">
        <f>MID(P81,7,2)</f>
        <v/>
      </c>
      <c r="S81" s="1" t="inlineStr">
        <is>
          <t>G2B</t>
        </is>
      </c>
      <c r="T81" s="1" t="inlineStr">
        <is>
          <t>P2 - PEPPL</t>
        </is>
      </c>
      <c r="U81" s="1" t="inlineStr">
        <is>
          <t>P JB Cold Soldering</t>
        </is>
      </c>
      <c r="V81" s="1" t="inlineStr">
        <is>
          <t>Soldering</t>
        </is>
      </c>
      <c r="W81" s="1" t="inlineStr">
        <is>
          <t>Repair</t>
        </is>
      </c>
      <c r="X81" s="5" t="n">
        <v>46174</v>
      </c>
      <c r="Y81" s="1">
        <f>IF(X81="","",X81-A81)</f>
        <v/>
      </c>
      <c r="Z81" s="5" t="n">
        <v>46174</v>
      </c>
      <c r="AA81" s="3" t="n"/>
      <c r="AB81" s="3" t="n"/>
      <c r="AE81" s="146">
        <f>IF(AND(F81="Closed",X81&gt;=DATE(2026,6,1),X81&lt;=DATE(2026,6,30)),"Closed in June","other")</f>
        <v/>
      </c>
    </row>
    <row r="82" hidden="1">
      <c r="A82" s="9" t="n">
        <v>46148</v>
      </c>
      <c r="B82" s="1" t="n">
        <v>2026</v>
      </c>
      <c r="C82" s="8" t="inlineStr">
        <is>
          <t>Continuum</t>
        </is>
      </c>
      <c r="D82" s="1" t="inlineStr">
        <is>
          <t>Utility and C&amp;I</t>
        </is>
      </c>
      <c r="E82" s="1" t="n"/>
      <c r="F82" s="1" t="inlineStr">
        <is>
          <t>Closed</t>
        </is>
      </c>
      <c r="G82" s="8" t="inlineStr">
        <is>
          <t>Amiya Ranjan Behera</t>
        </is>
      </c>
      <c r="H82" s="8" t="n">
        <v>8917436223</v>
      </c>
      <c r="I82" s="10" t="inlineStr">
        <is>
          <t>PE06052602</t>
        </is>
      </c>
      <c r="J82" s="8" t="inlineStr">
        <is>
          <t>Diode Bypass Module Issue</t>
        </is>
      </c>
      <c r="K82" s="8" t="inlineStr">
        <is>
          <t>Bhavnagar</t>
        </is>
      </c>
      <c r="L82" s="8" t="inlineStr">
        <is>
          <t>Gujarat</t>
        </is>
      </c>
      <c r="M82" s="2" t="inlineStr">
        <is>
          <t>PS</t>
        </is>
      </c>
      <c r="N82" s="1" t="inlineStr">
        <is>
          <t>Cold Soldering</t>
        </is>
      </c>
      <c r="O82" s="11" t="n">
        <v>540</v>
      </c>
      <c r="P82" s="2" t="inlineStr">
        <is>
          <t>NSMP2304067223</t>
        </is>
      </c>
      <c r="Q82" s="14">
        <f>MID(P82,5,2)</f>
        <v/>
      </c>
      <c r="R82" s="14">
        <f>MID(P82,7,2)</f>
        <v/>
      </c>
      <c r="S82" s="1" t="inlineStr">
        <is>
          <t>G2B</t>
        </is>
      </c>
      <c r="T82" s="1" t="inlineStr">
        <is>
          <t>P2 - PEPPL</t>
        </is>
      </c>
      <c r="U82" s="1" t="inlineStr">
        <is>
          <t>P JB Cold Soldering</t>
        </is>
      </c>
      <c r="V82" s="1" t="inlineStr">
        <is>
          <t>Soldering</t>
        </is>
      </c>
      <c r="W82" s="1" t="inlineStr">
        <is>
          <t>Repair</t>
        </is>
      </c>
      <c r="X82" s="5" t="n">
        <v>46174</v>
      </c>
      <c r="Y82" s="1">
        <f>IF(X82="","",X82-A82)</f>
        <v/>
      </c>
      <c r="Z82" s="5" t="n">
        <v>46174</v>
      </c>
      <c r="AA82" s="3" t="n"/>
      <c r="AB82" s="3" t="n"/>
      <c r="AE82" s="146">
        <f>IF(AND(F82="Closed",X82&gt;=DATE(2026,6,1),X82&lt;=DATE(2026,6,30)),"Closed in June","other")</f>
        <v/>
      </c>
    </row>
    <row r="83" hidden="1">
      <c r="A83" s="9" t="n">
        <v>46148</v>
      </c>
      <c r="B83" s="1" t="n">
        <v>2026</v>
      </c>
      <c r="C83" s="8" t="inlineStr">
        <is>
          <t>Continuum</t>
        </is>
      </c>
      <c r="D83" s="1" t="inlineStr">
        <is>
          <t>Utility and C&amp;I</t>
        </is>
      </c>
      <c r="E83" s="1" t="n"/>
      <c r="F83" s="1" t="inlineStr">
        <is>
          <t>Closed</t>
        </is>
      </c>
      <c r="G83" s="8" t="inlineStr">
        <is>
          <t>Amiya Ranjan Behera</t>
        </is>
      </c>
      <c r="H83" s="8" t="n">
        <v>8917436223</v>
      </c>
      <c r="I83" s="10" t="inlineStr">
        <is>
          <t>PE06052602</t>
        </is>
      </c>
      <c r="J83" s="8" t="inlineStr">
        <is>
          <t>Diode Bypass Module Issue</t>
        </is>
      </c>
      <c r="K83" s="8" t="inlineStr">
        <is>
          <t>Bhavnagar</t>
        </is>
      </c>
      <c r="L83" s="8" t="inlineStr">
        <is>
          <t>Gujarat</t>
        </is>
      </c>
      <c r="M83" s="2" t="inlineStr">
        <is>
          <t>PS</t>
        </is>
      </c>
      <c r="N83" s="1" t="inlineStr">
        <is>
          <t>Cold Soldering</t>
        </is>
      </c>
      <c r="O83" s="11" t="n">
        <v>540</v>
      </c>
      <c r="P83" s="2" t="inlineStr">
        <is>
          <t>NSMP2304067268</t>
        </is>
      </c>
      <c r="Q83" s="14">
        <f>MID(P83,5,2)</f>
        <v/>
      </c>
      <c r="R83" s="14">
        <f>MID(P83,7,2)</f>
        <v/>
      </c>
      <c r="S83" s="1" t="inlineStr">
        <is>
          <t>G2B</t>
        </is>
      </c>
      <c r="T83" s="1" t="inlineStr">
        <is>
          <t>P2 - PEPPL</t>
        </is>
      </c>
      <c r="U83" s="1" t="inlineStr">
        <is>
          <t>P JB Cold Soldering</t>
        </is>
      </c>
      <c r="V83" s="1" t="inlineStr">
        <is>
          <t>Soldering</t>
        </is>
      </c>
      <c r="W83" s="1" t="inlineStr">
        <is>
          <t>Repair</t>
        </is>
      </c>
      <c r="X83" s="5" t="n">
        <v>46174</v>
      </c>
      <c r="Y83" s="1">
        <f>IF(X83="","",X83-A83)</f>
        <v/>
      </c>
      <c r="Z83" s="5" t="n">
        <v>46174</v>
      </c>
      <c r="AA83" s="3" t="n"/>
      <c r="AB83" s="3" t="n"/>
      <c r="AE83" s="146">
        <f>IF(AND(F83="Closed",X83&gt;=DATE(2026,6,1),X83&lt;=DATE(2026,6,30)),"Closed in June","other")</f>
        <v/>
      </c>
    </row>
    <row r="84" hidden="1">
      <c r="A84" s="9" t="n">
        <v>46148</v>
      </c>
      <c r="B84" s="1" t="n">
        <v>2026</v>
      </c>
      <c r="C84" s="8" t="inlineStr">
        <is>
          <t>Continuum</t>
        </is>
      </c>
      <c r="D84" s="1" t="inlineStr">
        <is>
          <t>Utility and C&amp;I</t>
        </is>
      </c>
      <c r="E84" s="1" t="n"/>
      <c r="F84" s="1" t="inlineStr">
        <is>
          <t>Closed</t>
        </is>
      </c>
      <c r="G84" s="8" t="inlineStr">
        <is>
          <t>Amiya Ranjan Behera</t>
        </is>
      </c>
      <c r="H84" s="8" t="n">
        <v>8917436223</v>
      </c>
      <c r="I84" s="10" t="inlineStr">
        <is>
          <t>PE06052602</t>
        </is>
      </c>
      <c r="J84" s="8" t="inlineStr">
        <is>
          <t>Diode Bypass Module Issue</t>
        </is>
      </c>
      <c r="K84" s="8" t="inlineStr">
        <is>
          <t>Bhavnagar</t>
        </is>
      </c>
      <c r="L84" s="8" t="inlineStr">
        <is>
          <t>Gujarat</t>
        </is>
      </c>
      <c r="M84" s="2" t="inlineStr">
        <is>
          <t>PS</t>
        </is>
      </c>
      <c r="N84" s="1" t="inlineStr">
        <is>
          <t>Cold Soldering</t>
        </is>
      </c>
      <c r="O84" s="11" t="n">
        <v>540</v>
      </c>
      <c r="P84" s="2" t="inlineStr">
        <is>
          <t>NSMP2304067230</t>
        </is>
      </c>
      <c r="Q84" s="14">
        <f>MID(P84,5,2)</f>
        <v/>
      </c>
      <c r="R84" s="14">
        <f>MID(P84,7,2)</f>
        <v/>
      </c>
      <c r="S84" s="1" t="inlineStr">
        <is>
          <t>G2B</t>
        </is>
      </c>
      <c r="T84" s="1" t="inlineStr">
        <is>
          <t>P2 - PEPPL</t>
        </is>
      </c>
      <c r="U84" s="1" t="inlineStr">
        <is>
          <t>P JB Cold Soldering</t>
        </is>
      </c>
      <c r="V84" s="1" t="inlineStr">
        <is>
          <t>Soldering</t>
        </is>
      </c>
      <c r="W84" s="1" t="inlineStr">
        <is>
          <t>Repair</t>
        </is>
      </c>
      <c r="X84" s="5" t="n">
        <v>46174</v>
      </c>
      <c r="Y84" s="1">
        <f>IF(X84="","",X84-A84)</f>
        <v/>
      </c>
      <c r="Z84" s="5" t="n">
        <v>46174</v>
      </c>
      <c r="AA84" s="3" t="n"/>
      <c r="AB84" s="3" t="n"/>
      <c r="AE84" s="146">
        <f>IF(AND(F84="Closed",X84&gt;=DATE(2026,6,1),X84&lt;=DATE(2026,6,30)),"Closed in June","other")</f>
        <v/>
      </c>
    </row>
    <row r="85" hidden="1">
      <c r="A85" s="9" t="n">
        <v>46148</v>
      </c>
      <c r="B85" s="1" t="n">
        <v>2026</v>
      </c>
      <c r="C85" s="8" t="inlineStr">
        <is>
          <t>Continuum</t>
        </is>
      </c>
      <c r="D85" s="1" t="inlineStr">
        <is>
          <t>Utility and C&amp;I</t>
        </is>
      </c>
      <c r="E85" s="1" t="n"/>
      <c r="F85" s="1" t="inlineStr">
        <is>
          <t>Closed</t>
        </is>
      </c>
      <c r="G85" s="8" t="inlineStr">
        <is>
          <t>Amiya Ranjan Behera</t>
        </is>
      </c>
      <c r="H85" s="8" t="n">
        <v>8917436223</v>
      </c>
      <c r="I85" s="10" t="inlineStr">
        <is>
          <t>PE06052602</t>
        </is>
      </c>
      <c r="J85" s="8" t="inlineStr">
        <is>
          <t>Diode Bypass Module Issue</t>
        </is>
      </c>
      <c r="K85" s="8" t="inlineStr">
        <is>
          <t>Bhavnagar</t>
        </is>
      </c>
      <c r="L85" s="8" t="inlineStr">
        <is>
          <t>Gujarat</t>
        </is>
      </c>
      <c r="M85" s="2" t="inlineStr">
        <is>
          <t>PS</t>
        </is>
      </c>
      <c r="N85" s="1" t="inlineStr">
        <is>
          <t>Cold Soldering</t>
        </is>
      </c>
      <c r="O85" s="11" t="n">
        <v>540</v>
      </c>
      <c r="P85" s="2" t="inlineStr">
        <is>
          <t>NSMP2304067228</t>
        </is>
      </c>
      <c r="Q85" s="14">
        <f>MID(P85,5,2)</f>
        <v/>
      </c>
      <c r="R85" s="14">
        <f>MID(P85,7,2)</f>
        <v/>
      </c>
      <c r="S85" s="1" t="inlineStr">
        <is>
          <t>G2B</t>
        </is>
      </c>
      <c r="T85" s="1" t="inlineStr">
        <is>
          <t>P2 - PEPPL</t>
        </is>
      </c>
      <c r="U85" s="1" t="inlineStr">
        <is>
          <t>P JB Cold Soldering</t>
        </is>
      </c>
      <c r="V85" s="1" t="inlineStr">
        <is>
          <t>Soldering</t>
        </is>
      </c>
      <c r="W85" s="1" t="inlineStr">
        <is>
          <t>Repair</t>
        </is>
      </c>
      <c r="X85" s="5" t="n">
        <v>46174</v>
      </c>
      <c r="Y85" s="1">
        <f>IF(X85="","",X85-A85)</f>
        <v/>
      </c>
      <c r="Z85" s="5" t="n">
        <v>46174</v>
      </c>
      <c r="AA85" s="3" t="n"/>
      <c r="AB85" s="3" t="n"/>
      <c r="AE85" s="146">
        <f>IF(AND(F85="Closed",X85&gt;=DATE(2026,6,1),X85&lt;=DATE(2026,6,30)),"Closed in June","other")</f>
        <v/>
      </c>
    </row>
    <row r="86" hidden="1">
      <c r="A86" s="9" t="n">
        <v>46148</v>
      </c>
      <c r="B86" s="1" t="n">
        <v>2026</v>
      </c>
      <c r="C86" s="8" t="inlineStr">
        <is>
          <t>Continuum</t>
        </is>
      </c>
      <c r="D86" s="1" t="inlineStr">
        <is>
          <t>Utility and C&amp;I</t>
        </is>
      </c>
      <c r="E86" s="1" t="n"/>
      <c r="F86" s="1" t="inlineStr">
        <is>
          <t>Closed</t>
        </is>
      </c>
      <c r="G86" s="8" t="inlineStr">
        <is>
          <t>Amiya Ranjan Behera</t>
        </is>
      </c>
      <c r="H86" s="8" t="n">
        <v>8917436223</v>
      </c>
      <c r="I86" s="10" t="inlineStr">
        <is>
          <t>PE06052602</t>
        </is>
      </c>
      <c r="J86" s="8" t="inlineStr">
        <is>
          <t>Diode Bypass Module Issue</t>
        </is>
      </c>
      <c r="K86" s="8" t="inlineStr">
        <is>
          <t>Bhavnagar</t>
        </is>
      </c>
      <c r="L86" s="8" t="inlineStr">
        <is>
          <t>Gujarat</t>
        </is>
      </c>
      <c r="M86" s="2" t="inlineStr">
        <is>
          <t>PS</t>
        </is>
      </c>
      <c r="N86" s="1" t="inlineStr">
        <is>
          <t>Cold Soldering</t>
        </is>
      </c>
      <c r="O86" s="11" t="n">
        <v>540</v>
      </c>
      <c r="P86" s="2" t="inlineStr">
        <is>
          <t>NSMP2304067233</t>
        </is>
      </c>
      <c r="Q86" s="14">
        <f>MID(P86,5,2)</f>
        <v/>
      </c>
      <c r="R86" s="14">
        <f>MID(P86,7,2)</f>
        <v/>
      </c>
      <c r="S86" s="1" t="inlineStr">
        <is>
          <t>G2B</t>
        </is>
      </c>
      <c r="T86" s="1" t="inlineStr">
        <is>
          <t>P2 - PEPPL</t>
        </is>
      </c>
      <c r="U86" s="1" t="inlineStr">
        <is>
          <t>P JB Cold Soldering</t>
        </is>
      </c>
      <c r="V86" s="1" t="inlineStr">
        <is>
          <t>Soldering</t>
        </is>
      </c>
      <c r="W86" s="1" t="inlineStr">
        <is>
          <t>Repair</t>
        </is>
      </c>
      <c r="X86" s="5" t="n">
        <v>46174</v>
      </c>
      <c r="Y86" s="1">
        <f>IF(X86="","",X86-A86)</f>
        <v/>
      </c>
      <c r="Z86" s="5" t="n">
        <v>46174</v>
      </c>
      <c r="AA86" s="3" t="n"/>
      <c r="AB86" s="3" t="n"/>
      <c r="AE86" s="146">
        <f>IF(AND(F86="Closed",X86&gt;=DATE(2026,6,1),X86&lt;=DATE(2026,6,30)),"Closed in June","other")</f>
        <v/>
      </c>
    </row>
    <row r="87" hidden="1">
      <c r="A87" s="9" t="n">
        <v>46148</v>
      </c>
      <c r="B87" s="1" t="n">
        <v>2026</v>
      </c>
      <c r="C87" s="8" t="inlineStr">
        <is>
          <t>Continuum</t>
        </is>
      </c>
      <c r="D87" s="1" t="inlineStr">
        <is>
          <t>Utility and C&amp;I</t>
        </is>
      </c>
      <c r="E87" s="1" t="n"/>
      <c r="F87" s="1" t="inlineStr">
        <is>
          <t>Closed</t>
        </is>
      </c>
      <c r="G87" s="8" t="inlineStr">
        <is>
          <t>Amiya Ranjan Behera</t>
        </is>
      </c>
      <c r="H87" s="8" t="n">
        <v>8917436223</v>
      </c>
      <c r="I87" s="10" t="inlineStr">
        <is>
          <t>PE06052602</t>
        </is>
      </c>
      <c r="J87" s="8" t="inlineStr">
        <is>
          <t>Diode Bypass Module Issue</t>
        </is>
      </c>
      <c r="K87" s="8" t="inlineStr">
        <is>
          <t>Bhavnagar</t>
        </is>
      </c>
      <c r="L87" s="8" t="inlineStr">
        <is>
          <t>Gujarat</t>
        </is>
      </c>
      <c r="M87" s="2" t="inlineStr">
        <is>
          <t>PS</t>
        </is>
      </c>
      <c r="N87" s="1" t="inlineStr">
        <is>
          <t>Cold Soldering</t>
        </is>
      </c>
      <c r="O87" s="11" t="n">
        <v>540</v>
      </c>
      <c r="P87" s="2" t="inlineStr">
        <is>
          <t>NSMP2304037132</t>
        </is>
      </c>
      <c r="Q87" s="14">
        <f>MID(P87,5,2)</f>
        <v/>
      </c>
      <c r="R87" s="14">
        <f>MID(P87,7,2)</f>
        <v/>
      </c>
      <c r="S87" s="1" t="inlineStr">
        <is>
          <t>G2B</t>
        </is>
      </c>
      <c r="T87" s="1" t="inlineStr">
        <is>
          <t>P2 - PEPPL</t>
        </is>
      </c>
      <c r="U87" s="1" t="inlineStr">
        <is>
          <t>P JB Cold Soldering</t>
        </is>
      </c>
      <c r="V87" s="1" t="inlineStr">
        <is>
          <t>Soldering</t>
        </is>
      </c>
      <c r="W87" s="1" t="inlineStr">
        <is>
          <t>Repair</t>
        </is>
      </c>
      <c r="X87" s="5" t="n">
        <v>46174</v>
      </c>
      <c r="Y87" s="1">
        <f>IF(X87="","",X87-A87)</f>
        <v/>
      </c>
      <c r="Z87" s="5" t="n">
        <v>46174</v>
      </c>
      <c r="AA87" s="3" t="n"/>
      <c r="AB87" s="3" t="n"/>
      <c r="AE87" s="146">
        <f>IF(AND(F87="Closed",X87&gt;=DATE(2026,6,1),X87&lt;=DATE(2026,6,30)),"Closed in June","other")</f>
        <v/>
      </c>
    </row>
    <row r="88" hidden="1">
      <c r="A88" s="9" t="n">
        <v>46148</v>
      </c>
      <c r="B88" s="1" t="n">
        <v>2026</v>
      </c>
      <c r="C88" s="8" t="inlineStr">
        <is>
          <t>Continuum</t>
        </is>
      </c>
      <c r="D88" s="1" t="inlineStr">
        <is>
          <t>Utility and C&amp;I</t>
        </is>
      </c>
      <c r="E88" s="1" t="n"/>
      <c r="F88" s="1" t="inlineStr">
        <is>
          <t>Closed</t>
        </is>
      </c>
      <c r="G88" s="8" t="inlineStr">
        <is>
          <t>Amiya Ranjan Behera</t>
        </is>
      </c>
      <c r="H88" s="8" t="n">
        <v>8917436223</v>
      </c>
      <c r="I88" s="10" t="inlineStr">
        <is>
          <t>PE06052602</t>
        </is>
      </c>
      <c r="J88" s="8" t="inlineStr">
        <is>
          <t>Diode Bypass Module Issue</t>
        </is>
      </c>
      <c r="K88" s="8" t="inlineStr">
        <is>
          <t>Bhavnagar</t>
        </is>
      </c>
      <c r="L88" s="8" t="inlineStr">
        <is>
          <t>Gujarat</t>
        </is>
      </c>
      <c r="M88" s="2" t="inlineStr">
        <is>
          <t>PS</t>
        </is>
      </c>
      <c r="N88" s="1" t="inlineStr">
        <is>
          <t>Cold Soldering</t>
        </is>
      </c>
      <c r="O88" s="11" t="n">
        <v>540</v>
      </c>
      <c r="P88" s="2" t="inlineStr">
        <is>
          <t>NSMP2304037205</t>
        </is>
      </c>
      <c r="Q88" s="14">
        <f>MID(P88,5,2)</f>
        <v/>
      </c>
      <c r="R88" s="14">
        <f>MID(P88,7,2)</f>
        <v/>
      </c>
      <c r="S88" s="1" t="inlineStr">
        <is>
          <t>G2B</t>
        </is>
      </c>
      <c r="T88" s="1" t="inlineStr">
        <is>
          <t>P2 - PEPPL</t>
        </is>
      </c>
      <c r="U88" s="1" t="inlineStr">
        <is>
          <t>P JB Cold Soldering</t>
        </is>
      </c>
      <c r="V88" s="1" t="inlineStr">
        <is>
          <t>Soldering</t>
        </is>
      </c>
      <c r="W88" s="1" t="inlineStr">
        <is>
          <t>Repair</t>
        </is>
      </c>
      <c r="X88" s="5" t="n">
        <v>46174</v>
      </c>
      <c r="Y88" s="1">
        <f>IF(X88="","",X88-A88)</f>
        <v/>
      </c>
      <c r="Z88" s="5" t="n">
        <v>46174</v>
      </c>
      <c r="AA88" s="3" t="n"/>
      <c r="AB88" s="3" t="n"/>
      <c r="AE88" s="146">
        <f>IF(AND(F88="Closed",X88&gt;=DATE(2026,6,1),X88&lt;=DATE(2026,6,30)),"Closed in June","other")</f>
        <v/>
      </c>
    </row>
    <row r="89" hidden="1">
      <c r="A89" s="9" t="n">
        <v>46148</v>
      </c>
      <c r="B89" s="1" t="n">
        <v>2026</v>
      </c>
      <c r="C89" s="8" t="inlineStr">
        <is>
          <t>Continuum</t>
        </is>
      </c>
      <c r="D89" s="1" t="inlineStr">
        <is>
          <t>Utility and C&amp;I</t>
        </is>
      </c>
      <c r="E89" s="1" t="n"/>
      <c r="F89" s="1" t="inlineStr">
        <is>
          <t>Closed</t>
        </is>
      </c>
      <c r="G89" s="8" t="inlineStr">
        <is>
          <t>Amiya Ranjan Behera</t>
        </is>
      </c>
      <c r="H89" s="8" t="n">
        <v>8917436223</v>
      </c>
      <c r="I89" s="10" t="inlineStr">
        <is>
          <t>PE06052602</t>
        </is>
      </c>
      <c r="J89" s="8" t="inlineStr">
        <is>
          <t>Diode Bypass Module Issue</t>
        </is>
      </c>
      <c r="K89" s="8" t="inlineStr">
        <is>
          <t>Bhavnagar</t>
        </is>
      </c>
      <c r="L89" s="8" t="inlineStr">
        <is>
          <t>Gujarat</t>
        </is>
      </c>
      <c r="M89" s="2" t="inlineStr">
        <is>
          <t>PR</t>
        </is>
      </c>
      <c r="N89" s="1" t="inlineStr">
        <is>
          <t>JB Issue</t>
        </is>
      </c>
      <c r="O89" s="11" t="n">
        <v>540</v>
      </c>
      <c r="P89" s="2" t="inlineStr">
        <is>
          <t>NSMP2304037204</t>
        </is>
      </c>
      <c r="Q89" s="14">
        <f>MID(P89,5,2)</f>
        <v/>
      </c>
      <c r="R89" s="14">
        <f>MID(P89,7,2)</f>
        <v/>
      </c>
      <c r="S89" s="1" t="inlineStr">
        <is>
          <t>G2B</t>
        </is>
      </c>
      <c r="T89" s="1" t="inlineStr">
        <is>
          <t>P2 - PEPPL</t>
        </is>
      </c>
      <c r="U89" s="1" t="inlineStr">
        <is>
          <t>P JB Issue</t>
        </is>
      </c>
      <c r="V89" s="3" t="inlineStr">
        <is>
          <t>JB Changed</t>
        </is>
      </c>
      <c r="W89" s="1" t="inlineStr">
        <is>
          <t>Repair</t>
        </is>
      </c>
      <c r="X89" s="5" t="n">
        <v>46174</v>
      </c>
      <c r="Y89" s="1">
        <f>IF(X89="","",X89-A89)</f>
        <v/>
      </c>
      <c r="Z89" s="5" t="n">
        <v>46174</v>
      </c>
      <c r="AA89" s="3" t="n"/>
      <c r="AB89" s="3" t="n"/>
      <c r="AE89" s="146">
        <f>IF(AND(F89="Closed",X89&gt;=DATE(2026,6,1),X89&lt;=DATE(2026,6,30)),"Closed in June","other")</f>
        <v/>
      </c>
    </row>
    <row r="90" hidden="1">
      <c r="A90" s="9" t="n">
        <v>46148</v>
      </c>
      <c r="B90" s="1" t="n">
        <v>2026</v>
      </c>
      <c r="C90" s="8" t="inlineStr">
        <is>
          <t>Continuum</t>
        </is>
      </c>
      <c r="D90" s="1" t="inlineStr">
        <is>
          <t>Utility and C&amp;I</t>
        </is>
      </c>
      <c r="E90" s="1" t="n"/>
      <c r="F90" s="1" t="inlineStr">
        <is>
          <t>Closed</t>
        </is>
      </c>
      <c r="G90" s="8" t="inlineStr">
        <is>
          <t>Amiya Ranjan Behera</t>
        </is>
      </c>
      <c r="H90" s="8" t="n">
        <v>8917436223</v>
      </c>
      <c r="I90" s="10" t="inlineStr">
        <is>
          <t>PE06052602</t>
        </is>
      </c>
      <c r="J90" s="8" t="inlineStr">
        <is>
          <t>Diode Bypass Module Issue</t>
        </is>
      </c>
      <c r="K90" s="8" t="inlineStr">
        <is>
          <t>Bhavnagar</t>
        </is>
      </c>
      <c r="L90" s="8" t="inlineStr">
        <is>
          <t>Gujarat</t>
        </is>
      </c>
      <c r="M90" s="2" t="inlineStr">
        <is>
          <t>PS</t>
        </is>
      </c>
      <c r="N90" s="1" t="inlineStr">
        <is>
          <t>Cold Soldering</t>
        </is>
      </c>
      <c r="O90" s="11" t="n">
        <v>540</v>
      </c>
      <c r="P90" s="2" t="inlineStr">
        <is>
          <t>NSMP2304037179</t>
        </is>
      </c>
      <c r="Q90" s="14">
        <f>MID(P90,5,2)</f>
        <v/>
      </c>
      <c r="R90" s="14">
        <f>MID(P90,7,2)</f>
        <v/>
      </c>
      <c r="S90" s="1" t="inlineStr">
        <is>
          <t>G2B</t>
        </is>
      </c>
      <c r="T90" s="1" t="inlineStr">
        <is>
          <t>P2 - PEPPL</t>
        </is>
      </c>
      <c r="U90" s="1" t="inlineStr">
        <is>
          <t>P JB Cold Soldering</t>
        </is>
      </c>
      <c r="V90" s="1" t="inlineStr">
        <is>
          <t>Soldering</t>
        </is>
      </c>
      <c r="W90" s="1" t="inlineStr">
        <is>
          <t>Repair</t>
        </is>
      </c>
      <c r="X90" s="5" t="n">
        <v>46174</v>
      </c>
      <c r="Y90" s="1">
        <f>IF(X90="","",X90-A90)</f>
        <v/>
      </c>
      <c r="Z90" s="5" t="n">
        <v>46174</v>
      </c>
      <c r="AA90" s="3" t="n"/>
      <c r="AB90" s="3" t="n"/>
      <c r="AE90" s="146">
        <f>IF(AND(F90="Closed",X90&gt;=DATE(2026,6,1),X90&lt;=DATE(2026,6,30)),"Closed in June","other")</f>
        <v/>
      </c>
    </row>
    <row r="91" hidden="1">
      <c r="A91" s="9" t="n">
        <v>46148</v>
      </c>
      <c r="B91" s="1" t="n">
        <v>2026</v>
      </c>
      <c r="C91" s="8" t="inlineStr">
        <is>
          <t>Continuum</t>
        </is>
      </c>
      <c r="D91" s="1" t="inlineStr">
        <is>
          <t>Utility and C&amp;I</t>
        </is>
      </c>
      <c r="E91" s="1" t="n"/>
      <c r="F91" s="1" t="inlineStr">
        <is>
          <t>Closed</t>
        </is>
      </c>
      <c r="G91" s="8" t="inlineStr">
        <is>
          <t>Amiya Ranjan Behera</t>
        </is>
      </c>
      <c r="H91" s="8" t="n">
        <v>8917436223</v>
      </c>
      <c r="I91" s="10" t="inlineStr">
        <is>
          <t>PE06052602</t>
        </is>
      </c>
      <c r="J91" s="8" t="inlineStr">
        <is>
          <t>Diode Bypass Module Issue</t>
        </is>
      </c>
      <c r="K91" s="8" t="inlineStr">
        <is>
          <t>Bhavnagar</t>
        </is>
      </c>
      <c r="L91" s="8" t="inlineStr">
        <is>
          <t>Gujarat</t>
        </is>
      </c>
      <c r="M91" s="2" t="inlineStr">
        <is>
          <t>PS</t>
        </is>
      </c>
      <c r="N91" s="1" t="inlineStr">
        <is>
          <t>Cold Soldering</t>
        </is>
      </c>
      <c r="O91" s="11" t="n">
        <v>540</v>
      </c>
      <c r="P91" s="2" t="inlineStr">
        <is>
          <t>NSMP2304037192</t>
        </is>
      </c>
      <c r="Q91" s="14">
        <f>MID(P91,5,2)</f>
        <v/>
      </c>
      <c r="R91" s="14">
        <f>MID(P91,7,2)</f>
        <v/>
      </c>
      <c r="S91" s="1" t="inlineStr">
        <is>
          <t>G2B</t>
        </is>
      </c>
      <c r="T91" s="1" t="inlineStr">
        <is>
          <t>P2 - PEPPL</t>
        </is>
      </c>
      <c r="U91" s="1" t="inlineStr">
        <is>
          <t>P JB Cold Soldering</t>
        </is>
      </c>
      <c r="V91" s="1" t="inlineStr">
        <is>
          <t>Soldering</t>
        </is>
      </c>
      <c r="W91" s="1" t="inlineStr">
        <is>
          <t>Repair</t>
        </is>
      </c>
      <c r="X91" s="5" t="n">
        <v>46174</v>
      </c>
      <c r="Y91" s="1">
        <f>IF(X91="","",X91-A91)</f>
        <v/>
      </c>
      <c r="Z91" s="5" t="n">
        <v>46174</v>
      </c>
      <c r="AA91" s="3" t="n"/>
      <c r="AB91" s="3" t="n"/>
      <c r="AE91" s="146">
        <f>IF(AND(F91="Closed",X91&gt;=DATE(2026,6,1),X91&lt;=DATE(2026,6,30)),"Closed in June","other")</f>
        <v/>
      </c>
    </row>
    <row r="92" hidden="1">
      <c r="A92" s="9" t="n">
        <v>46148</v>
      </c>
      <c r="B92" s="1" t="n">
        <v>2026</v>
      </c>
      <c r="C92" s="8" t="inlineStr">
        <is>
          <t>Continuum</t>
        </is>
      </c>
      <c r="D92" s="1" t="inlineStr">
        <is>
          <t>Utility and C&amp;I</t>
        </is>
      </c>
      <c r="E92" s="1" t="n"/>
      <c r="F92" s="1" t="inlineStr">
        <is>
          <t>Closed</t>
        </is>
      </c>
      <c r="G92" s="8" t="inlineStr">
        <is>
          <t>Amiya Ranjan Behera</t>
        </is>
      </c>
      <c r="H92" s="8" t="n">
        <v>8917436223</v>
      </c>
      <c r="I92" s="10" t="inlineStr">
        <is>
          <t>PE06052602</t>
        </is>
      </c>
      <c r="J92" s="8" t="inlineStr">
        <is>
          <t>Diode Bypass Module Issue</t>
        </is>
      </c>
      <c r="K92" s="8" t="inlineStr">
        <is>
          <t>Bhavnagar</t>
        </is>
      </c>
      <c r="L92" s="8" t="inlineStr">
        <is>
          <t>Gujarat</t>
        </is>
      </c>
      <c r="M92" s="2" t="inlineStr">
        <is>
          <t>PS</t>
        </is>
      </c>
      <c r="N92" s="1" t="inlineStr">
        <is>
          <t>Cold Soldering</t>
        </is>
      </c>
      <c r="O92" s="11" t="n">
        <v>540</v>
      </c>
      <c r="P92" s="2" t="inlineStr">
        <is>
          <t>NSMP2304037190</t>
        </is>
      </c>
      <c r="Q92" s="14">
        <f>MID(P92,5,2)</f>
        <v/>
      </c>
      <c r="R92" s="14">
        <f>MID(P92,7,2)</f>
        <v/>
      </c>
      <c r="S92" s="1" t="inlineStr">
        <is>
          <t>G2B</t>
        </is>
      </c>
      <c r="T92" s="1" t="inlineStr">
        <is>
          <t>P2 - PEPPL</t>
        </is>
      </c>
      <c r="U92" s="1" t="inlineStr">
        <is>
          <t>P JB Cold Soldering</t>
        </is>
      </c>
      <c r="V92" s="1" t="inlineStr">
        <is>
          <t>Soldering</t>
        </is>
      </c>
      <c r="W92" s="1" t="inlineStr">
        <is>
          <t>Repair</t>
        </is>
      </c>
      <c r="X92" s="5" t="n">
        <v>46174</v>
      </c>
      <c r="Y92" s="1">
        <f>IF(X92="","",X92-A92)</f>
        <v/>
      </c>
      <c r="Z92" s="5" t="n">
        <v>46174</v>
      </c>
      <c r="AA92" s="3" t="n"/>
      <c r="AB92" s="3" t="n"/>
      <c r="AE92" s="146">
        <f>IF(AND(F92="Closed",X92&gt;=DATE(2026,6,1),X92&lt;=DATE(2026,6,30)),"Closed in June","other")</f>
        <v/>
      </c>
    </row>
    <row r="93" hidden="1">
      <c r="A93" s="9" t="n">
        <v>46148</v>
      </c>
      <c r="B93" s="1" t="n">
        <v>2026</v>
      </c>
      <c r="C93" s="8" t="inlineStr">
        <is>
          <t>Continuum</t>
        </is>
      </c>
      <c r="D93" s="1" t="inlineStr">
        <is>
          <t>Utility and C&amp;I</t>
        </is>
      </c>
      <c r="E93" s="1" t="n"/>
      <c r="F93" s="1" t="inlineStr">
        <is>
          <t>Closed</t>
        </is>
      </c>
      <c r="G93" s="8" t="inlineStr">
        <is>
          <t>Amiya Ranjan Behera</t>
        </is>
      </c>
      <c r="H93" s="8" t="n">
        <v>8917436223</v>
      </c>
      <c r="I93" s="10" t="inlineStr">
        <is>
          <t>PE06052602</t>
        </is>
      </c>
      <c r="J93" s="8" t="inlineStr">
        <is>
          <t>Diode Bypass Module Issue</t>
        </is>
      </c>
      <c r="K93" s="8" t="inlineStr">
        <is>
          <t>Bhavnagar</t>
        </is>
      </c>
      <c r="L93" s="8" t="inlineStr">
        <is>
          <t>Gujarat</t>
        </is>
      </c>
      <c r="M93" s="2" t="inlineStr">
        <is>
          <t>PS</t>
        </is>
      </c>
      <c r="N93" s="1" t="inlineStr">
        <is>
          <t>Cold Soldering</t>
        </is>
      </c>
      <c r="O93" s="11" t="n">
        <v>540</v>
      </c>
      <c r="P93" s="2" t="inlineStr">
        <is>
          <t>NSMP2304076568</t>
        </is>
      </c>
      <c r="Q93" s="14">
        <f>MID(P93,5,2)</f>
        <v/>
      </c>
      <c r="R93" s="14">
        <f>MID(P93,7,2)</f>
        <v/>
      </c>
      <c r="S93" s="1" t="inlineStr">
        <is>
          <t>G2B</t>
        </is>
      </c>
      <c r="T93" s="1" t="inlineStr">
        <is>
          <t>P2 - PEPPL</t>
        </is>
      </c>
      <c r="U93" s="1" t="inlineStr">
        <is>
          <t>P JB Cold Soldering</t>
        </is>
      </c>
      <c r="V93" s="1" t="inlineStr">
        <is>
          <t>Soldering</t>
        </is>
      </c>
      <c r="W93" s="1" t="inlineStr">
        <is>
          <t>Repair</t>
        </is>
      </c>
      <c r="X93" s="5" t="n">
        <v>46174</v>
      </c>
      <c r="Y93" s="1">
        <f>IF(X93="","",X93-A93)</f>
        <v/>
      </c>
      <c r="Z93" s="5" t="n">
        <v>46174</v>
      </c>
      <c r="AA93" s="3" t="n"/>
      <c r="AB93" s="3" t="n"/>
      <c r="AE93" s="146">
        <f>IF(AND(F93="Closed",X93&gt;=DATE(2026,6,1),X93&lt;=DATE(2026,6,30)),"Closed in June","other")</f>
        <v/>
      </c>
    </row>
    <row r="94" hidden="1">
      <c r="A94" s="9" t="n">
        <v>46148</v>
      </c>
      <c r="B94" s="1" t="n">
        <v>2026</v>
      </c>
      <c r="C94" s="8" t="inlineStr">
        <is>
          <t>Continuum</t>
        </is>
      </c>
      <c r="D94" s="1" t="inlineStr">
        <is>
          <t>Utility and C&amp;I</t>
        </is>
      </c>
      <c r="E94" s="1" t="n"/>
      <c r="F94" s="1" t="inlineStr">
        <is>
          <t>Closed</t>
        </is>
      </c>
      <c r="G94" s="8" t="inlineStr">
        <is>
          <t>Amiya Ranjan Behera</t>
        </is>
      </c>
      <c r="H94" s="8" t="n">
        <v>8917436223</v>
      </c>
      <c r="I94" s="10" t="inlineStr">
        <is>
          <t>PE06052602</t>
        </is>
      </c>
      <c r="J94" s="8" t="inlineStr">
        <is>
          <t>Diode Bypass Module Issue</t>
        </is>
      </c>
      <c r="K94" s="8" t="inlineStr">
        <is>
          <t>Bhavnagar</t>
        </is>
      </c>
      <c r="L94" s="8" t="inlineStr">
        <is>
          <t>Gujarat</t>
        </is>
      </c>
      <c r="M94" s="2" t="inlineStr">
        <is>
          <t>PR</t>
        </is>
      </c>
      <c r="N94" s="1" t="inlineStr">
        <is>
          <t>JB Issue</t>
        </is>
      </c>
      <c r="O94" s="11" t="n">
        <v>540</v>
      </c>
      <c r="P94" s="2" t="inlineStr">
        <is>
          <t>NSMP2304076811</t>
        </is>
      </c>
      <c r="Q94" s="14">
        <f>MID(P94,5,2)</f>
        <v/>
      </c>
      <c r="R94" s="14">
        <f>MID(P94,7,2)</f>
        <v/>
      </c>
      <c r="S94" s="1" t="inlineStr">
        <is>
          <t>G2B</t>
        </is>
      </c>
      <c r="T94" s="1" t="inlineStr">
        <is>
          <t>P2 - PEPPL</t>
        </is>
      </c>
      <c r="U94" s="1" t="inlineStr">
        <is>
          <t>P JB Issue</t>
        </is>
      </c>
      <c r="V94" s="3" t="inlineStr">
        <is>
          <t>JB Changed</t>
        </is>
      </c>
      <c r="W94" s="1" t="inlineStr">
        <is>
          <t>Repair</t>
        </is>
      </c>
      <c r="X94" s="5" t="n">
        <v>46174</v>
      </c>
      <c r="Y94" s="1">
        <f>IF(X94="","",X94-A94)</f>
        <v/>
      </c>
      <c r="Z94" s="5" t="n">
        <v>46174</v>
      </c>
      <c r="AA94" s="3" t="n"/>
      <c r="AB94" s="3" t="n"/>
      <c r="AE94" s="146">
        <f>IF(AND(F94="Closed",X94&gt;=DATE(2026,6,1),X94&lt;=DATE(2026,6,30)),"Closed in June","other")</f>
        <v/>
      </c>
    </row>
    <row r="95" hidden="1">
      <c r="A95" s="9" t="n">
        <v>46148</v>
      </c>
      <c r="B95" s="1" t="n">
        <v>2026</v>
      </c>
      <c r="C95" s="8" t="inlineStr">
        <is>
          <t>Continuum</t>
        </is>
      </c>
      <c r="D95" s="1" t="inlineStr">
        <is>
          <t>Utility and C&amp;I</t>
        </is>
      </c>
      <c r="E95" s="1" t="n"/>
      <c r="F95" s="1" t="inlineStr">
        <is>
          <t>Closed</t>
        </is>
      </c>
      <c r="G95" s="8" t="inlineStr">
        <is>
          <t>Amiya Ranjan Behera</t>
        </is>
      </c>
      <c r="H95" s="8" t="n">
        <v>8917436223</v>
      </c>
      <c r="I95" s="10" t="inlineStr">
        <is>
          <t>PE06052602</t>
        </is>
      </c>
      <c r="J95" s="8" t="inlineStr">
        <is>
          <t>Diode Bypass Module Issue</t>
        </is>
      </c>
      <c r="K95" s="8" t="inlineStr">
        <is>
          <t>Bhavnagar</t>
        </is>
      </c>
      <c r="L95" s="8" t="inlineStr">
        <is>
          <t>Gujarat</t>
        </is>
      </c>
      <c r="M95" s="2" t="inlineStr">
        <is>
          <t xml:space="preserve">OK </t>
        </is>
      </c>
      <c r="N95" s="2" t="inlineStr">
        <is>
          <t>No Issue Found</t>
        </is>
      </c>
      <c r="O95" s="11" t="n">
        <v>540</v>
      </c>
      <c r="P95" s="2" t="inlineStr">
        <is>
          <t>NSMP2304068555</t>
        </is>
      </c>
      <c r="Q95" s="14">
        <f>MID(P95,5,2)</f>
        <v/>
      </c>
      <c r="R95" s="14">
        <f>MID(P95,7,2)</f>
        <v/>
      </c>
      <c r="S95" s="1" t="inlineStr">
        <is>
          <t>G2B</t>
        </is>
      </c>
      <c r="T95" s="1" t="inlineStr">
        <is>
          <t>P2 - PEPPL</t>
        </is>
      </c>
      <c r="U95" s="6" t="inlineStr">
        <is>
          <t>No Issue Found</t>
        </is>
      </c>
      <c r="V95" s="6" t="inlineStr">
        <is>
          <t>Inspection</t>
        </is>
      </c>
      <c r="W95" s="1" t="inlineStr">
        <is>
          <t>Rejected</t>
        </is>
      </c>
      <c r="X95" s="5" t="n">
        <v>46174</v>
      </c>
      <c r="Y95" s="1">
        <f>IF(X95="","",X95-A95)</f>
        <v/>
      </c>
      <c r="Z95" s="5" t="n">
        <v>46174</v>
      </c>
      <c r="AA95" s="3" t="n"/>
      <c r="AB95" s="3" t="n"/>
      <c r="AE95" s="146">
        <f>IF(AND(F95="Closed",X95&gt;=DATE(2026,6,1),X95&lt;=DATE(2026,6,30)),"Closed in June","other")</f>
        <v/>
      </c>
    </row>
    <row r="96" hidden="1">
      <c r="A96" s="9" t="n">
        <v>46148</v>
      </c>
      <c r="B96" s="1" t="n">
        <v>2026</v>
      </c>
      <c r="C96" s="8" t="inlineStr">
        <is>
          <t>Continuum</t>
        </is>
      </c>
      <c r="D96" s="1" t="inlineStr">
        <is>
          <t>Utility and C&amp;I</t>
        </is>
      </c>
      <c r="E96" s="1" t="n"/>
      <c r="F96" s="1" t="inlineStr">
        <is>
          <t>Closed</t>
        </is>
      </c>
      <c r="G96" s="8" t="inlineStr">
        <is>
          <t>Amiya Ranjan Behera</t>
        </is>
      </c>
      <c r="H96" s="8" t="n">
        <v>8917436223</v>
      </c>
      <c r="I96" s="10" t="inlineStr">
        <is>
          <t>PE06052602</t>
        </is>
      </c>
      <c r="J96" s="8" t="inlineStr">
        <is>
          <t>Diode Bypass Module Issue</t>
        </is>
      </c>
      <c r="K96" s="8" t="inlineStr">
        <is>
          <t>Bhavnagar</t>
        </is>
      </c>
      <c r="L96" s="8" t="inlineStr">
        <is>
          <t>Gujarat</t>
        </is>
      </c>
      <c r="M96" s="2" t="inlineStr">
        <is>
          <t>PR</t>
        </is>
      </c>
      <c r="N96" s="1" t="inlineStr">
        <is>
          <t>JB Issue</t>
        </is>
      </c>
      <c r="O96" s="11" t="n">
        <v>540</v>
      </c>
      <c r="P96" s="2" t="inlineStr">
        <is>
          <t>NSMP2304068763</t>
        </is>
      </c>
      <c r="Q96" s="14">
        <f>MID(P96,5,2)</f>
        <v/>
      </c>
      <c r="R96" s="14">
        <f>MID(P96,7,2)</f>
        <v/>
      </c>
      <c r="S96" s="1" t="inlineStr">
        <is>
          <t>G2B</t>
        </is>
      </c>
      <c r="T96" s="1" t="inlineStr">
        <is>
          <t>P2 - PEPPL</t>
        </is>
      </c>
      <c r="U96" s="1" t="inlineStr">
        <is>
          <t>P JB Issue</t>
        </is>
      </c>
      <c r="V96" s="3" t="inlineStr">
        <is>
          <t>JB Changed</t>
        </is>
      </c>
      <c r="W96" s="1" t="inlineStr">
        <is>
          <t>Repair</t>
        </is>
      </c>
      <c r="X96" s="5" t="n">
        <v>46174</v>
      </c>
      <c r="Y96" s="1">
        <f>IF(X96="","",X96-A96)</f>
        <v/>
      </c>
      <c r="Z96" s="5" t="n">
        <v>46174</v>
      </c>
      <c r="AA96" s="3" t="n"/>
      <c r="AB96" s="3" t="n"/>
      <c r="AE96" s="146">
        <f>IF(AND(F96="Closed",X96&gt;=DATE(2026,6,1),X96&lt;=DATE(2026,6,30)),"Closed in June","other")</f>
        <v/>
      </c>
    </row>
    <row r="97" hidden="1">
      <c r="A97" s="9" t="n">
        <v>46148</v>
      </c>
      <c r="B97" s="1" t="n">
        <v>2026</v>
      </c>
      <c r="C97" s="8" t="inlineStr">
        <is>
          <t>Continuum</t>
        </is>
      </c>
      <c r="D97" s="1" t="inlineStr">
        <is>
          <t>Utility and C&amp;I</t>
        </is>
      </c>
      <c r="E97" s="1" t="n"/>
      <c r="F97" s="1" t="inlineStr">
        <is>
          <t>Closed</t>
        </is>
      </c>
      <c r="G97" s="8" t="inlineStr">
        <is>
          <t>Amiya Ranjan Behera</t>
        </is>
      </c>
      <c r="H97" s="8" t="n">
        <v>8917436223</v>
      </c>
      <c r="I97" s="10" t="inlineStr">
        <is>
          <t>PE06052602</t>
        </is>
      </c>
      <c r="J97" s="8" t="inlineStr">
        <is>
          <t>Diode Bypass Module Issue</t>
        </is>
      </c>
      <c r="K97" s="8" t="inlineStr">
        <is>
          <t>Bhavnagar</t>
        </is>
      </c>
      <c r="L97" s="8" t="inlineStr">
        <is>
          <t>Gujarat</t>
        </is>
      </c>
      <c r="M97" s="2" t="inlineStr">
        <is>
          <t>PR</t>
        </is>
      </c>
      <c r="N97" s="1" t="inlineStr">
        <is>
          <t>JB Issue</t>
        </is>
      </c>
      <c r="O97" s="11" t="n">
        <v>540</v>
      </c>
      <c r="P97" s="2" t="inlineStr">
        <is>
          <t>NSMP2304068496</t>
        </is>
      </c>
      <c r="Q97" s="14">
        <f>MID(P97,5,2)</f>
        <v/>
      </c>
      <c r="R97" s="14">
        <f>MID(P97,7,2)</f>
        <v/>
      </c>
      <c r="S97" s="1" t="inlineStr">
        <is>
          <t>G2B</t>
        </is>
      </c>
      <c r="T97" s="1" t="inlineStr">
        <is>
          <t>P2 - PEPPL</t>
        </is>
      </c>
      <c r="U97" s="1" t="inlineStr">
        <is>
          <t>P JB Issue</t>
        </is>
      </c>
      <c r="V97" s="3" t="inlineStr">
        <is>
          <t>JB Changed</t>
        </is>
      </c>
      <c r="W97" s="1" t="inlineStr">
        <is>
          <t>Repair</t>
        </is>
      </c>
      <c r="X97" s="5" t="n">
        <v>46174</v>
      </c>
      <c r="Y97" s="1">
        <f>IF(X97="","",X97-A97)</f>
        <v/>
      </c>
      <c r="Z97" s="5" t="n">
        <v>46174</v>
      </c>
      <c r="AA97" s="3" t="n"/>
      <c r="AB97" s="3" t="n"/>
      <c r="AE97" s="146">
        <f>IF(AND(F97="Closed",X97&gt;=DATE(2026,6,1),X97&lt;=DATE(2026,6,30)),"Closed in June","other")</f>
        <v/>
      </c>
    </row>
    <row r="98" hidden="1">
      <c r="A98" s="9" t="n">
        <v>46148</v>
      </c>
      <c r="B98" s="1" t="n">
        <v>2026</v>
      </c>
      <c r="C98" s="8" t="inlineStr">
        <is>
          <t>Continuum</t>
        </is>
      </c>
      <c r="D98" s="1" t="inlineStr">
        <is>
          <t>Utility and C&amp;I</t>
        </is>
      </c>
      <c r="E98" s="1" t="n"/>
      <c r="F98" s="1" t="inlineStr">
        <is>
          <t>Closed</t>
        </is>
      </c>
      <c r="G98" s="8" t="inlineStr">
        <is>
          <t>Amiya Ranjan Behera</t>
        </is>
      </c>
      <c r="H98" s="8" t="n">
        <v>8917436223</v>
      </c>
      <c r="I98" s="10" t="inlineStr">
        <is>
          <t>PE06052602</t>
        </is>
      </c>
      <c r="J98" s="8" t="inlineStr">
        <is>
          <t>Diode Bypass Module Issue</t>
        </is>
      </c>
      <c r="K98" s="8" t="inlineStr">
        <is>
          <t>Bhavnagar</t>
        </is>
      </c>
      <c r="L98" s="8" t="inlineStr">
        <is>
          <t>Gujarat</t>
        </is>
      </c>
      <c r="M98" s="2" t="inlineStr">
        <is>
          <t>PR</t>
        </is>
      </c>
      <c r="N98" s="1" t="inlineStr">
        <is>
          <t>JB Issue</t>
        </is>
      </c>
      <c r="O98" s="11" t="n">
        <v>540</v>
      </c>
      <c r="P98" s="2" t="inlineStr">
        <is>
          <t>NSMP2304077658</t>
        </is>
      </c>
      <c r="Q98" s="14">
        <f>MID(P98,5,2)</f>
        <v/>
      </c>
      <c r="R98" s="14">
        <f>MID(P98,7,2)</f>
        <v/>
      </c>
      <c r="S98" s="1" t="inlineStr">
        <is>
          <t>G2B</t>
        </is>
      </c>
      <c r="T98" s="1" t="inlineStr">
        <is>
          <t>P2 - PEPPL</t>
        </is>
      </c>
      <c r="U98" s="1" t="inlineStr">
        <is>
          <t>P JB Issue</t>
        </is>
      </c>
      <c r="V98" s="3" t="inlineStr">
        <is>
          <t>JB Changed</t>
        </is>
      </c>
      <c r="W98" s="1" t="inlineStr">
        <is>
          <t>Repair</t>
        </is>
      </c>
      <c r="X98" s="5" t="n">
        <v>46174</v>
      </c>
      <c r="Y98" s="1">
        <f>IF(X98="","",X98-A98)</f>
        <v/>
      </c>
      <c r="Z98" s="5" t="n">
        <v>46174</v>
      </c>
      <c r="AA98" s="3" t="n"/>
      <c r="AB98" s="3" t="n"/>
      <c r="AE98" s="146">
        <f>IF(AND(F98="Closed",X98&gt;=DATE(2026,6,1),X98&lt;=DATE(2026,6,30)),"Closed in June","other")</f>
        <v/>
      </c>
    </row>
    <row r="99" hidden="1">
      <c r="A99" s="9" t="n">
        <v>46148</v>
      </c>
      <c r="B99" s="1" t="n">
        <v>2026</v>
      </c>
      <c r="C99" s="8" t="inlineStr">
        <is>
          <t>Continuum</t>
        </is>
      </c>
      <c r="D99" s="1" t="inlineStr">
        <is>
          <t>Utility and C&amp;I</t>
        </is>
      </c>
      <c r="E99" s="1" t="n"/>
      <c r="F99" s="1" t="inlineStr">
        <is>
          <t>Closed</t>
        </is>
      </c>
      <c r="G99" s="8" t="inlineStr">
        <is>
          <t>Amiya Ranjan Behera</t>
        </is>
      </c>
      <c r="H99" s="8" t="n">
        <v>8917436223</v>
      </c>
      <c r="I99" s="10" t="inlineStr">
        <is>
          <t>PE06052602</t>
        </is>
      </c>
      <c r="J99" s="8" t="inlineStr">
        <is>
          <t>Diode Bypass Module Issue</t>
        </is>
      </c>
      <c r="K99" s="8" t="inlineStr">
        <is>
          <t>Bhavnagar</t>
        </is>
      </c>
      <c r="L99" s="8" t="inlineStr">
        <is>
          <t>Gujarat</t>
        </is>
      </c>
      <c r="M99" s="2" t="inlineStr">
        <is>
          <t>PS</t>
        </is>
      </c>
      <c r="N99" s="1" t="inlineStr">
        <is>
          <t>Cold Soldering</t>
        </is>
      </c>
      <c r="O99" s="11" t="n">
        <v>540</v>
      </c>
      <c r="P99" s="2" t="inlineStr">
        <is>
          <t>NSMP2304037169</t>
        </is>
      </c>
      <c r="Q99" s="14">
        <f>MID(P99,5,2)</f>
        <v/>
      </c>
      <c r="R99" s="14">
        <f>MID(P99,7,2)</f>
        <v/>
      </c>
      <c r="S99" s="1" t="inlineStr">
        <is>
          <t>G2B</t>
        </is>
      </c>
      <c r="T99" s="1" t="inlineStr">
        <is>
          <t>P2 - PEPPL</t>
        </is>
      </c>
      <c r="U99" s="1" t="inlineStr">
        <is>
          <t>P JB Cold Soldering</t>
        </is>
      </c>
      <c r="V99" s="1" t="inlineStr">
        <is>
          <t>Soldering</t>
        </is>
      </c>
      <c r="W99" s="1" t="inlineStr">
        <is>
          <t>Repair</t>
        </is>
      </c>
      <c r="X99" s="5" t="n">
        <v>46174</v>
      </c>
      <c r="Y99" s="1">
        <f>IF(X99="","",X99-A99)</f>
        <v/>
      </c>
      <c r="Z99" s="5" t="n">
        <v>46174</v>
      </c>
      <c r="AA99" s="3" t="n"/>
      <c r="AB99" s="3" t="n"/>
      <c r="AE99" s="146">
        <f>IF(AND(F99="Closed",X99&gt;=DATE(2026,6,1),X99&lt;=DATE(2026,6,30)),"Closed in June","other")</f>
        <v/>
      </c>
    </row>
    <row r="100" hidden="1">
      <c r="A100" s="9" t="n">
        <v>46148</v>
      </c>
      <c r="B100" s="1" t="n">
        <v>2026</v>
      </c>
      <c r="C100" s="8" t="inlineStr">
        <is>
          <t>Continuum</t>
        </is>
      </c>
      <c r="D100" s="1" t="inlineStr">
        <is>
          <t>Utility and C&amp;I</t>
        </is>
      </c>
      <c r="E100" s="1" t="n"/>
      <c r="F100" s="1" t="inlineStr">
        <is>
          <t>Closed</t>
        </is>
      </c>
      <c r="G100" s="8" t="inlineStr">
        <is>
          <t>Amiya Ranjan Behera</t>
        </is>
      </c>
      <c r="H100" s="8" t="n">
        <v>8917436223</v>
      </c>
      <c r="I100" s="10" t="inlineStr">
        <is>
          <t>PE06052602</t>
        </is>
      </c>
      <c r="J100" s="8" t="inlineStr">
        <is>
          <t>Diode Bypass Module Issue</t>
        </is>
      </c>
      <c r="K100" s="8" t="inlineStr">
        <is>
          <t>Bhavnagar</t>
        </is>
      </c>
      <c r="L100" s="8" t="inlineStr">
        <is>
          <t>Gujarat</t>
        </is>
      </c>
      <c r="M100" s="2" t="inlineStr">
        <is>
          <t>PS</t>
        </is>
      </c>
      <c r="N100" s="1" t="inlineStr">
        <is>
          <t>Cold Soldering</t>
        </is>
      </c>
      <c r="O100" s="11" t="n">
        <v>540</v>
      </c>
      <c r="P100" s="2" t="inlineStr">
        <is>
          <t>NSMP2304037244</t>
        </is>
      </c>
      <c r="Q100" s="14">
        <f>MID(P100,5,2)</f>
        <v/>
      </c>
      <c r="R100" s="14">
        <f>MID(P100,7,2)</f>
        <v/>
      </c>
      <c r="S100" s="1" t="inlineStr">
        <is>
          <t>G2B</t>
        </is>
      </c>
      <c r="T100" s="1" t="inlineStr">
        <is>
          <t>P2 - PEPPL</t>
        </is>
      </c>
      <c r="U100" s="1" t="inlineStr">
        <is>
          <t>P JB Cold Soldering</t>
        </is>
      </c>
      <c r="V100" s="1" t="inlineStr">
        <is>
          <t>Soldering</t>
        </is>
      </c>
      <c r="W100" s="1" t="inlineStr">
        <is>
          <t>Repair</t>
        </is>
      </c>
      <c r="X100" s="5" t="n">
        <v>46174</v>
      </c>
      <c r="Y100" s="1">
        <f>IF(X100="","",X100-A100)</f>
        <v/>
      </c>
      <c r="Z100" s="5" t="n">
        <v>46174</v>
      </c>
      <c r="AA100" s="3" t="n"/>
      <c r="AB100" s="3" t="n"/>
      <c r="AE100" s="146">
        <f>IF(AND(F100="Closed",X100&gt;=DATE(2026,6,1),X100&lt;=DATE(2026,6,30)),"Closed in June","other")</f>
        <v/>
      </c>
    </row>
    <row r="101" hidden="1">
      <c r="A101" s="9" t="n">
        <v>46148</v>
      </c>
      <c r="B101" s="1" t="n">
        <v>2026</v>
      </c>
      <c r="C101" s="8" t="inlineStr">
        <is>
          <t>Continuum</t>
        </is>
      </c>
      <c r="D101" s="1" t="inlineStr">
        <is>
          <t>Utility and C&amp;I</t>
        </is>
      </c>
      <c r="E101" s="1" t="n"/>
      <c r="F101" s="1" t="inlineStr">
        <is>
          <t>Closed</t>
        </is>
      </c>
      <c r="G101" s="8" t="inlineStr">
        <is>
          <t>Amiya Ranjan Behera</t>
        </is>
      </c>
      <c r="H101" s="8" t="n">
        <v>8917436223</v>
      </c>
      <c r="I101" s="10" t="inlineStr">
        <is>
          <t>PE06052602</t>
        </is>
      </c>
      <c r="J101" s="8" t="inlineStr">
        <is>
          <t>Diode Bypass Module Issue</t>
        </is>
      </c>
      <c r="K101" s="8" t="inlineStr">
        <is>
          <t>Bhavnagar</t>
        </is>
      </c>
      <c r="L101" s="8" t="inlineStr">
        <is>
          <t>Gujarat</t>
        </is>
      </c>
      <c r="M101" s="2" t="inlineStr">
        <is>
          <t>PS</t>
        </is>
      </c>
      <c r="N101" s="1" t="inlineStr">
        <is>
          <t>Cold Soldering</t>
        </is>
      </c>
      <c r="O101" s="11" t="n">
        <v>540</v>
      </c>
      <c r="P101" s="2" t="inlineStr">
        <is>
          <t>NSMP2304037165</t>
        </is>
      </c>
      <c r="Q101" s="14">
        <f>MID(P101,5,2)</f>
        <v/>
      </c>
      <c r="R101" s="14">
        <f>MID(P101,7,2)</f>
        <v/>
      </c>
      <c r="S101" s="1" t="inlineStr">
        <is>
          <t>G2B</t>
        </is>
      </c>
      <c r="T101" s="1" t="inlineStr">
        <is>
          <t>P2 - PEPPL</t>
        </is>
      </c>
      <c r="U101" s="1" t="inlineStr">
        <is>
          <t>P JB Cold Soldering</t>
        </is>
      </c>
      <c r="V101" s="1" t="inlineStr">
        <is>
          <t>Soldering</t>
        </is>
      </c>
      <c r="W101" s="1" t="inlineStr">
        <is>
          <t>Repair</t>
        </is>
      </c>
      <c r="X101" s="5" t="n">
        <v>46174</v>
      </c>
      <c r="Y101" s="1">
        <f>IF(X101="","",X101-A101)</f>
        <v/>
      </c>
      <c r="Z101" s="5" t="n">
        <v>46174</v>
      </c>
      <c r="AA101" s="3" t="n"/>
      <c r="AB101" s="3" t="n"/>
      <c r="AE101" s="146">
        <f>IF(AND(F101="Closed",X101&gt;=DATE(2026,6,1),X101&lt;=DATE(2026,6,30)),"Closed in June","other")</f>
        <v/>
      </c>
    </row>
    <row r="102" hidden="1">
      <c r="A102" s="9" t="n">
        <v>46148</v>
      </c>
      <c r="B102" s="1" t="n">
        <v>2026</v>
      </c>
      <c r="C102" s="8" t="inlineStr">
        <is>
          <t>Continuum</t>
        </is>
      </c>
      <c r="D102" s="1" t="inlineStr">
        <is>
          <t>Utility and C&amp;I</t>
        </is>
      </c>
      <c r="E102" s="1" t="n"/>
      <c r="F102" s="1" t="inlineStr">
        <is>
          <t>Closed</t>
        </is>
      </c>
      <c r="G102" s="8" t="inlineStr">
        <is>
          <t>Amiya Ranjan Behera</t>
        </is>
      </c>
      <c r="H102" s="8" t="n">
        <v>8917436223</v>
      </c>
      <c r="I102" s="10" t="inlineStr">
        <is>
          <t>PE06052602</t>
        </is>
      </c>
      <c r="J102" s="8" t="inlineStr">
        <is>
          <t>Diode Bypass Module Issue</t>
        </is>
      </c>
      <c r="K102" s="8" t="inlineStr">
        <is>
          <t>Bhavnagar</t>
        </is>
      </c>
      <c r="L102" s="8" t="inlineStr">
        <is>
          <t>Gujarat</t>
        </is>
      </c>
      <c r="M102" s="2" t="inlineStr">
        <is>
          <t>PS</t>
        </is>
      </c>
      <c r="N102" s="1" t="inlineStr">
        <is>
          <t>Cold Soldering</t>
        </is>
      </c>
      <c r="O102" s="11" t="n">
        <v>540</v>
      </c>
      <c r="P102" s="2" t="inlineStr">
        <is>
          <t>NSMP2304037198</t>
        </is>
      </c>
      <c r="Q102" s="14">
        <f>MID(P102,5,2)</f>
        <v/>
      </c>
      <c r="R102" s="14">
        <f>MID(P102,7,2)</f>
        <v/>
      </c>
      <c r="S102" s="1" t="inlineStr">
        <is>
          <t>G2B</t>
        </is>
      </c>
      <c r="T102" s="1" t="inlineStr">
        <is>
          <t>P2 - PEPPL</t>
        </is>
      </c>
      <c r="U102" s="1" t="inlineStr">
        <is>
          <t>P JB Cold Soldering</t>
        </is>
      </c>
      <c r="V102" s="1" t="inlineStr">
        <is>
          <t>Soldering</t>
        </is>
      </c>
      <c r="W102" s="1" t="inlineStr">
        <is>
          <t>Repair</t>
        </is>
      </c>
      <c r="X102" s="5" t="n">
        <v>46174</v>
      </c>
      <c r="Y102" s="1">
        <f>IF(X102="","",X102-A102)</f>
        <v/>
      </c>
      <c r="Z102" s="5" t="n">
        <v>46174</v>
      </c>
      <c r="AA102" s="3" t="n"/>
      <c r="AB102" s="3" t="n"/>
      <c r="AE102" s="146">
        <f>IF(AND(F102="Closed",X102&gt;=DATE(2026,6,1),X102&lt;=DATE(2026,6,30)),"Closed in June","other")</f>
        <v/>
      </c>
    </row>
    <row r="103" hidden="1">
      <c r="A103" s="9" t="n">
        <v>46148</v>
      </c>
      <c r="B103" s="1" t="n">
        <v>2026</v>
      </c>
      <c r="C103" s="8" t="inlineStr">
        <is>
          <t>Continuum</t>
        </is>
      </c>
      <c r="D103" s="1" t="inlineStr">
        <is>
          <t>Utility and C&amp;I</t>
        </is>
      </c>
      <c r="E103" s="1" t="n"/>
      <c r="F103" s="1" t="inlineStr">
        <is>
          <t>Closed</t>
        </is>
      </c>
      <c r="G103" s="8" t="inlineStr">
        <is>
          <t>Amiya Ranjan Behera</t>
        </is>
      </c>
      <c r="H103" s="8" t="n">
        <v>8917436223</v>
      </c>
      <c r="I103" s="10" t="inlineStr">
        <is>
          <t>PE06052602</t>
        </is>
      </c>
      <c r="J103" s="8" t="inlineStr">
        <is>
          <t>Diode Bypass Module Issue</t>
        </is>
      </c>
      <c r="K103" s="8" t="inlineStr">
        <is>
          <t>Bhavnagar</t>
        </is>
      </c>
      <c r="L103" s="8" t="inlineStr">
        <is>
          <t>Gujarat</t>
        </is>
      </c>
      <c r="M103" s="2" t="inlineStr">
        <is>
          <t>PS</t>
        </is>
      </c>
      <c r="N103" s="1" t="inlineStr">
        <is>
          <t>Cold Soldering</t>
        </is>
      </c>
      <c r="O103" s="11" t="n">
        <v>540</v>
      </c>
      <c r="P103" s="2" t="inlineStr">
        <is>
          <t>NSMP2304037170</t>
        </is>
      </c>
      <c r="Q103" s="14">
        <f>MID(P103,5,2)</f>
        <v/>
      </c>
      <c r="R103" s="14">
        <f>MID(P103,7,2)</f>
        <v/>
      </c>
      <c r="S103" s="1" t="inlineStr">
        <is>
          <t>G2B</t>
        </is>
      </c>
      <c r="T103" s="1" t="inlineStr">
        <is>
          <t>P2 - PEPPL</t>
        </is>
      </c>
      <c r="U103" s="1" t="inlineStr">
        <is>
          <t>P JB Cold Soldering</t>
        </is>
      </c>
      <c r="V103" s="1" t="inlineStr">
        <is>
          <t>Soldering</t>
        </is>
      </c>
      <c r="W103" s="1" t="inlineStr">
        <is>
          <t>Repair</t>
        </is>
      </c>
      <c r="X103" s="5" t="n">
        <v>46174</v>
      </c>
      <c r="Y103" s="1">
        <f>IF(X103="","",X103-A103)</f>
        <v/>
      </c>
      <c r="Z103" s="5" t="n">
        <v>46174</v>
      </c>
      <c r="AA103" s="3" t="n"/>
      <c r="AB103" s="3" t="n"/>
      <c r="AE103" s="146">
        <f>IF(AND(F103="Closed",X103&gt;=DATE(2026,6,1),X103&lt;=DATE(2026,6,30)),"Closed in June","other")</f>
        <v/>
      </c>
    </row>
    <row r="104" hidden="1">
      <c r="A104" s="9" t="n">
        <v>46148</v>
      </c>
      <c r="B104" s="1" t="n">
        <v>2026</v>
      </c>
      <c r="C104" s="8" t="inlineStr">
        <is>
          <t>Continuum</t>
        </is>
      </c>
      <c r="D104" s="1" t="inlineStr">
        <is>
          <t>Utility and C&amp;I</t>
        </is>
      </c>
      <c r="E104" s="1" t="n"/>
      <c r="F104" s="1" t="inlineStr">
        <is>
          <t>Closed</t>
        </is>
      </c>
      <c r="G104" s="8" t="inlineStr">
        <is>
          <t>Amiya Ranjan Behera</t>
        </is>
      </c>
      <c r="H104" s="8" t="n">
        <v>8917436223</v>
      </c>
      <c r="I104" s="10" t="inlineStr">
        <is>
          <t>PE06052602</t>
        </is>
      </c>
      <c r="J104" s="8" t="inlineStr">
        <is>
          <t>Diode Bypass Module Issue</t>
        </is>
      </c>
      <c r="K104" s="8" t="inlineStr">
        <is>
          <t>Bhavnagar</t>
        </is>
      </c>
      <c r="L104" s="8" t="inlineStr">
        <is>
          <t>Gujarat</t>
        </is>
      </c>
      <c r="M104" s="2" t="inlineStr">
        <is>
          <t>PS</t>
        </is>
      </c>
      <c r="N104" s="1" t="inlineStr">
        <is>
          <t>Cold Soldering</t>
        </is>
      </c>
      <c r="O104" s="11" t="n">
        <v>540</v>
      </c>
      <c r="P104" s="2" t="inlineStr">
        <is>
          <t>NSMP2304036673</t>
        </is>
      </c>
      <c r="Q104" s="14">
        <f>MID(P104,5,2)</f>
        <v/>
      </c>
      <c r="R104" s="14">
        <f>MID(P104,7,2)</f>
        <v/>
      </c>
      <c r="S104" s="1" t="inlineStr">
        <is>
          <t>G2B</t>
        </is>
      </c>
      <c r="T104" s="1" t="inlineStr">
        <is>
          <t>P2 - PEPPL</t>
        </is>
      </c>
      <c r="U104" s="1" t="inlineStr">
        <is>
          <t>P JB Cold Soldering</t>
        </is>
      </c>
      <c r="V104" s="1" t="inlineStr">
        <is>
          <t>Soldering</t>
        </is>
      </c>
      <c r="W104" s="1" t="inlineStr">
        <is>
          <t>Repair</t>
        </is>
      </c>
      <c r="X104" s="5" t="n">
        <v>46174</v>
      </c>
      <c r="Y104" s="1">
        <f>IF(X104="","",X104-A104)</f>
        <v/>
      </c>
      <c r="Z104" s="5" t="n">
        <v>46174</v>
      </c>
      <c r="AA104" s="3" t="n"/>
      <c r="AB104" s="3" t="n"/>
      <c r="AE104" s="146">
        <f>IF(AND(F104="Closed",X104&gt;=DATE(2026,6,1),X104&lt;=DATE(2026,6,30)),"Closed in June","other")</f>
        <v/>
      </c>
    </row>
    <row r="105" hidden="1">
      <c r="A105" s="9" t="n">
        <v>46148</v>
      </c>
      <c r="B105" s="1" t="n">
        <v>2026</v>
      </c>
      <c r="C105" s="8" t="inlineStr">
        <is>
          <t>Continuum</t>
        </is>
      </c>
      <c r="D105" s="1" t="inlineStr">
        <is>
          <t>Utility and C&amp;I</t>
        </is>
      </c>
      <c r="E105" s="1" t="n"/>
      <c r="F105" s="1" t="inlineStr">
        <is>
          <t>Closed</t>
        </is>
      </c>
      <c r="G105" s="8" t="inlineStr">
        <is>
          <t>Amiya Ranjan Behera</t>
        </is>
      </c>
      <c r="H105" s="8" t="n">
        <v>8917436223</v>
      </c>
      <c r="I105" s="10" t="inlineStr">
        <is>
          <t>PE06052602</t>
        </is>
      </c>
      <c r="J105" s="8" t="inlineStr">
        <is>
          <t>Diode Bypass Module Issue</t>
        </is>
      </c>
      <c r="K105" s="8" t="inlineStr">
        <is>
          <t>Bhavnagar</t>
        </is>
      </c>
      <c r="L105" s="8" t="inlineStr">
        <is>
          <t>Gujarat</t>
        </is>
      </c>
      <c r="M105" s="2" t="inlineStr">
        <is>
          <t>PS</t>
        </is>
      </c>
      <c r="N105" s="1" t="inlineStr">
        <is>
          <t>Cold Soldering</t>
        </is>
      </c>
      <c r="O105" s="11" t="n">
        <v>540</v>
      </c>
      <c r="P105" s="2" t="inlineStr">
        <is>
          <t>NSMP2304037183</t>
        </is>
      </c>
      <c r="Q105" s="14">
        <f>MID(P105,5,2)</f>
        <v/>
      </c>
      <c r="R105" s="14">
        <f>MID(P105,7,2)</f>
        <v/>
      </c>
      <c r="S105" s="1" t="inlineStr">
        <is>
          <t>G2B</t>
        </is>
      </c>
      <c r="T105" s="1" t="inlineStr">
        <is>
          <t>P2 - PEPPL</t>
        </is>
      </c>
      <c r="U105" s="1" t="inlineStr">
        <is>
          <t>P JB Cold Soldering</t>
        </is>
      </c>
      <c r="V105" s="1" t="inlineStr">
        <is>
          <t>Soldering</t>
        </is>
      </c>
      <c r="W105" s="1" t="inlineStr">
        <is>
          <t>Repair</t>
        </is>
      </c>
      <c r="X105" s="5" t="n">
        <v>46174</v>
      </c>
      <c r="Y105" s="1">
        <f>IF(X105="","",X105-A105)</f>
        <v/>
      </c>
      <c r="Z105" s="5" t="n">
        <v>46174</v>
      </c>
      <c r="AA105" s="3" t="n"/>
      <c r="AB105" s="3" t="n"/>
      <c r="AE105" s="146">
        <f>IF(AND(F105="Closed",X105&gt;=DATE(2026,6,1),X105&lt;=DATE(2026,6,30)),"Closed in June","other")</f>
        <v/>
      </c>
    </row>
    <row r="106" hidden="1">
      <c r="A106" s="9" t="n">
        <v>46148</v>
      </c>
      <c r="B106" s="1" t="n">
        <v>2026</v>
      </c>
      <c r="C106" s="8" t="inlineStr">
        <is>
          <t>Continuum</t>
        </is>
      </c>
      <c r="D106" s="1" t="inlineStr">
        <is>
          <t>Utility and C&amp;I</t>
        </is>
      </c>
      <c r="E106" s="1" t="n"/>
      <c r="F106" s="1" t="inlineStr">
        <is>
          <t>Closed</t>
        </is>
      </c>
      <c r="G106" s="8" t="inlineStr">
        <is>
          <t>Amiya Ranjan Behera</t>
        </is>
      </c>
      <c r="H106" s="8" t="n">
        <v>8917436223</v>
      </c>
      <c r="I106" s="10" t="inlineStr">
        <is>
          <t>PE06052602</t>
        </is>
      </c>
      <c r="J106" s="8" t="inlineStr">
        <is>
          <t>Diode Bypass Module Issue</t>
        </is>
      </c>
      <c r="K106" s="8" t="inlineStr">
        <is>
          <t>Bhavnagar</t>
        </is>
      </c>
      <c r="L106" s="8" t="inlineStr">
        <is>
          <t>Gujarat</t>
        </is>
      </c>
      <c r="M106" s="2" t="inlineStr">
        <is>
          <t>NS</t>
        </is>
      </c>
      <c r="N106" s="8" t="inlineStr">
        <is>
          <t>Cold Soldering</t>
        </is>
      </c>
      <c r="O106" s="11" t="n">
        <v>540</v>
      </c>
      <c r="P106" s="2" t="inlineStr">
        <is>
          <t>NSMP2304036948</t>
        </is>
      </c>
      <c r="Q106" s="14">
        <f>MID(P106,5,2)</f>
        <v/>
      </c>
      <c r="R106" s="14">
        <f>MID(P106,7,2)</f>
        <v/>
      </c>
      <c r="S106" s="1" t="inlineStr">
        <is>
          <t>G2B</t>
        </is>
      </c>
      <c r="T106" s="1" t="inlineStr">
        <is>
          <t>P2 - PEPPL</t>
        </is>
      </c>
      <c r="U106" s="6" t="inlineStr">
        <is>
          <t>N JB Cold Soldering</t>
        </is>
      </c>
      <c r="V106" s="6" t="inlineStr">
        <is>
          <t>Soldering</t>
        </is>
      </c>
      <c r="W106" s="1" t="inlineStr">
        <is>
          <t>Repair</t>
        </is>
      </c>
      <c r="X106" s="5" t="n">
        <v>46174</v>
      </c>
      <c r="Y106" s="1">
        <f>IF(X106="","",X106-A106)</f>
        <v/>
      </c>
      <c r="Z106" s="5" t="n">
        <v>46174</v>
      </c>
      <c r="AA106" s="3" t="n"/>
      <c r="AB106" s="3" t="n"/>
      <c r="AE106" s="146">
        <f>IF(AND(F106="Closed",X106&gt;=DATE(2026,6,1),X106&lt;=DATE(2026,6,30)),"Closed in June","other")</f>
        <v/>
      </c>
    </row>
    <row r="107" hidden="1">
      <c r="A107" s="9" t="n">
        <v>46148</v>
      </c>
      <c r="B107" s="1" t="n">
        <v>2026</v>
      </c>
      <c r="C107" s="8" t="inlineStr">
        <is>
          <t>Continuum</t>
        </is>
      </c>
      <c r="D107" s="1" t="inlineStr">
        <is>
          <t>Utility and C&amp;I</t>
        </is>
      </c>
      <c r="E107" s="1" t="n"/>
      <c r="F107" s="1" t="inlineStr">
        <is>
          <t>Closed</t>
        </is>
      </c>
      <c r="G107" s="8" t="inlineStr">
        <is>
          <t>Amiya Ranjan Behera</t>
        </is>
      </c>
      <c r="H107" s="8" t="n">
        <v>8917436223</v>
      </c>
      <c r="I107" s="10" t="inlineStr">
        <is>
          <t>PE06052602</t>
        </is>
      </c>
      <c r="J107" s="8" t="inlineStr">
        <is>
          <t>Diode Bypass Module Issue</t>
        </is>
      </c>
      <c r="K107" s="8" t="inlineStr">
        <is>
          <t>Bhavnagar</t>
        </is>
      </c>
      <c r="L107" s="8" t="inlineStr">
        <is>
          <t>Gujarat</t>
        </is>
      </c>
      <c r="M107" s="2" t="inlineStr">
        <is>
          <t>PS</t>
        </is>
      </c>
      <c r="N107" s="1" t="inlineStr">
        <is>
          <t>Cold Soldering</t>
        </is>
      </c>
      <c r="O107" s="11" t="n">
        <v>540</v>
      </c>
      <c r="P107" s="2" t="inlineStr">
        <is>
          <t>NSMP2304037160</t>
        </is>
      </c>
      <c r="Q107" s="14">
        <f>MID(P107,5,2)</f>
        <v/>
      </c>
      <c r="R107" s="14">
        <f>MID(P107,7,2)</f>
        <v/>
      </c>
      <c r="S107" s="1" t="inlineStr">
        <is>
          <t>G2B</t>
        </is>
      </c>
      <c r="T107" s="1" t="inlineStr">
        <is>
          <t>P2 - PEPPL</t>
        </is>
      </c>
      <c r="U107" s="1" t="inlineStr">
        <is>
          <t>P JB Cold Soldering</t>
        </is>
      </c>
      <c r="V107" s="1" t="inlineStr">
        <is>
          <t>Soldering</t>
        </is>
      </c>
      <c r="W107" s="1" t="inlineStr">
        <is>
          <t>Repair</t>
        </is>
      </c>
      <c r="X107" s="5" t="n">
        <v>46174</v>
      </c>
      <c r="Y107" s="1">
        <f>IF(X107="","",X107-A107)</f>
        <v/>
      </c>
      <c r="Z107" s="5" t="n">
        <v>46174</v>
      </c>
      <c r="AA107" s="3" t="n"/>
      <c r="AB107" s="3" t="n"/>
      <c r="AE107" s="146">
        <f>IF(AND(F107="Closed",X107&gt;=DATE(2026,6,1),X107&lt;=DATE(2026,6,30)),"Closed in June","other")</f>
        <v/>
      </c>
    </row>
    <row r="108" hidden="1">
      <c r="A108" s="9" t="n">
        <v>46148</v>
      </c>
      <c r="B108" s="1" t="n">
        <v>2026</v>
      </c>
      <c r="C108" s="8" t="inlineStr">
        <is>
          <t>Continuum</t>
        </is>
      </c>
      <c r="D108" s="1" t="inlineStr">
        <is>
          <t>Utility and C&amp;I</t>
        </is>
      </c>
      <c r="E108" s="1" t="n"/>
      <c r="F108" s="1" t="inlineStr">
        <is>
          <t>Closed</t>
        </is>
      </c>
      <c r="G108" s="8" t="inlineStr">
        <is>
          <t>Amiya Ranjan Behera</t>
        </is>
      </c>
      <c r="H108" s="8" t="n">
        <v>8917436223</v>
      </c>
      <c r="I108" s="10" t="inlineStr">
        <is>
          <t>PE06052602</t>
        </is>
      </c>
      <c r="J108" s="8" t="inlineStr">
        <is>
          <t>Diode Bypass Module Issue</t>
        </is>
      </c>
      <c r="K108" s="8" t="inlineStr">
        <is>
          <t>Bhavnagar</t>
        </is>
      </c>
      <c r="L108" s="8" t="inlineStr">
        <is>
          <t>Gujarat</t>
        </is>
      </c>
      <c r="M108" s="2" t="inlineStr">
        <is>
          <t>PS</t>
        </is>
      </c>
      <c r="N108" s="1" t="inlineStr">
        <is>
          <t>Cold Soldering</t>
        </is>
      </c>
      <c r="O108" s="11" t="n">
        <v>540</v>
      </c>
      <c r="P108" s="2" t="inlineStr">
        <is>
          <t>NSMP2304037196</t>
        </is>
      </c>
      <c r="Q108" s="14">
        <f>MID(P108,5,2)</f>
        <v/>
      </c>
      <c r="R108" s="14">
        <f>MID(P108,7,2)</f>
        <v/>
      </c>
      <c r="S108" s="1" t="inlineStr">
        <is>
          <t>G2B</t>
        </is>
      </c>
      <c r="T108" s="1" t="inlineStr">
        <is>
          <t>P2 - PEPPL</t>
        </is>
      </c>
      <c r="U108" s="1" t="inlineStr">
        <is>
          <t>P JB Cold Soldering</t>
        </is>
      </c>
      <c r="V108" s="1" t="inlineStr">
        <is>
          <t>Soldering</t>
        </is>
      </c>
      <c r="W108" s="1" t="inlineStr">
        <is>
          <t>Repair</t>
        </is>
      </c>
      <c r="X108" s="5" t="n">
        <v>46174</v>
      </c>
      <c r="Y108" s="1">
        <f>IF(X108="","",X108-A108)</f>
        <v/>
      </c>
      <c r="Z108" s="5" t="n">
        <v>46174</v>
      </c>
      <c r="AA108" s="3" t="n"/>
      <c r="AB108" s="3" t="n"/>
      <c r="AE108" s="146">
        <f>IF(AND(F108="Closed",X108&gt;=DATE(2026,6,1),X108&lt;=DATE(2026,6,30)),"Closed in June","other")</f>
        <v/>
      </c>
    </row>
    <row r="109" hidden="1">
      <c r="A109" s="9" t="n">
        <v>46143</v>
      </c>
      <c r="B109" s="1" t="n">
        <v>2026</v>
      </c>
      <c r="C109" s="8" t="inlineStr">
        <is>
          <t>Yanara Power</t>
        </is>
      </c>
      <c r="D109" s="1" t="inlineStr">
        <is>
          <t>Utility and C&amp;I</t>
        </is>
      </c>
      <c r="E109" s="1" t="n"/>
      <c r="F109" s="1" t="inlineStr">
        <is>
          <t>Closed</t>
        </is>
      </c>
      <c r="G109" s="2" t="inlineStr">
        <is>
          <t xml:space="preserve">Ashish Jindal </t>
        </is>
      </c>
      <c r="H109" s="8" t="n">
        <v>9983975581</v>
      </c>
      <c r="I109" s="10" t="inlineStr">
        <is>
          <t>PE01052601</t>
        </is>
      </c>
      <c r="J109" s="8" t="inlineStr">
        <is>
          <t>Multiple Issues</t>
        </is>
      </c>
      <c r="K109" s="11" t="inlineStr">
        <is>
          <t>Holi</t>
        </is>
      </c>
      <c r="L109" s="11" t="inlineStr">
        <is>
          <t>Maharashtra</t>
        </is>
      </c>
      <c r="M109" s="2" t="inlineStr">
        <is>
          <t>PS</t>
        </is>
      </c>
      <c r="N109" s="1" t="inlineStr">
        <is>
          <t>Cold Soldering</t>
        </is>
      </c>
      <c r="O109" s="11" t="n">
        <v>575</v>
      </c>
      <c r="P109" s="2" t="inlineStr">
        <is>
          <t>NSMI24070186737</t>
        </is>
      </c>
      <c r="Q109" s="14">
        <f>MID(P109,5,2)</f>
        <v/>
      </c>
      <c r="R109" s="14">
        <f>MID(P109,7,2)</f>
        <v/>
      </c>
      <c r="S109" s="1" t="inlineStr">
        <is>
          <t>G2G</t>
        </is>
      </c>
      <c r="T109" s="1" t="inlineStr">
        <is>
          <t>P4 - PEIPL</t>
        </is>
      </c>
      <c r="U109" s="6" t="inlineStr">
        <is>
          <t>P JB Cold Soldering</t>
        </is>
      </c>
      <c r="V109" s="6" t="inlineStr">
        <is>
          <t>Soldering</t>
        </is>
      </c>
      <c r="W109" s="1" t="inlineStr">
        <is>
          <t>Repair</t>
        </is>
      </c>
      <c r="X109" s="5" t="n">
        <v>46174</v>
      </c>
      <c r="Y109" s="1">
        <f>IF(X109="","",X109-A109)</f>
        <v/>
      </c>
      <c r="Z109" s="5" t="n">
        <v>46174</v>
      </c>
      <c r="AA109" s="3" t="n"/>
      <c r="AB109" s="3" t="n"/>
      <c r="AE109" s="146">
        <f>IF(AND(F109="Closed",X109&gt;=DATE(2026,6,1),X109&lt;=DATE(2026,6,30)),"Closed in June","other")</f>
        <v/>
      </c>
    </row>
    <row r="110" hidden="1">
      <c r="A110" s="9" t="n">
        <v>46143</v>
      </c>
      <c r="B110" s="1" t="n">
        <v>2026</v>
      </c>
      <c r="C110" s="8" t="inlineStr">
        <is>
          <t>Yanara Power</t>
        </is>
      </c>
      <c r="D110" s="1" t="inlineStr">
        <is>
          <t>Utility and C&amp;I</t>
        </is>
      </c>
      <c r="E110" s="1" t="n"/>
      <c r="F110" s="1" t="inlineStr">
        <is>
          <t>Closed</t>
        </is>
      </c>
      <c r="G110" s="2" t="inlineStr">
        <is>
          <t xml:space="preserve">Ashish Jindal </t>
        </is>
      </c>
      <c r="H110" s="8" t="n">
        <v>9983975581</v>
      </c>
      <c r="I110" s="10" t="inlineStr">
        <is>
          <t>PE01052601</t>
        </is>
      </c>
      <c r="J110" s="8" t="inlineStr">
        <is>
          <t>Multiple Issues</t>
        </is>
      </c>
      <c r="K110" s="11" t="inlineStr">
        <is>
          <t>Holi</t>
        </is>
      </c>
      <c r="L110" s="11" t="inlineStr">
        <is>
          <t>Maharashtra</t>
        </is>
      </c>
      <c r="M110" s="2" t="inlineStr">
        <is>
          <t>PS</t>
        </is>
      </c>
      <c r="N110" s="1" t="inlineStr">
        <is>
          <t>Cold Soldering</t>
        </is>
      </c>
      <c r="O110" s="11" t="n">
        <v>575</v>
      </c>
      <c r="P110" s="2" t="inlineStr">
        <is>
          <t>NSMI24070186718</t>
        </is>
      </c>
      <c r="Q110" s="14">
        <f>MID(P110,5,2)</f>
        <v/>
      </c>
      <c r="R110" s="14">
        <f>MID(P110,7,2)</f>
        <v/>
      </c>
      <c r="S110" s="1" t="inlineStr">
        <is>
          <t>G2G</t>
        </is>
      </c>
      <c r="T110" s="1" t="inlineStr">
        <is>
          <t>P4 - PEIPL</t>
        </is>
      </c>
      <c r="U110" s="6" t="inlineStr">
        <is>
          <t>P JB Cold Soldering</t>
        </is>
      </c>
      <c r="V110" s="6" t="inlineStr">
        <is>
          <t>Soldering</t>
        </is>
      </c>
      <c r="W110" s="1" t="inlineStr">
        <is>
          <t>Repair</t>
        </is>
      </c>
      <c r="X110" s="5" t="n">
        <v>46174</v>
      </c>
      <c r="Y110" s="1">
        <f>IF(X110="","",X110-A110)</f>
        <v/>
      </c>
      <c r="Z110" s="5" t="n">
        <v>46174</v>
      </c>
      <c r="AA110" s="3" t="n"/>
      <c r="AB110" s="3" t="n"/>
      <c r="AE110" s="146">
        <f>IF(AND(F110="Closed",X110&gt;=DATE(2026,6,1),X110&lt;=DATE(2026,6,30)),"Closed in June","other")</f>
        <v/>
      </c>
    </row>
    <row r="111" hidden="1">
      <c r="A111" s="9" t="n">
        <v>46143</v>
      </c>
      <c r="B111" s="1" t="n">
        <v>2026</v>
      </c>
      <c r="C111" s="8" t="inlineStr">
        <is>
          <t>Yanara Power</t>
        </is>
      </c>
      <c r="D111" s="1" t="inlineStr">
        <is>
          <t>Utility and C&amp;I</t>
        </is>
      </c>
      <c r="E111" s="1" t="n"/>
      <c r="F111" s="1" t="inlineStr">
        <is>
          <t>Closed</t>
        </is>
      </c>
      <c r="G111" s="2" t="inlineStr">
        <is>
          <t xml:space="preserve">Ashish Jindal </t>
        </is>
      </c>
      <c r="H111" s="8" t="n">
        <v>9983975581</v>
      </c>
      <c r="I111" s="10" t="inlineStr">
        <is>
          <t>PE01052601</t>
        </is>
      </c>
      <c r="J111" s="8" t="inlineStr">
        <is>
          <t>Multiple Issues</t>
        </is>
      </c>
      <c r="K111" s="11" t="inlineStr">
        <is>
          <t>Holi</t>
        </is>
      </c>
      <c r="L111" s="11" t="inlineStr">
        <is>
          <t>Maharashtra</t>
        </is>
      </c>
      <c r="M111" s="2" t="inlineStr">
        <is>
          <t>NS</t>
        </is>
      </c>
      <c r="N111" s="1" t="inlineStr">
        <is>
          <t>Cold Soldering</t>
        </is>
      </c>
      <c r="O111" s="11" t="n">
        <v>575</v>
      </c>
      <c r="P111" s="2" t="inlineStr">
        <is>
          <t>NSMI24070195988</t>
        </is>
      </c>
      <c r="Q111" s="14">
        <f>MID(P111,5,2)</f>
        <v/>
      </c>
      <c r="R111" s="14">
        <f>MID(P111,7,2)</f>
        <v/>
      </c>
      <c r="S111" s="1" t="inlineStr">
        <is>
          <t>G2G</t>
        </is>
      </c>
      <c r="T111" s="1" t="inlineStr">
        <is>
          <t>P4 - PEIPL</t>
        </is>
      </c>
      <c r="U111" s="1" t="inlineStr">
        <is>
          <t>N JB Cold Soldering</t>
        </is>
      </c>
      <c r="V111" s="1" t="inlineStr">
        <is>
          <t>Soldering</t>
        </is>
      </c>
      <c r="W111" s="1" t="inlineStr">
        <is>
          <t>Repair</t>
        </is>
      </c>
      <c r="X111" s="5" t="n">
        <v>46174</v>
      </c>
      <c r="Y111" s="1">
        <f>IF(X111="","",X111-A111)</f>
        <v/>
      </c>
      <c r="Z111" s="5" t="n">
        <v>46174</v>
      </c>
      <c r="AA111" s="3" t="n"/>
      <c r="AB111" s="3" t="n"/>
      <c r="AE111" s="146">
        <f>IF(AND(F111="Closed",X111&gt;=DATE(2026,6,1),X111&lt;=DATE(2026,6,30)),"Closed in June","other")</f>
        <v/>
      </c>
    </row>
    <row r="112" hidden="1">
      <c r="A112" s="9" t="n">
        <v>46143</v>
      </c>
      <c r="B112" s="1" t="n">
        <v>2026</v>
      </c>
      <c r="C112" s="8" t="inlineStr">
        <is>
          <t>Yanara Power</t>
        </is>
      </c>
      <c r="D112" s="1" t="inlineStr">
        <is>
          <t>Utility and C&amp;I</t>
        </is>
      </c>
      <c r="E112" s="1" t="n"/>
      <c r="F112" s="1" t="inlineStr">
        <is>
          <t>Closed</t>
        </is>
      </c>
      <c r="G112" s="2" t="inlineStr">
        <is>
          <t xml:space="preserve">Ashish Jindal </t>
        </is>
      </c>
      <c r="H112" s="8" t="n">
        <v>9983975581</v>
      </c>
      <c r="I112" s="10" t="inlineStr">
        <is>
          <t>PE01052601</t>
        </is>
      </c>
      <c r="J112" s="8" t="inlineStr">
        <is>
          <t>Multiple Issues</t>
        </is>
      </c>
      <c r="K112" s="11" t="inlineStr">
        <is>
          <t>Holi</t>
        </is>
      </c>
      <c r="L112" s="11" t="inlineStr">
        <is>
          <t>Maharashtra</t>
        </is>
      </c>
      <c r="M112" s="2" t="inlineStr">
        <is>
          <t>PS</t>
        </is>
      </c>
      <c r="N112" s="1" t="inlineStr">
        <is>
          <t>Cold Soldering</t>
        </is>
      </c>
      <c r="O112" s="11" t="n">
        <v>575</v>
      </c>
      <c r="P112" s="2" t="inlineStr">
        <is>
          <t>NSMI24070195964</t>
        </is>
      </c>
      <c r="Q112" s="14">
        <f>MID(P112,5,2)</f>
        <v/>
      </c>
      <c r="R112" s="14">
        <f>MID(P112,7,2)</f>
        <v/>
      </c>
      <c r="S112" s="1" t="inlineStr">
        <is>
          <t>G2G</t>
        </is>
      </c>
      <c r="T112" s="1" t="inlineStr">
        <is>
          <t>P4 - PEIPL</t>
        </is>
      </c>
      <c r="U112" s="6" t="inlineStr">
        <is>
          <t>P JB Cold Soldering</t>
        </is>
      </c>
      <c r="V112" s="6" t="inlineStr">
        <is>
          <t>Soldering</t>
        </is>
      </c>
      <c r="W112" s="1" t="inlineStr">
        <is>
          <t>Repair</t>
        </is>
      </c>
      <c r="X112" s="5" t="n">
        <v>46174</v>
      </c>
      <c r="Y112" s="1">
        <f>IF(X112="","",X112-A112)</f>
        <v/>
      </c>
      <c r="Z112" s="5" t="n">
        <v>46174</v>
      </c>
      <c r="AA112" s="3" t="n"/>
      <c r="AB112" s="3" t="n"/>
      <c r="AE112" s="146">
        <f>IF(AND(F112="Closed",X112&gt;=DATE(2026,6,1),X112&lt;=DATE(2026,6,30)),"Closed in June","other")</f>
        <v/>
      </c>
    </row>
    <row r="113" hidden="1">
      <c r="A113" s="9" t="n">
        <v>46143</v>
      </c>
      <c r="B113" s="1" t="n">
        <v>2026</v>
      </c>
      <c r="C113" s="8" t="inlineStr">
        <is>
          <t>Yanara Power</t>
        </is>
      </c>
      <c r="D113" s="1" t="inlineStr">
        <is>
          <t>Utility and C&amp;I</t>
        </is>
      </c>
      <c r="E113" s="1" t="n"/>
      <c r="F113" s="1" t="inlineStr">
        <is>
          <t>Closed</t>
        </is>
      </c>
      <c r="G113" s="2" t="inlineStr">
        <is>
          <t xml:space="preserve">Ashish Jindal </t>
        </is>
      </c>
      <c r="H113" s="8" t="n">
        <v>9983975581</v>
      </c>
      <c r="I113" s="10" t="inlineStr">
        <is>
          <t>PE01052601</t>
        </is>
      </c>
      <c r="J113" s="8" t="inlineStr">
        <is>
          <t>Multiple Issues</t>
        </is>
      </c>
      <c r="K113" s="11" t="inlineStr">
        <is>
          <t>Holi</t>
        </is>
      </c>
      <c r="L113" s="11" t="inlineStr">
        <is>
          <t>Maharashtra</t>
        </is>
      </c>
      <c r="M113" s="2" t="inlineStr">
        <is>
          <t>PNS</t>
        </is>
      </c>
      <c r="N113" s="1" t="inlineStr">
        <is>
          <t>Cold Soldering</t>
        </is>
      </c>
      <c r="O113" s="11" t="n">
        <v>575</v>
      </c>
      <c r="P113" s="2" t="inlineStr">
        <is>
          <t>NSMI24070198948</t>
        </is>
      </c>
      <c r="Q113" s="14">
        <f>MID(P113,5,2)</f>
        <v/>
      </c>
      <c r="R113" s="14">
        <f>MID(P113,7,2)</f>
        <v/>
      </c>
      <c r="S113" s="1" t="inlineStr">
        <is>
          <t>G2G</t>
        </is>
      </c>
      <c r="T113" s="1" t="inlineStr">
        <is>
          <t>P4 - PEIPL</t>
        </is>
      </c>
      <c r="U113" s="1" t="inlineStr">
        <is>
          <t>P &amp; N JB Cold Soldering</t>
        </is>
      </c>
      <c r="V113" s="1" t="inlineStr">
        <is>
          <t>Soldering</t>
        </is>
      </c>
      <c r="W113" s="1" t="inlineStr">
        <is>
          <t>Repair</t>
        </is>
      </c>
      <c r="X113" s="5" t="n">
        <v>46174</v>
      </c>
      <c r="Y113" s="1">
        <f>IF(X113="","",X113-A113)</f>
        <v/>
      </c>
      <c r="Z113" s="5" t="n">
        <v>46174</v>
      </c>
      <c r="AA113" s="3" t="n"/>
      <c r="AB113" s="3" t="n"/>
      <c r="AE113" s="146">
        <f>IF(AND(F113="Closed",X113&gt;=DATE(2026,6,1),X113&lt;=DATE(2026,6,30)),"Closed in June","other")</f>
        <v/>
      </c>
    </row>
    <row r="114" hidden="1">
      <c r="A114" s="9" t="n">
        <v>46143</v>
      </c>
      <c r="B114" s="1" t="n">
        <v>2026</v>
      </c>
      <c r="C114" s="8" t="inlineStr">
        <is>
          <t>Yanara Power</t>
        </is>
      </c>
      <c r="D114" s="1" t="inlineStr">
        <is>
          <t>Utility and C&amp;I</t>
        </is>
      </c>
      <c r="E114" s="1" t="n"/>
      <c r="F114" s="1" t="inlineStr">
        <is>
          <t>Closed</t>
        </is>
      </c>
      <c r="G114" s="2" t="inlineStr">
        <is>
          <t xml:space="preserve">Ashish Jindal </t>
        </is>
      </c>
      <c r="H114" s="8" t="n">
        <v>9983975581</v>
      </c>
      <c r="I114" s="10" t="inlineStr">
        <is>
          <t>PE01052601</t>
        </is>
      </c>
      <c r="J114" s="8" t="inlineStr">
        <is>
          <t>Multiple Issues</t>
        </is>
      </c>
      <c r="K114" s="11" t="inlineStr">
        <is>
          <t>Holi</t>
        </is>
      </c>
      <c r="L114" s="11" t="inlineStr">
        <is>
          <t>Maharashtra</t>
        </is>
      </c>
      <c r="M114" s="2" t="inlineStr">
        <is>
          <t>PS</t>
        </is>
      </c>
      <c r="N114" s="1" t="inlineStr">
        <is>
          <t>Cold Soldering</t>
        </is>
      </c>
      <c r="O114" s="11" t="n">
        <v>575</v>
      </c>
      <c r="P114" s="2" t="inlineStr">
        <is>
          <t>NSMI24070198963</t>
        </is>
      </c>
      <c r="Q114" s="14">
        <f>MID(P114,5,2)</f>
        <v/>
      </c>
      <c r="R114" s="14">
        <f>MID(P114,7,2)</f>
        <v/>
      </c>
      <c r="S114" s="1" t="inlineStr">
        <is>
          <t>G2G</t>
        </is>
      </c>
      <c r="T114" s="1" t="inlineStr">
        <is>
          <t>P4 - PEIPL</t>
        </is>
      </c>
      <c r="U114" s="6" t="inlineStr">
        <is>
          <t>P JB Cold Soldering</t>
        </is>
      </c>
      <c r="V114" s="6" t="inlineStr">
        <is>
          <t>Soldering</t>
        </is>
      </c>
      <c r="W114" s="1" t="inlineStr">
        <is>
          <t>Repair</t>
        </is>
      </c>
      <c r="X114" s="5" t="n">
        <v>46174</v>
      </c>
      <c r="Y114" s="1">
        <f>IF(X114="","",X114-A114)</f>
        <v/>
      </c>
      <c r="Z114" s="5" t="n">
        <v>46174</v>
      </c>
      <c r="AA114" s="3" t="n"/>
      <c r="AB114" s="3" t="n"/>
      <c r="AE114" s="146">
        <f>IF(AND(F114="Closed",X114&gt;=DATE(2026,6,1),X114&lt;=DATE(2026,6,30)),"Closed in June","other")</f>
        <v/>
      </c>
    </row>
    <row r="115" hidden="1">
      <c r="A115" s="9" t="n">
        <v>46143</v>
      </c>
      <c r="B115" s="1" t="n">
        <v>2026</v>
      </c>
      <c r="C115" s="8" t="inlineStr">
        <is>
          <t>Yanara Power</t>
        </is>
      </c>
      <c r="D115" s="1" t="inlineStr">
        <is>
          <t>Utility and C&amp;I</t>
        </is>
      </c>
      <c r="E115" s="1" t="n"/>
      <c r="F115" s="1" t="inlineStr">
        <is>
          <t>Closed</t>
        </is>
      </c>
      <c r="G115" s="2" t="inlineStr">
        <is>
          <t xml:space="preserve">Ashish Jindal </t>
        </is>
      </c>
      <c r="H115" s="8" t="n">
        <v>9983975581</v>
      </c>
      <c r="I115" s="10" t="inlineStr">
        <is>
          <t>PE01052601</t>
        </is>
      </c>
      <c r="J115" s="8" t="inlineStr">
        <is>
          <t>Multiple Issues</t>
        </is>
      </c>
      <c r="K115" s="11" t="inlineStr">
        <is>
          <t>Holi</t>
        </is>
      </c>
      <c r="L115" s="11" t="inlineStr">
        <is>
          <t>Maharashtra</t>
        </is>
      </c>
      <c r="M115" s="2" t="inlineStr">
        <is>
          <t>PS</t>
        </is>
      </c>
      <c r="N115" s="1" t="inlineStr">
        <is>
          <t>Cold Soldering</t>
        </is>
      </c>
      <c r="O115" s="11" t="n">
        <v>575</v>
      </c>
      <c r="P115" s="2" t="inlineStr">
        <is>
          <t>NSMI24070199003</t>
        </is>
      </c>
      <c r="Q115" s="14">
        <f>MID(P115,5,2)</f>
        <v/>
      </c>
      <c r="R115" s="14">
        <f>MID(P115,7,2)</f>
        <v/>
      </c>
      <c r="S115" s="1" t="inlineStr">
        <is>
          <t>G2G</t>
        </is>
      </c>
      <c r="T115" s="1" t="inlineStr">
        <is>
          <t>P4 - PEIPL</t>
        </is>
      </c>
      <c r="U115" s="6" t="inlineStr">
        <is>
          <t>P JB Cold Soldering</t>
        </is>
      </c>
      <c r="V115" s="6" t="inlineStr">
        <is>
          <t>Soldering</t>
        </is>
      </c>
      <c r="W115" s="1" t="inlineStr">
        <is>
          <t>Repair</t>
        </is>
      </c>
      <c r="X115" s="5" t="n">
        <v>46174</v>
      </c>
      <c r="Y115" s="1">
        <f>IF(X115="","",X115-A115)</f>
        <v/>
      </c>
      <c r="Z115" s="5" t="n">
        <v>46174</v>
      </c>
      <c r="AA115" s="3" t="n"/>
      <c r="AB115" s="3" t="n"/>
      <c r="AE115" s="146">
        <f>IF(AND(F115="Closed",X115&gt;=DATE(2026,6,1),X115&lt;=DATE(2026,6,30)),"Closed in June","other")</f>
        <v/>
      </c>
    </row>
    <row r="116" hidden="1">
      <c r="A116" s="9" t="n">
        <v>46143</v>
      </c>
      <c r="B116" s="1" t="n">
        <v>2026</v>
      </c>
      <c r="C116" s="8" t="inlineStr">
        <is>
          <t>Yanara Power</t>
        </is>
      </c>
      <c r="D116" s="1" t="inlineStr">
        <is>
          <t>Utility and C&amp;I</t>
        </is>
      </c>
      <c r="E116" s="1" t="n"/>
      <c r="F116" s="1" t="inlineStr">
        <is>
          <t>Closed</t>
        </is>
      </c>
      <c r="G116" s="2" t="inlineStr">
        <is>
          <t xml:space="preserve">Ashish Jindal </t>
        </is>
      </c>
      <c r="H116" s="8" t="n">
        <v>9983975581</v>
      </c>
      <c r="I116" s="10" t="inlineStr">
        <is>
          <t>PE01052601</t>
        </is>
      </c>
      <c r="J116" s="8" t="inlineStr">
        <is>
          <t>Multiple Issues</t>
        </is>
      </c>
      <c r="K116" s="11" t="inlineStr">
        <is>
          <t>Holi</t>
        </is>
      </c>
      <c r="L116" s="11" t="inlineStr">
        <is>
          <t>Maharashtra</t>
        </is>
      </c>
      <c r="M116" s="2" t="inlineStr">
        <is>
          <t>NS</t>
        </is>
      </c>
      <c r="N116" s="1" t="inlineStr">
        <is>
          <t>Cold Soldering</t>
        </is>
      </c>
      <c r="O116" s="11" t="n">
        <v>575</v>
      </c>
      <c r="P116" s="2" t="inlineStr">
        <is>
          <t>NSMI24070194266</t>
        </is>
      </c>
      <c r="Q116" s="14">
        <f>MID(P116,5,2)</f>
        <v/>
      </c>
      <c r="R116" s="14">
        <f>MID(P116,7,2)</f>
        <v/>
      </c>
      <c r="S116" s="1" t="inlineStr">
        <is>
          <t>G2G</t>
        </is>
      </c>
      <c r="T116" s="1" t="inlineStr">
        <is>
          <t>P4 - PEIPL</t>
        </is>
      </c>
      <c r="U116" s="1" t="inlineStr">
        <is>
          <t>N JB Cold Soldering</t>
        </is>
      </c>
      <c r="V116" s="1" t="inlineStr">
        <is>
          <t>Soldering</t>
        </is>
      </c>
      <c r="W116" s="1" t="inlineStr">
        <is>
          <t>Repair</t>
        </is>
      </c>
      <c r="X116" s="5" t="n">
        <v>46174</v>
      </c>
      <c r="Y116" s="1">
        <f>IF(X116="","",X116-A116)</f>
        <v/>
      </c>
      <c r="Z116" s="5" t="n">
        <v>46174</v>
      </c>
      <c r="AA116" s="3" t="n"/>
      <c r="AB116" s="3" t="n"/>
      <c r="AE116" s="146">
        <f>IF(AND(F116="Closed",X116&gt;=DATE(2026,6,1),X116&lt;=DATE(2026,6,30)),"Closed in June","other")</f>
        <v/>
      </c>
    </row>
    <row r="117" hidden="1">
      <c r="A117" s="9" t="n">
        <v>46143</v>
      </c>
      <c r="B117" s="1" t="n">
        <v>2026</v>
      </c>
      <c r="C117" s="8" t="inlineStr">
        <is>
          <t>Yanara Power</t>
        </is>
      </c>
      <c r="D117" s="1" t="inlineStr">
        <is>
          <t>Utility and C&amp;I</t>
        </is>
      </c>
      <c r="E117" s="1" t="n"/>
      <c r="F117" s="1" t="inlineStr">
        <is>
          <t>Closed</t>
        </is>
      </c>
      <c r="G117" s="2" t="inlineStr">
        <is>
          <t xml:space="preserve">Ashish Jindal </t>
        </is>
      </c>
      <c r="H117" s="8" t="n">
        <v>9983975581</v>
      </c>
      <c r="I117" s="10" t="inlineStr">
        <is>
          <t>PE01052601</t>
        </is>
      </c>
      <c r="J117" s="8" t="inlineStr">
        <is>
          <t>Multiple Issues</t>
        </is>
      </c>
      <c r="K117" s="11" t="inlineStr">
        <is>
          <t>Holi</t>
        </is>
      </c>
      <c r="L117" s="11" t="inlineStr">
        <is>
          <t>Maharashtra</t>
        </is>
      </c>
      <c r="M117" s="2" t="inlineStr">
        <is>
          <t>NS</t>
        </is>
      </c>
      <c r="N117" s="1" t="inlineStr">
        <is>
          <t>Cold Soldering</t>
        </is>
      </c>
      <c r="O117" s="11" t="n">
        <v>575</v>
      </c>
      <c r="P117" s="2" t="inlineStr">
        <is>
          <t>NSMI24070199015</t>
        </is>
      </c>
      <c r="Q117" s="14">
        <f>MID(P117,5,2)</f>
        <v/>
      </c>
      <c r="R117" s="14">
        <f>MID(P117,7,2)</f>
        <v/>
      </c>
      <c r="S117" s="1" t="inlineStr">
        <is>
          <t>G2G</t>
        </is>
      </c>
      <c r="T117" s="1" t="inlineStr">
        <is>
          <t>P4 - PEIPL</t>
        </is>
      </c>
      <c r="U117" s="1" t="inlineStr">
        <is>
          <t>N JB Cold Soldering</t>
        </is>
      </c>
      <c r="V117" s="1" t="inlineStr">
        <is>
          <t>Soldering</t>
        </is>
      </c>
      <c r="W117" s="1" t="inlineStr">
        <is>
          <t>Repair</t>
        </is>
      </c>
      <c r="X117" s="5" t="n">
        <v>46174</v>
      </c>
      <c r="Y117" s="1">
        <f>IF(X117="","",X117-A117)</f>
        <v/>
      </c>
      <c r="Z117" s="5" t="n">
        <v>46174</v>
      </c>
      <c r="AA117" s="3" t="n"/>
      <c r="AB117" s="3" t="n"/>
      <c r="AE117" s="146">
        <f>IF(AND(F117="Closed",X117&gt;=DATE(2026,6,1),X117&lt;=DATE(2026,6,30)),"Closed in June","other")</f>
        <v/>
      </c>
    </row>
    <row r="118" hidden="1">
      <c r="A118" s="9" t="n">
        <v>46143</v>
      </c>
      <c r="B118" s="1" t="n">
        <v>2026</v>
      </c>
      <c r="C118" s="8" t="inlineStr">
        <is>
          <t>Yanara Power</t>
        </is>
      </c>
      <c r="D118" s="1" t="inlineStr">
        <is>
          <t>Utility and C&amp;I</t>
        </is>
      </c>
      <c r="E118" s="1" t="n"/>
      <c r="F118" s="1" t="inlineStr">
        <is>
          <t>Closed</t>
        </is>
      </c>
      <c r="G118" s="2" t="inlineStr">
        <is>
          <t xml:space="preserve">Ashish Jindal </t>
        </is>
      </c>
      <c r="H118" s="8" t="n">
        <v>9983975581</v>
      </c>
      <c r="I118" s="10" t="inlineStr">
        <is>
          <t>PE01052601</t>
        </is>
      </c>
      <c r="J118" s="8" t="inlineStr">
        <is>
          <t>Multiple Issues</t>
        </is>
      </c>
      <c r="K118" s="11" t="inlineStr">
        <is>
          <t>Holi</t>
        </is>
      </c>
      <c r="L118" s="11" t="inlineStr">
        <is>
          <t>Maharashtra</t>
        </is>
      </c>
      <c r="M118" s="2" t="inlineStr">
        <is>
          <t>PS</t>
        </is>
      </c>
      <c r="N118" s="1" t="inlineStr">
        <is>
          <t>Cold Soldering</t>
        </is>
      </c>
      <c r="O118" s="11" t="n">
        <v>575</v>
      </c>
      <c r="P118" s="2" t="inlineStr">
        <is>
          <t>NSMI24070198976</t>
        </is>
      </c>
      <c r="Q118" s="14">
        <f>MID(P118,5,2)</f>
        <v/>
      </c>
      <c r="R118" s="14">
        <f>MID(P118,7,2)</f>
        <v/>
      </c>
      <c r="S118" s="1" t="inlineStr">
        <is>
          <t>G2G</t>
        </is>
      </c>
      <c r="T118" s="1" t="inlineStr">
        <is>
          <t>P4 - PEIPL</t>
        </is>
      </c>
      <c r="U118" s="6" t="inlineStr">
        <is>
          <t>P JB Cold Soldering</t>
        </is>
      </c>
      <c r="V118" s="6" t="inlineStr">
        <is>
          <t>Soldering</t>
        </is>
      </c>
      <c r="W118" s="1" t="inlineStr">
        <is>
          <t>Repair</t>
        </is>
      </c>
      <c r="X118" s="5" t="n">
        <v>46174</v>
      </c>
      <c r="Y118" s="1">
        <f>IF(X118="","",X118-A118)</f>
        <v/>
      </c>
      <c r="Z118" s="5" t="n">
        <v>46174</v>
      </c>
      <c r="AA118" s="3" t="n"/>
      <c r="AB118" s="3" t="n"/>
      <c r="AE118" s="146">
        <f>IF(AND(F118="Closed",X118&gt;=DATE(2026,6,1),X118&lt;=DATE(2026,6,30)),"Closed in June","other")</f>
        <v/>
      </c>
    </row>
    <row r="119" hidden="1">
      <c r="A119" s="9" t="n">
        <v>46143</v>
      </c>
      <c r="B119" s="1" t="n">
        <v>2026</v>
      </c>
      <c r="C119" s="8" t="inlineStr">
        <is>
          <t>Yanara Power</t>
        </is>
      </c>
      <c r="D119" s="1" t="inlineStr">
        <is>
          <t>Utility and C&amp;I</t>
        </is>
      </c>
      <c r="E119" s="1" t="n"/>
      <c r="F119" s="1" t="inlineStr">
        <is>
          <t>Closed</t>
        </is>
      </c>
      <c r="G119" s="2" t="inlineStr">
        <is>
          <t xml:space="preserve">Ashish Jindal </t>
        </is>
      </c>
      <c r="H119" s="8" t="n">
        <v>9983975581</v>
      </c>
      <c r="I119" s="10" t="inlineStr">
        <is>
          <t>PE01052601</t>
        </is>
      </c>
      <c r="J119" s="8" t="inlineStr">
        <is>
          <t>Multiple Issues</t>
        </is>
      </c>
      <c r="K119" s="11" t="inlineStr">
        <is>
          <t>Holi</t>
        </is>
      </c>
      <c r="L119" s="11" t="inlineStr">
        <is>
          <t>Maharashtra</t>
        </is>
      </c>
      <c r="M119" s="2" t="inlineStr">
        <is>
          <t>PS</t>
        </is>
      </c>
      <c r="N119" s="1" t="inlineStr">
        <is>
          <t>Cold Soldering</t>
        </is>
      </c>
      <c r="O119" s="11" t="n">
        <v>575</v>
      </c>
      <c r="P119" s="2" t="inlineStr">
        <is>
          <t>NSMI24070202350</t>
        </is>
      </c>
      <c r="Q119" s="14">
        <f>MID(P119,5,2)</f>
        <v/>
      </c>
      <c r="R119" s="14">
        <f>MID(P119,7,2)</f>
        <v/>
      </c>
      <c r="S119" s="1" t="inlineStr">
        <is>
          <t>G2G</t>
        </is>
      </c>
      <c r="T119" s="1" t="inlineStr">
        <is>
          <t>P4 - PEIPL</t>
        </is>
      </c>
      <c r="U119" s="6" t="inlineStr">
        <is>
          <t>P JB Cold Soldering</t>
        </is>
      </c>
      <c r="V119" s="6" t="inlineStr">
        <is>
          <t>Soldering</t>
        </is>
      </c>
      <c r="W119" s="1" t="inlineStr">
        <is>
          <t>Repair</t>
        </is>
      </c>
      <c r="X119" s="5" t="n">
        <v>46174</v>
      </c>
      <c r="Y119" s="1">
        <f>IF(X119="","",X119-A119)</f>
        <v/>
      </c>
      <c r="Z119" s="5" t="n">
        <v>46174</v>
      </c>
      <c r="AA119" s="3" t="n"/>
      <c r="AB119" s="3" t="n"/>
      <c r="AE119" s="146">
        <f>IF(AND(F119="Closed",X119&gt;=DATE(2026,6,1),X119&lt;=DATE(2026,6,30)),"Closed in June","other")</f>
        <v/>
      </c>
    </row>
    <row r="120" hidden="1">
      <c r="A120" s="9" t="n">
        <v>46143</v>
      </c>
      <c r="B120" s="1" t="n">
        <v>2026</v>
      </c>
      <c r="C120" s="8" t="inlineStr">
        <is>
          <t>Yanara Power</t>
        </is>
      </c>
      <c r="D120" s="1" t="inlineStr">
        <is>
          <t>Utility and C&amp;I</t>
        </is>
      </c>
      <c r="E120" s="1" t="n"/>
      <c r="F120" s="1" t="inlineStr">
        <is>
          <t>Closed</t>
        </is>
      </c>
      <c r="G120" s="2" t="inlineStr">
        <is>
          <t xml:space="preserve">Ashish Jindal </t>
        </is>
      </c>
      <c r="H120" s="8" t="n">
        <v>9983975581</v>
      </c>
      <c r="I120" s="10" t="inlineStr">
        <is>
          <t>PE01052601</t>
        </is>
      </c>
      <c r="J120" s="8" t="inlineStr">
        <is>
          <t>Multiple Issues</t>
        </is>
      </c>
      <c r="K120" s="11" t="inlineStr">
        <is>
          <t>Holi</t>
        </is>
      </c>
      <c r="L120" s="11" t="inlineStr">
        <is>
          <t>Maharashtra</t>
        </is>
      </c>
      <c r="M120" s="2" t="inlineStr">
        <is>
          <t>PS</t>
        </is>
      </c>
      <c r="N120" s="1" t="inlineStr">
        <is>
          <t>Cold Soldering</t>
        </is>
      </c>
      <c r="O120" s="11" t="n">
        <v>575</v>
      </c>
      <c r="P120" s="2" t="inlineStr">
        <is>
          <t>NSMI24070234853</t>
        </is>
      </c>
      <c r="Q120" s="14">
        <f>MID(P120,5,2)</f>
        <v/>
      </c>
      <c r="R120" s="14">
        <f>MID(P120,7,2)</f>
        <v/>
      </c>
      <c r="S120" s="1" t="inlineStr">
        <is>
          <t>G2G</t>
        </is>
      </c>
      <c r="T120" s="1" t="inlineStr">
        <is>
          <t>P4 - PEIPL</t>
        </is>
      </c>
      <c r="U120" s="6" t="inlineStr">
        <is>
          <t>P JB Cold Soldering</t>
        </is>
      </c>
      <c r="V120" s="6" t="inlineStr">
        <is>
          <t>Soldering</t>
        </is>
      </c>
      <c r="W120" s="1" t="inlineStr">
        <is>
          <t>Repair</t>
        </is>
      </c>
      <c r="X120" s="5" t="n">
        <v>46174</v>
      </c>
      <c r="Y120" s="1">
        <f>IF(X120="","",X120-A120)</f>
        <v/>
      </c>
      <c r="Z120" s="5" t="n">
        <v>46174</v>
      </c>
      <c r="AA120" s="3" t="n"/>
      <c r="AB120" s="3" t="n"/>
      <c r="AE120" s="146">
        <f>IF(AND(F120="Closed",X120&gt;=DATE(2026,6,1),X120&lt;=DATE(2026,6,30)),"Closed in June","other")</f>
        <v/>
      </c>
    </row>
    <row r="121" hidden="1">
      <c r="A121" s="9" t="n">
        <v>46143</v>
      </c>
      <c r="B121" s="1" t="n">
        <v>2026</v>
      </c>
      <c r="C121" s="8" t="inlineStr">
        <is>
          <t>Yanara Power</t>
        </is>
      </c>
      <c r="D121" s="1" t="inlineStr">
        <is>
          <t>Utility and C&amp;I</t>
        </is>
      </c>
      <c r="E121" s="1" t="n"/>
      <c r="F121" s="1" t="inlineStr">
        <is>
          <t>Closed</t>
        </is>
      </c>
      <c r="G121" s="2" t="inlineStr">
        <is>
          <t xml:space="preserve">Ashish Jindal </t>
        </is>
      </c>
      <c r="H121" s="8" t="n">
        <v>9983975581</v>
      </c>
      <c r="I121" s="10" t="inlineStr">
        <is>
          <t>PE01052601</t>
        </is>
      </c>
      <c r="J121" s="8" t="inlineStr">
        <is>
          <t>Multiple Issues</t>
        </is>
      </c>
      <c r="K121" s="11" t="inlineStr">
        <is>
          <t>Holi</t>
        </is>
      </c>
      <c r="L121" s="11" t="inlineStr">
        <is>
          <t>Maharashtra</t>
        </is>
      </c>
      <c r="M121" s="2" t="inlineStr">
        <is>
          <t>PS</t>
        </is>
      </c>
      <c r="N121" s="1" t="inlineStr">
        <is>
          <t>Cold Soldering</t>
        </is>
      </c>
      <c r="O121" s="11" t="n">
        <v>575</v>
      </c>
      <c r="P121" s="2" t="inlineStr">
        <is>
          <t>NSMI24070234877</t>
        </is>
      </c>
      <c r="Q121" s="14">
        <f>MID(P121,5,2)</f>
        <v/>
      </c>
      <c r="R121" s="14">
        <f>MID(P121,7,2)</f>
        <v/>
      </c>
      <c r="S121" s="1" t="inlineStr">
        <is>
          <t>G2G</t>
        </is>
      </c>
      <c r="T121" s="1" t="inlineStr">
        <is>
          <t>P4 - PEIPL</t>
        </is>
      </c>
      <c r="U121" s="6" t="inlineStr">
        <is>
          <t>P JB Cold Soldering</t>
        </is>
      </c>
      <c r="V121" s="6" t="inlineStr">
        <is>
          <t>Soldering</t>
        </is>
      </c>
      <c r="W121" s="1" t="inlineStr">
        <is>
          <t>Repair</t>
        </is>
      </c>
      <c r="X121" s="5" t="n">
        <v>46174</v>
      </c>
      <c r="Y121" s="1">
        <f>IF(X121="","",X121-A121)</f>
        <v/>
      </c>
      <c r="Z121" s="5" t="n">
        <v>46174</v>
      </c>
      <c r="AA121" s="3" t="n"/>
      <c r="AB121" s="3" t="n"/>
      <c r="AE121" s="146">
        <f>IF(AND(F121="Closed",X121&gt;=DATE(2026,6,1),X121&lt;=DATE(2026,6,30)),"Closed in June","other")</f>
        <v/>
      </c>
    </row>
    <row r="122" hidden="1">
      <c r="A122" s="9" t="n">
        <v>46143</v>
      </c>
      <c r="B122" s="1" t="n">
        <v>2026</v>
      </c>
      <c r="C122" s="8" t="inlineStr">
        <is>
          <t>Yanara Power</t>
        </is>
      </c>
      <c r="D122" s="1" t="inlineStr">
        <is>
          <t>Utility and C&amp;I</t>
        </is>
      </c>
      <c r="E122" s="1" t="n"/>
      <c r="F122" s="1" t="inlineStr">
        <is>
          <t>Closed</t>
        </is>
      </c>
      <c r="G122" s="2" t="inlineStr">
        <is>
          <t xml:space="preserve">Ashish Jindal </t>
        </is>
      </c>
      <c r="H122" s="8" t="n">
        <v>9983975581</v>
      </c>
      <c r="I122" s="10" t="inlineStr">
        <is>
          <t>PE01052601</t>
        </is>
      </c>
      <c r="J122" s="8" t="inlineStr">
        <is>
          <t>Multiple Issues</t>
        </is>
      </c>
      <c r="K122" s="11" t="inlineStr">
        <is>
          <t>Holi</t>
        </is>
      </c>
      <c r="L122" s="11" t="inlineStr">
        <is>
          <t>Maharashtra</t>
        </is>
      </c>
      <c r="M122" s="2" t="inlineStr">
        <is>
          <t>PS</t>
        </is>
      </c>
      <c r="N122" s="1" t="inlineStr">
        <is>
          <t>Cold Soldering</t>
        </is>
      </c>
      <c r="O122" s="11" t="n">
        <v>575</v>
      </c>
      <c r="P122" s="2" t="inlineStr">
        <is>
          <t>NSMI24070200765</t>
        </is>
      </c>
      <c r="Q122" s="14">
        <f>MID(P122,5,2)</f>
        <v/>
      </c>
      <c r="R122" s="14">
        <f>MID(P122,7,2)</f>
        <v/>
      </c>
      <c r="S122" s="1" t="inlineStr">
        <is>
          <t>G2G</t>
        </is>
      </c>
      <c r="T122" s="1" t="inlineStr">
        <is>
          <t>P4 - PEIPL</t>
        </is>
      </c>
      <c r="U122" s="6" t="inlineStr">
        <is>
          <t>P JB Cold Soldering</t>
        </is>
      </c>
      <c r="V122" s="6" t="inlineStr">
        <is>
          <t>Soldering</t>
        </is>
      </c>
      <c r="W122" s="1" t="inlineStr">
        <is>
          <t>Repair</t>
        </is>
      </c>
      <c r="X122" s="5" t="n">
        <v>46174</v>
      </c>
      <c r="Y122" s="1">
        <f>IF(X122="","",X122-A122)</f>
        <v/>
      </c>
      <c r="Z122" s="5" t="n">
        <v>46174</v>
      </c>
      <c r="AA122" s="3" t="n"/>
      <c r="AB122" s="3" t="n"/>
      <c r="AE122" s="146">
        <f>IF(AND(F122="Closed",X122&gt;=DATE(2026,6,1),X122&lt;=DATE(2026,6,30)),"Closed in June","other")</f>
        <v/>
      </c>
    </row>
    <row r="123" hidden="1">
      <c r="A123" s="9" t="n">
        <v>46143</v>
      </c>
      <c r="B123" s="1" t="n">
        <v>2026</v>
      </c>
      <c r="C123" s="8" t="inlineStr">
        <is>
          <t>Yanara Power</t>
        </is>
      </c>
      <c r="D123" s="1" t="inlineStr">
        <is>
          <t>Utility and C&amp;I</t>
        </is>
      </c>
      <c r="E123" s="1" t="n"/>
      <c r="F123" s="1" t="inlineStr">
        <is>
          <t>Closed</t>
        </is>
      </c>
      <c r="G123" s="2" t="inlineStr">
        <is>
          <t xml:space="preserve">Ashish Jindal </t>
        </is>
      </c>
      <c r="H123" s="8" t="n">
        <v>9983975581</v>
      </c>
      <c r="I123" s="10" t="inlineStr">
        <is>
          <t>PE01052601</t>
        </is>
      </c>
      <c r="J123" s="8" t="inlineStr">
        <is>
          <t>Multiple Issues</t>
        </is>
      </c>
      <c r="K123" s="11" t="inlineStr">
        <is>
          <t>Holi</t>
        </is>
      </c>
      <c r="L123" s="11" t="inlineStr">
        <is>
          <t>Maharashtra</t>
        </is>
      </c>
      <c r="M123" s="2" t="inlineStr">
        <is>
          <t>PS</t>
        </is>
      </c>
      <c r="N123" s="1" t="inlineStr">
        <is>
          <t>Cold Soldering</t>
        </is>
      </c>
      <c r="O123" s="11" t="n">
        <v>575</v>
      </c>
      <c r="P123" s="2" t="inlineStr">
        <is>
          <t>NSMI24070185114</t>
        </is>
      </c>
      <c r="Q123" s="14">
        <f>MID(P123,5,2)</f>
        <v/>
      </c>
      <c r="R123" s="14">
        <f>MID(P123,7,2)</f>
        <v/>
      </c>
      <c r="S123" s="1" t="inlineStr">
        <is>
          <t>G2G</t>
        </is>
      </c>
      <c r="T123" s="1" t="inlineStr">
        <is>
          <t>P4 - PEIPL</t>
        </is>
      </c>
      <c r="U123" s="6" t="inlineStr">
        <is>
          <t>P JB Cold Soldering</t>
        </is>
      </c>
      <c r="V123" s="6" t="inlineStr">
        <is>
          <t>Soldering</t>
        </is>
      </c>
      <c r="W123" s="1" t="inlineStr">
        <is>
          <t>Repair</t>
        </is>
      </c>
      <c r="X123" s="5" t="n">
        <v>46174</v>
      </c>
      <c r="Y123" s="1">
        <f>IF(X123="","",X123-A123)</f>
        <v/>
      </c>
      <c r="Z123" s="5" t="n">
        <v>46174</v>
      </c>
      <c r="AA123" s="3" t="n"/>
      <c r="AB123" s="3" t="n"/>
      <c r="AE123" s="146">
        <f>IF(AND(F123="Closed",X123&gt;=DATE(2026,6,1),X123&lt;=DATE(2026,6,30)),"Closed in June","other")</f>
        <v/>
      </c>
    </row>
    <row r="124" hidden="1">
      <c r="A124" s="9" t="n">
        <v>46143</v>
      </c>
      <c r="B124" s="1" t="n">
        <v>2026</v>
      </c>
      <c r="C124" s="8" t="inlineStr">
        <is>
          <t>Yanara Power</t>
        </is>
      </c>
      <c r="D124" s="1" t="inlineStr">
        <is>
          <t>Utility and C&amp;I</t>
        </is>
      </c>
      <c r="E124" s="1" t="n"/>
      <c r="F124" s="1" t="inlineStr">
        <is>
          <t>Closed</t>
        </is>
      </c>
      <c r="G124" s="2" t="inlineStr">
        <is>
          <t xml:space="preserve">Ashish Jindal </t>
        </is>
      </c>
      <c r="H124" s="8" t="n">
        <v>9983975581</v>
      </c>
      <c r="I124" s="10" t="inlineStr">
        <is>
          <t>PE01052601</t>
        </is>
      </c>
      <c r="J124" s="8" t="inlineStr">
        <is>
          <t>Multiple Issues</t>
        </is>
      </c>
      <c r="K124" s="11" t="inlineStr">
        <is>
          <t>Holi</t>
        </is>
      </c>
      <c r="L124" s="11" t="inlineStr">
        <is>
          <t>Maharashtra</t>
        </is>
      </c>
      <c r="M124" s="2" t="inlineStr">
        <is>
          <t>PS</t>
        </is>
      </c>
      <c r="N124" s="1" t="inlineStr">
        <is>
          <t>Cold Soldering</t>
        </is>
      </c>
      <c r="O124" s="11" t="n">
        <v>575</v>
      </c>
      <c r="P124" s="2" t="inlineStr">
        <is>
          <t>NSMI24070201553</t>
        </is>
      </c>
      <c r="Q124" s="14">
        <f>MID(P124,5,2)</f>
        <v/>
      </c>
      <c r="R124" s="14">
        <f>MID(P124,7,2)</f>
        <v/>
      </c>
      <c r="S124" s="1" t="inlineStr">
        <is>
          <t>G2G</t>
        </is>
      </c>
      <c r="T124" s="1" t="inlineStr">
        <is>
          <t>P4 - PEIPL</t>
        </is>
      </c>
      <c r="U124" s="6" t="inlineStr">
        <is>
          <t>P JB Cold Soldering</t>
        </is>
      </c>
      <c r="V124" s="6" t="inlineStr">
        <is>
          <t>Soldering</t>
        </is>
      </c>
      <c r="W124" s="1" t="inlineStr">
        <is>
          <t>Repair</t>
        </is>
      </c>
      <c r="X124" s="5" t="n">
        <v>46174</v>
      </c>
      <c r="Y124" s="1">
        <f>IF(X124="","",X124-A124)</f>
        <v/>
      </c>
      <c r="Z124" s="5" t="n">
        <v>46174</v>
      </c>
      <c r="AA124" s="3" t="n"/>
      <c r="AB124" s="3" t="n"/>
      <c r="AE124" s="146">
        <f>IF(AND(F124="Closed",X124&gt;=DATE(2026,6,1),X124&lt;=DATE(2026,6,30)),"Closed in June","other")</f>
        <v/>
      </c>
    </row>
    <row r="125" hidden="1">
      <c r="A125" s="9" t="n">
        <v>46143</v>
      </c>
      <c r="B125" s="1" t="n">
        <v>2026</v>
      </c>
      <c r="C125" s="8" t="inlineStr">
        <is>
          <t>Yanara Power</t>
        </is>
      </c>
      <c r="D125" s="1" t="inlineStr">
        <is>
          <t>Utility and C&amp;I</t>
        </is>
      </c>
      <c r="E125" s="1" t="n"/>
      <c r="F125" s="1" t="inlineStr">
        <is>
          <t>Closed</t>
        </is>
      </c>
      <c r="G125" s="2" t="inlineStr">
        <is>
          <t xml:space="preserve">Ashish Jindal </t>
        </is>
      </c>
      <c r="H125" s="8" t="n">
        <v>9983975581</v>
      </c>
      <c r="I125" s="10" t="inlineStr">
        <is>
          <t>PE01052601</t>
        </is>
      </c>
      <c r="J125" s="8" t="inlineStr">
        <is>
          <t>Multiple Issues</t>
        </is>
      </c>
      <c r="K125" s="11" t="inlineStr">
        <is>
          <t>Holi</t>
        </is>
      </c>
      <c r="L125" s="11" t="inlineStr">
        <is>
          <t>Maharashtra</t>
        </is>
      </c>
      <c r="M125" s="2" t="inlineStr">
        <is>
          <t>PS</t>
        </is>
      </c>
      <c r="N125" s="1" t="inlineStr">
        <is>
          <t>Cold Soldering</t>
        </is>
      </c>
      <c r="O125" s="11" t="n">
        <v>575</v>
      </c>
      <c r="P125" s="2" t="inlineStr">
        <is>
          <t>NSMI24070201590</t>
        </is>
      </c>
      <c r="Q125" s="14">
        <f>MID(P125,5,2)</f>
        <v/>
      </c>
      <c r="R125" s="14">
        <f>MID(P125,7,2)</f>
        <v/>
      </c>
      <c r="S125" s="1" t="inlineStr">
        <is>
          <t>G2G</t>
        </is>
      </c>
      <c r="T125" s="1" t="inlineStr">
        <is>
          <t>P4 - PEIPL</t>
        </is>
      </c>
      <c r="U125" s="6" t="inlineStr">
        <is>
          <t>P JB Cold Soldering</t>
        </is>
      </c>
      <c r="V125" s="6" t="inlineStr">
        <is>
          <t>Soldering</t>
        </is>
      </c>
      <c r="W125" s="1" t="inlineStr">
        <is>
          <t>Repair</t>
        </is>
      </c>
      <c r="X125" s="5" t="n">
        <v>46174</v>
      </c>
      <c r="Y125" s="1">
        <f>IF(X125="","",X125-A125)</f>
        <v/>
      </c>
      <c r="Z125" s="5" t="n">
        <v>46174</v>
      </c>
      <c r="AA125" s="3" t="n"/>
      <c r="AB125" s="3" t="n"/>
      <c r="AE125" s="146">
        <f>IF(AND(F125="Closed",X125&gt;=DATE(2026,6,1),X125&lt;=DATE(2026,6,30)),"Closed in June","other")</f>
        <v/>
      </c>
    </row>
    <row r="126" hidden="1">
      <c r="A126" s="9" t="n">
        <v>46143</v>
      </c>
      <c r="B126" s="1" t="n">
        <v>2026</v>
      </c>
      <c r="C126" s="8" t="inlineStr">
        <is>
          <t>Yanara Power</t>
        </is>
      </c>
      <c r="D126" s="1" t="inlineStr">
        <is>
          <t>Utility and C&amp;I</t>
        </is>
      </c>
      <c r="E126" s="1" t="n"/>
      <c r="F126" s="1" t="inlineStr">
        <is>
          <t>Closed</t>
        </is>
      </c>
      <c r="G126" s="2" t="inlineStr">
        <is>
          <t xml:space="preserve">Ashish Jindal </t>
        </is>
      </c>
      <c r="H126" s="8" t="n">
        <v>9983975581</v>
      </c>
      <c r="I126" s="10" t="inlineStr">
        <is>
          <t>PE01052601</t>
        </is>
      </c>
      <c r="J126" s="8" t="inlineStr">
        <is>
          <t>Multiple Issues</t>
        </is>
      </c>
      <c r="K126" s="11" t="inlineStr">
        <is>
          <t>Holi</t>
        </is>
      </c>
      <c r="L126" s="11" t="inlineStr">
        <is>
          <t>Maharashtra</t>
        </is>
      </c>
      <c r="M126" s="2" t="inlineStr">
        <is>
          <t>NS</t>
        </is>
      </c>
      <c r="N126" s="1" t="inlineStr">
        <is>
          <t>Cold Soldering</t>
        </is>
      </c>
      <c r="O126" s="11" t="n">
        <v>575</v>
      </c>
      <c r="P126" s="2" t="inlineStr">
        <is>
          <t>NSMI24070192706</t>
        </is>
      </c>
      <c r="Q126" s="14">
        <f>MID(P126,5,2)</f>
        <v/>
      </c>
      <c r="R126" s="14">
        <f>MID(P126,7,2)</f>
        <v/>
      </c>
      <c r="S126" s="1" t="inlineStr">
        <is>
          <t>G2G</t>
        </is>
      </c>
      <c r="T126" s="1" t="inlineStr">
        <is>
          <t>P4 - PEIPL</t>
        </is>
      </c>
      <c r="U126" s="1" t="inlineStr">
        <is>
          <t>N JB Cold Soldering</t>
        </is>
      </c>
      <c r="V126" s="1" t="inlineStr">
        <is>
          <t>Soldering</t>
        </is>
      </c>
      <c r="W126" s="1" t="inlineStr">
        <is>
          <t>Repair</t>
        </is>
      </c>
      <c r="X126" s="5" t="n">
        <v>46174</v>
      </c>
      <c r="Y126" s="1">
        <f>IF(X126="","",X126-A126)</f>
        <v/>
      </c>
      <c r="Z126" s="5" t="n">
        <v>46174</v>
      </c>
      <c r="AA126" s="3" t="n"/>
      <c r="AB126" s="3" t="n"/>
      <c r="AE126" s="146">
        <f>IF(AND(F126="Closed",X126&gt;=DATE(2026,6,1),X126&lt;=DATE(2026,6,30)),"Closed in June","other")</f>
        <v/>
      </c>
    </row>
    <row r="127" hidden="1">
      <c r="A127" s="9" t="n">
        <v>46143</v>
      </c>
      <c r="B127" s="1" t="n">
        <v>2026</v>
      </c>
      <c r="C127" s="8" t="inlineStr">
        <is>
          <t>Yanara Power</t>
        </is>
      </c>
      <c r="D127" s="1" t="inlineStr">
        <is>
          <t>Utility and C&amp;I</t>
        </is>
      </c>
      <c r="E127" s="1" t="n"/>
      <c r="F127" s="1" t="inlineStr">
        <is>
          <t>Closed</t>
        </is>
      </c>
      <c r="G127" s="2" t="inlineStr">
        <is>
          <t xml:space="preserve">Ashish Jindal </t>
        </is>
      </c>
      <c r="H127" s="8" t="n">
        <v>9983975581</v>
      </c>
      <c r="I127" s="10" t="inlineStr">
        <is>
          <t>PE01052601</t>
        </is>
      </c>
      <c r="J127" s="8" t="inlineStr">
        <is>
          <t>Multiple Issues</t>
        </is>
      </c>
      <c r="K127" s="11" t="inlineStr">
        <is>
          <t>Holi</t>
        </is>
      </c>
      <c r="L127" s="11" t="inlineStr">
        <is>
          <t>Maharashtra</t>
        </is>
      </c>
      <c r="M127" s="2" t="inlineStr">
        <is>
          <t>PS</t>
        </is>
      </c>
      <c r="N127" s="1" t="inlineStr">
        <is>
          <t>Cold Soldering</t>
        </is>
      </c>
      <c r="O127" s="11" t="n">
        <v>575</v>
      </c>
      <c r="P127" s="2" t="inlineStr">
        <is>
          <t>NSMI24070185732</t>
        </is>
      </c>
      <c r="Q127" s="14">
        <f>MID(P127,5,2)</f>
        <v/>
      </c>
      <c r="R127" s="14">
        <f>MID(P127,7,2)</f>
        <v/>
      </c>
      <c r="S127" s="1" t="inlineStr">
        <is>
          <t>G2G</t>
        </is>
      </c>
      <c r="T127" s="1" t="inlineStr">
        <is>
          <t>P4 - PEIPL</t>
        </is>
      </c>
      <c r="U127" s="6" t="inlineStr">
        <is>
          <t>P JB Cold Soldering</t>
        </is>
      </c>
      <c r="V127" s="6" t="inlineStr">
        <is>
          <t>Soldering</t>
        </is>
      </c>
      <c r="W127" s="1" t="inlineStr">
        <is>
          <t>Repair</t>
        </is>
      </c>
      <c r="X127" s="5" t="n">
        <v>46174</v>
      </c>
      <c r="Y127" s="1">
        <f>IF(X127="","",X127-A127)</f>
        <v/>
      </c>
      <c r="Z127" s="5" t="n">
        <v>46174</v>
      </c>
      <c r="AA127" s="3" t="n"/>
      <c r="AB127" s="3" t="n"/>
      <c r="AE127" s="146">
        <f>IF(AND(F127="Closed",X127&gt;=DATE(2026,6,1),X127&lt;=DATE(2026,6,30)),"Closed in June","other")</f>
        <v/>
      </c>
    </row>
    <row r="128" hidden="1">
      <c r="A128" s="9" t="n">
        <v>46143</v>
      </c>
      <c r="B128" s="1" t="n">
        <v>2026</v>
      </c>
      <c r="C128" s="8" t="inlineStr">
        <is>
          <t>Yanara Power</t>
        </is>
      </c>
      <c r="D128" s="1" t="inlineStr">
        <is>
          <t>Utility and C&amp;I</t>
        </is>
      </c>
      <c r="E128" s="1" t="n"/>
      <c r="F128" s="1" t="inlineStr">
        <is>
          <t>Closed</t>
        </is>
      </c>
      <c r="G128" s="2" t="inlineStr">
        <is>
          <t xml:space="preserve">Ashish Jindal </t>
        </is>
      </c>
      <c r="H128" s="8" t="n">
        <v>9983975581</v>
      </c>
      <c r="I128" s="10" t="inlineStr">
        <is>
          <t>PE01052601</t>
        </is>
      </c>
      <c r="J128" s="8" t="inlineStr">
        <is>
          <t>Multiple Issues</t>
        </is>
      </c>
      <c r="K128" s="11" t="inlineStr">
        <is>
          <t>Holi</t>
        </is>
      </c>
      <c r="L128" s="11" t="inlineStr">
        <is>
          <t>Maharashtra</t>
        </is>
      </c>
      <c r="M128" s="2" t="inlineStr">
        <is>
          <t>PS</t>
        </is>
      </c>
      <c r="N128" s="1" t="inlineStr">
        <is>
          <t>Cold Soldering</t>
        </is>
      </c>
      <c r="O128" s="11" t="n">
        <v>575</v>
      </c>
      <c r="P128" s="2" t="inlineStr">
        <is>
          <t>NSMI24070186011</t>
        </is>
      </c>
      <c r="Q128" s="14">
        <f>MID(P128,5,2)</f>
        <v/>
      </c>
      <c r="R128" s="14">
        <f>MID(P128,7,2)</f>
        <v/>
      </c>
      <c r="S128" s="1" t="inlineStr">
        <is>
          <t>G2G</t>
        </is>
      </c>
      <c r="T128" s="1" t="inlineStr">
        <is>
          <t>P4 - PEIPL</t>
        </is>
      </c>
      <c r="U128" s="6" t="inlineStr">
        <is>
          <t>P JB Cold Soldering</t>
        </is>
      </c>
      <c r="V128" s="6" t="inlineStr">
        <is>
          <t>Soldering</t>
        </is>
      </c>
      <c r="W128" s="1" t="inlineStr">
        <is>
          <t>Repair</t>
        </is>
      </c>
      <c r="X128" s="5" t="n">
        <v>46174</v>
      </c>
      <c r="Y128" s="1">
        <f>IF(X128="","",X128-A128)</f>
        <v/>
      </c>
      <c r="Z128" s="5" t="n">
        <v>46174</v>
      </c>
      <c r="AA128" s="3" t="n"/>
      <c r="AB128" s="3" t="n"/>
      <c r="AE128" s="146">
        <f>IF(AND(F128="Closed",X128&gt;=DATE(2026,6,1),X128&lt;=DATE(2026,6,30)),"Closed in June","other")</f>
        <v/>
      </c>
    </row>
    <row r="129" hidden="1">
      <c r="A129" s="9" t="n">
        <v>46143</v>
      </c>
      <c r="B129" s="1" t="n">
        <v>2026</v>
      </c>
      <c r="C129" s="8" t="inlineStr">
        <is>
          <t>Yanara Power</t>
        </is>
      </c>
      <c r="D129" s="1" t="inlineStr">
        <is>
          <t>Utility and C&amp;I</t>
        </is>
      </c>
      <c r="E129" s="1" t="n"/>
      <c r="F129" s="1" t="inlineStr">
        <is>
          <t>Closed</t>
        </is>
      </c>
      <c r="G129" s="2" t="inlineStr">
        <is>
          <t xml:space="preserve">Ashish Jindal </t>
        </is>
      </c>
      <c r="H129" s="8" t="n">
        <v>9983975581</v>
      </c>
      <c r="I129" s="10" t="inlineStr">
        <is>
          <t>PE01052601</t>
        </is>
      </c>
      <c r="J129" s="8" t="inlineStr">
        <is>
          <t>Multiple Issues</t>
        </is>
      </c>
      <c r="K129" s="11" t="inlineStr">
        <is>
          <t>Holi</t>
        </is>
      </c>
      <c r="L129" s="11" t="inlineStr">
        <is>
          <t>Maharashtra</t>
        </is>
      </c>
      <c r="M129" s="2" t="inlineStr">
        <is>
          <t>NS</t>
        </is>
      </c>
      <c r="N129" s="1" t="inlineStr">
        <is>
          <t>Cold Soldering</t>
        </is>
      </c>
      <c r="O129" s="11" t="n">
        <v>575</v>
      </c>
      <c r="P129" s="2" t="inlineStr">
        <is>
          <t>NSMI24070195468</t>
        </is>
      </c>
      <c r="Q129" s="14">
        <f>MID(P129,5,2)</f>
        <v/>
      </c>
      <c r="R129" s="14">
        <f>MID(P129,7,2)</f>
        <v/>
      </c>
      <c r="S129" s="1" t="inlineStr">
        <is>
          <t>G2G</t>
        </is>
      </c>
      <c r="T129" s="1" t="inlineStr">
        <is>
          <t>P4 - PEIPL</t>
        </is>
      </c>
      <c r="U129" s="1" t="inlineStr">
        <is>
          <t>N JB Cold Soldering</t>
        </is>
      </c>
      <c r="V129" s="1" t="inlineStr">
        <is>
          <t>Soldering</t>
        </is>
      </c>
      <c r="W129" s="1" t="inlineStr">
        <is>
          <t>Repair</t>
        </is>
      </c>
      <c r="X129" s="5" t="n">
        <v>46174</v>
      </c>
      <c r="Y129" s="1">
        <f>IF(X129="","",X129-A129)</f>
        <v/>
      </c>
      <c r="Z129" s="5" t="n">
        <v>46174</v>
      </c>
      <c r="AA129" s="3" t="n"/>
      <c r="AB129" s="3" t="n"/>
      <c r="AE129" s="146">
        <f>IF(AND(F129="Closed",X129&gt;=DATE(2026,6,1),X129&lt;=DATE(2026,6,30)),"Closed in June","other")</f>
        <v/>
      </c>
    </row>
    <row r="130" hidden="1">
      <c r="A130" s="9" t="n">
        <v>46143</v>
      </c>
      <c r="B130" s="1" t="n">
        <v>2026</v>
      </c>
      <c r="C130" s="8" t="inlineStr">
        <is>
          <t>Yanara Power</t>
        </is>
      </c>
      <c r="D130" s="1" t="inlineStr">
        <is>
          <t>Utility and C&amp;I</t>
        </is>
      </c>
      <c r="E130" s="1" t="n"/>
      <c r="F130" s="1" t="inlineStr">
        <is>
          <t>Closed</t>
        </is>
      </c>
      <c r="G130" s="2" t="inlineStr">
        <is>
          <t xml:space="preserve">Ashish Jindal </t>
        </is>
      </c>
      <c r="H130" s="8" t="n">
        <v>9983975581</v>
      </c>
      <c r="I130" s="10" t="inlineStr">
        <is>
          <t>PE01052601</t>
        </is>
      </c>
      <c r="J130" s="8" t="inlineStr">
        <is>
          <t>Multiple Issues</t>
        </is>
      </c>
      <c r="K130" s="11" t="inlineStr">
        <is>
          <t>Holi</t>
        </is>
      </c>
      <c r="L130" s="11" t="inlineStr">
        <is>
          <t>Maharashtra</t>
        </is>
      </c>
      <c r="M130" s="2" t="inlineStr">
        <is>
          <t>PS</t>
        </is>
      </c>
      <c r="N130" s="1" t="inlineStr">
        <is>
          <t>Cold Soldering</t>
        </is>
      </c>
      <c r="O130" s="11" t="n">
        <v>575</v>
      </c>
      <c r="P130" s="2" t="inlineStr">
        <is>
          <t>NSMI24070195410</t>
        </is>
      </c>
      <c r="Q130" s="14">
        <f>MID(P130,5,2)</f>
        <v/>
      </c>
      <c r="R130" s="14">
        <f>MID(P130,7,2)</f>
        <v/>
      </c>
      <c r="S130" s="1" t="inlineStr">
        <is>
          <t>G2G</t>
        </is>
      </c>
      <c r="T130" s="1" t="inlineStr">
        <is>
          <t>P4 - PEIPL</t>
        </is>
      </c>
      <c r="U130" s="6" t="inlineStr">
        <is>
          <t>P JB Cold Soldering</t>
        </is>
      </c>
      <c r="V130" s="6" t="inlineStr">
        <is>
          <t>Soldering</t>
        </is>
      </c>
      <c r="W130" s="1" t="inlineStr">
        <is>
          <t>Repair</t>
        </is>
      </c>
      <c r="X130" s="5" t="n">
        <v>46174</v>
      </c>
      <c r="Y130" s="1">
        <f>IF(X130="","",X130-A130)</f>
        <v/>
      </c>
      <c r="Z130" s="5" t="n">
        <v>46174</v>
      </c>
      <c r="AA130" s="3" t="n"/>
      <c r="AB130" s="3" t="n"/>
      <c r="AE130" s="146">
        <f>IF(AND(F130="Closed",X130&gt;=DATE(2026,6,1),X130&lt;=DATE(2026,6,30)),"Closed in June","other")</f>
        <v/>
      </c>
    </row>
    <row r="131" hidden="1">
      <c r="A131" s="9" t="n">
        <v>46143</v>
      </c>
      <c r="B131" s="1" t="n">
        <v>2026</v>
      </c>
      <c r="C131" s="8" t="inlineStr">
        <is>
          <t>Yanara Power</t>
        </is>
      </c>
      <c r="D131" s="1" t="inlineStr">
        <is>
          <t>Utility and C&amp;I</t>
        </is>
      </c>
      <c r="E131" s="1" t="n"/>
      <c r="F131" s="1" t="inlineStr">
        <is>
          <t>Closed</t>
        </is>
      </c>
      <c r="G131" s="2" t="inlineStr">
        <is>
          <t xml:space="preserve">Ashish Jindal </t>
        </is>
      </c>
      <c r="H131" s="8" t="n">
        <v>9983975581</v>
      </c>
      <c r="I131" s="10" t="inlineStr">
        <is>
          <t>PE01052601</t>
        </is>
      </c>
      <c r="J131" s="8" t="inlineStr">
        <is>
          <t>Multiple Issues</t>
        </is>
      </c>
      <c r="K131" s="11" t="inlineStr">
        <is>
          <t>Holi</t>
        </is>
      </c>
      <c r="L131" s="11" t="inlineStr">
        <is>
          <t>Maharashtra</t>
        </is>
      </c>
      <c r="M131" s="2" t="inlineStr">
        <is>
          <t>PS</t>
        </is>
      </c>
      <c r="N131" s="1" t="inlineStr">
        <is>
          <t>Cold Soldering</t>
        </is>
      </c>
      <c r="O131" s="11" t="n">
        <v>575</v>
      </c>
      <c r="P131" s="2" t="inlineStr">
        <is>
          <t>NSMI24070200629</t>
        </is>
      </c>
      <c r="Q131" s="14">
        <f>MID(P131,5,2)</f>
        <v/>
      </c>
      <c r="R131" s="14">
        <f>MID(P131,7,2)</f>
        <v/>
      </c>
      <c r="S131" s="1" t="inlineStr">
        <is>
          <t>G2G</t>
        </is>
      </c>
      <c r="T131" s="1" t="inlineStr">
        <is>
          <t>P4 - PEIPL</t>
        </is>
      </c>
      <c r="U131" s="6" t="inlineStr">
        <is>
          <t>P JB Cold Soldering</t>
        </is>
      </c>
      <c r="V131" s="6" t="inlineStr">
        <is>
          <t>Soldering</t>
        </is>
      </c>
      <c r="W131" s="1" t="inlineStr">
        <is>
          <t>Repair</t>
        </is>
      </c>
      <c r="X131" s="5" t="n">
        <v>46174</v>
      </c>
      <c r="Y131" s="1">
        <f>IF(X131="","",X131-A131)</f>
        <v/>
      </c>
      <c r="Z131" s="5" t="n">
        <v>46174</v>
      </c>
      <c r="AA131" s="3" t="n"/>
      <c r="AB131" s="3" t="n"/>
      <c r="AE131" s="146">
        <f>IF(AND(F131="Closed",X131&gt;=DATE(2026,6,1),X131&lt;=DATE(2026,6,30)),"Closed in June","other")</f>
        <v/>
      </c>
    </row>
    <row r="132" hidden="1">
      <c r="A132" s="9" t="n">
        <v>46143</v>
      </c>
      <c r="B132" s="1" t="n">
        <v>2026</v>
      </c>
      <c r="C132" s="8" t="inlineStr">
        <is>
          <t>Yanara Power</t>
        </is>
      </c>
      <c r="D132" s="1" t="inlineStr">
        <is>
          <t>Utility and C&amp;I</t>
        </is>
      </c>
      <c r="E132" s="1" t="n"/>
      <c r="F132" s="1" t="inlineStr">
        <is>
          <t>Closed</t>
        </is>
      </c>
      <c r="G132" s="2" t="inlineStr">
        <is>
          <t xml:space="preserve">Ashish Jindal </t>
        </is>
      </c>
      <c r="H132" s="8" t="n">
        <v>9983975581</v>
      </c>
      <c r="I132" s="10" t="inlineStr">
        <is>
          <t>PE01052601</t>
        </is>
      </c>
      <c r="J132" s="8" t="inlineStr">
        <is>
          <t>Multiple Issues</t>
        </is>
      </c>
      <c r="K132" s="11" t="inlineStr">
        <is>
          <t>Holi</t>
        </is>
      </c>
      <c r="L132" s="11" t="inlineStr">
        <is>
          <t>Maharashtra</t>
        </is>
      </c>
      <c r="M132" s="2" t="inlineStr">
        <is>
          <t>PS</t>
        </is>
      </c>
      <c r="N132" s="1" t="inlineStr">
        <is>
          <t>Cold Soldering</t>
        </is>
      </c>
      <c r="O132" s="11" t="n">
        <v>575</v>
      </c>
      <c r="P132" s="2" t="inlineStr">
        <is>
          <t>NSMI24070200734</t>
        </is>
      </c>
      <c r="Q132" s="14">
        <f>MID(P132,5,2)</f>
        <v/>
      </c>
      <c r="R132" s="14">
        <f>MID(P132,7,2)</f>
        <v/>
      </c>
      <c r="S132" s="1" t="inlineStr">
        <is>
          <t>G2G</t>
        </is>
      </c>
      <c r="T132" s="1" t="inlineStr">
        <is>
          <t>P4 - PEIPL</t>
        </is>
      </c>
      <c r="U132" s="6" t="inlineStr">
        <is>
          <t>P JB Cold Soldering</t>
        </is>
      </c>
      <c r="V132" s="6" t="inlineStr">
        <is>
          <t>Soldering</t>
        </is>
      </c>
      <c r="W132" s="1" t="inlineStr">
        <is>
          <t>Repair</t>
        </is>
      </c>
      <c r="X132" s="5" t="n">
        <v>46174</v>
      </c>
      <c r="Y132" s="1">
        <f>IF(X132="","",X132-A132)</f>
        <v/>
      </c>
      <c r="Z132" s="5" t="n">
        <v>46174</v>
      </c>
      <c r="AA132" s="3" t="n"/>
      <c r="AB132" s="3" t="n"/>
      <c r="AE132" s="146">
        <f>IF(AND(F132="Closed",X132&gt;=DATE(2026,6,1),X132&lt;=DATE(2026,6,30)),"Closed in June","other")</f>
        <v/>
      </c>
    </row>
    <row r="133" hidden="1">
      <c r="A133" s="9" t="n">
        <v>46143</v>
      </c>
      <c r="B133" s="1" t="n">
        <v>2026</v>
      </c>
      <c r="C133" s="8" t="inlineStr">
        <is>
          <t>Yanara Power</t>
        </is>
      </c>
      <c r="D133" s="1" t="inlineStr">
        <is>
          <t>Utility and C&amp;I</t>
        </is>
      </c>
      <c r="E133" s="1" t="n"/>
      <c r="F133" s="1" t="inlineStr">
        <is>
          <t>Closed</t>
        </is>
      </c>
      <c r="G133" s="2" t="inlineStr">
        <is>
          <t xml:space="preserve">Ashish Jindal </t>
        </is>
      </c>
      <c r="H133" s="8" t="n">
        <v>9983975581</v>
      </c>
      <c r="I133" s="10" t="inlineStr">
        <is>
          <t>PE01052601</t>
        </is>
      </c>
      <c r="J133" s="8" t="inlineStr">
        <is>
          <t>Multiple Issues</t>
        </is>
      </c>
      <c r="K133" s="11" t="inlineStr">
        <is>
          <t>Holi</t>
        </is>
      </c>
      <c r="L133" s="11" t="inlineStr">
        <is>
          <t>Maharashtra</t>
        </is>
      </c>
      <c r="M133" s="2" t="inlineStr">
        <is>
          <t>PS</t>
        </is>
      </c>
      <c r="N133" s="1" t="inlineStr">
        <is>
          <t>Cold Soldering</t>
        </is>
      </c>
      <c r="O133" s="11" t="n">
        <v>575</v>
      </c>
      <c r="P133" s="2" t="inlineStr">
        <is>
          <t>NSMI24070200718</t>
        </is>
      </c>
      <c r="Q133" s="14">
        <f>MID(P133,5,2)</f>
        <v/>
      </c>
      <c r="R133" s="14">
        <f>MID(P133,7,2)</f>
        <v/>
      </c>
      <c r="S133" s="1" t="inlineStr">
        <is>
          <t>G2G</t>
        </is>
      </c>
      <c r="T133" s="1" t="inlineStr">
        <is>
          <t>P4 - PEIPL</t>
        </is>
      </c>
      <c r="U133" s="6" t="inlineStr">
        <is>
          <t>P JB Cold Soldering</t>
        </is>
      </c>
      <c r="V133" s="6" t="inlineStr">
        <is>
          <t>Soldering</t>
        </is>
      </c>
      <c r="W133" s="1" t="inlineStr">
        <is>
          <t>Repair</t>
        </is>
      </c>
      <c r="X133" s="5" t="n">
        <v>46174</v>
      </c>
      <c r="Y133" s="1">
        <f>IF(X133="","",X133-A133)</f>
        <v/>
      </c>
      <c r="Z133" s="5" t="n">
        <v>46174</v>
      </c>
      <c r="AA133" s="3" t="n"/>
      <c r="AB133" s="3" t="n"/>
      <c r="AE133" s="146">
        <f>IF(AND(F133="Closed",X133&gt;=DATE(2026,6,1),X133&lt;=DATE(2026,6,30)),"Closed in June","other")</f>
        <v/>
      </c>
    </row>
    <row r="134" hidden="1">
      <c r="A134" s="9" t="n">
        <v>46143</v>
      </c>
      <c r="B134" s="1" t="n">
        <v>2026</v>
      </c>
      <c r="C134" s="8" t="inlineStr">
        <is>
          <t>Yanara Power</t>
        </is>
      </c>
      <c r="D134" s="1" t="inlineStr">
        <is>
          <t>Utility and C&amp;I</t>
        </is>
      </c>
      <c r="E134" s="1" t="n"/>
      <c r="F134" s="1" t="inlineStr">
        <is>
          <t>Closed</t>
        </is>
      </c>
      <c r="G134" s="2" t="inlineStr">
        <is>
          <t xml:space="preserve">Ashish Jindal </t>
        </is>
      </c>
      <c r="H134" s="8" t="n">
        <v>9983975581</v>
      </c>
      <c r="I134" s="10" t="inlineStr">
        <is>
          <t>PE01052601</t>
        </is>
      </c>
      <c r="J134" s="8" t="inlineStr">
        <is>
          <t>Multiple Issues</t>
        </is>
      </c>
      <c r="K134" s="11" t="inlineStr">
        <is>
          <t>Holi</t>
        </is>
      </c>
      <c r="L134" s="11" t="inlineStr">
        <is>
          <t>Maharashtra</t>
        </is>
      </c>
      <c r="M134" s="2" t="inlineStr">
        <is>
          <t>PNR</t>
        </is>
      </c>
      <c r="N134" s="1" t="inlineStr">
        <is>
          <t>JB Issue</t>
        </is>
      </c>
      <c r="O134" s="11" t="n">
        <v>575</v>
      </c>
      <c r="P134" s="2" t="inlineStr">
        <is>
          <t>NSMI24070200533</t>
        </is>
      </c>
      <c r="Q134" s="14">
        <f>MID(P134,5,2)</f>
        <v/>
      </c>
      <c r="R134" s="14">
        <f>MID(P134,7,2)</f>
        <v/>
      </c>
      <c r="S134" s="1" t="inlineStr">
        <is>
          <t>G2G</t>
        </is>
      </c>
      <c r="T134" s="1" t="inlineStr">
        <is>
          <t>P4 - PEIPL</t>
        </is>
      </c>
      <c r="U134" s="1" t="inlineStr">
        <is>
          <t>P &amp; N JB Reverse</t>
        </is>
      </c>
      <c r="V134" s="3" t="inlineStr">
        <is>
          <t>JB Changed</t>
        </is>
      </c>
      <c r="W134" s="1" t="inlineStr">
        <is>
          <t>Repair</t>
        </is>
      </c>
      <c r="X134" s="5" t="n">
        <v>46174</v>
      </c>
      <c r="Y134" s="1">
        <f>IF(X134="","",X134-A134)</f>
        <v/>
      </c>
      <c r="Z134" s="5" t="n">
        <v>46174</v>
      </c>
      <c r="AA134" s="3" t="n"/>
      <c r="AB134" s="3" t="n"/>
      <c r="AE134" s="146">
        <f>IF(AND(F134="Closed",X134&gt;=DATE(2026,6,1),X134&lt;=DATE(2026,6,30)),"Closed in June","other")</f>
        <v/>
      </c>
    </row>
    <row r="135" hidden="1">
      <c r="A135" s="9" t="n">
        <v>46143</v>
      </c>
      <c r="B135" s="1" t="n">
        <v>2026</v>
      </c>
      <c r="C135" s="8" t="inlineStr">
        <is>
          <t>Yanara Power</t>
        </is>
      </c>
      <c r="D135" s="1" t="inlineStr">
        <is>
          <t>Utility and C&amp;I</t>
        </is>
      </c>
      <c r="E135" s="1" t="n"/>
      <c r="F135" s="1" t="inlineStr">
        <is>
          <t>Closed</t>
        </is>
      </c>
      <c r="G135" s="2" t="inlineStr">
        <is>
          <t xml:space="preserve">Ashish Jindal </t>
        </is>
      </c>
      <c r="H135" s="8" t="n">
        <v>9983975581</v>
      </c>
      <c r="I135" s="10" t="inlineStr">
        <is>
          <t>PE01052601</t>
        </is>
      </c>
      <c r="J135" s="8" t="inlineStr">
        <is>
          <t>Multiple Issues</t>
        </is>
      </c>
      <c r="K135" s="11" t="inlineStr">
        <is>
          <t>Holi</t>
        </is>
      </c>
      <c r="L135" s="11" t="inlineStr">
        <is>
          <t>Maharashtra</t>
        </is>
      </c>
      <c r="M135" s="2" t="inlineStr">
        <is>
          <t>PS</t>
        </is>
      </c>
      <c r="N135" s="1" t="inlineStr">
        <is>
          <t>Cold Soldering</t>
        </is>
      </c>
      <c r="O135" s="11" t="n">
        <v>575</v>
      </c>
      <c r="P135" s="2" t="inlineStr">
        <is>
          <t>NSMI24070191728</t>
        </is>
      </c>
      <c r="Q135" s="14">
        <f>MID(P135,5,2)</f>
        <v/>
      </c>
      <c r="R135" s="14">
        <f>MID(P135,7,2)</f>
        <v/>
      </c>
      <c r="S135" s="1" t="inlineStr">
        <is>
          <t>G2G</t>
        </is>
      </c>
      <c r="T135" s="1" t="inlineStr">
        <is>
          <t>P4 - PEIPL</t>
        </is>
      </c>
      <c r="U135" s="6" t="inlineStr">
        <is>
          <t>P JB Cold Soldering</t>
        </is>
      </c>
      <c r="V135" s="6" t="inlineStr">
        <is>
          <t>Soldering</t>
        </is>
      </c>
      <c r="W135" s="1" t="inlineStr">
        <is>
          <t>Repair</t>
        </is>
      </c>
      <c r="X135" s="5" t="n">
        <v>46174</v>
      </c>
      <c r="Y135" s="1">
        <f>IF(X135="","",X135-A135)</f>
        <v/>
      </c>
      <c r="Z135" s="5" t="n">
        <v>46174</v>
      </c>
      <c r="AA135" s="3" t="n"/>
      <c r="AB135" s="3" t="n"/>
      <c r="AE135" s="146">
        <f>IF(AND(F135="Closed",X135&gt;=DATE(2026,6,1),X135&lt;=DATE(2026,6,30)),"Closed in June","other")</f>
        <v/>
      </c>
    </row>
    <row r="136" hidden="1">
      <c r="A136" s="9" t="n">
        <v>46143</v>
      </c>
      <c r="B136" s="1" t="n">
        <v>2026</v>
      </c>
      <c r="C136" s="8" t="inlineStr">
        <is>
          <t>Yanara Power</t>
        </is>
      </c>
      <c r="D136" s="1" t="inlineStr">
        <is>
          <t>Utility and C&amp;I</t>
        </is>
      </c>
      <c r="E136" s="1" t="n"/>
      <c r="F136" s="1" t="inlineStr">
        <is>
          <t>Closed</t>
        </is>
      </c>
      <c r="G136" s="2" t="inlineStr">
        <is>
          <t xml:space="preserve">Ashish Jindal </t>
        </is>
      </c>
      <c r="H136" s="8" t="n">
        <v>9983975581</v>
      </c>
      <c r="I136" s="10" t="inlineStr">
        <is>
          <t>PE01052601</t>
        </is>
      </c>
      <c r="J136" s="8" t="inlineStr">
        <is>
          <t>Multiple Issues</t>
        </is>
      </c>
      <c r="K136" s="11" t="inlineStr">
        <is>
          <t>Holi</t>
        </is>
      </c>
      <c r="L136" s="11" t="inlineStr">
        <is>
          <t>Maharashtra</t>
        </is>
      </c>
      <c r="M136" s="2" t="inlineStr">
        <is>
          <t>NS</t>
        </is>
      </c>
      <c r="N136" s="1" t="inlineStr">
        <is>
          <t>Cold Soldering</t>
        </is>
      </c>
      <c r="O136" s="11" t="n">
        <v>575</v>
      </c>
      <c r="P136" s="2" t="inlineStr">
        <is>
          <t>NSMI24070194720</t>
        </is>
      </c>
      <c r="Q136" s="14">
        <f>MID(P136,5,2)</f>
        <v/>
      </c>
      <c r="R136" s="14">
        <f>MID(P136,7,2)</f>
        <v/>
      </c>
      <c r="S136" s="1" t="inlineStr">
        <is>
          <t>G2G</t>
        </is>
      </c>
      <c r="T136" s="1" t="inlineStr">
        <is>
          <t>P4 - PEIPL</t>
        </is>
      </c>
      <c r="U136" s="1" t="inlineStr">
        <is>
          <t>N JB Cold Soldering</t>
        </is>
      </c>
      <c r="V136" s="1" t="inlineStr">
        <is>
          <t>Soldering</t>
        </is>
      </c>
      <c r="W136" s="1" t="inlineStr">
        <is>
          <t>Repair</t>
        </is>
      </c>
      <c r="X136" s="5" t="n">
        <v>46174</v>
      </c>
      <c r="Y136" s="1">
        <f>IF(X136="","",X136-A136)</f>
        <v/>
      </c>
      <c r="Z136" s="5" t="n">
        <v>46174</v>
      </c>
      <c r="AA136" s="3" t="n"/>
      <c r="AB136" s="3" t="n"/>
      <c r="AE136" s="146">
        <f>IF(AND(F136="Closed",X136&gt;=DATE(2026,6,1),X136&lt;=DATE(2026,6,30)),"Closed in June","other")</f>
        <v/>
      </c>
    </row>
    <row r="137" hidden="1">
      <c r="A137" s="9" t="n">
        <v>46143</v>
      </c>
      <c r="B137" s="1" t="n">
        <v>2026</v>
      </c>
      <c r="C137" s="8" t="inlineStr">
        <is>
          <t>Yanara Power</t>
        </is>
      </c>
      <c r="D137" s="1" t="inlineStr">
        <is>
          <t>Utility and C&amp;I</t>
        </is>
      </c>
      <c r="E137" s="1" t="n"/>
      <c r="F137" s="1" t="inlineStr">
        <is>
          <t>Closed</t>
        </is>
      </c>
      <c r="G137" s="2" t="inlineStr">
        <is>
          <t xml:space="preserve">Ashish Jindal </t>
        </is>
      </c>
      <c r="H137" s="8" t="n">
        <v>9983975581</v>
      </c>
      <c r="I137" s="10" t="inlineStr">
        <is>
          <t>PE01052601</t>
        </is>
      </c>
      <c r="J137" s="8" t="inlineStr">
        <is>
          <t>Multiple Issues</t>
        </is>
      </c>
      <c r="K137" s="11" t="inlineStr">
        <is>
          <t>Holi</t>
        </is>
      </c>
      <c r="L137" s="11" t="inlineStr">
        <is>
          <t>Maharashtra</t>
        </is>
      </c>
      <c r="M137" s="2" t="inlineStr">
        <is>
          <t>PS</t>
        </is>
      </c>
      <c r="N137" s="1" t="inlineStr">
        <is>
          <t>Cold Soldering</t>
        </is>
      </c>
      <c r="O137" s="11" t="n">
        <v>575</v>
      </c>
      <c r="P137" s="2" t="inlineStr">
        <is>
          <t>NSMI24070186864</t>
        </is>
      </c>
      <c r="Q137" s="14">
        <f>MID(P137,5,2)</f>
        <v/>
      </c>
      <c r="R137" s="14">
        <f>MID(P137,7,2)</f>
        <v/>
      </c>
      <c r="S137" s="1" t="inlineStr">
        <is>
          <t>G2G</t>
        </is>
      </c>
      <c r="T137" s="1" t="inlineStr">
        <is>
          <t>P4 - PEIPL</t>
        </is>
      </c>
      <c r="U137" s="6" t="inlineStr">
        <is>
          <t>P JB Cold Soldering</t>
        </is>
      </c>
      <c r="V137" s="6" t="inlineStr">
        <is>
          <t>Soldering</t>
        </is>
      </c>
      <c r="W137" s="1" t="inlineStr">
        <is>
          <t>Repair</t>
        </is>
      </c>
      <c r="X137" s="5" t="n">
        <v>46174</v>
      </c>
      <c r="Y137" s="1">
        <f>IF(X137="","",X137-A137)</f>
        <v/>
      </c>
      <c r="Z137" s="5" t="n">
        <v>46174</v>
      </c>
      <c r="AA137" s="3" t="n"/>
      <c r="AB137" s="3" t="n"/>
      <c r="AE137" s="146">
        <f>IF(AND(F137="Closed",X137&gt;=DATE(2026,6,1),X137&lt;=DATE(2026,6,30)),"Closed in June","other")</f>
        <v/>
      </c>
    </row>
    <row r="138" hidden="1">
      <c r="A138" s="9" t="n">
        <v>46143</v>
      </c>
      <c r="B138" s="1" t="n">
        <v>2026</v>
      </c>
      <c r="C138" s="8" t="inlineStr">
        <is>
          <t>Yanara Power</t>
        </is>
      </c>
      <c r="D138" s="1" t="inlineStr">
        <is>
          <t>Utility and C&amp;I</t>
        </is>
      </c>
      <c r="E138" s="1" t="n"/>
      <c r="F138" s="1" t="inlineStr">
        <is>
          <t>Closed</t>
        </is>
      </c>
      <c r="G138" s="2" t="inlineStr">
        <is>
          <t xml:space="preserve">Ashish Jindal </t>
        </is>
      </c>
      <c r="H138" s="8" t="n">
        <v>9983975581</v>
      </c>
      <c r="I138" s="10" t="inlineStr">
        <is>
          <t>PE01052601</t>
        </is>
      </c>
      <c r="J138" s="8" t="inlineStr">
        <is>
          <t>Multiple Issues</t>
        </is>
      </c>
      <c r="K138" s="11" t="inlineStr">
        <is>
          <t>Holi</t>
        </is>
      </c>
      <c r="L138" s="11" t="inlineStr">
        <is>
          <t>Maharashtra</t>
        </is>
      </c>
      <c r="M138" s="2" t="inlineStr">
        <is>
          <t>NS</t>
        </is>
      </c>
      <c r="N138" s="1" t="inlineStr">
        <is>
          <t>Cold Soldering</t>
        </is>
      </c>
      <c r="O138" s="11" t="n">
        <v>575</v>
      </c>
      <c r="P138" s="2" t="inlineStr">
        <is>
          <t>NSMI24070195929</t>
        </is>
      </c>
      <c r="Q138" s="14">
        <f>MID(P138,5,2)</f>
        <v/>
      </c>
      <c r="R138" s="14">
        <f>MID(P138,7,2)</f>
        <v/>
      </c>
      <c r="S138" s="1" t="inlineStr">
        <is>
          <t>G2G</t>
        </is>
      </c>
      <c r="T138" s="1" t="inlineStr">
        <is>
          <t>P4 - PEIPL</t>
        </is>
      </c>
      <c r="U138" s="1" t="inlineStr">
        <is>
          <t>N JB Cold Soldering</t>
        </is>
      </c>
      <c r="V138" s="1" t="inlineStr">
        <is>
          <t>Soldering</t>
        </is>
      </c>
      <c r="W138" s="1" t="inlineStr">
        <is>
          <t>Repair</t>
        </is>
      </c>
      <c r="X138" s="5" t="n">
        <v>46174</v>
      </c>
      <c r="Y138" s="1">
        <f>IF(X138="","",X138-A138)</f>
        <v/>
      </c>
      <c r="Z138" s="5" t="n">
        <v>46174</v>
      </c>
      <c r="AA138" s="3" t="n"/>
      <c r="AB138" s="3" t="n"/>
      <c r="AE138" s="146">
        <f>IF(AND(F138="Closed",X138&gt;=DATE(2026,6,1),X138&lt;=DATE(2026,6,30)),"Closed in June","other")</f>
        <v/>
      </c>
    </row>
    <row r="139" hidden="1">
      <c r="A139" s="9" t="n">
        <v>46143</v>
      </c>
      <c r="B139" s="1" t="n">
        <v>2026</v>
      </c>
      <c r="C139" s="8" t="inlineStr">
        <is>
          <t>Yanara Power</t>
        </is>
      </c>
      <c r="D139" s="1" t="inlineStr">
        <is>
          <t>Utility and C&amp;I</t>
        </is>
      </c>
      <c r="E139" s="1" t="n"/>
      <c r="F139" s="1" t="inlineStr">
        <is>
          <t>Closed</t>
        </is>
      </c>
      <c r="G139" s="2" t="inlineStr">
        <is>
          <t xml:space="preserve">Ashish Jindal </t>
        </is>
      </c>
      <c r="H139" s="8" t="n">
        <v>9983975581</v>
      </c>
      <c r="I139" s="10" t="inlineStr">
        <is>
          <t>PE01052601</t>
        </is>
      </c>
      <c r="J139" s="8" t="inlineStr">
        <is>
          <t>Multiple Issues</t>
        </is>
      </c>
      <c r="K139" s="11" t="inlineStr">
        <is>
          <t>Holi</t>
        </is>
      </c>
      <c r="L139" s="11" t="inlineStr">
        <is>
          <t>Maharashtra</t>
        </is>
      </c>
      <c r="M139" s="2" t="inlineStr">
        <is>
          <t>NS</t>
        </is>
      </c>
      <c r="N139" s="1" t="inlineStr">
        <is>
          <t>Cold Soldering</t>
        </is>
      </c>
      <c r="O139" s="11" t="n">
        <v>575</v>
      </c>
      <c r="P139" s="2" t="inlineStr">
        <is>
          <t>NSMI24070195837</t>
        </is>
      </c>
      <c r="Q139" s="14">
        <f>MID(P139,5,2)</f>
        <v/>
      </c>
      <c r="R139" s="14">
        <f>MID(P139,7,2)</f>
        <v/>
      </c>
      <c r="S139" s="1" t="inlineStr">
        <is>
          <t>G2G</t>
        </is>
      </c>
      <c r="T139" s="1" t="inlineStr">
        <is>
          <t>P4 - PEIPL</t>
        </is>
      </c>
      <c r="U139" s="1" t="inlineStr">
        <is>
          <t>N JB Cold Soldering</t>
        </is>
      </c>
      <c r="V139" s="1" t="inlineStr">
        <is>
          <t>Soldering</t>
        </is>
      </c>
      <c r="W139" s="1" t="inlineStr">
        <is>
          <t>Repair</t>
        </is>
      </c>
      <c r="X139" s="5" t="n">
        <v>46174</v>
      </c>
      <c r="Y139" s="1">
        <f>IF(X139="","",X139-A139)</f>
        <v/>
      </c>
      <c r="Z139" s="5" t="n">
        <v>46174</v>
      </c>
      <c r="AA139" s="3" t="n"/>
      <c r="AB139" s="3" t="n"/>
      <c r="AE139" s="146">
        <f>IF(AND(F139="Closed",X139&gt;=DATE(2026,6,1),X139&lt;=DATE(2026,6,30)),"Closed in June","other")</f>
        <v/>
      </c>
    </row>
    <row r="140" hidden="1">
      <c r="A140" s="9" t="n">
        <v>46143</v>
      </c>
      <c r="B140" s="1" t="n">
        <v>2026</v>
      </c>
      <c r="C140" s="8" t="inlineStr">
        <is>
          <t>Yanara Power</t>
        </is>
      </c>
      <c r="D140" s="1" t="inlineStr">
        <is>
          <t>Utility and C&amp;I</t>
        </is>
      </c>
      <c r="E140" s="1" t="n"/>
      <c r="F140" s="1" t="inlineStr">
        <is>
          <t>Closed</t>
        </is>
      </c>
      <c r="G140" s="2" t="inlineStr">
        <is>
          <t xml:space="preserve">Ashish Jindal </t>
        </is>
      </c>
      <c r="H140" s="8" t="n">
        <v>9983975581</v>
      </c>
      <c r="I140" s="10" t="inlineStr">
        <is>
          <t>PE01052601</t>
        </is>
      </c>
      <c r="J140" s="8" t="inlineStr">
        <is>
          <t>Multiple Issues</t>
        </is>
      </c>
      <c r="K140" s="11" t="inlineStr">
        <is>
          <t>Holi</t>
        </is>
      </c>
      <c r="L140" s="11" t="inlineStr">
        <is>
          <t>Maharashtra</t>
        </is>
      </c>
      <c r="M140" s="2" t="inlineStr">
        <is>
          <t>PS</t>
        </is>
      </c>
      <c r="N140" s="1" t="inlineStr">
        <is>
          <t>Cold Soldering</t>
        </is>
      </c>
      <c r="O140" s="11" t="n">
        <v>575</v>
      </c>
      <c r="P140" s="2" t="inlineStr">
        <is>
          <t>NSMI24070196973</t>
        </is>
      </c>
      <c r="Q140" s="14">
        <f>MID(P140,5,2)</f>
        <v/>
      </c>
      <c r="R140" s="14">
        <f>MID(P140,7,2)</f>
        <v/>
      </c>
      <c r="S140" s="1" t="inlineStr">
        <is>
          <t>G2G</t>
        </is>
      </c>
      <c r="T140" s="1" t="inlineStr">
        <is>
          <t>P4 - PEIPL</t>
        </is>
      </c>
      <c r="U140" s="6" t="inlineStr">
        <is>
          <t>P JB Cold Soldering</t>
        </is>
      </c>
      <c r="V140" s="6" t="inlineStr">
        <is>
          <t>Soldering</t>
        </is>
      </c>
      <c r="W140" s="1" t="inlineStr">
        <is>
          <t>Repair</t>
        </is>
      </c>
      <c r="X140" s="5" t="n">
        <v>46174</v>
      </c>
      <c r="Y140" s="1">
        <f>IF(X140="","",X140-A140)</f>
        <v/>
      </c>
      <c r="Z140" s="5" t="n">
        <v>46174</v>
      </c>
      <c r="AA140" s="3" t="n"/>
      <c r="AB140" s="3" t="n"/>
      <c r="AE140" s="146">
        <f>IF(AND(F140="Closed",X140&gt;=DATE(2026,6,1),X140&lt;=DATE(2026,6,30)),"Closed in June","other")</f>
        <v/>
      </c>
    </row>
    <row r="141" hidden="1">
      <c r="A141" s="9" t="n">
        <v>46143</v>
      </c>
      <c r="B141" s="1" t="n">
        <v>2026</v>
      </c>
      <c r="C141" s="8" t="inlineStr">
        <is>
          <t>Yanara Power</t>
        </is>
      </c>
      <c r="D141" s="1" t="inlineStr">
        <is>
          <t>Utility and C&amp;I</t>
        </is>
      </c>
      <c r="E141" s="1" t="n"/>
      <c r="F141" s="1" t="inlineStr">
        <is>
          <t>Closed</t>
        </is>
      </c>
      <c r="G141" s="2" t="inlineStr">
        <is>
          <t xml:space="preserve">Ashish Jindal </t>
        </is>
      </c>
      <c r="H141" s="8" t="n">
        <v>9983975581</v>
      </c>
      <c r="I141" s="10" t="inlineStr">
        <is>
          <t>PE01052601</t>
        </is>
      </c>
      <c r="J141" s="8" t="inlineStr">
        <is>
          <t>Multiple Issues</t>
        </is>
      </c>
      <c r="K141" s="11" t="inlineStr">
        <is>
          <t>Holi</t>
        </is>
      </c>
      <c r="L141" s="11" t="inlineStr">
        <is>
          <t>Maharashtra</t>
        </is>
      </c>
      <c r="M141" s="2" t="inlineStr">
        <is>
          <t>NS</t>
        </is>
      </c>
      <c r="N141" s="1" t="inlineStr">
        <is>
          <t>Cold Soldering</t>
        </is>
      </c>
      <c r="O141" s="11" t="n">
        <v>575</v>
      </c>
      <c r="P141" s="2" t="inlineStr">
        <is>
          <t>NSMI24070195796</t>
        </is>
      </c>
      <c r="Q141" s="14">
        <f>MID(P141,5,2)</f>
        <v/>
      </c>
      <c r="R141" s="14">
        <f>MID(P141,7,2)</f>
        <v/>
      </c>
      <c r="S141" s="1" t="inlineStr">
        <is>
          <t>G2G</t>
        </is>
      </c>
      <c r="T141" s="1" t="inlineStr">
        <is>
          <t>P4 - PEIPL</t>
        </is>
      </c>
      <c r="U141" s="1" t="inlineStr">
        <is>
          <t>N JB Cold Soldering</t>
        </is>
      </c>
      <c r="V141" s="1" t="inlineStr">
        <is>
          <t>Soldering</t>
        </is>
      </c>
      <c r="W141" s="1" t="inlineStr">
        <is>
          <t>Repair</t>
        </is>
      </c>
      <c r="X141" s="5" t="n">
        <v>46174</v>
      </c>
      <c r="Y141" s="1">
        <f>IF(X141="","",X141-A141)</f>
        <v/>
      </c>
      <c r="Z141" s="5" t="n">
        <v>46174</v>
      </c>
      <c r="AA141" s="3" t="n"/>
      <c r="AB141" s="3" t="n"/>
      <c r="AE141" s="146">
        <f>IF(AND(F141="Closed",X141&gt;=DATE(2026,6,1),X141&lt;=DATE(2026,6,30)),"Closed in June","other")</f>
        <v/>
      </c>
    </row>
    <row r="142" hidden="1">
      <c r="A142" s="9" t="n">
        <v>46143</v>
      </c>
      <c r="B142" s="1" t="n">
        <v>2026</v>
      </c>
      <c r="C142" s="8" t="inlineStr">
        <is>
          <t>Yanara Power</t>
        </is>
      </c>
      <c r="D142" s="1" t="inlineStr">
        <is>
          <t>Utility and C&amp;I</t>
        </is>
      </c>
      <c r="E142" s="1" t="n"/>
      <c r="F142" s="1" t="inlineStr">
        <is>
          <t>Closed</t>
        </is>
      </c>
      <c r="G142" s="2" t="inlineStr">
        <is>
          <t xml:space="preserve">Ashish Jindal </t>
        </is>
      </c>
      <c r="H142" s="8" t="n">
        <v>9983975581</v>
      </c>
      <c r="I142" s="10" t="inlineStr">
        <is>
          <t>PE01052601</t>
        </is>
      </c>
      <c r="J142" s="8" t="inlineStr">
        <is>
          <t>Multiple Issues</t>
        </is>
      </c>
      <c r="K142" s="11" t="inlineStr">
        <is>
          <t>Holi</t>
        </is>
      </c>
      <c r="L142" s="11" t="inlineStr">
        <is>
          <t>Maharashtra</t>
        </is>
      </c>
      <c r="M142" s="2" t="inlineStr">
        <is>
          <t>NS</t>
        </is>
      </c>
      <c r="N142" s="1" t="inlineStr">
        <is>
          <t>Cold Soldering</t>
        </is>
      </c>
      <c r="O142" s="11" t="n">
        <v>575</v>
      </c>
      <c r="P142" s="2" t="inlineStr">
        <is>
          <t>NSMI24070195789</t>
        </is>
      </c>
      <c r="Q142" s="14">
        <f>MID(P142,5,2)</f>
        <v/>
      </c>
      <c r="R142" s="14">
        <f>MID(P142,7,2)</f>
        <v/>
      </c>
      <c r="S142" s="1" t="inlineStr">
        <is>
          <t>G2G</t>
        </is>
      </c>
      <c r="T142" s="1" t="inlineStr">
        <is>
          <t>P4 - PEIPL</t>
        </is>
      </c>
      <c r="U142" s="1" t="inlineStr">
        <is>
          <t>N JB Cold Soldering</t>
        </is>
      </c>
      <c r="V142" s="1" t="inlineStr">
        <is>
          <t>Soldering</t>
        </is>
      </c>
      <c r="W142" s="1" t="inlineStr">
        <is>
          <t>Repair</t>
        </is>
      </c>
      <c r="X142" s="5" t="n">
        <v>46174</v>
      </c>
      <c r="Y142" s="1">
        <f>IF(X142="","",X142-A142)</f>
        <v/>
      </c>
      <c r="Z142" s="5" t="n">
        <v>46174</v>
      </c>
      <c r="AA142" s="3" t="n"/>
      <c r="AB142" s="3" t="n"/>
      <c r="AE142" s="146">
        <f>IF(AND(F142="Closed",X142&gt;=DATE(2026,6,1),X142&lt;=DATE(2026,6,30)),"Closed in June","other")</f>
        <v/>
      </c>
    </row>
    <row r="143" hidden="1">
      <c r="A143" s="9" t="n">
        <v>46143</v>
      </c>
      <c r="B143" s="1" t="n">
        <v>2026</v>
      </c>
      <c r="C143" s="8" t="inlineStr">
        <is>
          <t>Yanara Power</t>
        </is>
      </c>
      <c r="D143" s="1" t="inlineStr">
        <is>
          <t>Utility and C&amp;I</t>
        </is>
      </c>
      <c r="E143" s="1" t="n"/>
      <c r="F143" s="1" t="inlineStr">
        <is>
          <t>Closed</t>
        </is>
      </c>
      <c r="G143" s="2" t="inlineStr">
        <is>
          <t xml:space="preserve">Ashish Jindal </t>
        </is>
      </c>
      <c r="H143" s="8" t="n">
        <v>9983975581</v>
      </c>
      <c r="I143" s="10" t="inlineStr">
        <is>
          <t>PE01052601</t>
        </is>
      </c>
      <c r="J143" s="8" t="inlineStr">
        <is>
          <t>Multiple Issues</t>
        </is>
      </c>
      <c r="K143" s="11" t="inlineStr">
        <is>
          <t>Holi</t>
        </is>
      </c>
      <c r="L143" s="11" t="inlineStr">
        <is>
          <t>Maharashtra</t>
        </is>
      </c>
      <c r="M143" s="2" t="inlineStr">
        <is>
          <t>NS</t>
        </is>
      </c>
      <c r="N143" s="1" t="inlineStr">
        <is>
          <t>Cold Soldering</t>
        </is>
      </c>
      <c r="O143" s="11" t="n">
        <v>575</v>
      </c>
      <c r="P143" s="2" t="inlineStr">
        <is>
          <t>NSMI24070195822</t>
        </is>
      </c>
      <c r="Q143" s="14">
        <f>MID(P143,5,2)</f>
        <v/>
      </c>
      <c r="R143" s="14">
        <f>MID(P143,7,2)</f>
        <v/>
      </c>
      <c r="S143" s="1" t="inlineStr">
        <is>
          <t>G2G</t>
        </is>
      </c>
      <c r="T143" s="1" t="inlineStr">
        <is>
          <t>P4 - PEIPL</t>
        </is>
      </c>
      <c r="U143" s="1" t="inlineStr">
        <is>
          <t>N JB Cold Soldering</t>
        </is>
      </c>
      <c r="V143" s="1" t="inlineStr">
        <is>
          <t>Soldering</t>
        </is>
      </c>
      <c r="W143" s="1" t="inlineStr">
        <is>
          <t>Repair</t>
        </is>
      </c>
      <c r="X143" s="5" t="n">
        <v>46174</v>
      </c>
      <c r="Y143" s="1">
        <f>IF(X143="","",X143-A143)</f>
        <v/>
      </c>
      <c r="Z143" s="5" t="n">
        <v>46174</v>
      </c>
      <c r="AA143" s="3" t="n"/>
      <c r="AB143" s="3" t="n"/>
      <c r="AE143" s="146">
        <f>IF(AND(F143="Closed",X143&gt;=DATE(2026,6,1),X143&lt;=DATE(2026,6,30)),"Closed in June","other")</f>
        <v/>
      </c>
    </row>
    <row r="144" hidden="1">
      <c r="A144" s="9" t="n">
        <v>46143</v>
      </c>
      <c r="B144" s="1" t="n">
        <v>2026</v>
      </c>
      <c r="C144" s="8" t="inlineStr">
        <is>
          <t>Yanara Power</t>
        </is>
      </c>
      <c r="D144" s="1" t="inlineStr">
        <is>
          <t>Utility and C&amp;I</t>
        </is>
      </c>
      <c r="E144" s="1" t="n"/>
      <c r="F144" s="1" t="inlineStr">
        <is>
          <t>Closed</t>
        </is>
      </c>
      <c r="G144" s="2" t="inlineStr">
        <is>
          <t xml:space="preserve">Ashish Jindal </t>
        </is>
      </c>
      <c r="H144" s="8" t="n">
        <v>9983975581</v>
      </c>
      <c r="I144" s="10" t="inlineStr">
        <is>
          <t>PE01052601</t>
        </is>
      </c>
      <c r="J144" s="8" t="inlineStr">
        <is>
          <t>Multiple Issues</t>
        </is>
      </c>
      <c r="K144" s="11" t="inlineStr">
        <is>
          <t>Holi</t>
        </is>
      </c>
      <c r="L144" s="11" t="inlineStr">
        <is>
          <t>Maharashtra</t>
        </is>
      </c>
      <c r="M144" s="2" t="inlineStr">
        <is>
          <t>NS</t>
        </is>
      </c>
      <c r="N144" s="1" t="inlineStr">
        <is>
          <t>Cold Soldering</t>
        </is>
      </c>
      <c r="O144" s="11" t="n">
        <v>575</v>
      </c>
      <c r="P144" s="2" t="inlineStr">
        <is>
          <t>NSMI24070195819</t>
        </is>
      </c>
      <c r="Q144" s="14">
        <f>MID(P144,5,2)</f>
        <v/>
      </c>
      <c r="R144" s="14">
        <f>MID(P144,7,2)</f>
        <v/>
      </c>
      <c r="S144" s="1" t="inlineStr">
        <is>
          <t>G2G</t>
        </is>
      </c>
      <c r="T144" s="1" t="inlineStr">
        <is>
          <t>P4 - PEIPL</t>
        </is>
      </c>
      <c r="U144" s="1" t="inlineStr">
        <is>
          <t>N JB Cold Soldering</t>
        </is>
      </c>
      <c r="V144" s="1" t="inlineStr">
        <is>
          <t>Soldering</t>
        </is>
      </c>
      <c r="W144" s="1" t="inlineStr">
        <is>
          <t>Repair</t>
        </is>
      </c>
      <c r="X144" s="5" t="n">
        <v>46174</v>
      </c>
      <c r="Y144" s="1">
        <f>IF(X144="","",X144-A144)</f>
        <v/>
      </c>
      <c r="Z144" s="5" t="n">
        <v>46174</v>
      </c>
      <c r="AA144" s="3" t="n"/>
      <c r="AB144" s="3" t="n"/>
      <c r="AE144" s="146">
        <f>IF(AND(F144="Closed",X144&gt;=DATE(2026,6,1),X144&lt;=DATE(2026,6,30)),"Closed in June","other")</f>
        <v/>
      </c>
    </row>
    <row r="145" hidden="1">
      <c r="A145" s="9" t="n">
        <v>46143</v>
      </c>
      <c r="B145" s="1" t="n">
        <v>2026</v>
      </c>
      <c r="C145" s="8" t="inlineStr">
        <is>
          <t>Yanara Power</t>
        </is>
      </c>
      <c r="D145" s="1" t="inlineStr">
        <is>
          <t>Utility and C&amp;I</t>
        </is>
      </c>
      <c r="E145" s="1" t="n"/>
      <c r="F145" s="1" t="inlineStr">
        <is>
          <t>Closed</t>
        </is>
      </c>
      <c r="G145" s="2" t="inlineStr">
        <is>
          <t xml:space="preserve">Ashish Jindal </t>
        </is>
      </c>
      <c r="H145" s="8" t="n">
        <v>9983975581</v>
      </c>
      <c r="I145" s="10" t="inlineStr">
        <is>
          <t>PE01052601</t>
        </is>
      </c>
      <c r="J145" s="8" t="inlineStr">
        <is>
          <t>Multiple Issues</t>
        </is>
      </c>
      <c r="K145" s="11" t="inlineStr">
        <is>
          <t>Holi</t>
        </is>
      </c>
      <c r="L145" s="11" t="inlineStr">
        <is>
          <t>Maharashtra</t>
        </is>
      </c>
      <c r="M145" s="2" t="inlineStr">
        <is>
          <t>NS</t>
        </is>
      </c>
      <c r="N145" s="1" t="inlineStr">
        <is>
          <t>Cold Soldering</t>
        </is>
      </c>
      <c r="O145" s="11" t="n">
        <v>575</v>
      </c>
      <c r="P145" s="2" t="inlineStr">
        <is>
          <t>NSMI24070195721</t>
        </is>
      </c>
      <c r="Q145" s="14">
        <f>MID(P145,5,2)</f>
        <v/>
      </c>
      <c r="R145" s="14">
        <f>MID(P145,7,2)</f>
        <v/>
      </c>
      <c r="S145" s="1" t="inlineStr">
        <is>
          <t>G2G</t>
        </is>
      </c>
      <c r="T145" s="1" t="inlineStr">
        <is>
          <t>P4 - PEIPL</t>
        </is>
      </c>
      <c r="U145" s="1" t="inlineStr">
        <is>
          <t>N JB Cold Soldering</t>
        </is>
      </c>
      <c r="V145" s="1" t="inlineStr">
        <is>
          <t>Soldering</t>
        </is>
      </c>
      <c r="W145" s="1" t="inlineStr">
        <is>
          <t>Repair</t>
        </is>
      </c>
      <c r="X145" s="5" t="n">
        <v>46174</v>
      </c>
      <c r="Y145" s="1">
        <f>IF(X145="","",X145-A145)</f>
        <v/>
      </c>
      <c r="Z145" s="5" t="n">
        <v>46174</v>
      </c>
      <c r="AA145" s="3" t="n"/>
      <c r="AB145" s="3" t="n"/>
      <c r="AE145" s="146">
        <f>IF(AND(F145="Closed",X145&gt;=DATE(2026,6,1),X145&lt;=DATE(2026,6,30)),"Closed in June","other")</f>
        <v/>
      </c>
    </row>
    <row r="146" hidden="1">
      <c r="A146" s="9" t="n">
        <v>46143</v>
      </c>
      <c r="B146" s="1" t="n">
        <v>2026</v>
      </c>
      <c r="C146" s="8" t="inlineStr">
        <is>
          <t>Yanara Power</t>
        </is>
      </c>
      <c r="D146" s="1" t="inlineStr">
        <is>
          <t>Utility and C&amp;I</t>
        </is>
      </c>
      <c r="E146" s="1" t="n"/>
      <c r="F146" s="1" t="inlineStr">
        <is>
          <t>Closed</t>
        </is>
      </c>
      <c r="G146" s="2" t="inlineStr">
        <is>
          <t xml:space="preserve">Ashish Jindal </t>
        </is>
      </c>
      <c r="H146" s="8" t="n">
        <v>9983975581</v>
      </c>
      <c r="I146" s="10" t="inlineStr">
        <is>
          <t>PE01052601</t>
        </is>
      </c>
      <c r="J146" s="8" t="inlineStr">
        <is>
          <t>Multiple Issues</t>
        </is>
      </c>
      <c r="K146" s="11" t="inlineStr">
        <is>
          <t>Holi</t>
        </is>
      </c>
      <c r="L146" s="11" t="inlineStr">
        <is>
          <t>Maharashtra</t>
        </is>
      </c>
      <c r="M146" s="2" t="inlineStr">
        <is>
          <t>PS</t>
        </is>
      </c>
      <c r="N146" s="1" t="inlineStr">
        <is>
          <t>Cold Soldering</t>
        </is>
      </c>
      <c r="O146" s="11" t="n">
        <v>575</v>
      </c>
      <c r="P146" s="2" t="inlineStr">
        <is>
          <t>NSMI24070185053</t>
        </is>
      </c>
      <c r="Q146" s="14">
        <f>MID(P146,5,2)</f>
        <v/>
      </c>
      <c r="R146" s="14">
        <f>MID(P146,7,2)</f>
        <v/>
      </c>
      <c r="S146" s="1" t="inlineStr">
        <is>
          <t>G2G</t>
        </is>
      </c>
      <c r="T146" s="1" t="inlineStr">
        <is>
          <t>P4 - PEIPL</t>
        </is>
      </c>
      <c r="U146" s="6" t="inlineStr">
        <is>
          <t>P JB Cold Soldering</t>
        </is>
      </c>
      <c r="V146" s="6" t="inlineStr">
        <is>
          <t>Soldering</t>
        </is>
      </c>
      <c r="W146" s="1" t="inlineStr">
        <is>
          <t>Repair</t>
        </is>
      </c>
      <c r="X146" s="5" t="n">
        <v>46174</v>
      </c>
      <c r="Y146" s="1">
        <f>IF(X146="","",X146-A146)</f>
        <v/>
      </c>
      <c r="Z146" s="5" t="n">
        <v>46174</v>
      </c>
      <c r="AA146" s="3" t="n"/>
      <c r="AB146" s="3" t="n"/>
      <c r="AE146" s="146">
        <f>IF(AND(F146="Closed",X146&gt;=DATE(2026,6,1),X146&lt;=DATE(2026,6,30)),"Closed in June","other")</f>
        <v/>
      </c>
    </row>
    <row r="147" hidden="1">
      <c r="A147" s="9" t="n">
        <v>46143</v>
      </c>
      <c r="B147" s="1" t="n">
        <v>2026</v>
      </c>
      <c r="C147" s="8" t="inlineStr">
        <is>
          <t>Yanara Power</t>
        </is>
      </c>
      <c r="D147" s="1" t="inlineStr">
        <is>
          <t>Utility and C&amp;I</t>
        </is>
      </c>
      <c r="E147" s="1" t="n"/>
      <c r="F147" s="1" t="inlineStr">
        <is>
          <t>Closed</t>
        </is>
      </c>
      <c r="G147" s="2" t="inlineStr">
        <is>
          <t xml:space="preserve">Ashish Jindal </t>
        </is>
      </c>
      <c r="H147" s="8" t="n">
        <v>9983975581</v>
      </c>
      <c r="I147" s="10" t="inlineStr">
        <is>
          <t>PE01052601</t>
        </is>
      </c>
      <c r="J147" s="8" t="inlineStr">
        <is>
          <t>Multiple Issues</t>
        </is>
      </c>
      <c r="K147" s="11" t="inlineStr">
        <is>
          <t>Holi</t>
        </is>
      </c>
      <c r="L147" s="11" t="inlineStr">
        <is>
          <t>Maharashtra</t>
        </is>
      </c>
      <c r="M147" s="2" t="inlineStr">
        <is>
          <t>PS</t>
        </is>
      </c>
      <c r="N147" s="1" t="inlineStr">
        <is>
          <t>Cold Soldering</t>
        </is>
      </c>
      <c r="O147" s="11" t="n">
        <v>575</v>
      </c>
      <c r="P147" s="2" t="inlineStr">
        <is>
          <t>NSMI24070194243</t>
        </is>
      </c>
      <c r="Q147" s="14">
        <f>MID(P147,5,2)</f>
        <v/>
      </c>
      <c r="R147" s="14">
        <f>MID(P147,7,2)</f>
        <v/>
      </c>
      <c r="S147" s="1" t="inlineStr">
        <is>
          <t>G2G</t>
        </is>
      </c>
      <c r="T147" s="1" t="inlineStr">
        <is>
          <t>P4 - PEIPL</t>
        </is>
      </c>
      <c r="U147" s="6" t="inlineStr">
        <is>
          <t>P JB Cold Soldering</t>
        </is>
      </c>
      <c r="V147" s="6" t="inlineStr">
        <is>
          <t>Soldering</t>
        </is>
      </c>
      <c r="W147" s="1" t="inlineStr">
        <is>
          <t>Repair</t>
        </is>
      </c>
      <c r="X147" s="5" t="n">
        <v>46174</v>
      </c>
      <c r="Y147" s="1">
        <f>IF(X147="","",X147-A147)</f>
        <v/>
      </c>
      <c r="Z147" s="5" t="n">
        <v>46174</v>
      </c>
      <c r="AA147" s="3" t="n"/>
      <c r="AB147" s="3" t="n"/>
      <c r="AE147" s="146">
        <f>IF(AND(F147="Closed",X147&gt;=DATE(2026,6,1),X147&lt;=DATE(2026,6,30)),"Closed in June","other")</f>
        <v/>
      </c>
    </row>
    <row r="148" hidden="1">
      <c r="A148" s="9" t="n">
        <v>46143</v>
      </c>
      <c r="B148" s="1" t="n">
        <v>2026</v>
      </c>
      <c r="C148" s="8" t="inlineStr">
        <is>
          <t>Yanara Power</t>
        </is>
      </c>
      <c r="D148" s="1" t="inlineStr">
        <is>
          <t>Utility and C&amp;I</t>
        </is>
      </c>
      <c r="E148" s="1" t="n"/>
      <c r="F148" s="1" t="inlineStr">
        <is>
          <t>Closed</t>
        </is>
      </c>
      <c r="G148" s="2" t="inlineStr">
        <is>
          <t xml:space="preserve">Ashish Jindal </t>
        </is>
      </c>
      <c r="H148" s="8" t="n">
        <v>9983975581</v>
      </c>
      <c r="I148" s="10" t="inlineStr">
        <is>
          <t>PE01052601</t>
        </is>
      </c>
      <c r="J148" s="8" t="inlineStr">
        <is>
          <t>Multiple Issues</t>
        </is>
      </c>
      <c r="K148" s="11" t="inlineStr">
        <is>
          <t>Holi</t>
        </is>
      </c>
      <c r="L148" s="11" t="inlineStr">
        <is>
          <t>Maharashtra</t>
        </is>
      </c>
      <c r="M148" s="2" t="inlineStr">
        <is>
          <t>NR</t>
        </is>
      </c>
      <c r="N148" s="1" t="inlineStr">
        <is>
          <t>JB Issue</t>
        </is>
      </c>
      <c r="O148" s="11" t="n">
        <v>575</v>
      </c>
      <c r="P148" s="2" t="inlineStr">
        <is>
          <t>NSMI24070196026</t>
        </is>
      </c>
      <c r="Q148" s="14">
        <f>MID(P148,5,2)</f>
        <v/>
      </c>
      <c r="R148" s="14">
        <f>MID(P148,7,2)</f>
        <v/>
      </c>
      <c r="S148" s="1" t="inlineStr">
        <is>
          <t>G2G</t>
        </is>
      </c>
      <c r="T148" s="1" t="inlineStr">
        <is>
          <t>P4 - PEIPL</t>
        </is>
      </c>
      <c r="U148" s="1" t="inlineStr">
        <is>
          <t>N JB Issue &amp; JB Burn</t>
        </is>
      </c>
      <c r="V148" s="1" t="inlineStr">
        <is>
          <t>JB Changed</t>
        </is>
      </c>
      <c r="W148" s="1" t="inlineStr">
        <is>
          <t>Repair</t>
        </is>
      </c>
      <c r="X148" s="5" t="n">
        <v>46174</v>
      </c>
      <c r="Y148" s="1">
        <f>IF(X148="","",X148-A148)</f>
        <v/>
      </c>
      <c r="Z148" s="5" t="n">
        <v>46174</v>
      </c>
      <c r="AA148" s="3" t="n"/>
      <c r="AB148" s="3" t="n"/>
      <c r="AE148" s="146">
        <f>IF(AND(F148="Closed",X148&gt;=DATE(2026,6,1),X148&lt;=DATE(2026,6,30)),"Closed in June","other")</f>
        <v/>
      </c>
    </row>
    <row r="149" hidden="1">
      <c r="A149" s="9" t="n">
        <v>46143</v>
      </c>
      <c r="B149" s="1" t="n">
        <v>2026</v>
      </c>
      <c r="C149" s="8" t="inlineStr">
        <is>
          <t>Yanara Power</t>
        </is>
      </c>
      <c r="D149" s="1" t="inlineStr">
        <is>
          <t>Utility and C&amp;I</t>
        </is>
      </c>
      <c r="E149" s="1" t="n"/>
      <c r="F149" s="1" t="inlineStr">
        <is>
          <t>Closed</t>
        </is>
      </c>
      <c r="G149" s="2" t="inlineStr">
        <is>
          <t xml:space="preserve">Ashish Jindal </t>
        </is>
      </c>
      <c r="H149" s="8" t="n">
        <v>9983975581</v>
      </c>
      <c r="I149" s="10" t="inlineStr">
        <is>
          <t>PE01052601</t>
        </is>
      </c>
      <c r="J149" s="8" t="inlineStr">
        <is>
          <t>Multiple Issues</t>
        </is>
      </c>
      <c r="K149" s="11" t="inlineStr">
        <is>
          <t>Holi</t>
        </is>
      </c>
      <c r="L149" s="11" t="inlineStr">
        <is>
          <t>Maharashtra</t>
        </is>
      </c>
      <c r="M149" s="2" t="inlineStr">
        <is>
          <t>NS</t>
        </is>
      </c>
      <c r="N149" s="1" t="inlineStr">
        <is>
          <t>Cold Soldering</t>
        </is>
      </c>
      <c r="O149" s="11" t="n">
        <v>575</v>
      </c>
      <c r="P149" s="2" t="inlineStr">
        <is>
          <t>NSMI24070196019</t>
        </is>
      </c>
      <c r="Q149" s="14">
        <f>MID(P149,5,2)</f>
        <v/>
      </c>
      <c r="R149" s="14">
        <f>MID(P149,7,2)</f>
        <v/>
      </c>
      <c r="S149" s="1" t="inlineStr">
        <is>
          <t>G2G</t>
        </is>
      </c>
      <c r="T149" s="1" t="inlineStr">
        <is>
          <t>P4 - PEIPL</t>
        </is>
      </c>
      <c r="U149" s="1" t="inlineStr">
        <is>
          <t>N JB Cold Soldering</t>
        </is>
      </c>
      <c r="V149" s="1" t="inlineStr">
        <is>
          <t>Soldering</t>
        </is>
      </c>
      <c r="W149" s="1" t="inlineStr">
        <is>
          <t>Repair</t>
        </is>
      </c>
      <c r="X149" s="5" t="n">
        <v>46174</v>
      </c>
      <c r="Y149" s="1">
        <f>IF(X149="","",X149-A149)</f>
        <v/>
      </c>
      <c r="Z149" s="5" t="n">
        <v>46174</v>
      </c>
      <c r="AA149" s="3" t="n"/>
      <c r="AB149" s="3" t="n"/>
      <c r="AE149" s="146">
        <f>IF(AND(F149="Closed",X149&gt;=DATE(2026,6,1),X149&lt;=DATE(2026,6,30)),"Closed in June","other")</f>
        <v/>
      </c>
    </row>
    <row r="150" hidden="1">
      <c r="A150" s="9" t="n">
        <v>46143</v>
      </c>
      <c r="B150" s="1" t="n">
        <v>2026</v>
      </c>
      <c r="C150" s="8" t="inlineStr">
        <is>
          <t>Yanara Power</t>
        </is>
      </c>
      <c r="D150" s="1" t="inlineStr">
        <is>
          <t>Utility and C&amp;I</t>
        </is>
      </c>
      <c r="E150" s="1" t="n"/>
      <c r="F150" s="1" t="inlineStr">
        <is>
          <t>Closed</t>
        </is>
      </c>
      <c r="G150" s="2" t="inlineStr">
        <is>
          <t xml:space="preserve">Ashish Jindal </t>
        </is>
      </c>
      <c r="H150" s="8" t="n">
        <v>9983975581</v>
      </c>
      <c r="I150" s="10" t="inlineStr">
        <is>
          <t>PE01052601</t>
        </is>
      </c>
      <c r="J150" s="8" t="inlineStr">
        <is>
          <t>Multiple Issues</t>
        </is>
      </c>
      <c r="K150" s="11" t="inlineStr">
        <is>
          <t>Holi</t>
        </is>
      </c>
      <c r="L150" s="11" t="inlineStr">
        <is>
          <t>Maharashtra</t>
        </is>
      </c>
      <c r="M150" s="2" t="inlineStr">
        <is>
          <t>PS</t>
        </is>
      </c>
      <c r="N150" s="1" t="inlineStr">
        <is>
          <t>Cold Soldering</t>
        </is>
      </c>
      <c r="O150" s="11" t="n">
        <v>575</v>
      </c>
      <c r="P150" s="2" t="inlineStr">
        <is>
          <t>NSMI24070194438</t>
        </is>
      </c>
      <c r="Q150" s="14">
        <f>MID(P150,5,2)</f>
        <v/>
      </c>
      <c r="R150" s="14">
        <f>MID(P150,7,2)</f>
        <v/>
      </c>
      <c r="S150" s="1" t="inlineStr">
        <is>
          <t>G2G</t>
        </is>
      </c>
      <c r="T150" s="1" t="inlineStr">
        <is>
          <t>P4 - PEIPL</t>
        </is>
      </c>
      <c r="U150" s="6" t="inlineStr">
        <is>
          <t>P JB Cold Soldering</t>
        </is>
      </c>
      <c r="V150" s="6" t="inlineStr">
        <is>
          <t>Soldering</t>
        </is>
      </c>
      <c r="W150" s="1" t="inlineStr">
        <is>
          <t>Repair</t>
        </is>
      </c>
      <c r="X150" s="5" t="n">
        <v>46174</v>
      </c>
      <c r="Y150" s="1">
        <f>IF(X150="","",X150-A150)</f>
        <v/>
      </c>
      <c r="Z150" s="5" t="n">
        <v>46174</v>
      </c>
      <c r="AA150" s="3" t="n"/>
      <c r="AB150" s="3" t="n"/>
      <c r="AE150" s="146">
        <f>IF(AND(F150="Closed",X150&gt;=DATE(2026,6,1),X150&lt;=DATE(2026,6,30)),"Closed in June","other")</f>
        <v/>
      </c>
    </row>
    <row r="151" hidden="1">
      <c r="A151" s="9" t="n">
        <v>46143</v>
      </c>
      <c r="B151" s="1" t="n">
        <v>2026</v>
      </c>
      <c r="C151" s="8" t="inlineStr">
        <is>
          <t>Yanara Power</t>
        </is>
      </c>
      <c r="D151" s="1" t="inlineStr">
        <is>
          <t>Utility and C&amp;I</t>
        </is>
      </c>
      <c r="E151" s="1" t="n"/>
      <c r="F151" s="1" t="inlineStr">
        <is>
          <t>Closed</t>
        </is>
      </c>
      <c r="G151" s="2" t="inlineStr">
        <is>
          <t xml:space="preserve">Ashish Jindal </t>
        </is>
      </c>
      <c r="H151" s="8" t="n">
        <v>9983975581</v>
      </c>
      <c r="I151" s="10" t="inlineStr">
        <is>
          <t>PE01052601</t>
        </is>
      </c>
      <c r="J151" s="8" t="inlineStr">
        <is>
          <t>Multiple Issues</t>
        </is>
      </c>
      <c r="K151" s="11" t="inlineStr">
        <is>
          <t>Holi</t>
        </is>
      </c>
      <c r="L151" s="11" t="inlineStr">
        <is>
          <t>Maharashtra</t>
        </is>
      </c>
      <c r="M151" s="2" t="inlineStr">
        <is>
          <t>PNS</t>
        </is>
      </c>
      <c r="N151" s="1" t="inlineStr">
        <is>
          <t>Cold Soldering</t>
        </is>
      </c>
      <c r="O151" s="11" t="n">
        <v>575</v>
      </c>
      <c r="P151" s="2" t="inlineStr">
        <is>
          <t>NSMI24070194501</t>
        </is>
      </c>
      <c r="Q151" s="14">
        <f>MID(P151,5,2)</f>
        <v/>
      </c>
      <c r="R151" s="14">
        <f>MID(P151,7,2)</f>
        <v/>
      </c>
      <c r="S151" s="1" t="inlineStr">
        <is>
          <t>G2G</t>
        </is>
      </c>
      <c r="T151" s="1" t="inlineStr">
        <is>
          <t>P4 - PEIPL</t>
        </is>
      </c>
      <c r="U151" s="1" t="inlineStr">
        <is>
          <t>P &amp; N JB Cold Soldering</t>
        </is>
      </c>
      <c r="V151" s="1" t="inlineStr">
        <is>
          <t>Soldering</t>
        </is>
      </c>
      <c r="W151" s="1" t="inlineStr">
        <is>
          <t>Repair</t>
        </is>
      </c>
      <c r="X151" s="5" t="n">
        <v>46174</v>
      </c>
      <c r="Y151" s="1">
        <f>IF(X151="","",X151-A151)</f>
        <v/>
      </c>
      <c r="Z151" s="5" t="n">
        <v>46174</v>
      </c>
      <c r="AA151" s="3" t="n"/>
      <c r="AB151" s="3" t="n"/>
      <c r="AE151" s="146">
        <f>IF(AND(F151="Closed",X151&gt;=DATE(2026,6,1),X151&lt;=DATE(2026,6,30)),"Closed in June","other")</f>
        <v/>
      </c>
    </row>
    <row r="152" hidden="1">
      <c r="A152" s="9" t="n">
        <v>46143</v>
      </c>
      <c r="B152" s="1" t="n">
        <v>2026</v>
      </c>
      <c r="C152" s="8" t="inlineStr">
        <is>
          <t>Yanara Power</t>
        </is>
      </c>
      <c r="D152" s="1" t="inlineStr">
        <is>
          <t>Utility and C&amp;I</t>
        </is>
      </c>
      <c r="E152" s="1" t="n"/>
      <c r="F152" s="1" t="inlineStr">
        <is>
          <t>Closed</t>
        </is>
      </c>
      <c r="G152" s="2" t="inlineStr">
        <is>
          <t xml:space="preserve">Ashish Jindal </t>
        </is>
      </c>
      <c r="H152" s="8" t="n">
        <v>9983975581</v>
      </c>
      <c r="I152" s="10" t="inlineStr">
        <is>
          <t>PE01052601</t>
        </is>
      </c>
      <c r="J152" s="8" t="inlineStr">
        <is>
          <t>Multiple Issues</t>
        </is>
      </c>
      <c r="K152" s="11" t="inlineStr">
        <is>
          <t>Holi</t>
        </is>
      </c>
      <c r="L152" s="11" t="inlineStr">
        <is>
          <t>Maharashtra</t>
        </is>
      </c>
      <c r="M152" s="2" t="inlineStr">
        <is>
          <t>PS</t>
        </is>
      </c>
      <c r="N152" s="1" t="inlineStr">
        <is>
          <t>Cold Soldering</t>
        </is>
      </c>
      <c r="O152" s="11" t="n">
        <v>575</v>
      </c>
      <c r="P152" s="2" t="inlineStr">
        <is>
          <t>NSMI24070196617</t>
        </is>
      </c>
      <c r="Q152" s="14">
        <f>MID(P152,5,2)</f>
        <v/>
      </c>
      <c r="R152" s="14">
        <f>MID(P152,7,2)</f>
        <v/>
      </c>
      <c r="S152" s="1" t="inlineStr">
        <is>
          <t>G2G</t>
        </is>
      </c>
      <c r="T152" s="1" t="inlineStr">
        <is>
          <t>P4 - PEIPL</t>
        </is>
      </c>
      <c r="U152" s="6" t="inlineStr">
        <is>
          <t>P JB Cold Soldering</t>
        </is>
      </c>
      <c r="V152" s="6" t="inlineStr">
        <is>
          <t>Soldering</t>
        </is>
      </c>
      <c r="W152" s="1" t="inlineStr">
        <is>
          <t>Repair</t>
        </is>
      </c>
      <c r="X152" s="5" t="n">
        <v>46174</v>
      </c>
      <c r="Y152" s="1">
        <f>IF(X152="","",X152-A152)</f>
        <v/>
      </c>
      <c r="Z152" s="5" t="n">
        <v>46174</v>
      </c>
      <c r="AA152" s="3" t="n"/>
      <c r="AB152" s="3" t="n"/>
      <c r="AE152" s="146">
        <f>IF(AND(F152="Closed",X152&gt;=DATE(2026,6,1),X152&lt;=DATE(2026,6,30)),"Closed in June","other")</f>
        <v/>
      </c>
    </row>
    <row r="153" hidden="1">
      <c r="A153" s="9" t="n">
        <v>46143</v>
      </c>
      <c r="B153" s="1" t="n">
        <v>2026</v>
      </c>
      <c r="C153" s="8" t="inlineStr">
        <is>
          <t>Yanara Power</t>
        </is>
      </c>
      <c r="D153" s="1" t="inlineStr">
        <is>
          <t>Utility and C&amp;I</t>
        </is>
      </c>
      <c r="E153" s="1" t="n"/>
      <c r="F153" s="1" t="inlineStr">
        <is>
          <t>Closed</t>
        </is>
      </c>
      <c r="G153" s="2" t="inlineStr">
        <is>
          <t xml:space="preserve">Ashish Jindal </t>
        </is>
      </c>
      <c r="H153" s="8" t="n">
        <v>9983975581</v>
      </c>
      <c r="I153" s="10" t="inlineStr">
        <is>
          <t>PE01052601</t>
        </is>
      </c>
      <c r="J153" s="8" t="inlineStr">
        <is>
          <t>Multiple Issues</t>
        </is>
      </c>
      <c r="K153" s="11" t="inlineStr">
        <is>
          <t>Holi</t>
        </is>
      </c>
      <c r="L153" s="11" t="inlineStr">
        <is>
          <t>Maharashtra</t>
        </is>
      </c>
      <c r="M153" s="2" t="inlineStr">
        <is>
          <t>PS</t>
        </is>
      </c>
      <c r="N153" s="1" t="inlineStr">
        <is>
          <t>Cold Soldering</t>
        </is>
      </c>
      <c r="O153" s="11" t="n">
        <v>575</v>
      </c>
      <c r="P153" s="2" t="inlineStr">
        <is>
          <t>NSMI24070196597</t>
        </is>
      </c>
      <c r="Q153" s="14">
        <f>MID(P153,5,2)</f>
        <v/>
      </c>
      <c r="R153" s="14">
        <f>MID(P153,7,2)</f>
        <v/>
      </c>
      <c r="S153" s="1" t="inlineStr">
        <is>
          <t>G2G</t>
        </is>
      </c>
      <c r="T153" s="1" t="inlineStr">
        <is>
          <t>P4 - PEIPL</t>
        </is>
      </c>
      <c r="U153" s="6" t="inlineStr">
        <is>
          <t>P JB Cold Soldering</t>
        </is>
      </c>
      <c r="V153" s="6" t="inlineStr">
        <is>
          <t>Soldering</t>
        </is>
      </c>
      <c r="W153" s="1" t="inlineStr">
        <is>
          <t>Repair</t>
        </is>
      </c>
      <c r="X153" s="5" t="n">
        <v>46174</v>
      </c>
      <c r="Y153" s="1">
        <f>IF(X153="","",X153-A153)</f>
        <v/>
      </c>
      <c r="Z153" s="5" t="n">
        <v>46174</v>
      </c>
      <c r="AA153" s="3" t="n"/>
      <c r="AB153" s="3" t="n"/>
      <c r="AE153" s="146">
        <f>IF(AND(F153="Closed",X153&gt;=DATE(2026,6,1),X153&lt;=DATE(2026,6,30)),"Closed in June","other")</f>
        <v/>
      </c>
    </row>
    <row r="154" hidden="1">
      <c r="A154" s="9" t="n">
        <v>46143</v>
      </c>
      <c r="B154" s="1" t="n">
        <v>2026</v>
      </c>
      <c r="C154" s="8" t="inlineStr">
        <is>
          <t>Yanara Power</t>
        </is>
      </c>
      <c r="D154" s="1" t="inlineStr">
        <is>
          <t>Utility and C&amp;I</t>
        </is>
      </c>
      <c r="E154" s="1" t="n"/>
      <c r="F154" s="1" t="inlineStr">
        <is>
          <t>Closed</t>
        </is>
      </c>
      <c r="G154" s="2" t="inlineStr">
        <is>
          <t xml:space="preserve">Ashish Jindal </t>
        </is>
      </c>
      <c r="H154" s="8" t="n">
        <v>9983975581</v>
      </c>
      <c r="I154" s="10" t="inlineStr">
        <is>
          <t>PE01052601</t>
        </is>
      </c>
      <c r="J154" s="8" t="inlineStr">
        <is>
          <t>Multiple Issues</t>
        </is>
      </c>
      <c r="K154" s="11" t="inlineStr">
        <is>
          <t>Holi</t>
        </is>
      </c>
      <c r="L154" s="11" t="inlineStr">
        <is>
          <t>Maharashtra</t>
        </is>
      </c>
      <c r="M154" s="2" t="inlineStr">
        <is>
          <t>PS</t>
        </is>
      </c>
      <c r="N154" s="1" t="inlineStr">
        <is>
          <t>Cold Soldering</t>
        </is>
      </c>
      <c r="O154" s="11" t="n">
        <v>575</v>
      </c>
      <c r="P154" s="2" t="inlineStr">
        <is>
          <t>NSMI24070196563</t>
        </is>
      </c>
      <c r="Q154" s="14">
        <f>MID(P154,5,2)</f>
        <v/>
      </c>
      <c r="R154" s="14">
        <f>MID(P154,7,2)</f>
        <v/>
      </c>
      <c r="S154" s="1" t="inlineStr">
        <is>
          <t>G2G</t>
        </is>
      </c>
      <c r="T154" s="1" t="inlineStr">
        <is>
          <t>P4 - PEIPL</t>
        </is>
      </c>
      <c r="U154" s="6" t="inlineStr">
        <is>
          <t>P JB Cold Soldering</t>
        </is>
      </c>
      <c r="V154" s="6" t="inlineStr">
        <is>
          <t>Soldering</t>
        </is>
      </c>
      <c r="W154" s="1" t="inlineStr">
        <is>
          <t>Repair</t>
        </is>
      </c>
      <c r="X154" s="5" t="n">
        <v>46174</v>
      </c>
      <c r="Y154" s="1">
        <f>IF(X154="","",X154-A154)</f>
        <v/>
      </c>
      <c r="Z154" s="5" t="n">
        <v>46174</v>
      </c>
      <c r="AA154" s="3" t="n"/>
      <c r="AB154" s="3" t="n"/>
      <c r="AE154" s="146">
        <f>IF(AND(F154="Closed",X154&gt;=DATE(2026,6,1),X154&lt;=DATE(2026,6,30)),"Closed in June","other")</f>
        <v/>
      </c>
    </row>
    <row r="155" hidden="1">
      <c r="A155" s="9" t="n">
        <v>46143</v>
      </c>
      <c r="B155" s="1" t="n">
        <v>2026</v>
      </c>
      <c r="C155" s="8" t="inlineStr">
        <is>
          <t>Yanara Power</t>
        </is>
      </c>
      <c r="D155" s="1" t="inlineStr">
        <is>
          <t>Utility and C&amp;I</t>
        </is>
      </c>
      <c r="E155" s="1" t="n"/>
      <c r="F155" s="1" t="inlineStr">
        <is>
          <t>Closed</t>
        </is>
      </c>
      <c r="G155" s="2" t="inlineStr">
        <is>
          <t xml:space="preserve">Ashish Jindal </t>
        </is>
      </c>
      <c r="H155" s="8" t="n">
        <v>9983975581</v>
      </c>
      <c r="I155" s="10" t="inlineStr">
        <is>
          <t>PE01052601</t>
        </is>
      </c>
      <c r="J155" s="8" t="inlineStr">
        <is>
          <t>Multiple Issues</t>
        </is>
      </c>
      <c r="K155" s="11" t="inlineStr">
        <is>
          <t>Holi</t>
        </is>
      </c>
      <c r="L155" s="11" t="inlineStr">
        <is>
          <t>Maharashtra</t>
        </is>
      </c>
      <c r="M155" s="2" t="inlineStr">
        <is>
          <t>PS</t>
        </is>
      </c>
      <c r="N155" s="1" t="inlineStr">
        <is>
          <t>Cold Soldering</t>
        </is>
      </c>
      <c r="O155" s="11" t="n">
        <v>575</v>
      </c>
      <c r="P155" s="2" t="inlineStr">
        <is>
          <t>NSMI24070192860</t>
        </is>
      </c>
      <c r="Q155" s="14">
        <f>MID(P155,5,2)</f>
        <v/>
      </c>
      <c r="R155" s="14">
        <f>MID(P155,7,2)</f>
        <v/>
      </c>
      <c r="S155" s="1" t="inlineStr">
        <is>
          <t>G2G</t>
        </is>
      </c>
      <c r="T155" s="1" t="inlineStr">
        <is>
          <t>P4 - PEIPL</t>
        </is>
      </c>
      <c r="U155" s="6" t="inlineStr">
        <is>
          <t>P JB Cold Soldering</t>
        </is>
      </c>
      <c r="V155" s="6" t="inlineStr">
        <is>
          <t>Soldering</t>
        </is>
      </c>
      <c r="W155" s="1" t="inlineStr">
        <is>
          <t>Repair</t>
        </is>
      </c>
      <c r="X155" s="5" t="n">
        <v>46174</v>
      </c>
      <c r="Y155" s="1">
        <f>IF(X155="","",X155-A155)</f>
        <v/>
      </c>
      <c r="Z155" s="5" t="n">
        <v>46174</v>
      </c>
      <c r="AA155" s="3" t="n"/>
      <c r="AB155" s="3" t="n"/>
      <c r="AE155" s="146">
        <f>IF(AND(F155="Closed",X155&gt;=DATE(2026,6,1),X155&lt;=DATE(2026,6,30)),"Closed in June","other")</f>
        <v/>
      </c>
    </row>
    <row r="156" hidden="1">
      <c r="A156" s="9" t="n">
        <v>46143</v>
      </c>
      <c r="B156" s="1" t="n">
        <v>2026</v>
      </c>
      <c r="C156" s="8" t="inlineStr">
        <is>
          <t>Yanara Power</t>
        </is>
      </c>
      <c r="D156" s="1" t="inlineStr">
        <is>
          <t>Utility and C&amp;I</t>
        </is>
      </c>
      <c r="E156" s="1" t="n"/>
      <c r="F156" s="1" t="inlineStr">
        <is>
          <t>Closed</t>
        </is>
      </c>
      <c r="G156" s="2" t="inlineStr">
        <is>
          <t xml:space="preserve">Ashish Jindal </t>
        </is>
      </c>
      <c r="H156" s="8" t="n">
        <v>9983975581</v>
      </c>
      <c r="I156" s="10" t="inlineStr">
        <is>
          <t>PE01052601</t>
        </is>
      </c>
      <c r="J156" s="8" t="inlineStr">
        <is>
          <t>Multiple Issues</t>
        </is>
      </c>
      <c r="K156" s="11" t="inlineStr">
        <is>
          <t>Holi</t>
        </is>
      </c>
      <c r="L156" s="11" t="inlineStr">
        <is>
          <t>Maharashtra</t>
        </is>
      </c>
      <c r="M156" s="2" t="inlineStr">
        <is>
          <t>PS</t>
        </is>
      </c>
      <c r="N156" s="1" t="inlineStr">
        <is>
          <t>Cold Soldering</t>
        </is>
      </c>
      <c r="O156" s="11" t="n">
        <v>575</v>
      </c>
      <c r="P156" s="2" t="inlineStr">
        <is>
          <t>NSMI24070196412</t>
        </is>
      </c>
      <c r="Q156" s="14">
        <f>MID(P156,5,2)</f>
        <v/>
      </c>
      <c r="R156" s="14">
        <f>MID(P156,7,2)</f>
        <v/>
      </c>
      <c r="S156" s="1" t="inlineStr">
        <is>
          <t>G2G</t>
        </is>
      </c>
      <c r="T156" s="1" t="inlineStr">
        <is>
          <t>P4 - PEIPL</t>
        </is>
      </c>
      <c r="U156" s="6" t="inlineStr">
        <is>
          <t>P JB Cold Soldering</t>
        </is>
      </c>
      <c r="V156" s="6" t="inlineStr">
        <is>
          <t>Soldering</t>
        </is>
      </c>
      <c r="W156" s="1" t="inlineStr">
        <is>
          <t>Repair</t>
        </is>
      </c>
      <c r="X156" s="5" t="n">
        <v>46174</v>
      </c>
      <c r="Y156" s="1">
        <f>IF(X156="","",X156-A156)</f>
        <v/>
      </c>
      <c r="Z156" s="5" t="n">
        <v>46174</v>
      </c>
      <c r="AA156" s="3" t="n"/>
      <c r="AB156" s="3" t="n"/>
      <c r="AE156" s="146">
        <f>IF(AND(F156="Closed",X156&gt;=DATE(2026,6,1),X156&lt;=DATE(2026,6,30)),"Closed in June","other")</f>
        <v/>
      </c>
    </row>
    <row r="157" hidden="1">
      <c r="A157" s="9" t="n">
        <v>46143</v>
      </c>
      <c r="B157" s="1" t="n">
        <v>2026</v>
      </c>
      <c r="C157" s="8" t="inlineStr">
        <is>
          <t>Yanara Power</t>
        </is>
      </c>
      <c r="D157" s="1" t="inlineStr">
        <is>
          <t>Utility and C&amp;I</t>
        </is>
      </c>
      <c r="E157" s="1" t="n"/>
      <c r="F157" s="1" t="inlineStr">
        <is>
          <t>Closed</t>
        </is>
      </c>
      <c r="G157" s="2" t="inlineStr">
        <is>
          <t xml:space="preserve">Ashish Jindal </t>
        </is>
      </c>
      <c r="H157" s="8" t="n">
        <v>9983975581</v>
      </c>
      <c r="I157" s="10" t="inlineStr">
        <is>
          <t>PE01052601</t>
        </is>
      </c>
      <c r="J157" s="8" t="inlineStr">
        <is>
          <t>Multiple Issues</t>
        </is>
      </c>
      <c r="K157" s="11" t="inlineStr">
        <is>
          <t>Holi</t>
        </is>
      </c>
      <c r="L157" s="11" t="inlineStr">
        <is>
          <t>Maharashtra</t>
        </is>
      </c>
      <c r="M157" s="2" t="inlineStr">
        <is>
          <t>NS</t>
        </is>
      </c>
      <c r="N157" s="1" t="inlineStr">
        <is>
          <t>Cold Soldering</t>
        </is>
      </c>
      <c r="O157" s="11" t="n">
        <v>575</v>
      </c>
      <c r="P157" s="2" t="inlineStr">
        <is>
          <t>NSMI24070193888</t>
        </is>
      </c>
      <c r="Q157" s="14">
        <f>MID(P157,5,2)</f>
        <v/>
      </c>
      <c r="R157" s="14">
        <f>MID(P157,7,2)</f>
        <v/>
      </c>
      <c r="S157" s="1" t="inlineStr">
        <is>
          <t>G2G</t>
        </is>
      </c>
      <c r="T157" s="1" t="inlineStr">
        <is>
          <t>P4 - PEIPL</t>
        </is>
      </c>
      <c r="U157" s="1" t="inlineStr">
        <is>
          <t>N JB Cold Soldering</t>
        </is>
      </c>
      <c r="V157" s="1" t="inlineStr">
        <is>
          <t>Soldering</t>
        </is>
      </c>
      <c r="W157" s="1" t="inlineStr">
        <is>
          <t>Repair</t>
        </is>
      </c>
      <c r="X157" s="5" t="n">
        <v>46174</v>
      </c>
      <c r="Y157" s="1">
        <f>IF(X157="","",X157-A157)</f>
        <v/>
      </c>
      <c r="Z157" s="5" t="n">
        <v>46174</v>
      </c>
      <c r="AA157" s="3" t="n"/>
      <c r="AB157" s="3" t="n"/>
      <c r="AE157" s="146">
        <f>IF(AND(F157="Closed",X157&gt;=DATE(2026,6,1),X157&lt;=DATE(2026,6,30)),"Closed in June","other")</f>
        <v/>
      </c>
    </row>
    <row r="158" hidden="1">
      <c r="A158" s="9" t="n">
        <v>46143</v>
      </c>
      <c r="B158" s="1" t="n">
        <v>2026</v>
      </c>
      <c r="C158" s="8" t="inlineStr">
        <is>
          <t>Yanara Power</t>
        </is>
      </c>
      <c r="D158" s="1" t="inlineStr">
        <is>
          <t>Utility and C&amp;I</t>
        </is>
      </c>
      <c r="E158" s="1" t="n"/>
      <c r="F158" s="1" t="inlineStr">
        <is>
          <t>Closed</t>
        </is>
      </c>
      <c r="G158" s="2" t="inlineStr">
        <is>
          <t xml:space="preserve">Ashish Jindal </t>
        </is>
      </c>
      <c r="H158" s="8" t="n">
        <v>9983975581</v>
      </c>
      <c r="I158" s="10" t="inlineStr">
        <is>
          <t>PE01052601</t>
        </is>
      </c>
      <c r="J158" s="8" t="inlineStr">
        <is>
          <t>Multiple Issues</t>
        </is>
      </c>
      <c r="K158" s="11" t="inlineStr">
        <is>
          <t>Holi</t>
        </is>
      </c>
      <c r="L158" s="11" t="inlineStr">
        <is>
          <t>Maharashtra</t>
        </is>
      </c>
      <c r="M158" s="2" t="inlineStr">
        <is>
          <t>NS</t>
        </is>
      </c>
      <c r="N158" s="1" t="inlineStr">
        <is>
          <t>Cold Soldering</t>
        </is>
      </c>
      <c r="O158" s="11" t="n">
        <v>575</v>
      </c>
      <c r="P158" s="2" t="inlineStr">
        <is>
          <t>NSMI24070194346</t>
        </is>
      </c>
      <c r="Q158" s="14">
        <f>MID(P158,5,2)</f>
        <v/>
      </c>
      <c r="R158" s="14">
        <f>MID(P158,7,2)</f>
        <v/>
      </c>
      <c r="S158" s="1" t="inlineStr">
        <is>
          <t>G2G</t>
        </is>
      </c>
      <c r="T158" s="1" t="inlineStr">
        <is>
          <t>P4 - PEIPL</t>
        </is>
      </c>
      <c r="U158" s="1" t="inlineStr">
        <is>
          <t>N JB Cold Soldering</t>
        </is>
      </c>
      <c r="V158" s="1" t="inlineStr">
        <is>
          <t>Soldering</t>
        </is>
      </c>
      <c r="W158" s="1" t="inlineStr">
        <is>
          <t>Repair</t>
        </is>
      </c>
      <c r="X158" s="5" t="n">
        <v>46174</v>
      </c>
      <c r="Y158" s="1">
        <f>IF(X158="","",X158-A158)</f>
        <v/>
      </c>
      <c r="Z158" s="5" t="n">
        <v>46174</v>
      </c>
      <c r="AA158" s="3" t="n"/>
      <c r="AB158" s="3" t="n"/>
      <c r="AE158" s="146">
        <f>IF(AND(F158="Closed",X158&gt;=DATE(2026,6,1),X158&lt;=DATE(2026,6,30)),"Closed in June","other")</f>
        <v/>
      </c>
    </row>
    <row r="159" hidden="1">
      <c r="A159" s="9" t="n">
        <v>46143</v>
      </c>
      <c r="B159" s="1" t="n">
        <v>2026</v>
      </c>
      <c r="C159" s="8" t="inlineStr">
        <is>
          <t>Yanara Power</t>
        </is>
      </c>
      <c r="D159" s="1" t="inlineStr">
        <is>
          <t>Utility and C&amp;I</t>
        </is>
      </c>
      <c r="E159" s="1" t="n"/>
      <c r="F159" s="1" t="inlineStr">
        <is>
          <t>Closed</t>
        </is>
      </c>
      <c r="G159" s="2" t="inlineStr">
        <is>
          <t xml:space="preserve">Ashish Jindal </t>
        </is>
      </c>
      <c r="H159" s="8" t="n">
        <v>9983975581</v>
      </c>
      <c r="I159" s="10" t="inlineStr">
        <is>
          <t>PE01052601</t>
        </is>
      </c>
      <c r="J159" s="8" t="inlineStr">
        <is>
          <t>Multiple Issues</t>
        </is>
      </c>
      <c r="K159" s="11" t="inlineStr">
        <is>
          <t>Holi</t>
        </is>
      </c>
      <c r="L159" s="11" t="inlineStr">
        <is>
          <t>Maharashtra</t>
        </is>
      </c>
      <c r="M159" s="2" t="inlineStr">
        <is>
          <t>PS</t>
        </is>
      </c>
      <c r="N159" s="1" t="inlineStr">
        <is>
          <t>Cold Soldering</t>
        </is>
      </c>
      <c r="O159" s="11" t="n">
        <v>575</v>
      </c>
      <c r="P159" s="2" t="inlineStr">
        <is>
          <t>NSMI24070194454</t>
        </is>
      </c>
      <c r="Q159" s="14">
        <f>MID(P159,5,2)</f>
        <v/>
      </c>
      <c r="R159" s="14">
        <f>MID(P159,7,2)</f>
        <v/>
      </c>
      <c r="S159" s="1" t="inlineStr">
        <is>
          <t>G2G</t>
        </is>
      </c>
      <c r="T159" s="1" t="inlineStr">
        <is>
          <t>P4 - PEIPL</t>
        </is>
      </c>
      <c r="U159" s="6" t="inlineStr">
        <is>
          <t>P JB Cold Soldering</t>
        </is>
      </c>
      <c r="V159" s="6" t="inlineStr">
        <is>
          <t>Soldering</t>
        </is>
      </c>
      <c r="W159" s="1" t="inlineStr">
        <is>
          <t>Repair</t>
        </is>
      </c>
      <c r="X159" s="5" t="n">
        <v>46174</v>
      </c>
      <c r="Y159" s="1">
        <f>IF(X159="","",X159-A159)</f>
        <v/>
      </c>
      <c r="Z159" s="5" t="n">
        <v>46174</v>
      </c>
      <c r="AA159" s="3" t="n"/>
      <c r="AB159" s="3" t="n"/>
      <c r="AE159" s="146">
        <f>IF(AND(F159="Closed",X159&gt;=DATE(2026,6,1),X159&lt;=DATE(2026,6,30)),"Closed in June","other")</f>
        <v/>
      </c>
    </row>
    <row r="160" hidden="1">
      <c r="A160" s="9" t="n">
        <v>46143</v>
      </c>
      <c r="B160" s="1" t="n">
        <v>2026</v>
      </c>
      <c r="C160" s="8" t="inlineStr">
        <is>
          <t>Yanara Power</t>
        </is>
      </c>
      <c r="D160" s="1" t="inlineStr">
        <is>
          <t>Utility and C&amp;I</t>
        </is>
      </c>
      <c r="E160" s="1" t="n"/>
      <c r="F160" s="1" t="inlineStr">
        <is>
          <t>Closed</t>
        </is>
      </c>
      <c r="G160" s="2" t="inlineStr">
        <is>
          <t xml:space="preserve">Ashish Jindal </t>
        </is>
      </c>
      <c r="H160" s="8" t="n">
        <v>9983975581</v>
      </c>
      <c r="I160" s="10" t="inlineStr">
        <is>
          <t>PE01052601</t>
        </is>
      </c>
      <c r="J160" s="8" t="inlineStr">
        <is>
          <t>Multiple Issues</t>
        </is>
      </c>
      <c r="K160" s="11" t="inlineStr">
        <is>
          <t>Holi</t>
        </is>
      </c>
      <c r="L160" s="11" t="inlineStr">
        <is>
          <t>Maharashtra</t>
        </is>
      </c>
      <c r="M160" s="2" t="inlineStr">
        <is>
          <t>NS</t>
        </is>
      </c>
      <c r="N160" s="1" t="inlineStr">
        <is>
          <t>Cold Soldering</t>
        </is>
      </c>
      <c r="O160" s="11" t="n">
        <v>575</v>
      </c>
      <c r="P160" s="2" t="inlineStr">
        <is>
          <t>NSMI24070195940</t>
        </is>
      </c>
      <c r="Q160" s="14">
        <f>MID(P160,5,2)</f>
        <v/>
      </c>
      <c r="R160" s="14">
        <f>MID(P160,7,2)</f>
        <v/>
      </c>
      <c r="S160" s="1" t="inlineStr">
        <is>
          <t>G2G</t>
        </is>
      </c>
      <c r="T160" s="1" t="inlineStr">
        <is>
          <t>P4 - PEIPL</t>
        </is>
      </c>
      <c r="U160" s="1" t="inlineStr">
        <is>
          <t>N JB Cold Soldering</t>
        </is>
      </c>
      <c r="V160" s="1" t="inlineStr">
        <is>
          <t>Soldering</t>
        </is>
      </c>
      <c r="W160" s="1" t="inlineStr">
        <is>
          <t>Repair</t>
        </is>
      </c>
      <c r="X160" s="5" t="n">
        <v>46174</v>
      </c>
      <c r="Y160" s="1">
        <f>IF(X160="","",X160-A160)</f>
        <v/>
      </c>
      <c r="Z160" s="5" t="n">
        <v>46174</v>
      </c>
      <c r="AA160" s="3" t="n"/>
      <c r="AB160" s="3" t="n"/>
      <c r="AE160" s="146">
        <f>IF(AND(F160="Closed",X160&gt;=DATE(2026,6,1),X160&lt;=DATE(2026,6,30)),"Closed in June","other")</f>
        <v/>
      </c>
    </row>
    <row r="161" hidden="1">
      <c r="A161" s="9" t="n">
        <v>46143</v>
      </c>
      <c r="B161" s="1" t="n">
        <v>2026</v>
      </c>
      <c r="C161" s="8" t="inlineStr">
        <is>
          <t>Yanara Power</t>
        </is>
      </c>
      <c r="D161" s="1" t="inlineStr">
        <is>
          <t>Utility and C&amp;I</t>
        </is>
      </c>
      <c r="E161" s="1" t="n"/>
      <c r="F161" s="1" t="inlineStr">
        <is>
          <t>Closed</t>
        </is>
      </c>
      <c r="G161" s="2" t="inlineStr">
        <is>
          <t xml:space="preserve">Ashish Jindal </t>
        </is>
      </c>
      <c r="H161" s="8" t="n">
        <v>9983975581</v>
      </c>
      <c r="I161" s="10" t="inlineStr">
        <is>
          <t>PE01052601</t>
        </is>
      </c>
      <c r="J161" s="8" t="inlineStr">
        <is>
          <t>Multiple Issues</t>
        </is>
      </c>
      <c r="K161" s="11" t="inlineStr">
        <is>
          <t>Holi</t>
        </is>
      </c>
      <c r="L161" s="11" t="inlineStr">
        <is>
          <t>Maharashtra</t>
        </is>
      </c>
      <c r="M161" s="2" t="inlineStr">
        <is>
          <t>NS</t>
        </is>
      </c>
      <c r="N161" s="1" t="inlineStr">
        <is>
          <t>Cold Soldering</t>
        </is>
      </c>
      <c r="O161" s="11" t="n">
        <v>575</v>
      </c>
      <c r="P161" s="2" t="inlineStr">
        <is>
          <t>NSMI24070195311</t>
        </is>
      </c>
      <c r="Q161" s="14">
        <f>MID(P161,5,2)</f>
        <v/>
      </c>
      <c r="R161" s="14">
        <f>MID(P161,7,2)</f>
        <v/>
      </c>
      <c r="S161" s="1" t="inlineStr">
        <is>
          <t>G2G</t>
        </is>
      </c>
      <c r="T161" s="1" t="inlineStr">
        <is>
          <t>P4 - PEIPL</t>
        </is>
      </c>
      <c r="U161" s="1" t="inlineStr">
        <is>
          <t>N JB Cold Soldering</t>
        </is>
      </c>
      <c r="V161" s="1" t="inlineStr">
        <is>
          <t>Soldering</t>
        </is>
      </c>
      <c r="W161" s="1" t="inlineStr">
        <is>
          <t>Repair</t>
        </is>
      </c>
      <c r="X161" s="5" t="n">
        <v>46174</v>
      </c>
      <c r="Y161" s="1">
        <f>IF(X161="","",X161-A161)</f>
        <v/>
      </c>
      <c r="Z161" s="5" t="n">
        <v>46174</v>
      </c>
      <c r="AA161" s="3" t="n"/>
      <c r="AB161" s="3" t="n"/>
      <c r="AE161" s="146">
        <f>IF(AND(F161="Closed",X161&gt;=DATE(2026,6,1),X161&lt;=DATE(2026,6,30)),"Closed in June","other")</f>
        <v/>
      </c>
    </row>
    <row r="162" hidden="1">
      <c r="A162" s="9" t="n">
        <v>46143</v>
      </c>
      <c r="B162" s="1" t="n">
        <v>2026</v>
      </c>
      <c r="C162" s="8" t="inlineStr">
        <is>
          <t>Yanara Power</t>
        </is>
      </c>
      <c r="D162" s="1" t="inlineStr">
        <is>
          <t>Utility and C&amp;I</t>
        </is>
      </c>
      <c r="E162" s="1" t="n"/>
      <c r="F162" s="1" t="inlineStr">
        <is>
          <t>Closed</t>
        </is>
      </c>
      <c r="G162" s="2" t="inlineStr">
        <is>
          <t xml:space="preserve">Ashish Jindal </t>
        </is>
      </c>
      <c r="H162" s="8" t="n">
        <v>9983975581</v>
      </c>
      <c r="I162" s="10" t="inlineStr">
        <is>
          <t>PE01052601</t>
        </is>
      </c>
      <c r="J162" s="8" t="inlineStr">
        <is>
          <t>Multiple Issues</t>
        </is>
      </c>
      <c r="K162" s="11" t="inlineStr">
        <is>
          <t>Holi</t>
        </is>
      </c>
      <c r="L162" s="11" t="inlineStr">
        <is>
          <t>Maharashtra</t>
        </is>
      </c>
      <c r="M162" s="2" t="inlineStr">
        <is>
          <t>NS</t>
        </is>
      </c>
      <c r="N162" s="1" t="inlineStr">
        <is>
          <t>Cold Soldering</t>
        </is>
      </c>
      <c r="O162" s="11" t="n">
        <v>575</v>
      </c>
      <c r="P162" s="2" t="inlineStr">
        <is>
          <t>NSMI24070195316</t>
        </is>
      </c>
      <c r="Q162" s="14">
        <f>MID(P162,5,2)</f>
        <v/>
      </c>
      <c r="R162" s="14">
        <f>MID(P162,7,2)</f>
        <v/>
      </c>
      <c r="S162" s="1" t="inlineStr">
        <is>
          <t>G2G</t>
        </is>
      </c>
      <c r="T162" s="1" t="inlineStr">
        <is>
          <t>P4 - PEIPL</t>
        </is>
      </c>
      <c r="U162" s="1" t="inlineStr">
        <is>
          <t>N JB Cold Soldering</t>
        </is>
      </c>
      <c r="V162" s="1" t="inlineStr">
        <is>
          <t>Soldering</t>
        </is>
      </c>
      <c r="W162" s="1" t="inlineStr">
        <is>
          <t>Repair</t>
        </is>
      </c>
      <c r="X162" s="5" t="n">
        <v>46174</v>
      </c>
      <c r="Y162" s="1">
        <f>IF(X162="","",X162-A162)</f>
        <v/>
      </c>
      <c r="Z162" s="5" t="n">
        <v>46174</v>
      </c>
      <c r="AA162" s="3" t="n"/>
      <c r="AB162" s="3" t="n"/>
      <c r="AE162" s="146">
        <f>IF(AND(F162="Closed",X162&gt;=DATE(2026,6,1),X162&lt;=DATE(2026,6,30)),"Closed in June","other")</f>
        <v/>
      </c>
    </row>
    <row r="163" hidden="1">
      <c r="A163" s="9" t="n">
        <v>46143</v>
      </c>
      <c r="B163" s="1" t="n">
        <v>2026</v>
      </c>
      <c r="C163" s="8" t="inlineStr">
        <is>
          <t>Yanara Power</t>
        </is>
      </c>
      <c r="D163" s="1" t="inlineStr">
        <is>
          <t>Utility and C&amp;I</t>
        </is>
      </c>
      <c r="E163" s="1" t="n"/>
      <c r="F163" s="1" t="inlineStr">
        <is>
          <t>Closed</t>
        </is>
      </c>
      <c r="G163" s="2" t="inlineStr">
        <is>
          <t xml:space="preserve">Ashish Jindal </t>
        </is>
      </c>
      <c r="H163" s="8" t="n">
        <v>9983975581</v>
      </c>
      <c r="I163" s="10" t="inlineStr">
        <is>
          <t>PE01052601</t>
        </is>
      </c>
      <c r="J163" s="8" t="inlineStr">
        <is>
          <t>Multiple Issues</t>
        </is>
      </c>
      <c r="K163" s="11" t="inlineStr">
        <is>
          <t>Holi</t>
        </is>
      </c>
      <c r="L163" s="11" t="inlineStr">
        <is>
          <t>Maharashtra</t>
        </is>
      </c>
      <c r="M163" s="2" t="inlineStr">
        <is>
          <t>NS</t>
        </is>
      </c>
      <c r="N163" s="1" t="inlineStr">
        <is>
          <t>Cold Soldering</t>
        </is>
      </c>
      <c r="O163" s="11" t="n">
        <v>575</v>
      </c>
      <c r="P163" s="2" t="inlineStr">
        <is>
          <t>NSMI24070195912</t>
        </is>
      </c>
      <c r="Q163" s="14">
        <f>MID(P163,5,2)</f>
        <v/>
      </c>
      <c r="R163" s="14">
        <f>MID(P163,7,2)</f>
        <v/>
      </c>
      <c r="S163" s="1" t="inlineStr">
        <is>
          <t>G2G</t>
        </is>
      </c>
      <c r="T163" s="1" t="inlineStr">
        <is>
          <t>P4 - PEIPL</t>
        </is>
      </c>
      <c r="U163" s="1" t="inlineStr">
        <is>
          <t>N JB Cold Soldering</t>
        </is>
      </c>
      <c r="V163" s="1" t="inlineStr">
        <is>
          <t>Soldering</t>
        </is>
      </c>
      <c r="W163" s="1" t="inlineStr">
        <is>
          <t>Repair</t>
        </is>
      </c>
      <c r="X163" s="5" t="n">
        <v>46174</v>
      </c>
      <c r="Y163" s="1">
        <f>IF(X163="","",X163-A163)</f>
        <v/>
      </c>
      <c r="Z163" s="5" t="n">
        <v>46174</v>
      </c>
      <c r="AA163" s="3" t="n"/>
      <c r="AB163" s="3" t="n"/>
      <c r="AE163" s="146">
        <f>IF(AND(F163="Closed",X163&gt;=DATE(2026,6,1),X163&lt;=DATE(2026,6,30)),"Closed in June","other")</f>
        <v/>
      </c>
    </row>
    <row r="164" hidden="1">
      <c r="A164" s="9" t="n">
        <v>46143</v>
      </c>
      <c r="B164" s="1" t="n">
        <v>2026</v>
      </c>
      <c r="C164" s="8" t="inlineStr">
        <is>
          <t>Yanara Power</t>
        </is>
      </c>
      <c r="D164" s="1" t="inlineStr">
        <is>
          <t>Utility and C&amp;I</t>
        </is>
      </c>
      <c r="E164" s="1" t="n"/>
      <c r="F164" s="1" t="inlineStr">
        <is>
          <t>Closed</t>
        </is>
      </c>
      <c r="G164" s="2" t="inlineStr">
        <is>
          <t xml:space="preserve">Ashish Jindal </t>
        </is>
      </c>
      <c r="H164" s="8" t="n">
        <v>9983975581</v>
      </c>
      <c r="I164" s="10" t="inlineStr">
        <is>
          <t>PE01052601</t>
        </is>
      </c>
      <c r="J164" s="8" t="inlineStr">
        <is>
          <t>Multiple Issues</t>
        </is>
      </c>
      <c r="K164" s="11" t="inlineStr">
        <is>
          <t>Holi</t>
        </is>
      </c>
      <c r="L164" s="11" t="inlineStr">
        <is>
          <t>Maharashtra</t>
        </is>
      </c>
      <c r="M164" s="2" t="inlineStr">
        <is>
          <t>NS</t>
        </is>
      </c>
      <c r="N164" s="1" t="inlineStr">
        <is>
          <t>Cold Soldering</t>
        </is>
      </c>
      <c r="O164" s="11" t="n">
        <v>575</v>
      </c>
      <c r="P164" s="2" t="inlineStr">
        <is>
          <t>NSMI24070195936</t>
        </is>
      </c>
      <c r="Q164" s="14">
        <f>MID(P164,5,2)</f>
        <v/>
      </c>
      <c r="R164" s="14">
        <f>MID(P164,7,2)</f>
        <v/>
      </c>
      <c r="S164" s="1" t="inlineStr">
        <is>
          <t>G2G</t>
        </is>
      </c>
      <c r="T164" s="1" t="inlineStr">
        <is>
          <t>P4 - PEIPL</t>
        </is>
      </c>
      <c r="U164" s="1" t="inlineStr">
        <is>
          <t>N JB Cold Soldering</t>
        </is>
      </c>
      <c r="V164" s="1" t="inlineStr">
        <is>
          <t>Soldering</t>
        </is>
      </c>
      <c r="W164" s="1" t="inlineStr">
        <is>
          <t>Repair</t>
        </is>
      </c>
      <c r="X164" s="5" t="n">
        <v>46174</v>
      </c>
      <c r="Y164" s="1">
        <f>IF(X164="","",X164-A164)</f>
        <v/>
      </c>
      <c r="Z164" s="5" t="n">
        <v>46174</v>
      </c>
      <c r="AA164" s="3" t="n"/>
      <c r="AB164" s="3" t="n"/>
      <c r="AE164" s="146">
        <f>IF(AND(F164="Closed",X164&gt;=DATE(2026,6,1),X164&lt;=DATE(2026,6,30)),"Closed in June","other")</f>
        <v/>
      </c>
    </row>
    <row r="165" hidden="1">
      <c r="A165" s="9" t="n">
        <v>46143</v>
      </c>
      <c r="B165" s="1" t="n">
        <v>2026</v>
      </c>
      <c r="C165" s="8" t="inlineStr">
        <is>
          <t>Yanara Power</t>
        </is>
      </c>
      <c r="D165" s="1" t="inlineStr">
        <is>
          <t>Utility and C&amp;I</t>
        </is>
      </c>
      <c r="E165" s="1" t="n"/>
      <c r="F165" s="1" t="inlineStr">
        <is>
          <t>Closed</t>
        </is>
      </c>
      <c r="G165" s="2" t="inlineStr">
        <is>
          <t xml:space="preserve">Ashish Jindal </t>
        </is>
      </c>
      <c r="H165" s="8" t="n">
        <v>9983975581</v>
      </c>
      <c r="I165" s="10" t="inlineStr">
        <is>
          <t>PE01052601</t>
        </is>
      </c>
      <c r="J165" s="8" t="inlineStr">
        <is>
          <t>Multiple Issues</t>
        </is>
      </c>
      <c r="K165" s="11" t="inlineStr">
        <is>
          <t>Holi</t>
        </is>
      </c>
      <c r="L165" s="11" t="inlineStr">
        <is>
          <t>Maharashtra</t>
        </is>
      </c>
      <c r="M165" s="2" t="inlineStr">
        <is>
          <t>NS</t>
        </is>
      </c>
      <c r="N165" s="1" t="inlineStr">
        <is>
          <t>Cold Soldering</t>
        </is>
      </c>
      <c r="O165" s="11" t="n">
        <v>575</v>
      </c>
      <c r="P165" s="2" t="inlineStr">
        <is>
          <t>NSMI24070195922</t>
        </is>
      </c>
      <c r="Q165" s="14">
        <f>MID(P165,5,2)</f>
        <v/>
      </c>
      <c r="R165" s="14">
        <f>MID(P165,7,2)</f>
        <v/>
      </c>
      <c r="S165" s="1" t="inlineStr">
        <is>
          <t>G2G</t>
        </is>
      </c>
      <c r="T165" s="1" t="inlineStr">
        <is>
          <t>P4 - PEIPL</t>
        </is>
      </c>
      <c r="U165" s="1" t="inlineStr">
        <is>
          <t>N JB Cold Soldering</t>
        </is>
      </c>
      <c r="V165" s="1" t="inlineStr">
        <is>
          <t>Soldering</t>
        </is>
      </c>
      <c r="W165" s="1" t="inlineStr">
        <is>
          <t>Repair</t>
        </is>
      </c>
      <c r="X165" s="5" t="n">
        <v>46174</v>
      </c>
      <c r="Y165" s="1">
        <f>IF(X165="","",X165-A165)</f>
        <v/>
      </c>
      <c r="Z165" s="5" t="n">
        <v>46174</v>
      </c>
      <c r="AA165" s="3" t="n"/>
      <c r="AB165" s="3" t="n"/>
      <c r="AE165" s="146">
        <f>IF(AND(F165="Closed",X165&gt;=DATE(2026,6,1),X165&lt;=DATE(2026,6,30)),"Closed in June","other")</f>
        <v/>
      </c>
    </row>
    <row r="166" hidden="1">
      <c r="A166" s="9" t="n">
        <v>46143</v>
      </c>
      <c r="B166" s="1" t="n">
        <v>2026</v>
      </c>
      <c r="C166" s="8" t="inlineStr">
        <is>
          <t>Yanara Power</t>
        </is>
      </c>
      <c r="D166" s="1" t="inlineStr">
        <is>
          <t>Utility and C&amp;I</t>
        </is>
      </c>
      <c r="E166" s="1" t="n"/>
      <c r="F166" s="1" t="inlineStr">
        <is>
          <t>Closed</t>
        </is>
      </c>
      <c r="G166" s="2" t="inlineStr">
        <is>
          <t xml:space="preserve">Ashish Jindal </t>
        </is>
      </c>
      <c r="H166" s="8" t="n">
        <v>9983975581</v>
      </c>
      <c r="I166" s="10" t="inlineStr">
        <is>
          <t>PE01052601</t>
        </is>
      </c>
      <c r="J166" s="8" t="inlineStr">
        <is>
          <t>Multiple Issues</t>
        </is>
      </c>
      <c r="K166" s="11" t="inlineStr">
        <is>
          <t>Holi</t>
        </is>
      </c>
      <c r="L166" s="11" t="inlineStr">
        <is>
          <t>Maharashtra</t>
        </is>
      </c>
      <c r="M166" s="2" t="inlineStr">
        <is>
          <t>NS</t>
        </is>
      </c>
      <c r="N166" s="1" t="inlineStr">
        <is>
          <t>Cold Soldering</t>
        </is>
      </c>
      <c r="O166" s="11" t="n">
        <v>575</v>
      </c>
      <c r="P166" s="2" t="inlineStr">
        <is>
          <t>NSMI24070195977</t>
        </is>
      </c>
      <c r="Q166" s="14">
        <f>MID(P166,5,2)</f>
        <v/>
      </c>
      <c r="R166" s="14">
        <f>MID(P166,7,2)</f>
        <v/>
      </c>
      <c r="S166" s="1" t="inlineStr">
        <is>
          <t>G2G</t>
        </is>
      </c>
      <c r="T166" s="1" t="inlineStr">
        <is>
          <t>P4 - PEIPL</t>
        </is>
      </c>
      <c r="U166" s="1" t="inlineStr">
        <is>
          <t>N JB Cold Soldering</t>
        </is>
      </c>
      <c r="V166" s="1" t="inlineStr">
        <is>
          <t>Soldering</t>
        </is>
      </c>
      <c r="W166" s="1" t="inlineStr">
        <is>
          <t>Repair</t>
        </is>
      </c>
      <c r="X166" s="5" t="n">
        <v>46174</v>
      </c>
      <c r="Y166" s="1">
        <f>IF(X166="","",X166-A166)</f>
        <v/>
      </c>
      <c r="Z166" s="5" t="n">
        <v>46174</v>
      </c>
      <c r="AA166" s="3" t="n"/>
      <c r="AB166" s="3" t="n"/>
      <c r="AE166" s="146">
        <f>IF(AND(F166="Closed",X166&gt;=DATE(2026,6,1),X166&lt;=DATE(2026,6,30)),"Closed in June","other")</f>
        <v/>
      </c>
    </row>
    <row r="167" hidden="1">
      <c r="A167" s="9" t="n">
        <v>46143</v>
      </c>
      <c r="B167" s="1" t="n">
        <v>2026</v>
      </c>
      <c r="C167" s="8" t="inlineStr">
        <is>
          <t>Yanara Power</t>
        </is>
      </c>
      <c r="D167" s="1" t="inlineStr">
        <is>
          <t>Utility and C&amp;I</t>
        </is>
      </c>
      <c r="E167" s="1" t="n"/>
      <c r="F167" s="1" t="inlineStr">
        <is>
          <t>Closed</t>
        </is>
      </c>
      <c r="G167" s="2" t="inlineStr">
        <is>
          <t xml:space="preserve">Ashish Jindal </t>
        </is>
      </c>
      <c r="H167" s="8" t="n">
        <v>9983975581</v>
      </c>
      <c r="I167" s="10" t="inlineStr">
        <is>
          <t>PE01052601</t>
        </is>
      </c>
      <c r="J167" s="8" t="inlineStr">
        <is>
          <t>Multiple Issues</t>
        </is>
      </c>
      <c r="K167" s="11" t="inlineStr">
        <is>
          <t>Holi</t>
        </is>
      </c>
      <c r="L167" s="11" t="inlineStr">
        <is>
          <t>Maharashtra</t>
        </is>
      </c>
      <c r="M167" s="2" t="inlineStr">
        <is>
          <t>NS</t>
        </is>
      </c>
      <c r="N167" s="1" t="inlineStr">
        <is>
          <t>Cold Soldering</t>
        </is>
      </c>
      <c r="O167" s="11" t="n">
        <v>575</v>
      </c>
      <c r="P167" s="2" t="inlineStr">
        <is>
          <t>NSMI24070195978</t>
        </is>
      </c>
      <c r="Q167" s="14">
        <f>MID(P167,5,2)</f>
        <v/>
      </c>
      <c r="R167" s="14">
        <f>MID(P167,7,2)</f>
        <v/>
      </c>
      <c r="S167" s="1" t="inlineStr">
        <is>
          <t>G2G</t>
        </is>
      </c>
      <c r="T167" s="1" t="inlineStr">
        <is>
          <t>P4 - PEIPL</t>
        </is>
      </c>
      <c r="U167" s="1" t="inlineStr">
        <is>
          <t>N JB Cold Soldering</t>
        </is>
      </c>
      <c r="V167" s="1" t="inlineStr">
        <is>
          <t>Soldering</t>
        </is>
      </c>
      <c r="W167" s="1" t="inlineStr">
        <is>
          <t>Repair</t>
        </is>
      </c>
      <c r="X167" s="5" t="n">
        <v>46174</v>
      </c>
      <c r="Y167" s="1">
        <f>IF(X167="","",X167-A167)</f>
        <v/>
      </c>
      <c r="Z167" s="5" t="n">
        <v>46174</v>
      </c>
      <c r="AA167" s="3" t="n"/>
      <c r="AB167" s="3" t="n"/>
      <c r="AE167" s="146">
        <f>IF(AND(F167="Closed",X167&gt;=DATE(2026,6,1),X167&lt;=DATE(2026,6,30)),"Closed in June","other")</f>
        <v/>
      </c>
    </row>
    <row r="168" hidden="1">
      <c r="A168" s="9" t="n">
        <v>46143</v>
      </c>
      <c r="B168" s="1" t="n">
        <v>2026</v>
      </c>
      <c r="C168" s="8" t="inlineStr">
        <is>
          <t>Yanara Power</t>
        </is>
      </c>
      <c r="D168" s="1" t="inlineStr">
        <is>
          <t>Utility and C&amp;I</t>
        </is>
      </c>
      <c r="E168" s="1" t="n"/>
      <c r="F168" s="1" t="inlineStr">
        <is>
          <t>Closed</t>
        </is>
      </c>
      <c r="G168" s="2" t="inlineStr">
        <is>
          <t xml:space="preserve">Ashish Jindal </t>
        </is>
      </c>
      <c r="H168" s="8" t="n">
        <v>9983975581</v>
      </c>
      <c r="I168" s="10" t="inlineStr">
        <is>
          <t>PE01052601</t>
        </is>
      </c>
      <c r="J168" s="8" t="inlineStr">
        <is>
          <t>Multiple Issues</t>
        </is>
      </c>
      <c r="K168" s="11" t="inlineStr">
        <is>
          <t>Holi</t>
        </is>
      </c>
      <c r="L168" s="11" t="inlineStr">
        <is>
          <t>Maharashtra</t>
        </is>
      </c>
      <c r="M168" s="2" t="inlineStr">
        <is>
          <t>NS</t>
        </is>
      </c>
      <c r="N168" s="1" t="inlineStr">
        <is>
          <t>Cold Soldering</t>
        </is>
      </c>
      <c r="O168" s="11" t="n">
        <v>575</v>
      </c>
      <c r="P168" s="2" t="inlineStr">
        <is>
          <t>NSMI24070195973</t>
        </is>
      </c>
      <c r="Q168" s="14">
        <f>MID(P168,5,2)</f>
        <v/>
      </c>
      <c r="R168" s="14">
        <f>MID(P168,7,2)</f>
        <v/>
      </c>
      <c r="S168" s="1" t="inlineStr">
        <is>
          <t>G2G</t>
        </is>
      </c>
      <c r="T168" s="1" t="inlineStr">
        <is>
          <t>P4 - PEIPL</t>
        </is>
      </c>
      <c r="U168" s="1" t="inlineStr">
        <is>
          <t>N JB Cold Soldering</t>
        </is>
      </c>
      <c r="V168" s="1" t="inlineStr">
        <is>
          <t>Soldering</t>
        </is>
      </c>
      <c r="W168" s="1" t="inlineStr">
        <is>
          <t>Repair</t>
        </is>
      </c>
      <c r="X168" s="5" t="n">
        <v>46174</v>
      </c>
      <c r="Y168" s="1">
        <f>IF(X168="","",X168-A168)</f>
        <v/>
      </c>
      <c r="Z168" s="5" t="n">
        <v>46174</v>
      </c>
      <c r="AA168" s="3" t="n"/>
      <c r="AB168" s="3" t="n"/>
      <c r="AE168" s="146">
        <f>IF(AND(F168="Closed",X168&gt;=DATE(2026,6,1),X168&lt;=DATE(2026,6,30)),"Closed in June","other")</f>
        <v/>
      </c>
    </row>
    <row r="169" hidden="1">
      <c r="A169" s="9" t="n">
        <v>46143</v>
      </c>
      <c r="B169" s="1" t="n">
        <v>2026</v>
      </c>
      <c r="C169" s="8" t="inlineStr">
        <is>
          <t>Yanara Power</t>
        </is>
      </c>
      <c r="D169" s="1" t="inlineStr">
        <is>
          <t>Utility and C&amp;I</t>
        </is>
      </c>
      <c r="E169" s="1" t="n"/>
      <c r="F169" s="1" t="inlineStr">
        <is>
          <t>Closed</t>
        </is>
      </c>
      <c r="G169" s="2" t="inlineStr">
        <is>
          <t xml:space="preserve">Ashish Jindal </t>
        </is>
      </c>
      <c r="H169" s="8" t="n">
        <v>9983975581</v>
      </c>
      <c r="I169" s="10" t="inlineStr">
        <is>
          <t>PE01052601</t>
        </is>
      </c>
      <c r="J169" s="8" t="inlineStr">
        <is>
          <t>Multiple Issues</t>
        </is>
      </c>
      <c r="K169" s="11" t="inlineStr">
        <is>
          <t>Holi</t>
        </is>
      </c>
      <c r="L169" s="11" t="inlineStr">
        <is>
          <t>Maharashtra</t>
        </is>
      </c>
      <c r="M169" s="2" t="inlineStr">
        <is>
          <t>NS</t>
        </is>
      </c>
      <c r="N169" s="1" t="inlineStr">
        <is>
          <t>Cold Soldering</t>
        </is>
      </c>
      <c r="O169" s="11" t="n">
        <v>575</v>
      </c>
      <c r="P169" s="2" t="inlineStr">
        <is>
          <t>NSMI24070195961</t>
        </is>
      </c>
      <c r="Q169" s="14">
        <f>MID(P169,5,2)</f>
        <v/>
      </c>
      <c r="R169" s="14">
        <f>MID(P169,7,2)</f>
        <v/>
      </c>
      <c r="S169" s="1" t="inlineStr">
        <is>
          <t>G2G</t>
        </is>
      </c>
      <c r="T169" s="1" t="inlineStr">
        <is>
          <t>P4 - PEIPL</t>
        </is>
      </c>
      <c r="U169" s="1" t="inlineStr">
        <is>
          <t>N JB Cold Soldering</t>
        </is>
      </c>
      <c r="V169" s="1" t="inlineStr">
        <is>
          <t>Soldering</t>
        </is>
      </c>
      <c r="W169" s="1" t="inlineStr">
        <is>
          <t>Repair</t>
        </is>
      </c>
      <c r="X169" s="5" t="n">
        <v>46174</v>
      </c>
      <c r="Y169" s="1">
        <f>IF(X169="","",X169-A169)</f>
        <v/>
      </c>
      <c r="Z169" s="5" t="n">
        <v>46174</v>
      </c>
      <c r="AA169" s="3" t="n"/>
      <c r="AB169" s="3" t="n"/>
      <c r="AE169" s="146">
        <f>IF(AND(F169="Closed",X169&gt;=DATE(2026,6,1),X169&lt;=DATE(2026,6,30)),"Closed in June","other")</f>
        <v/>
      </c>
    </row>
    <row r="170" hidden="1">
      <c r="A170" s="9" t="n">
        <v>46143</v>
      </c>
      <c r="B170" s="1" t="n">
        <v>2026</v>
      </c>
      <c r="C170" s="8" t="inlineStr">
        <is>
          <t>Yanara Power</t>
        </is>
      </c>
      <c r="D170" s="1" t="inlineStr">
        <is>
          <t>Utility and C&amp;I</t>
        </is>
      </c>
      <c r="E170" s="1" t="n"/>
      <c r="F170" s="1" t="inlineStr">
        <is>
          <t>Closed</t>
        </is>
      </c>
      <c r="G170" s="2" t="inlineStr">
        <is>
          <t xml:space="preserve">Ashish Jindal </t>
        </is>
      </c>
      <c r="H170" s="8" t="n">
        <v>9983975581</v>
      </c>
      <c r="I170" s="10" t="inlineStr">
        <is>
          <t>PE01052601</t>
        </is>
      </c>
      <c r="J170" s="8" t="inlineStr">
        <is>
          <t>Multiple Issues</t>
        </is>
      </c>
      <c r="K170" s="11" t="inlineStr">
        <is>
          <t>Holi</t>
        </is>
      </c>
      <c r="L170" s="11" t="inlineStr">
        <is>
          <t>Maharashtra</t>
        </is>
      </c>
      <c r="M170" s="2" t="inlineStr">
        <is>
          <t>NS</t>
        </is>
      </c>
      <c r="N170" s="1" t="inlineStr">
        <is>
          <t>Cold Soldering</t>
        </is>
      </c>
      <c r="O170" s="11" t="n">
        <v>575</v>
      </c>
      <c r="P170" s="2" t="inlineStr">
        <is>
          <t>NSMI24070195957</t>
        </is>
      </c>
      <c r="Q170" s="14">
        <f>MID(P170,5,2)</f>
        <v/>
      </c>
      <c r="R170" s="14">
        <f>MID(P170,7,2)</f>
        <v/>
      </c>
      <c r="S170" s="1" t="inlineStr">
        <is>
          <t>G2G</t>
        </is>
      </c>
      <c r="T170" s="1" t="inlineStr">
        <is>
          <t>P4 - PEIPL</t>
        </is>
      </c>
      <c r="U170" s="1" t="inlineStr">
        <is>
          <t>N JB Cold Soldering</t>
        </is>
      </c>
      <c r="V170" s="1" t="inlineStr">
        <is>
          <t>Soldering</t>
        </is>
      </c>
      <c r="W170" s="1" t="inlineStr">
        <is>
          <t>Repair</t>
        </is>
      </c>
      <c r="X170" s="5" t="n">
        <v>46174</v>
      </c>
      <c r="Y170" s="1">
        <f>IF(X170="","",X170-A170)</f>
        <v/>
      </c>
      <c r="Z170" s="5" t="n">
        <v>46174</v>
      </c>
      <c r="AA170" s="3" t="n"/>
      <c r="AB170" s="3" t="n"/>
      <c r="AE170" s="146">
        <f>IF(AND(F170="Closed",X170&gt;=DATE(2026,6,1),X170&lt;=DATE(2026,6,30)),"Closed in June","other")</f>
        <v/>
      </c>
    </row>
    <row r="171" hidden="1">
      <c r="A171" s="9" t="n">
        <v>46148</v>
      </c>
      <c r="B171" s="1" t="n">
        <v>2026</v>
      </c>
      <c r="C171" s="8" t="inlineStr">
        <is>
          <t>Continuum</t>
        </is>
      </c>
      <c r="D171" s="1" t="inlineStr">
        <is>
          <t>Utility and C&amp;I</t>
        </is>
      </c>
      <c r="E171" s="1" t="n"/>
      <c r="F171" s="1" t="inlineStr">
        <is>
          <t>Closed</t>
        </is>
      </c>
      <c r="G171" s="8" t="inlineStr">
        <is>
          <t>Amiya Ranjan Behera</t>
        </is>
      </c>
      <c r="H171" s="8" t="n">
        <v>8917436223</v>
      </c>
      <c r="I171" s="10" t="inlineStr">
        <is>
          <t>PE06052602</t>
        </is>
      </c>
      <c r="J171" s="8" t="inlineStr">
        <is>
          <t>Diode Bypass Module Issue</t>
        </is>
      </c>
      <c r="K171" s="8" t="inlineStr">
        <is>
          <t>Bhavnagar</t>
        </is>
      </c>
      <c r="L171" s="8" t="inlineStr">
        <is>
          <t>Gujarat</t>
        </is>
      </c>
      <c r="M171" s="2" t="inlineStr">
        <is>
          <t>PS</t>
        </is>
      </c>
      <c r="N171" s="1" t="inlineStr">
        <is>
          <t>Cold Soldering</t>
        </is>
      </c>
      <c r="O171" s="11" t="n">
        <v>540</v>
      </c>
      <c r="P171" s="2" t="inlineStr">
        <is>
          <t>NSMP2305190176</t>
        </is>
      </c>
      <c r="Q171" s="14">
        <f>MID(P171,5,2)</f>
        <v/>
      </c>
      <c r="R171" s="14">
        <f>MID(P171,7,2)</f>
        <v/>
      </c>
      <c r="S171" s="1" t="inlineStr">
        <is>
          <t>G2B</t>
        </is>
      </c>
      <c r="T171" s="1" t="inlineStr">
        <is>
          <t>P2 - PEPPL</t>
        </is>
      </c>
      <c r="U171" s="1" t="inlineStr">
        <is>
          <t>P JB Cold Soldering</t>
        </is>
      </c>
      <c r="V171" s="1" t="inlineStr">
        <is>
          <t>Soldering</t>
        </is>
      </c>
      <c r="W171" s="1" t="inlineStr">
        <is>
          <t>Repair</t>
        </is>
      </c>
      <c r="X171" s="5" t="n">
        <v>46175</v>
      </c>
      <c r="Y171" s="1">
        <f>IF(X171="","",X171-A171)</f>
        <v/>
      </c>
      <c r="Z171" s="5" t="n">
        <v>46175</v>
      </c>
      <c r="AA171" s="3" t="n"/>
      <c r="AB171" s="3" t="n"/>
      <c r="AE171" s="146">
        <f>IF(AND(F171="Closed",X171&gt;=DATE(2026,6,1),X171&lt;=DATE(2026,6,30)),"Closed in June","other")</f>
        <v/>
      </c>
    </row>
    <row r="172" hidden="1">
      <c r="A172" s="9" t="n">
        <v>46148</v>
      </c>
      <c r="B172" s="1" t="n">
        <v>2026</v>
      </c>
      <c r="C172" s="8" t="inlineStr">
        <is>
          <t>Continuum</t>
        </is>
      </c>
      <c r="D172" s="1" t="inlineStr">
        <is>
          <t>Utility and C&amp;I</t>
        </is>
      </c>
      <c r="E172" s="1" t="n"/>
      <c r="F172" s="1" t="inlineStr">
        <is>
          <t>Closed</t>
        </is>
      </c>
      <c r="G172" s="8" t="inlineStr">
        <is>
          <t>Amiya Ranjan Behera</t>
        </is>
      </c>
      <c r="H172" s="8" t="n">
        <v>8917436223</v>
      </c>
      <c r="I172" s="10" t="inlineStr">
        <is>
          <t>PE06052602</t>
        </is>
      </c>
      <c r="J172" s="8" t="inlineStr">
        <is>
          <t>Diode Bypass Module Issue</t>
        </is>
      </c>
      <c r="K172" s="8" t="inlineStr">
        <is>
          <t>Bhavnagar</t>
        </is>
      </c>
      <c r="L172" s="8" t="inlineStr">
        <is>
          <t>Gujarat</t>
        </is>
      </c>
      <c r="M172" s="2" t="inlineStr">
        <is>
          <t>PS</t>
        </is>
      </c>
      <c r="N172" s="1" t="inlineStr">
        <is>
          <t>Cold Soldering</t>
        </is>
      </c>
      <c r="O172" s="11" t="n">
        <v>540</v>
      </c>
      <c r="P172" s="2" t="inlineStr">
        <is>
          <t>NSMP2305188818</t>
        </is>
      </c>
      <c r="Q172" s="14">
        <f>MID(P172,5,2)</f>
        <v/>
      </c>
      <c r="R172" s="14">
        <f>MID(P172,7,2)</f>
        <v/>
      </c>
      <c r="S172" s="1" t="inlineStr">
        <is>
          <t>G2B</t>
        </is>
      </c>
      <c r="T172" s="1" t="inlineStr">
        <is>
          <t>P2 - PEPPL</t>
        </is>
      </c>
      <c r="U172" s="1" t="inlineStr">
        <is>
          <t>P JB Cold Soldering</t>
        </is>
      </c>
      <c r="V172" s="1" t="inlineStr">
        <is>
          <t>Soldering</t>
        </is>
      </c>
      <c r="W172" s="1" t="inlineStr">
        <is>
          <t>Repair</t>
        </is>
      </c>
      <c r="X172" s="5" t="n">
        <v>46175</v>
      </c>
      <c r="Y172" s="1">
        <f>IF(X172="","",X172-A172)</f>
        <v/>
      </c>
      <c r="Z172" s="5" t="n">
        <v>46175</v>
      </c>
      <c r="AA172" s="3" t="n"/>
      <c r="AB172" s="3" t="n"/>
      <c r="AE172" s="146">
        <f>IF(AND(F172="Closed",X172&gt;=DATE(2026,6,1),X172&lt;=DATE(2026,6,30)),"Closed in June","other")</f>
        <v/>
      </c>
    </row>
    <row r="173" hidden="1">
      <c r="A173" s="9" t="n">
        <v>46148</v>
      </c>
      <c r="B173" s="1" t="n">
        <v>2026</v>
      </c>
      <c r="C173" s="8" t="inlineStr">
        <is>
          <t>Continuum</t>
        </is>
      </c>
      <c r="D173" s="1" t="inlineStr">
        <is>
          <t>Utility and C&amp;I</t>
        </is>
      </c>
      <c r="E173" s="1" t="n"/>
      <c r="F173" s="1" t="inlineStr">
        <is>
          <t>Closed</t>
        </is>
      </c>
      <c r="G173" s="8" t="inlineStr">
        <is>
          <t>Amiya Ranjan Behera</t>
        </is>
      </c>
      <c r="H173" s="8" t="n">
        <v>8917436223</v>
      </c>
      <c r="I173" s="10" t="inlineStr">
        <is>
          <t>PE06052602</t>
        </is>
      </c>
      <c r="J173" s="8" t="inlineStr">
        <is>
          <t>Diode Bypass Module Issue</t>
        </is>
      </c>
      <c r="K173" s="8" t="inlineStr">
        <is>
          <t>Bhavnagar</t>
        </is>
      </c>
      <c r="L173" s="8" t="inlineStr">
        <is>
          <t>Gujarat</t>
        </is>
      </c>
      <c r="M173" s="2" t="inlineStr">
        <is>
          <t>PS</t>
        </is>
      </c>
      <c r="N173" s="1" t="inlineStr">
        <is>
          <t>Cold Soldering</t>
        </is>
      </c>
      <c r="O173" s="11" t="n">
        <v>540</v>
      </c>
      <c r="P173" s="2" t="inlineStr">
        <is>
          <t>NSMP2305133770</t>
        </is>
      </c>
      <c r="Q173" s="14">
        <f>MID(P173,5,2)</f>
        <v/>
      </c>
      <c r="R173" s="14">
        <f>MID(P173,7,2)</f>
        <v/>
      </c>
      <c r="S173" s="1" t="inlineStr">
        <is>
          <t>G2B</t>
        </is>
      </c>
      <c r="T173" s="1" t="inlineStr">
        <is>
          <t>P2 - PEPPL</t>
        </is>
      </c>
      <c r="U173" s="1" t="inlineStr">
        <is>
          <t>P JB Cold Soldering</t>
        </is>
      </c>
      <c r="V173" s="1" t="inlineStr">
        <is>
          <t>Soldering</t>
        </is>
      </c>
      <c r="W173" s="1" t="inlineStr">
        <is>
          <t>Repair</t>
        </is>
      </c>
      <c r="X173" s="5" t="n">
        <v>46175</v>
      </c>
      <c r="Y173" s="1">
        <f>IF(X173="","",X173-A173)</f>
        <v/>
      </c>
      <c r="Z173" s="5" t="n">
        <v>46175</v>
      </c>
      <c r="AA173" s="3" t="n"/>
      <c r="AB173" s="3" t="n"/>
      <c r="AE173" s="146">
        <f>IF(AND(F173="Closed",X173&gt;=DATE(2026,6,1),X173&lt;=DATE(2026,6,30)),"Closed in June","other")</f>
        <v/>
      </c>
    </row>
    <row r="174" hidden="1">
      <c r="A174" s="9" t="n">
        <v>46148</v>
      </c>
      <c r="B174" s="1" t="n">
        <v>2026</v>
      </c>
      <c r="C174" s="8" t="inlineStr">
        <is>
          <t>Continuum</t>
        </is>
      </c>
      <c r="D174" s="1" t="inlineStr">
        <is>
          <t>Utility and C&amp;I</t>
        </is>
      </c>
      <c r="E174" s="1" t="n"/>
      <c r="F174" s="1" t="inlineStr">
        <is>
          <t>Closed</t>
        </is>
      </c>
      <c r="G174" s="8" t="inlineStr">
        <is>
          <t>Amiya Ranjan Behera</t>
        </is>
      </c>
      <c r="H174" s="8" t="n">
        <v>8917436223</v>
      </c>
      <c r="I174" s="10" t="inlineStr">
        <is>
          <t>PE06052602</t>
        </is>
      </c>
      <c r="J174" s="8" t="inlineStr">
        <is>
          <t>Diode Bypass Module Issue</t>
        </is>
      </c>
      <c r="K174" s="8" t="inlineStr">
        <is>
          <t>Bhavnagar</t>
        </is>
      </c>
      <c r="L174" s="8" t="inlineStr">
        <is>
          <t>Gujarat</t>
        </is>
      </c>
      <c r="M174" s="2" t="inlineStr">
        <is>
          <t>PS</t>
        </is>
      </c>
      <c r="N174" s="1" t="inlineStr">
        <is>
          <t>Cold Soldering</t>
        </is>
      </c>
      <c r="O174" s="11" t="n">
        <v>540</v>
      </c>
      <c r="P174" s="2" t="inlineStr">
        <is>
          <t>NSMP2305133744</t>
        </is>
      </c>
      <c r="Q174" s="14">
        <f>MID(P174,5,2)</f>
        <v/>
      </c>
      <c r="R174" s="14">
        <f>MID(P174,7,2)</f>
        <v/>
      </c>
      <c r="S174" s="1" t="inlineStr">
        <is>
          <t>G2B</t>
        </is>
      </c>
      <c r="T174" s="1" t="inlineStr">
        <is>
          <t>P2 - PEPPL</t>
        </is>
      </c>
      <c r="U174" s="1" t="inlineStr">
        <is>
          <t>P JB Cold Soldering</t>
        </is>
      </c>
      <c r="V174" s="1" t="inlineStr">
        <is>
          <t>Soldering</t>
        </is>
      </c>
      <c r="W174" s="1" t="inlineStr">
        <is>
          <t>Repair</t>
        </is>
      </c>
      <c r="X174" s="5" t="n">
        <v>46175</v>
      </c>
      <c r="Y174" s="1">
        <f>IF(X174="","",X174-A174)</f>
        <v/>
      </c>
      <c r="Z174" s="5" t="n">
        <v>46175</v>
      </c>
      <c r="AA174" s="3" t="n"/>
      <c r="AB174" s="3" t="n"/>
      <c r="AE174" s="146">
        <f>IF(AND(F174="Closed",X174&gt;=DATE(2026,6,1),X174&lt;=DATE(2026,6,30)),"Closed in June","other")</f>
        <v/>
      </c>
    </row>
    <row r="175" hidden="1">
      <c r="A175" s="9" t="n">
        <v>46148</v>
      </c>
      <c r="B175" s="1" t="n">
        <v>2026</v>
      </c>
      <c r="C175" s="8" t="inlineStr">
        <is>
          <t>Continuum</t>
        </is>
      </c>
      <c r="D175" s="1" t="inlineStr">
        <is>
          <t>Utility and C&amp;I</t>
        </is>
      </c>
      <c r="E175" s="1" t="n"/>
      <c r="F175" s="1" t="inlineStr">
        <is>
          <t>Closed</t>
        </is>
      </c>
      <c r="G175" s="8" t="inlineStr">
        <is>
          <t>Amiya Ranjan Behera</t>
        </is>
      </c>
      <c r="H175" s="8" t="n">
        <v>8917436223</v>
      </c>
      <c r="I175" s="10" t="inlineStr">
        <is>
          <t>PE06052602</t>
        </is>
      </c>
      <c r="J175" s="8" t="inlineStr">
        <is>
          <t>Diode Bypass Module Issue</t>
        </is>
      </c>
      <c r="K175" s="8" t="inlineStr">
        <is>
          <t>Bhavnagar</t>
        </is>
      </c>
      <c r="L175" s="8" t="inlineStr">
        <is>
          <t>Gujarat</t>
        </is>
      </c>
      <c r="M175" s="2" t="inlineStr">
        <is>
          <t>PS</t>
        </is>
      </c>
      <c r="N175" s="1" t="inlineStr">
        <is>
          <t>Cold Soldering</t>
        </is>
      </c>
      <c r="O175" s="11" t="n">
        <v>540</v>
      </c>
      <c r="P175" s="2" t="inlineStr">
        <is>
          <t>NSMP2305201113</t>
        </is>
      </c>
      <c r="Q175" s="14">
        <f>MID(P175,5,2)</f>
        <v/>
      </c>
      <c r="R175" s="14">
        <f>MID(P175,7,2)</f>
        <v/>
      </c>
      <c r="S175" s="1" t="inlineStr">
        <is>
          <t>G2B</t>
        </is>
      </c>
      <c r="T175" s="1" t="inlineStr">
        <is>
          <t>P2 - PEPPL</t>
        </is>
      </c>
      <c r="U175" s="1" t="inlineStr">
        <is>
          <t>P JB Cold Soldering</t>
        </is>
      </c>
      <c r="V175" s="1" t="inlineStr">
        <is>
          <t>Soldering</t>
        </is>
      </c>
      <c r="W175" s="1" t="inlineStr">
        <is>
          <t>Repair</t>
        </is>
      </c>
      <c r="X175" s="5" t="n">
        <v>46175</v>
      </c>
      <c r="Y175" s="1">
        <f>IF(X175="","",X175-A175)</f>
        <v/>
      </c>
      <c r="Z175" s="5" t="n">
        <v>46175</v>
      </c>
      <c r="AA175" s="3" t="n"/>
      <c r="AB175" s="3" t="n"/>
      <c r="AE175" s="146">
        <f>IF(AND(F175="Closed",X175&gt;=DATE(2026,6,1),X175&lt;=DATE(2026,6,30)),"Closed in June","other")</f>
        <v/>
      </c>
    </row>
    <row r="176" hidden="1">
      <c r="A176" s="9" t="n">
        <v>46148</v>
      </c>
      <c r="B176" s="1" t="n">
        <v>2026</v>
      </c>
      <c r="C176" s="8" t="inlineStr">
        <is>
          <t>Continuum</t>
        </is>
      </c>
      <c r="D176" s="1" t="inlineStr">
        <is>
          <t>Utility and C&amp;I</t>
        </is>
      </c>
      <c r="E176" s="1" t="n"/>
      <c r="F176" s="1" t="inlineStr">
        <is>
          <t>Closed</t>
        </is>
      </c>
      <c r="G176" s="8" t="inlineStr">
        <is>
          <t>Amiya Ranjan Behera</t>
        </is>
      </c>
      <c r="H176" s="8" t="n">
        <v>8917436223</v>
      </c>
      <c r="I176" s="10" t="inlineStr">
        <is>
          <t>PE06052602</t>
        </is>
      </c>
      <c r="J176" s="8" t="inlineStr">
        <is>
          <t>Diode Bypass Module Issue</t>
        </is>
      </c>
      <c r="K176" s="8" t="inlineStr">
        <is>
          <t>Bhavnagar</t>
        </is>
      </c>
      <c r="L176" s="8" t="inlineStr">
        <is>
          <t>Gujarat</t>
        </is>
      </c>
      <c r="M176" s="2" t="inlineStr">
        <is>
          <t>PS</t>
        </is>
      </c>
      <c r="N176" s="1" t="inlineStr">
        <is>
          <t>Cold Soldering</t>
        </is>
      </c>
      <c r="O176" s="11" t="n">
        <v>540</v>
      </c>
      <c r="P176" s="2" t="inlineStr">
        <is>
          <t>NSMP2305201110</t>
        </is>
      </c>
      <c r="Q176" s="14">
        <f>MID(P176,5,2)</f>
        <v/>
      </c>
      <c r="R176" s="14">
        <f>MID(P176,7,2)</f>
        <v/>
      </c>
      <c r="S176" s="1" t="inlineStr">
        <is>
          <t>G2B</t>
        </is>
      </c>
      <c r="T176" s="1" t="inlineStr">
        <is>
          <t>P2 - PEPPL</t>
        </is>
      </c>
      <c r="U176" s="1" t="inlineStr">
        <is>
          <t>P JB Cold Soldering</t>
        </is>
      </c>
      <c r="V176" s="1" t="inlineStr">
        <is>
          <t>Soldering</t>
        </is>
      </c>
      <c r="W176" s="1" t="inlineStr">
        <is>
          <t>Repair</t>
        </is>
      </c>
      <c r="X176" s="5" t="n">
        <v>46175</v>
      </c>
      <c r="Y176" s="1">
        <f>IF(X176="","",X176-A176)</f>
        <v/>
      </c>
      <c r="Z176" s="5" t="n">
        <v>46175</v>
      </c>
      <c r="AA176" s="3" t="n"/>
      <c r="AB176" s="3" t="n"/>
      <c r="AE176" s="146">
        <f>IF(AND(F176="Closed",X176&gt;=DATE(2026,6,1),X176&lt;=DATE(2026,6,30)),"Closed in June","other")</f>
        <v/>
      </c>
    </row>
    <row r="177" hidden="1">
      <c r="A177" s="9" t="n">
        <v>46148</v>
      </c>
      <c r="B177" s="1" t="n">
        <v>2026</v>
      </c>
      <c r="C177" s="8" t="inlineStr">
        <is>
          <t>Continuum</t>
        </is>
      </c>
      <c r="D177" s="1" t="inlineStr">
        <is>
          <t>Utility and C&amp;I</t>
        </is>
      </c>
      <c r="E177" s="1" t="n"/>
      <c r="F177" s="1" t="inlineStr">
        <is>
          <t>Closed</t>
        </is>
      </c>
      <c r="G177" s="8" t="inlineStr">
        <is>
          <t>Amiya Ranjan Behera</t>
        </is>
      </c>
      <c r="H177" s="8" t="n">
        <v>8917436223</v>
      </c>
      <c r="I177" s="10" t="inlineStr">
        <is>
          <t>PE06052602</t>
        </is>
      </c>
      <c r="J177" s="8" t="inlineStr">
        <is>
          <t>Diode Bypass Module Issue</t>
        </is>
      </c>
      <c r="K177" s="8" t="inlineStr">
        <is>
          <t>Bhavnagar</t>
        </is>
      </c>
      <c r="L177" s="8" t="inlineStr">
        <is>
          <t>Gujarat</t>
        </is>
      </c>
      <c r="M177" s="2" t="inlineStr">
        <is>
          <t>PS</t>
        </is>
      </c>
      <c r="N177" s="1" t="inlineStr">
        <is>
          <t>Cold Soldering</t>
        </is>
      </c>
      <c r="O177" s="11" t="n">
        <v>540</v>
      </c>
      <c r="P177" s="2" t="inlineStr">
        <is>
          <t>NSMP2305201115</t>
        </is>
      </c>
      <c r="Q177" s="14">
        <f>MID(P177,5,2)</f>
        <v/>
      </c>
      <c r="R177" s="14">
        <f>MID(P177,7,2)</f>
        <v/>
      </c>
      <c r="S177" s="1" t="inlineStr">
        <is>
          <t>G2B</t>
        </is>
      </c>
      <c r="T177" s="1" t="inlineStr">
        <is>
          <t>P2 - PEPPL</t>
        </is>
      </c>
      <c r="U177" s="1" t="inlineStr">
        <is>
          <t>P JB Cold Soldering</t>
        </is>
      </c>
      <c r="V177" s="1" t="inlineStr">
        <is>
          <t>Soldering</t>
        </is>
      </c>
      <c r="W177" s="1" t="inlineStr">
        <is>
          <t>Repair</t>
        </is>
      </c>
      <c r="X177" s="5" t="n">
        <v>46175</v>
      </c>
      <c r="Y177" s="1">
        <f>IF(X177="","",X177-A177)</f>
        <v/>
      </c>
      <c r="Z177" s="5" t="n">
        <v>46175</v>
      </c>
      <c r="AA177" s="3" t="n"/>
      <c r="AB177" s="3" t="n"/>
      <c r="AE177" s="146">
        <f>IF(AND(F177="Closed",X177&gt;=DATE(2026,6,1),X177&lt;=DATE(2026,6,30)),"Closed in June","other")</f>
        <v/>
      </c>
    </row>
    <row r="178" hidden="1">
      <c r="A178" s="9" t="n">
        <v>46148</v>
      </c>
      <c r="B178" s="1" t="n">
        <v>2026</v>
      </c>
      <c r="C178" s="8" t="inlineStr">
        <is>
          <t>Continuum</t>
        </is>
      </c>
      <c r="D178" s="1" t="inlineStr">
        <is>
          <t>Utility and C&amp;I</t>
        </is>
      </c>
      <c r="E178" s="1" t="n"/>
      <c r="F178" s="1" t="inlineStr">
        <is>
          <t>Closed</t>
        </is>
      </c>
      <c r="G178" s="8" t="inlineStr">
        <is>
          <t>Amiya Ranjan Behera</t>
        </is>
      </c>
      <c r="H178" s="8" t="n">
        <v>8917436223</v>
      </c>
      <c r="I178" s="10" t="inlineStr">
        <is>
          <t>PE06052602</t>
        </is>
      </c>
      <c r="J178" s="8" t="inlineStr">
        <is>
          <t>Diode Bypass Module Issue</t>
        </is>
      </c>
      <c r="K178" s="8" t="inlineStr">
        <is>
          <t>Bhavnagar</t>
        </is>
      </c>
      <c r="L178" s="8" t="inlineStr">
        <is>
          <t>Gujarat</t>
        </is>
      </c>
      <c r="M178" s="2" t="inlineStr">
        <is>
          <t>PR</t>
        </is>
      </c>
      <c r="N178" s="1" t="inlineStr">
        <is>
          <t>JB Issue</t>
        </is>
      </c>
      <c r="O178" s="11" t="n">
        <v>540</v>
      </c>
      <c r="P178" s="2" t="inlineStr">
        <is>
          <t>NSMP2305179065</t>
        </is>
      </c>
      <c r="Q178" s="14">
        <f>MID(P178,5,2)</f>
        <v/>
      </c>
      <c r="R178" s="14">
        <f>MID(P178,7,2)</f>
        <v/>
      </c>
      <c r="S178" s="1" t="inlineStr">
        <is>
          <t>G2B</t>
        </is>
      </c>
      <c r="T178" s="1" t="inlineStr">
        <is>
          <t>P2 - PEPPL</t>
        </is>
      </c>
      <c r="U178" s="1" t="inlineStr">
        <is>
          <t>P JB Issue</t>
        </is>
      </c>
      <c r="V178" s="3" t="inlineStr">
        <is>
          <t>JB Changed</t>
        </is>
      </c>
      <c r="W178" s="1" t="inlineStr">
        <is>
          <t>Repair</t>
        </is>
      </c>
      <c r="X178" s="5" t="n">
        <v>46175</v>
      </c>
      <c r="Y178" s="1">
        <f>IF(X178="","",X178-A178)</f>
        <v/>
      </c>
      <c r="Z178" s="5" t="n">
        <v>46175</v>
      </c>
      <c r="AA178" s="3" t="n"/>
      <c r="AB178" s="3" t="n"/>
      <c r="AE178" s="146">
        <f>IF(AND(F178="Closed",X178&gt;=DATE(2026,6,1),X178&lt;=DATE(2026,6,30)),"Closed in June","other")</f>
        <v/>
      </c>
    </row>
    <row r="179" hidden="1">
      <c r="A179" s="9" t="n">
        <v>46148</v>
      </c>
      <c r="B179" s="1" t="n">
        <v>2026</v>
      </c>
      <c r="C179" s="8" t="inlineStr">
        <is>
          <t>Continuum</t>
        </is>
      </c>
      <c r="D179" s="1" t="inlineStr">
        <is>
          <t>Utility and C&amp;I</t>
        </is>
      </c>
      <c r="E179" s="1" t="n"/>
      <c r="F179" s="1" t="inlineStr">
        <is>
          <t>Closed</t>
        </is>
      </c>
      <c r="G179" s="8" t="inlineStr">
        <is>
          <t>Amiya Ranjan Behera</t>
        </is>
      </c>
      <c r="H179" s="8" t="n">
        <v>8917436223</v>
      </c>
      <c r="I179" s="10" t="inlineStr">
        <is>
          <t>PE06052602</t>
        </is>
      </c>
      <c r="J179" s="8" t="inlineStr">
        <is>
          <t>Diode Bypass Module Issue</t>
        </is>
      </c>
      <c r="K179" s="8" t="inlineStr">
        <is>
          <t>Bhavnagar</t>
        </is>
      </c>
      <c r="L179" s="8" t="inlineStr">
        <is>
          <t>Gujarat</t>
        </is>
      </c>
      <c r="M179" s="2" t="inlineStr">
        <is>
          <t>PR</t>
        </is>
      </c>
      <c r="N179" s="1" t="inlineStr">
        <is>
          <t>JB Issue</t>
        </is>
      </c>
      <c r="O179" s="11" t="n">
        <v>540</v>
      </c>
      <c r="P179" s="2" t="inlineStr">
        <is>
          <t>NSMP2305133738</t>
        </is>
      </c>
      <c r="Q179" s="14">
        <f>MID(P179,5,2)</f>
        <v/>
      </c>
      <c r="R179" s="14">
        <f>MID(P179,7,2)</f>
        <v/>
      </c>
      <c r="S179" s="1" t="inlineStr">
        <is>
          <t>G2B</t>
        </is>
      </c>
      <c r="T179" s="1" t="inlineStr">
        <is>
          <t>P2 - PEPPL</t>
        </is>
      </c>
      <c r="U179" s="1" t="inlineStr">
        <is>
          <t>P JB Issue</t>
        </is>
      </c>
      <c r="V179" s="3" t="inlineStr">
        <is>
          <t>JB Changed</t>
        </is>
      </c>
      <c r="W179" s="1" t="inlineStr">
        <is>
          <t>Repair</t>
        </is>
      </c>
      <c r="X179" s="5" t="n">
        <v>46175</v>
      </c>
      <c r="Y179" s="1">
        <f>IF(X179="","",X179-A179)</f>
        <v/>
      </c>
      <c r="Z179" s="5" t="n">
        <v>46175</v>
      </c>
      <c r="AA179" s="3" t="n"/>
      <c r="AB179" s="3" t="n"/>
      <c r="AE179" s="146">
        <f>IF(AND(F179="Closed",X179&gt;=DATE(2026,6,1),X179&lt;=DATE(2026,6,30)),"Closed in June","other")</f>
        <v/>
      </c>
    </row>
    <row r="180" hidden="1">
      <c r="A180" s="9" t="n">
        <v>46148</v>
      </c>
      <c r="B180" s="1" t="n">
        <v>2026</v>
      </c>
      <c r="C180" s="8" t="inlineStr">
        <is>
          <t>Continuum</t>
        </is>
      </c>
      <c r="D180" s="1" t="inlineStr">
        <is>
          <t>Utility and C&amp;I</t>
        </is>
      </c>
      <c r="E180" s="1" t="n"/>
      <c r="F180" s="1" t="inlineStr">
        <is>
          <t>Closed</t>
        </is>
      </c>
      <c r="G180" s="8" t="inlineStr">
        <is>
          <t>Amiya Ranjan Behera</t>
        </is>
      </c>
      <c r="H180" s="8" t="n">
        <v>8917436223</v>
      </c>
      <c r="I180" s="10" t="inlineStr">
        <is>
          <t>PE06052602</t>
        </is>
      </c>
      <c r="J180" s="8" t="inlineStr">
        <is>
          <t>Diode Bypass Module Issue</t>
        </is>
      </c>
      <c r="K180" s="8" t="inlineStr">
        <is>
          <t>Bhavnagar</t>
        </is>
      </c>
      <c r="L180" s="8" t="inlineStr">
        <is>
          <t>Gujarat</t>
        </is>
      </c>
      <c r="M180" s="2" t="inlineStr">
        <is>
          <t>PR</t>
        </is>
      </c>
      <c r="N180" s="1" t="inlineStr">
        <is>
          <t>JB Issue</t>
        </is>
      </c>
      <c r="O180" s="11" t="n">
        <v>540</v>
      </c>
      <c r="P180" s="2" t="inlineStr">
        <is>
          <t>NSMP2305172905</t>
        </is>
      </c>
      <c r="Q180" s="14">
        <f>MID(P180,5,2)</f>
        <v/>
      </c>
      <c r="R180" s="14">
        <f>MID(P180,7,2)</f>
        <v/>
      </c>
      <c r="S180" s="1" t="inlineStr">
        <is>
          <t>G2B</t>
        </is>
      </c>
      <c r="T180" s="1" t="inlineStr">
        <is>
          <t>P2 - PEPPL</t>
        </is>
      </c>
      <c r="U180" s="1" t="inlineStr">
        <is>
          <t>P JB Issue</t>
        </is>
      </c>
      <c r="V180" s="3" t="inlineStr">
        <is>
          <t>JB Changed</t>
        </is>
      </c>
      <c r="W180" s="1" t="inlineStr">
        <is>
          <t>Repair</t>
        </is>
      </c>
      <c r="X180" s="5" t="n">
        <v>46175</v>
      </c>
      <c r="Y180" s="1">
        <f>IF(X180="","",X180-A180)</f>
        <v/>
      </c>
      <c r="Z180" s="5" t="n">
        <v>46175</v>
      </c>
      <c r="AA180" s="3" t="n"/>
      <c r="AB180" s="3" t="n"/>
      <c r="AE180" s="146">
        <f>IF(AND(F180="Closed",X180&gt;=DATE(2026,6,1),X180&lt;=DATE(2026,6,30)),"Closed in June","other")</f>
        <v/>
      </c>
    </row>
    <row r="181" hidden="1">
      <c r="A181" s="9" t="n">
        <v>46148</v>
      </c>
      <c r="B181" s="1" t="n">
        <v>2026</v>
      </c>
      <c r="C181" s="8" t="inlineStr">
        <is>
          <t>Continuum</t>
        </is>
      </c>
      <c r="D181" s="1" t="inlineStr">
        <is>
          <t>Utility and C&amp;I</t>
        </is>
      </c>
      <c r="E181" s="1" t="n"/>
      <c r="F181" s="1" t="inlineStr">
        <is>
          <t>Closed</t>
        </is>
      </c>
      <c r="G181" s="8" t="inlineStr">
        <is>
          <t>Amiya Ranjan Behera</t>
        </is>
      </c>
      <c r="H181" s="8" t="n">
        <v>8917436223</v>
      </c>
      <c r="I181" s="10" t="inlineStr">
        <is>
          <t>PE06052602</t>
        </is>
      </c>
      <c r="J181" s="8" t="inlineStr">
        <is>
          <t>Diode Bypass Module Issue</t>
        </is>
      </c>
      <c r="K181" s="8" t="inlineStr">
        <is>
          <t>Bhavnagar</t>
        </is>
      </c>
      <c r="L181" s="8" t="inlineStr">
        <is>
          <t>Gujarat</t>
        </is>
      </c>
      <c r="M181" s="2" t="inlineStr">
        <is>
          <t>PS</t>
        </is>
      </c>
      <c r="N181" s="1" t="inlineStr">
        <is>
          <t>Cold Soldering</t>
        </is>
      </c>
      <c r="O181" s="11" t="n">
        <v>540</v>
      </c>
      <c r="P181" s="2" t="inlineStr">
        <is>
          <t>NSMP2305124234</t>
        </is>
      </c>
      <c r="Q181" s="14">
        <f>MID(P181,5,2)</f>
        <v/>
      </c>
      <c r="R181" s="14">
        <f>MID(P181,7,2)</f>
        <v/>
      </c>
      <c r="S181" s="1" t="inlineStr">
        <is>
          <t>G2B</t>
        </is>
      </c>
      <c r="T181" s="1" t="inlineStr">
        <is>
          <t>P2 - PEPPL</t>
        </is>
      </c>
      <c r="U181" s="1" t="inlineStr">
        <is>
          <t>P JB Cold Soldering</t>
        </is>
      </c>
      <c r="V181" s="1" t="inlineStr">
        <is>
          <t>Soldering</t>
        </is>
      </c>
      <c r="W181" s="1" t="inlineStr">
        <is>
          <t>Repair</t>
        </is>
      </c>
      <c r="X181" s="5" t="n">
        <v>46175</v>
      </c>
      <c r="Y181" s="1">
        <f>IF(X181="","",X181-A181)</f>
        <v/>
      </c>
      <c r="Z181" s="5" t="n">
        <v>46175</v>
      </c>
      <c r="AA181" s="3" t="n"/>
      <c r="AB181" s="3" t="n"/>
      <c r="AE181" s="146">
        <f>IF(AND(F181="Closed",X181&gt;=DATE(2026,6,1),X181&lt;=DATE(2026,6,30)),"Closed in June","other")</f>
        <v/>
      </c>
    </row>
    <row r="182" hidden="1">
      <c r="A182" s="9" t="n">
        <v>46148</v>
      </c>
      <c r="B182" s="1" t="n">
        <v>2026</v>
      </c>
      <c r="C182" s="8" t="inlineStr">
        <is>
          <t>Continuum</t>
        </is>
      </c>
      <c r="D182" s="1" t="inlineStr">
        <is>
          <t>Utility and C&amp;I</t>
        </is>
      </c>
      <c r="E182" s="1" t="n"/>
      <c r="F182" s="1" t="inlineStr">
        <is>
          <t>Closed</t>
        </is>
      </c>
      <c r="G182" s="8" t="inlineStr">
        <is>
          <t>Amiya Ranjan Behera</t>
        </is>
      </c>
      <c r="H182" s="8" t="n">
        <v>8917436223</v>
      </c>
      <c r="I182" s="10" t="inlineStr">
        <is>
          <t>PE06052602</t>
        </is>
      </c>
      <c r="J182" s="8" t="inlineStr">
        <is>
          <t>Diode Bypass Module Issue</t>
        </is>
      </c>
      <c r="K182" s="8" t="inlineStr">
        <is>
          <t>Bhavnagar</t>
        </is>
      </c>
      <c r="L182" s="8" t="inlineStr">
        <is>
          <t>Gujarat</t>
        </is>
      </c>
      <c r="M182" s="2" t="inlineStr">
        <is>
          <t>PS</t>
        </is>
      </c>
      <c r="N182" s="1" t="inlineStr">
        <is>
          <t>Cold Soldering</t>
        </is>
      </c>
      <c r="O182" s="11" t="n">
        <v>540</v>
      </c>
      <c r="P182" s="2" t="inlineStr">
        <is>
          <t>NSMP2305124306</t>
        </is>
      </c>
      <c r="Q182" s="14">
        <f>MID(P182,5,2)</f>
        <v/>
      </c>
      <c r="R182" s="14">
        <f>MID(P182,7,2)</f>
        <v/>
      </c>
      <c r="S182" s="1" t="inlineStr">
        <is>
          <t>G2B</t>
        </is>
      </c>
      <c r="T182" s="1" t="inlineStr">
        <is>
          <t>P2 - PEPPL</t>
        </is>
      </c>
      <c r="U182" s="1" t="inlineStr">
        <is>
          <t>P JB Cold Soldering</t>
        </is>
      </c>
      <c r="V182" s="1" t="inlineStr">
        <is>
          <t>Soldering</t>
        </is>
      </c>
      <c r="W182" s="1" t="inlineStr">
        <is>
          <t>Repair</t>
        </is>
      </c>
      <c r="X182" s="5" t="n">
        <v>46175</v>
      </c>
      <c r="Y182" s="1">
        <f>IF(X182="","",X182-A182)</f>
        <v/>
      </c>
      <c r="Z182" s="5" t="n">
        <v>46175</v>
      </c>
      <c r="AA182" s="3" t="n"/>
      <c r="AB182" s="3" t="n"/>
      <c r="AE182" s="146">
        <f>IF(AND(F182="Closed",X182&gt;=DATE(2026,6,1),X182&lt;=DATE(2026,6,30)),"Closed in June","other")</f>
        <v/>
      </c>
    </row>
    <row r="183" hidden="1">
      <c r="A183" s="9" t="n">
        <v>46148</v>
      </c>
      <c r="B183" s="1" t="n">
        <v>2026</v>
      </c>
      <c r="C183" s="8" t="inlineStr">
        <is>
          <t>Continuum</t>
        </is>
      </c>
      <c r="D183" s="1" t="inlineStr">
        <is>
          <t>Utility and C&amp;I</t>
        </is>
      </c>
      <c r="E183" s="1" t="n"/>
      <c r="F183" s="1" t="inlineStr">
        <is>
          <t>Closed</t>
        </is>
      </c>
      <c r="G183" s="8" t="inlineStr">
        <is>
          <t>Amiya Ranjan Behera</t>
        </is>
      </c>
      <c r="H183" s="8" t="n">
        <v>8917436223</v>
      </c>
      <c r="I183" s="10" t="inlineStr">
        <is>
          <t>PE06052602</t>
        </is>
      </c>
      <c r="J183" s="8" t="inlineStr">
        <is>
          <t>Diode Bypass Module Issue</t>
        </is>
      </c>
      <c r="K183" s="8" t="inlineStr">
        <is>
          <t>Bhavnagar</t>
        </is>
      </c>
      <c r="L183" s="8" t="inlineStr">
        <is>
          <t>Gujarat</t>
        </is>
      </c>
      <c r="M183" s="2" t="inlineStr">
        <is>
          <t xml:space="preserve">OK </t>
        </is>
      </c>
      <c r="N183" s="2" t="inlineStr">
        <is>
          <t>No Issue Found</t>
        </is>
      </c>
      <c r="O183" s="11" t="n">
        <v>540</v>
      </c>
      <c r="P183" s="2" t="inlineStr">
        <is>
          <t>NSMP2305124430</t>
        </is>
      </c>
      <c r="Q183" s="14">
        <f>MID(P183,5,2)</f>
        <v/>
      </c>
      <c r="R183" s="14">
        <f>MID(P183,7,2)</f>
        <v/>
      </c>
      <c r="S183" s="1" t="inlineStr">
        <is>
          <t>G2B</t>
        </is>
      </c>
      <c r="T183" s="1" t="inlineStr">
        <is>
          <t>P2 - PEPPL</t>
        </is>
      </c>
      <c r="U183" s="6" t="inlineStr">
        <is>
          <t>No Issue Found</t>
        </is>
      </c>
      <c r="V183" s="6" t="inlineStr">
        <is>
          <t>Inspection</t>
        </is>
      </c>
      <c r="W183" s="1" t="inlineStr">
        <is>
          <t>Rejected</t>
        </is>
      </c>
      <c r="X183" s="5" t="n">
        <v>46175</v>
      </c>
      <c r="Y183" s="1">
        <f>IF(X183="","",X183-A183)</f>
        <v/>
      </c>
      <c r="Z183" s="5" t="n">
        <v>46175</v>
      </c>
      <c r="AA183" s="3" t="n"/>
      <c r="AB183" s="3" t="n"/>
      <c r="AE183" s="146">
        <f>IF(AND(F183="Closed",X183&gt;=DATE(2026,6,1),X183&lt;=DATE(2026,6,30)),"Closed in June","other")</f>
        <v/>
      </c>
    </row>
    <row r="184" hidden="1">
      <c r="A184" s="9" t="n">
        <v>46148</v>
      </c>
      <c r="B184" s="1" t="n">
        <v>2026</v>
      </c>
      <c r="C184" s="8" t="inlineStr">
        <is>
          <t>Continuum</t>
        </is>
      </c>
      <c r="D184" s="1" t="inlineStr">
        <is>
          <t>Utility and C&amp;I</t>
        </is>
      </c>
      <c r="E184" s="1" t="n"/>
      <c r="F184" s="1" t="inlineStr">
        <is>
          <t>Closed</t>
        </is>
      </c>
      <c r="G184" s="8" t="inlineStr">
        <is>
          <t>Amiya Ranjan Behera</t>
        </is>
      </c>
      <c r="H184" s="8" t="n">
        <v>8917436223</v>
      </c>
      <c r="I184" s="10" t="inlineStr">
        <is>
          <t>PE06052602</t>
        </is>
      </c>
      <c r="J184" s="8" t="inlineStr">
        <is>
          <t>Diode Bypass Module Issue</t>
        </is>
      </c>
      <c r="K184" s="8" t="inlineStr">
        <is>
          <t>Bhavnagar</t>
        </is>
      </c>
      <c r="L184" s="8" t="inlineStr">
        <is>
          <t>Gujarat</t>
        </is>
      </c>
      <c r="M184" s="2" t="inlineStr">
        <is>
          <t>PS</t>
        </is>
      </c>
      <c r="N184" s="1" t="inlineStr">
        <is>
          <t>Cold Soldering</t>
        </is>
      </c>
      <c r="O184" s="11" t="n">
        <v>540</v>
      </c>
      <c r="P184" s="2" t="inlineStr">
        <is>
          <t>NSMP2305124481</t>
        </is>
      </c>
      <c r="Q184" s="14">
        <f>MID(P184,5,2)</f>
        <v/>
      </c>
      <c r="R184" s="14">
        <f>MID(P184,7,2)</f>
        <v/>
      </c>
      <c r="S184" s="1" t="inlineStr">
        <is>
          <t>G2B</t>
        </is>
      </c>
      <c r="T184" s="1" t="inlineStr">
        <is>
          <t>P2 - PEPPL</t>
        </is>
      </c>
      <c r="U184" s="1" t="inlineStr">
        <is>
          <t>P JB Cold Soldering</t>
        </is>
      </c>
      <c r="V184" s="1" t="inlineStr">
        <is>
          <t>Soldering</t>
        </is>
      </c>
      <c r="W184" s="1" t="inlineStr">
        <is>
          <t>Repair</t>
        </is>
      </c>
      <c r="X184" s="5" t="n">
        <v>46175</v>
      </c>
      <c r="Y184" s="1">
        <f>IF(X184="","",X184-A184)</f>
        <v/>
      </c>
      <c r="Z184" s="5" t="n">
        <v>46175</v>
      </c>
      <c r="AA184" s="3" t="n"/>
      <c r="AB184" s="3" t="n"/>
      <c r="AE184" s="146">
        <f>IF(AND(F184="Closed",X184&gt;=DATE(2026,6,1),X184&lt;=DATE(2026,6,30)),"Closed in June","other")</f>
        <v/>
      </c>
    </row>
    <row r="185" hidden="1">
      <c r="A185" s="9" t="n">
        <v>46148</v>
      </c>
      <c r="B185" s="1" t="n">
        <v>2026</v>
      </c>
      <c r="C185" s="8" t="inlineStr">
        <is>
          <t>Continuum</t>
        </is>
      </c>
      <c r="D185" s="1" t="inlineStr">
        <is>
          <t>Utility and C&amp;I</t>
        </is>
      </c>
      <c r="E185" s="1" t="n"/>
      <c r="F185" s="1" t="inlineStr">
        <is>
          <t>Closed</t>
        </is>
      </c>
      <c r="G185" s="8" t="inlineStr">
        <is>
          <t>Amiya Ranjan Behera</t>
        </is>
      </c>
      <c r="H185" s="8" t="n">
        <v>8917436223</v>
      </c>
      <c r="I185" s="10" t="inlineStr">
        <is>
          <t>PE06052602</t>
        </is>
      </c>
      <c r="J185" s="8" t="inlineStr">
        <is>
          <t>Diode Bypass Module Issue</t>
        </is>
      </c>
      <c r="K185" s="8" t="inlineStr">
        <is>
          <t>Bhavnagar</t>
        </is>
      </c>
      <c r="L185" s="8" t="inlineStr">
        <is>
          <t>Gujarat</t>
        </is>
      </c>
      <c r="M185" s="2" t="inlineStr">
        <is>
          <t>PS</t>
        </is>
      </c>
      <c r="N185" s="1" t="inlineStr">
        <is>
          <t>Cold Soldering</t>
        </is>
      </c>
      <c r="O185" s="11" t="n">
        <v>540</v>
      </c>
      <c r="P185" s="2" t="inlineStr">
        <is>
          <t>NSMP2305124466</t>
        </is>
      </c>
      <c r="Q185" s="14">
        <f>MID(P185,5,2)</f>
        <v/>
      </c>
      <c r="R185" s="14">
        <f>MID(P185,7,2)</f>
        <v/>
      </c>
      <c r="S185" s="1" t="inlineStr">
        <is>
          <t>G2B</t>
        </is>
      </c>
      <c r="T185" s="1" t="inlineStr">
        <is>
          <t>P2 - PEPPL</t>
        </is>
      </c>
      <c r="U185" s="1" t="inlineStr">
        <is>
          <t>P JB Cold Soldering</t>
        </is>
      </c>
      <c r="V185" s="1" t="inlineStr">
        <is>
          <t>Soldering</t>
        </is>
      </c>
      <c r="W185" s="1" t="inlineStr">
        <is>
          <t>Repair</t>
        </is>
      </c>
      <c r="X185" s="5" t="n">
        <v>46175</v>
      </c>
      <c r="Y185" s="1">
        <f>IF(X185="","",X185-A185)</f>
        <v/>
      </c>
      <c r="Z185" s="5" t="n">
        <v>46175</v>
      </c>
      <c r="AA185" s="3" t="n"/>
      <c r="AB185" s="3" t="n"/>
      <c r="AE185" s="146">
        <f>IF(AND(F185="Closed",X185&gt;=DATE(2026,6,1),X185&lt;=DATE(2026,6,30)),"Closed in June","other")</f>
        <v/>
      </c>
    </row>
    <row r="186" hidden="1">
      <c r="A186" s="9" t="n">
        <v>46148</v>
      </c>
      <c r="B186" s="1" t="n">
        <v>2026</v>
      </c>
      <c r="C186" s="8" t="inlineStr">
        <is>
          <t>Continuum</t>
        </is>
      </c>
      <c r="D186" s="1" t="inlineStr">
        <is>
          <t>Utility and C&amp;I</t>
        </is>
      </c>
      <c r="E186" s="1" t="n"/>
      <c r="F186" s="1" t="inlineStr">
        <is>
          <t>Closed</t>
        </is>
      </c>
      <c r="G186" s="8" t="inlineStr">
        <is>
          <t>Amiya Ranjan Behera</t>
        </is>
      </c>
      <c r="H186" s="8" t="n">
        <v>8917436223</v>
      </c>
      <c r="I186" s="10" t="inlineStr">
        <is>
          <t>PE06052602</t>
        </is>
      </c>
      <c r="J186" s="8" t="inlineStr">
        <is>
          <t>Diode Bypass Module Issue</t>
        </is>
      </c>
      <c r="K186" s="8" t="inlineStr">
        <is>
          <t>Bhavnagar</t>
        </is>
      </c>
      <c r="L186" s="8" t="inlineStr">
        <is>
          <t>Gujarat</t>
        </is>
      </c>
      <c r="M186" s="2" t="inlineStr">
        <is>
          <t>PS</t>
        </is>
      </c>
      <c r="N186" s="1" t="inlineStr">
        <is>
          <t>Cold Soldering</t>
        </is>
      </c>
      <c r="O186" s="11" t="n">
        <v>540</v>
      </c>
      <c r="P186" s="2" t="inlineStr">
        <is>
          <t>NSMP2305124485</t>
        </is>
      </c>
      <c r="Q186" s="14">
        <f>MID(P186,5,2)</f>
        <v/>
      </c>
      <c r="R186" s="14">
        <f>MID(P186,7,2)</f>
        <v/>
      </c>
      <c r="S186" s="1" t="inlineStr">
        <is>
          <t>G2B</t>
        </is>
      </c>
      <c r="T186" s="1" t="inlineStr">
        <is>
          <t>P2 - PEPPL</t>
        </is>
      </c>
      <c r="U186" s="1" t="inlineStr">
        <is>
          <t>P JB Cold Soldering</t>
        </is>
      </c>
      <c r="V186" s="1" t="inlineStr">
        <is>
          <t>Soldering</t>
        </is>
      </c>
      <c r="W186" s="1" t="inlineStr">
        <is>
          <t>Repair</t>
        </is>
      </c>
      <c r="X186" s="5" t="n">
        <v>46175</v>
      </c>
      <c r="Y186" s="1">
        <f>IF(X186="","",X186-A186)</f>
        <v/>
      </c>
      <c r="Z186" s="5" t="n">
        <v>46175</v>
      </c>
      <c r="AA186" s="3" t="n"/>
      <c r="AB186" s="3" t="n"/>
      <c r="AE186" s="146">
        <f>IF(AND(F186="Closed",X186&gt;=DATE(2026,6,1),X186&lt;=DATE(2026,6,30)),"Closed in June","other")</f>
        <v/>
      </c>
    </row>
    <row r="187" hidden="1">
      <c r="A187" s="9" t="n">
        <v>46148</v>
      </c>
      <c r="B187" s="1" t="n">
        <v>2026</v>
      </c>
      <c r="C187" s="8" t="inlineStr">
        <is>
          <t>Continuum</t>
        </is>
      </c>
      <c r="D187" s="1" t="inlineStr">
        <is>
          <t>Utility and C&amp;I</t>
        </is>
      </c>
      <c r="E187" s="1" t="n"/>
      <c r="F187" s="1" t="inlineStr">
        <is>
          <t>Closed</t>
        </is>
      </c>
      <c r="G187" s="8" t="inlineStr">
        <is>
          <t>Amiya Ranjan Behera</t>
        </is>
      </c>
      <c r="H187" s="8" t="n">
        <v>8917436223</v>
      </c>
      <c r="I187" s="10" t="inlineStr">
        <is>
          <t>PE06052602</t>
        </is>
      </c>
      <c r="J187" s="8" t="inlineStr">
        <is>
          <t>Diode Bypass Module Issue</t>
        </is>
      </c>
      <c r="K187" s="8" t="inlineStr">
        <is>
          <t>Bhavnagar</t>
        </is>
      </c>
      <c r="L187" s="8" t="inlineStr">
        <is>
          <t>Gujarat</t>
        </is>
      </c>
      <c r="M187" s="2" t="inlineStr">
        <is>
          <t>PR</t>
        </is>
      </c>
      <c r="N187" s="1" t="inlineStr">
        <is>
          <t>JB Issue</t>
        </is>
      </c>
      <c r="O187" s="11" t="n">
        <v>540</v>
      </c>
      <c r="P187" s="2" t="inlineStr">
        <is>
          <t>NSMP2305133818</t>
        </is>
      </c>
      <c r="Q187" s="14">
        <f>MID(P187,5,2)</f>
        <v/>
      </c>
      <c r="R187" s="14">
        <f>MID(P187,7,2)</f>
        <v/>
      </c>
      <c r="S187" s="1" t="inlineStr">
        <is>
          <t>G2B</t>
        </is>
      </c>
      <c r="T187" s="1" t="inlineStr">
        <is>
          <t>P2 - PEPPL</t>
        </is>
      </c>
      <c r="U187" s="1" t="inlineStr">
        <is>
          <t>P JB Issue</t>
        </is>
      </c>
      <c r="V187" s="3" t="inlineStr">
        <is>
          <t>JB Changed</t>
        </is>
      </c>
      <c r="W187" s="1" t="inlineStr">
        <is>
          <t>Repair</t>
        </is>
      </c>
      <c r="X187" s="5" t="n">
        <v>46175</v>
      </c>
      <c r="Y187" s="1">
        <f>IF(X187="","",X187-A187)</f>
        <v/>
      </c>
      <c r="Z187" s="5" t="n">
        <v>46175</v>
      </c>
      <c r="AA187" s="3" t="n"/>
      <c r="AB187" s="3" t="n"/>
      <c r="AE187" s="146">
        <f>IF(AND(F187="Closed",X187&gt;=DATE(2026,6,1),X187&lt;=DATE(2026,6,30)),"Closed in June","other")</f>
        <v/>
      </c>
    </row>
    <row r="188" hidden="1">
      <c r="A188" s="9" t="n">
        <v>46148</v>
      </c>
      <c r="B188" s="1" t="n">
        <v>2026</v>
      </c>
      <c r="C188" s="8" t="inlineStr">
        <is>
          <t>Continuum</t>
        </is>
      </c>
      <c r="D188" s="1" t="inlineStr">
        <is>
          <t>Utility and C&amp;I</t>
        </is>
      </c>
      <c r="E188" s="1" t="n"/>
      <c r="F188" s="1" t="inlineStr">
        <is>
          <t>Closed</t>
        </is>
      </c>
      <c r="G188" s="8" t="inlineStr">
        <is>
          <t>Amiya Ranjan Behera</t>
        </is>
      </c>
      <c r="H188" s="8" t="n">
        <v>8917436223</v>
      </c>
      <c r="I188" s="10" t="inlineStr">
        <is>
          <t>PE06052602</t>
        </is>
      </c>
      <c r="J188" s="8" t="inlineStr">
        <is>
          <t>Diode Bypass Module Issue</t>
        </is>
      </c>
      <c r="K188" s="8" t="inlineStr">
        <is>
          <t>Bhavnagar</t>
        </is>
      </c>
      <c r="L188" s="8" t="inlineStr">
        <is>
          <t>Gujarat</t>
        </is>
      </c>
      <c r="M188" s="2" t="inlineStr">
        <is>
          <t>PS</t>
        </is>
      </c>
      <c r="N188" s="1" t="inlineStr">
        <is>
          <t>Cold Soldering</t>
        </is>
      </c>
      <c r="O188" s="11" t="n">
        <v>540</v>
      </c>
      <c r="P188" s="2" t="inlineStr">
        <is>
          <t>NSMP2305133833</t>
        </is>
      </c>
      <c r="Q188" s="14">
        <f>MID(P188,5,2)</f>
        <v/>
      </c>
      <c r="R188" s="14">
        <f>MID(P188,7,2)</f>
        <v/>
      </c>
      <c r="S188" s="1" t="inlineStr">
        <is>
          <t>G2B</t>
        </is>
      </c>
      <c r="T188" s="1" t="inlineStr">
        <is>
          <t>P2 - PEPPL</t>
        </is>
      </c>
      <c r="U188" s="1" t="inlineStr">
        <is>
          <t>P JB Cold Soldering</t>
        </is>
      </c>
      <c r="V188" s="1" t="inlineStr">
        <is>
          <t>Soldering</t>
        </is>
      </c>
      <c r="W188" s="1" t="inlineStr">
        <is>
          <t>Repair</t>
        </is>
      </c>
      <c r="X188" s="5" t="n">
        <v>46175</v>
      </c>
      <c r="Y188" s="1">
        <f>IF(X188="","",X188-A188)</f>
        <v/>
      </c>
      <c r="Z188" s="5" t="n">
        <v>46175</v>
      </c>
      <c r="AA188" s="3" t="n"/>
      <c r="AB188" s="3" t="n"/>
      <c r="AE188" s="146">
        <f>IF(AND(F188="Closed",X188&gt;=DATE(2026,6,1),X188&lt;=DATE(2026,6,30)),"Closed in June","other")</f>
        <v/>
      </c>
    </row>
    <row r="189" hidden="1">
      <c r="A189" s="9" t="n">
        <v>46148</v>
      </c>
      <c r="B189" s="1" t="n">
        <v>2026</v>
      </c>
      <c r="C189" s="8" t="inlineStr">
        <is>
          <t>Continuum</t>
        </is>
      </c>
      <c r="D189" s="1" t="inlineStr">
        <is>
          <t>Utility and C&amp;I</t>
        </is>
      </c>
      <c r="E189" s="1" t="n"/>
      <c r="F189" s="1" t="inlineStr">
        <is>
          <t>Closed</t>
        </is>
      </c>
      <c r="G189" s="8" t="inlineStr">
        <is>
          <t>Amiya Ranjan Behera</t>
        </is>
      </c>
      <c r="H189" s="8" t="n">
        <v>8917436223</v>
      </c>
      <c r="I189" s="10" t="inlineStr">
        <is>
          <t>PE06052602</t>
        </is>
      </c>
      <c r="J189" s="8" t="inlineStr">
        <is>
          <t>Diode Bypass Module Issue</t>
        </is>
      </c>
      <c r="K189" s="8" t="inlineStr">
        <is>
          <t>Bhavnagar</t>
        </is>
      </c>
      <c r="L189" s="8" t="inlineStr">
        <is>
          <t>Gujarat</t>
        </is>
      </c>
      <c r="M189" s="2" t="inlineStr">
        <is>
          <t>PS</t>
        </is>
      </c>
      <c r="N189" s="1" t="inlineStr">
        <is>
          <t>Cold Soldering</t>
        </is>
      </c>
      <c r="O189" s="11" t="n">
        <v>540</v>
      </c>
      <c r="P189" s="2" t="inlineStr">
        <is>
          <t>NSMP2305133747</t>
        </is>
      </c>
      <c r="Q189" s="14">
        <f>MID(P189,5,2)</f>
        <v/>
      </c>
      <c r="R189" s="14">
        <f>MID(P189,7,2)</f>
        <v/>
      </c>
      <c r="S189" s="1" t="inlineStr">
        <is>
          <t>G2B</t>
        </is>
      </c>
      <c r="T189" s="1" t="inlineStr">
        <is>
          <t>P2 - PEPPL</t>
        </is>
      </c>
      <c r="U189" s="1" t="inlineStr">
        <is>
          <t>P JB Cold Soldering</t>
        </is>
      </c>
      <c r="V189" s="1" t="inlineStr">
        <is>
          <t>Soldering</t>
        </is>
      </c>
      <c r="W189" s="1" t="inlineStr">
        <is>
          <t>Repair</t>
        </is>
      </c>
      <c r="X189" s="5" t="n">
        <v>46175</v>
      </c>
      <c r="Y189" s="1">
        <f>IF(X189="","",X189-A189)</f>
        <v/>
      </c>
      <c r="Z189" s="5" t="n">
        <v>46175</v>
      </c>
      <c r="AA189" s="3" t="n"/>
      <c r="AB189" s="3" t="n"/>
      <c r="AE189" s="146">
        <f>IF(AND(F189="Closed",X189&gt;=DATE(2026,6,1),X189&lt;=DATE(2026,6,30)),"Closed in June","other")</f>
        <v/>
      </c>
    </row>
    <row r="190" hidden="1">
      <c r="A190" s="9" t="n">
        <v>46148</v>
      </c>
      <c r="B190" s="1" t="n">
        <v>2026</v>
      </c>
      <c r="C190" s="8" t="inlineStr">
        <is>
          <t>Continuum</t>
        </is>
      </c>
      <c r="D190" s="1" t="inlineStr">
        <is>
          <t>Utility and C&amp;I</t>
        </is>
      </c>
      <c r="E190" s="1" t="n"/>
      <c r="F190" s="1" t="inlineStr">
        <is>
          <t>Closed</t>
        </is>
      </c>
      <c r="G190" s="8" t="inlineStr">
        <is>
          <t>Amiya Ranjan Behera</t>
        </is>
      </c>
      <c r="H190" s="8" t="n">
        <v>8917436223</v>
      </c>
      <c r="I190" s="10" t="inlineStr">
        <is>
          <t>PE06052602</t>
        </is>
      </c>
      <c r="J190" s="8" t="inlineStr">
        <is>
          <t>Diode Bypass Module Issue</t>
        </is>
      </c>
      <c r="K190" s="8" t="inlineStr">
        <is>
          <t>Bhavnagar</t>
        </is>
      </c>
      <c r="L190" s="8" t="inlineStr">
        <is>
          <t>Gujarat</t>
        </is>
      </c>
      <c r="M190" s="2" t="inlineStr">
        <is>
          <t>PS</t>
        </is>
      </c>
      <c r="N190" s="1" t="inlineStr">
        <is>
          <t>Cold Soldering</t>
        </is>
      </c>
      <c r="O190" s="11" t="n">
        <v>540</v>
      </c>
      <c r="P190" s="2" t="inlineStr">
        <is>
          <t>NSMP2305133769</t>
        </is>
      </c>
      <c r="Q190" s="14">
        <f>MID(P190,5,2)</f>
        <v/>
      </c>
      <c r="R190" s="14">
        <f>MID(P190,7,2)</f>
        <v/>
      </c>
      <c r="S190" s="1" t="inlineStr">
        <is>
          <t>G2B</t>
        </is>
      </c>
      <c r="T190" s="1" t="inlineStr">
        <is>
          <t>P2 - PEPPL</t>
        </is>
      </c>
      <c r="U190" s="1" t="inlineStr">
        <is>
          <t>P JB Cold Soldering</t>
        </is>
      </c>
      <c r="V190" s="1" t="inlineStr">
        <is>
          <t>Soldering</t>
        </is>
      </c>
      <c r="W190" s="1" t="inlineStr">
        <is>
          <t>Repair</t>
        </is>
      </c>
      <c r="X190" s="5" t="n">
        <v>46175</v>
      </c>
      <c r="Y190" s="1">
        <f>IF(X190="","",X190-A190)</f>
        <v/>
      </c>
      <c r="Z190" s="5" t="n">
        <v>46175</v>
      </c>
      <c r="AA190" s="3" t="n"/>
      <c r="AB190" s="3" t="n"/>
      <c r="AE190" s="146">
        <f>IF(AND(F190="Closed",X190&gt;=DATE(2026,6,1),X190&lt;=DATE(2026,6,30)),"Closed in June","other")</f>
        <v/>
      </c>
    </row>
    <row r="191" hidden="1">
      <c r="A191" s="9" t="n">
        <v>46148</v>
      </c>
      <c r="B191" s="1" t="n">
        <v>2026</v>
      </c>
      <c r="C191" s="8" t="inlineStr">
        <is>
          <t>Continuum</t>
        </is>
      </c>
      <c r="D191" s="1" t="inlineStr">
        <is>
          <t>Utility and C&amp;I</t>
        </is>
      </c>
      <c r="E191" s="1" t="n"/>
      <c r="F191" s="1" t="inlineStr">
        <is>
          <t>Closed</t>
        </is>
      </c>
      <c r="G191" s="8" t="inlineStr">
        <is>
          <t>Amiya Ranjan Behera</t>
        </is>
      </c>
      <c r="H191" s="8" t="n">
        <v>8917436223</v>
      </c>
      <c r="I191" s="10" t="inlineStr">
        <is>
          <t>PE06052602</t>
        </is>
      </c>
      <c r="J191" s="8" t="inlineStr">
        <is>
          <t>Diode Bypass Module Issue</t>
        </is>
      </c>
      <c r="K191" s="8" t="inlineStr">
        <is>
          <t>Bhavnagar</t>
        </is>
      </c>
      <c r="L191" s="8" t="inlineStr">
        <is>
          <t>Gujarat</t>
        </is>
      </c>
      <c r="M191" s="2" t="inlineStr">
        <is>
          <t>PS</t>
        </is>
      </c>
      <c r="N191" s="1" t="inlineStr">
        <is>
          <t>Cold Soldering</t>
        </is>
      </c>
      <c r="O191" s="11" t="n">
        <v>540</v>
      </c>
      <c r="P191" s="2" t="inlineStr">
        <is>
          <t>NSMP2305133794</t>
        </is>
      </c>
      <c r="Q191" s="14">
        <f>MID(P191,5,2)</f>
        <v/>
      </c>
      <c r="R191" s="14">
        <f>MID(P191,7,2)</f>
        <v/>
      </c>
      <c r="S191" s="1" t="inlineStr">
        <is>
          <t>G2B</t>
        </is>
      </c>
      <c r="T191" s="1" t="inlineStr">
        <is>
          <t>P2 - PEPPL</t>
        </is>
      </c>
      <c r="U191" s="1" t="inlineStr">
        <is>
          <t>P JB Cold Soldering</t>
        </is>
      </c>
      <c r="V191" s="1" t="inlineStr">
        <is>
          <t>Soldering</t>
        </is>
      </c>
      <c r="W191" s="1" t="inlineStr">
        <is>
          <t>Repair</t>
        </is>
      </c>
      <c r="X191" s="5" t="n">
        <v>46175</v>
      </c>
      <c r="Y191" s="1">
        <f>IF(X191="","",X191-A191)</f>
        <v/>
      </c>
      <c r="Z191" s="5" t="n">
        <v>46175</v>
      </c>
      <c r="AA191" s="3" t="n"/>
      <c r="AB191" s="3" t="n"/>
      <c r="AE191" s="146">
        <f>IF(AND(F191="Closed",X191&gt;=DATE(2026,6,1),X191&lt;=DATE(2026,6,30)),"Closed in June","other")</f>
        <v/>
      </c>
    </row>
    <row r="192" hidden="1">
      <c r="A192" s="9" t="n">
        <v>46148</v>
      </c>
      <c r="B192" s="1" t="n">
        <v>2026</v>
      </c>
      <c r="C192" s="8" t="inlineStr">
        <is>
          <t>Continuum</t>
        </is>
      </c>
      <c r="D192" s="1" t="inlineStr">
        <is>
          <t>Utility and C&amp;I</t>
        </is>
      </c>
      <c r="E192" s="1" t="n"/>
      <c r="F192" s="1" t="inlineStr">
        <is>
          <t>Closed</t>
        </is>
      </c>
      <c r="G192" s="8" t="inlineStr">
        <is>
          <t>Amiya Ranjan Behera</t>
        </is>
      </c>
      <c r="H192" s="8" t="n">
        <v>8917436223</v>
      </c>
      <c r="I192" s="10" t="inlineStr">
        <is>
          <t>PE06052602</t>
        </is>
      </c>
      <c r="J192" s="8" t="inlineStr">
        <is>
          <t>Diode Bypass Module Issue</t>
        </is>
      </c>
      <c r="K192" s="8" t="inlineStr">
        <is>
          <t>Bhavnagar</t>
        </is>
      </c>
      <c r="L192" s="8" t="inlineStr">
        <is>
          <t>Gujarat</t>
        </is>
      </c>
      <c r="M192" s="2" t="inlineStr">
        <is>
          <t>PS</t>
        </is>
      </c>
      <c r="N192" s="1" t="inlineStr">
        <is>
          <t>Cold Soldering</t>
        </is>
      </c>
      <c r="O192" s="11" t="n">
        <v>540</v>
      </c>
      <c r="P192" s="2" t="inlineStr">
        <is>
          <t>NSMP2305133811</t>
        </is>
      </c>
      <c r="Q192" s="14">
        <f>MID(P192,5,2)</f>
        <v/>
      </c>
      <c r="R192" s="14">
        <f>MID(P192,7,2)</f>
        <v/>
      </c>
      <c r="S192" s="1" t="inlineStr">
        <is>
          <t>G2B</t>
        </is>
      </c>
      <c r="T192" s="1" t="inlineStr">
        <is>
          <t>P2 - PEPPL</t>
        </is>
      </c>
      <c r="U192" s="1" t="inlineStr">
        <is>
          <t>P JB Cold Soldering</t>
        </is>
      </c>
      <c r="V192" s="1" t="inlineStr">
        <is>
          <t>Soldering</t>
        </is>
      </c>
      <c r="W192" s="1" t="inlineStr">
        <is>
          <t>Repair</t>
        </is>
      </c>
      <c r="X192" s="5" t="n">
        <v>46175</v>
      </c>
      <c r="Y192" s="1">
        <f>IF(X192="","",X192-A192)</f>
        <v/>
      </c>
      <c r="Z192" s="5" t="n">
        <v>46175</v>
      </c>
      <c r="AA192" s="3" t="n"/>
      <c r="AB192" s="3" t="n"/>
      <c r="AE192" s="146">
        <f>IF(AND(F192="Closed",X192&gt;=DATE(2026,6,1),X192&lt;=DATE(2026,6,30)),"Closed in June","other")</f>
        <v/>
      </c>
    </row>
    <row r="193" hidden="1">
      <c r="A193" s="9" t="n">
        <v>46148</v>
      </c>
      <c r="B193" s="1" t="n">
        <v>2026</v>
      </c>
      <c r="C193" s="8" t="inlineStr">
        <is>
          <t>Continuum</t>
        </is>
      </c>
      <c r="D193" s="1" t="inlineStr">
        <is>
          <t>Utility and C&amp;I</t>
        </is>
      </c>
      <c r="E193" s="1" t="n"/>
      <c r="F193" s="1" t="inlineStr">
        <is>
          <t>Closed</t>
        </is>
      </c>
      <c r="G193" s="8" t="inlineStr">
        <is>
          <t>Amiya Ranjan Behera</t>
        </is>
      </c>
      <c r="H193" s="8" t="n">
        <v>8917436223</v>
      </c>
      <c r="I193" s="10" t="inlineStr">
        <is>
          <t>PE06052602</t>
        </is>
      </c>
      <c r="J193" s="8" t="inlineStr">
        <is>
          <t>Diode Bypass Module Issue</t>
        </is>
      </c>
      <c r="K193" s="8" t="inlineStr">
        <is>
          <t>Bhavnagar</t>
        </is>
      </c>
      <c r="L193" s="8" t="inlineStr">
        <is>
          <t>Gujarat</t>
        </is>
      </c>
      <c r="M193" s="2" t="inlineStr">
        <is>
          <t>PS</t>
        </is>
      </c>
      <c r="N193" s="1" t="inlineStr">
        <is>
          <t>Cold Soldering</t>
        </is>
      </c>
      <c r="O193" s="11" t="n">
        <v>540</v>
      </c>
      <c r="P193" s="2" t="inlineStr">
        <is>
          <t>NSMP2305189113</t>
        </is>
      </c>
      <c r="Q193" s="14">
        <f>MID(P193,5,2)</f>
        <v/>
      </c>
      <c r="R193" s="14">
        <f>MID(P193,7,2)</f>
        <v/>
      </c>
      <c r="S193" s="1" t="inlineStr">
        <is>
          <t>G2B</t>
        </is>
      </c>
      <c r="T193" s="1" t="inlineStr">
        <is>
          <t>P2 - PEPPL</t>
        </is>
      </c>
      <c r="U193" s="1" t="inlineStr">
        <is>
          <t>P JB Cold Soldering</t>
        </is>
      </c>
      <c r="V193" s="1" t="inlineStr">
        <is>
          <t>Soldering</t>
        </is>
      </c>
      <c r="W193" s="1" t="inlineStr">
        <is>
          <t>Repair</t>
        </is>
      </c>
      <c r="X193" s="5" t="n">
        <v>46175</v>
      </c>
      <c r="Y193" s="1">
        <f>IF(X193="","",X193-A193)</f>
        <v/>
      </c>
      <c r="Z193" s="5" t="n">
        <v>46175</v>
      </c>
      <c r="AA193" s="3" t="n"/>
      <c r="AB193" s="3" t="n"/>
      <c r="AE193" s="146">
        <f>IF(AND(F193="Closed",X193&gt;=DATE(2026,6,1),X193&lt;=DATE(2026,6,30)),"Closed in June","other")</f>
        <v/>
      </c>
    </row>
    <row r="194" hidden="1">
      <c r="A194" s="9" t="n">
        <v>46148</v>
      </c>
      <c r="B194" s="1" t="n">
        <v>2026</v>
      </c>
      <c r="C194" s="8" t="inlineStr">
        <is>
          <t>Continuum</t>
        </is>
      </c>
      <c r="D194" s="1" t="inlineStr">
        <is>
          <t>Utility and C&amp;I</t>
        </is>
      </c>
      <c r="E194" s="1" t="n"/>
      <c r="F194" s="1" t="inlineStr">
        <is>
          <t>Closed</t>
        </is>
      </c>
      <c r="G194" s="8" t="inlineStr">
        <is>
          <t>Amiya Ranjan Behera</t>
        </is>
      </c>
      <c r="H194" s="8" t="n">
        <v>8917436223</v>
      </c>
      <c r="I194" s="10" t="inlineStr">
        <is>
          <t>PE06052602</t>
        </is>
      </c>
      <c r="J194" s="8" t="inlineStr">
        <is>
          <t>Diode Bypass Module Issue</t>
        </is>
      </c>
      <c r="K194" s="8" t="inlineStr">
        <is>
          <t>Bhavnagar</t>
        </is>
      </c>
      <c r="L194" s="8" t="inlineStr">
        <is>
          <t>Gujarat</t>
        </is>
      </c>
      <c r="M194" s="2" t="inlineStr">
        <is>
          <t>PS</t>
        </is>
      </c>
      <c r="N194" s="1" t="inlineStr">
        <is>
          <t>Cold Soldering</t>
        </is>
      </c>
      <c r="O194" s="11" t="n">
        <v>540</v>
      </c>
      <c r="P194" s="2" t="inlineStr">
        <is>
          <t>NSMP2305189068</t>
        </is>
      </c>
      <c r="Q194" s="14">
        <f>MID(P194,5,2)</f>
        <v/>
      </c>
      <c r="R194" s="14">
        <f>MID(P194,7,2)</f>
        <v/>
      </c>
      <c r="S194" s="1" t="inlineStr">
        <is>
          <t>G2B</t>
        </is>
      </c>
      <c r="T194" s="1" t="inlineStr">
        <is>
          <t>P2 - PEPPL</t>
        </is>
      </c>
      <c r="U194" s="1" t="inlineStr">
        <is>
          <t>P JB Cold Soldering</t>
        </is>
      </c>
      <c r="V194" s="1" t="inlineStr">
        <is>
          <t>Soldering</t>
        </is>
      </c>
      <c r="W194" s="1" t="inlineStr">
        <is>
          <t>Repair</t>
        </is>
      </c>
      <c r="X194" s="5" t="n">
        <v>46175</v>
      </c>
      <c r="Y194" s="1">
        <f>IF(X194="","",X194-A194)</f>
        <v/>
      </c>
      <c r="Z194" s="5" t="n">
        <v>46175</v>
      </c>
      <c r="AA194" s="3" t="n"/>
      <c r="AB194" s="3" t="n"/>
      <c r="AE194" s="146">
        <f>IF(AND(F194="Closed",X194&gt;=DATE(2026,6,1),X194&lt;=DATE(2026,6,30)),"Closed in June","other")</f>
        <v/>
      </c>
    </row>
    <row r="195" hidden="1">
      <c r="A195" s="9" t="n">
        <v>46148</v>
      </c>
      <c r="B195" s="1" t="n">
        <v>2026</v>
      </c>
      <c r="C195" s="8" t="inlineStr">
        <is>
          <t>Continuum</t>
        </is>
      </c>
      <c r="D195" s="1" t="inlineStr">
        <is>
          <t>Utility and C&amp;I</t>
        </is>
      </c>
      <c r="E195" s="1" t="n"/>
      <c r="F195" s="1" t="inlineStr">
        <is>
          <t>Closed</t>
        </is>
      </c>
      <c r="G195" s="8" t="inlineStr">
        <is>
          <t>Amiya Ranjan Behera</t>
        </is>
      </c>
      <c r="H195" s="8" t="n">
        <v>8917436223</v>
      </c>
      <c r="I195" s="10" t="inlineStr">
        <is>
          <t>PE06052602</t>
        </is>
      </c>
      <c r="J195" s="8" t="inlineStr">
        <is>
          <t>Diode Bypass Module Issue</t>
        </is>
      </c>
      <c r="K195" s="8" t="inlineStr">
        <is>
          <t>Bhavnagar</t>
        </is>
      </c>
      <c r="L195" s="8" t="inlineStr">
        <is>
          <t>Gujarat</t>
        </is>
      </c>
      <c r="M195" s="2" t="inlineStr">
        <is>
          <t>PS</t>
        </is>
      </c>
      <c r="N195" s="1" t="inlineStr">
        <is>
          <t>Cold Soldering</t>
        </is>
      </c>
      <c r="O195" s="11" t="n">
        <v>540</v>
      </c>
      <c r="P195" s="2" t="inlineStr">
        <is>
          <t>NSMP2305189064</t>
        </is>
      </c>
      <c r="Q195" s="14">
        <f>MID(P195,5,2)</f>
        <v/>
      </c>
      <c r="R195" s="14">
        <f>MID(P195,7,2)</f>
        <v/>
      </c>
      <c r="S195" s="1" t="inlineStr">
        <is>
          <t>G2B</t>
        </is>
      </c>
      <c r="T195" s="1" t="inlineStr">
        <is>
          <t>P2 - PEPPL</t>
        </is>
      </c>
      <c r="U195" s="1" t="inlineStr">
        <is>
          <t>P JB Cold Soldering</t>
        </is>
      </c>
      <c r="V195" s="1" t="inlineStr">
        <is>
          <t>Soldering</t>
        </is>
      </c>
      <c r="W195" s="1" t="inlineStr">
        <is>
          <t>Repair</t>
        </is>
      </c>
      <c r="X195" s="5" t="n">
        <v>46175</v>
      </c>
      <c r="Y195" s="1">
        <f>IF(X195="","",X195-A195)</f>
        <v/>
      </c>
      <c r="Z195" s="5" t="n">
        <v>46175</v>
      </c>
      <c r="AA195" s="3" t="n"/>
      <c r="AB195" s="3" t="n"/>
      <c r="AE195" s="146">
        <f>IF(AND(F195="Closed",X195&gt;=DATE(2026,6,1),X195&lt;=DATE(2026,6,30)),"Closed in June","other")</f>
        <v/>
      </c>
    </row>
    <row r="196" hidden="1">
      <c r="A196" s="9" t="n">
        <v>46148</v>
      </c>
      <c r="B196" s="1" t="n">
        <v>2026</v>
      </c>
      <c r="C196" s="8" t="inlineStr">
        <is>
          <t>Continuum</t>
        </is>
      </c>
      <c r="D196" s="1" t="inlineStr">
        <is>
          <t>Utility and C&amp;I</t>
        </is>
      </c>
      <c r="E196" s="1" t="n"/>
      <c r="F196" s="1" t="inlineStr">
        <is>
          <t>Closed</t>
        </is>
      </c>
      <c r="G196" s="8" t="inlineStr">
        <is>
          <t>Amiya Ranjan Behera</t>
        </is>
      </c>
      <c r="H196" s="8" t="n">
        <v>8917436223</v>
      </c>
      <c r="I196" s="10" t="inlineStr">
        <is>
          <t>PE06052602</t>
        </is>
      </c>
      <c r="J196" s="8" t="inlineStr">
        <is>
          <t>Diode Bypass Module Issue</t>
        </is>
      </c>
      <c r="K196" s="8" t="inlineStr">
        <is>
          <t>Bhavnagar</t>
        </is>
      </c>
      <c r="L196" s="8" t="inlineStr">
        <is>
          <t>Gujarat</t>
        </is>
      </c>
      <c r="M196" s="2" t="inlineStr">
        <is>
          <t>PS</t>
        </is>
      </c>
      <c r="N196" s="1" t="inlineStr">
        <is>
          <t>Cold Soldering</t>
        </is>
      </c>
      <c r="O196" s="11" t="n">
        <v>540</v>
      </c>
      <c r="P196" s="2" t="inlineStr">
        <is>
          <t>NSMP2305189073</t>
        </is>
      </c>
      <c r="Q196" s="14">
        <f>MID(P196,5,2)</f>
        <v/>
      </c>
      <c r="R196" s="14">
        <f>MID(P196,7,2)</f>
        <v/>
      </c>
      <c r="S196" s="1" t="inlineStr">
        <is>
          <t>G2B</t>
        </is>
      </c>
      <c r="T196" s="1" t="inlineStr">
        <is>
          <t>P2 - PEPPL</t>
        </is>
      </c>
      <c r="U196" s="1" t="inlineStr">
        <is>
          <t>P JB Cold Soldering</t>
        </is>
      </c>
      <c r="V196" s="1" t="inlineStr">
        <is>
          <t>Soldering</t>
        </is>
      </c>
      <c r="W196" s="1" t="inlineStr">
        <is>
          <t>Repair</t>
        </is>
      </c>
      <c r="X196" s="5" t="n">
        <v>46175</v>
      </c>
      <c r="Y196" s="1">
        <f>IF(X196="","",X196-A196)</f>
        <v/>
      </c>
      <c r="Z196" s="5" t="n">
        <v>46175</v>
      </c>
      <c r="AA196" s="3" t="n"/>
      <c r="AB196" s="3" t="n"/>
      <c r="AE196" s="146">
        <f>IF(AND(F196="Closed",X196&gt;=DATE(2026,6,1),X196&lt;=DATE(2026,6,30)),"Closed in June","other")</f>
        <v/>
      </c>
    </row>
    <row r="197" hidden="1">
      <c r="A197" s="9" t="n">
        <v>46148</v>
      </c>
      <c r="B197" s="1" t="n">
        <v>2026</v>
      </c>
      <c r="C197" s="8" t="inlineStr">
        <is>
          <t>Continuum</t>
        </is>
      </c>
      <c r="D197" s="1" t="inlineStr">
        <is>
          <t>Utility and C&amp;I</t>
        </is>
      </c>
      <c r="E197" s="1" t="n"/>
      <c r="F197" s="1" t="inlineStr">
        <is>
          <t>Closed</t>
        </is>
      </c>
      <c r="G197" s="8" t="inlineStr">
        <is>
          <t>Amiya Ranjan Behera</t>
        </is>
      </c>
      <c r="H197" s="8" t="n">
        <v>8917436223</v>
      </c>
      <c r="I197" s="10" t="inlineStr">
        <is>
          <t>PE06052602</t>
        </is>
      </c>
      <c r="J197" s="8" t="inlineStr">
        <is>
          <t>Diode Bypass Module Issue</t>
        </is>
      </c>
      <c r="K197" s="8" t="inlineStr">
        <is>
          <t>Bhavnagar</t>
        </is>
      </c>
      <c r="L197" s="8" t="inlineStr">
        <is>
          <t>Gujarat</t>
        </is>
      </c>
      <c r="M197" s="2" t="inlineStr">
        <is>
          <t>PS</t>
        </is>
      </c>
      <c r="N197" s="1" t="inlineStr">
        <is>
          <t>Cold Soldering</t>
        </is>
      </c>
      <c r="O197" s="11" t="n">
        <v>540</v>
      </c>
      <c r="P197" s="2" t="inlineStr">
        <is>
          <t>NSMP2305133697</t>
        </is>
      </c>
      <c r="Q197" s="14">
        <f>MID(P197,5,2)</f>
        <v/>
      </c>
      <c r="R197" s="14">
        <f>MID(P197,7,2)</f>
        <v/>
      </c>
      <c r="S197" s="1" t="inlineStr">
        <is>
          <t>G2B</t>
        </is>
      </c>
      <c r="T197" s="1" t="inlineStr">
        <is>
          <t>P2 - PEPPL</t>
        </is>
      </c>
      <c r="U197" s="1" t="inlineStr">
        <is>
          <t>P JB Cold Soldering</t>
        </is>
      </c>
      <c r="V197" s="1" t="inlineStr">
        <is>
          <t>Soldering</t>
        </is>
      </c>
      <c r="W197" s="1" t="inlineStr">
        <is>
          <t>Repair</t>
        </is>
      </c>
      <c r="X197" s="5" t="n">
        <v>46175</v>
      </c>
      <c r="Y197" s="1">
        <f>IF(X197="","",X197-A197)</f>
        <v/>
      </c>
      <c r="Z197" s="5" t="n">
        <v>46175</v>
      </c>
      <c r="AA197" s="3" t="n"/>
      <c r="AB197" s="3" t="n"/>
      <c r="AE197" s="146">
        <f>IF(AND(F197="Closed",X197&gt;=DATE(2026,6,1),X197&lt;=DATE(2026,6,30)),"Closed in June","other")</f>
        <v/>
      </c>
    </row>
    <row r="198" hidden="1">
      <c r="A198" s="9" t="n">
        <v>46148</v>
      </c>
      <c r="B198" s="1" t="n">
        <v>2026</v>
      </c>
      <c r="C198" s="8" t="inlineStr">
        <is>
          <t>Continuum</t>
        </is>
      </c>
      <c r="D198" s="1" t="inlineStr">
        <is>
          <t>Utility and C&amp;I</t>
        </is>
      </c>
      <c r="E198" s="1" t="n"/>
      <c r="F198" s="1" t="inlineStr">
        <is>
          <t>Closed</t>
        </is>
      </c>
      <c r="G198" s="8" t="inlineStr">
        <is>
          <t>Amiya Ranjan Behera</t>
        </is>
      </c>
      <c r="H198" s="8" t="n">
        <v>8917436223</v>
      </c>
      <c r="I198" s="10" t="inlineStr">
        <is>
          <t>PE06052602</t>
        </is>
      </c>
      <c r="J198" s="8" t="inlineStr">
        <is>
          <t>Diode Bypass Module Issue</t>
        </is>
      </c>
      <c r="K198" s="8" t="inlineStr">
        <is>
          <t>Bhavnagar</t>
        </is>
      </c>
      <c r="L198" s="8" t="inlineStr">
        <is>
          <t>Gujarat</t>
        </is>
      </c>
      <c r="M198" s="2" t="inlineStr">
        <is>
          <t>PR</t>
        </is>
      </c>
      <c r="N198" s="1" t="inlineStr">
        <is>
          <t>JB Issue</t>
        </is>
      </c>
      <c r="O198" s="11" t="n">
        <v>540</v>
      </c>
      <c r="P198" s="2" t="inlineStr">
        <is>
          <t>NSMP2305188843</t>
        </is>
      </c>
      <c r="Q198" s="14">
        <f>MID(P198,5,2)</f>
        <v/>
      </c>
      <c r="R198" s="14">
        <f>MID(P198,7,2)</f>
        <v/>
      </c>
      <c r="S198" s="1" t="inlineStr">
        <is>
          <t>G2B</t>
        </is>
      </c>
      <c r="T198" s="1" t="inlineStr">
        <is>
          <t>P2 - PEPPL</t>
        </is>
      </c>
      <c r="U198" s="1" t="inlineStr">
        <is>
          <t>P JB Issue</t>
        </is>
      </c>
      <c r="V198" s="3" t="inlineStr">
        <is>
          <t>JB Changed</t>
        </is>
      </c>
      <c r="W198" s="1" t="inlineStr">
        <is>
          <t>Repair</t>
        </is>
      </c>
      <c r="X198" s="5" t="n">
        <v>46175</v>
      </c>
      <c r="Y198" s="1">
        <f>IF(X198="","",X198-A198)</f>
        <v/>
      </c>
      <c r="Z198" s="5" t="n">
        <v>46175</v>
      </c>
      <c r="AA198" s="3" t="n"/>
      <c r="AB198" s="3" t="n"/>
      <c r="AE198" s="146">
        <f>IF(AND(F198="Closed",X198&gt;=DATE(2026,6,1),X198&lt;=DATE(2026,6,30)),"Closed in June","other")</f>
        <v/>
      </c>
    </row>
    <row r="199" hidden="1">
      <c r="A199" s="9" t="n">
        <v>46148</v>
      </c>
      <c r="B199" s="1" t="n">
        <v>2026</v>
      </c>
      <c r="C199" s="8" t="inlineStr">
        <is>
          <t>Continuum</t>
        </is>
      </c>
      <c r="D199" s="1" t="inlineStr">
        <is>
          <t>Utility and C&amp;I</t>
        </is>
      </c>
      <c r="E199" s="1" t="n"/>
      <c r="F199" s="1" t="inlineStr">
        <is>
          <t>Closed</t>
        </is>
      </c>
      <c r="G199" s="8" t="inlineStr">
        <is>
          <t>Amiya Ranjan Behera</t>
        </is>
      </c>
      <c r="H199" s="8" t="n">
        <v>8917436223</v>
      </c>
      <c r="I199" s="10" t="inlineStr">
        <is>
          <t>PE06052602</t>
        </is>
      </c>
      <c r="J199" s="8" t="inlineStr">
        <is>
          <t>Diode Bypass Module Issue</t>
        </is>
      </c>
      <c r="K199" s="8" t="inlineStr">
        <is>
          <t>Bhavnagar</t>
        </is>
      </c>
      <c r="L199" s="8" t="inlineStr">
        <is>
          <t>Gujarat</t>
        </is>
      </c>
      <c r="M199" s="2" t="inlineStr">
        <is>
          <t>PS</t>
        </is>
      </c>
      <c r="N199" s="1" t="inlineStr">
        <is>
          <t>Cold Soldering</t>
        </is>
      </c>
      <c r="O199" s="11" t="n">
        <v>540</v>
      </c>
      <c r="P199" s="2" t="inlineStr">
        <is>
          <t>NSMP2305189303</t>
        </is>
      </c>
      <c r="Q199" s="14">
        <f>MID(P199,5,2)</f>
        <v/>
      </c>
      <c r="R199" s="14">
        <f>MID(P199,7,2)</f>
        <v/>
      </c>
      <c r="S199" s="1" t="inlineStr">
        <is>
          <t>G2B</t>
        </is>
      </c>
      <c r="T199" s="1" t="inlineStr">
        <is>
          <t>P2 - PEPPL</t>
        </is>
      </c>
      <c r="U199" s="1" t="inlineStr">
        <is>
          <t>P JB Cold Soldering</t>
        </is>
      </c>
      <c r="V199" s="1" t="inlineStr">
        <is>
          <t>Soldering</t>
        </is>
      </c>
      <c r="W199" s="1" t="inlineStr">
        <is>
          <t>Repair</t>
        </is>
      </c>
      <c r="X199" s="5" t="n">
        <v>46175</v>
      </c>
      <c r="Y199" s="1">
        <f>IF(X199="","",X199-A199)</f>
        <v/>
      </c>
      <c r="Z199" s="5" t="n">
        <v>46175</v>
      </c>
      <c r="AA199" s="3" t="n"/>
      <c r="AB199" s="3" t="n"/>
      <c r="AE199" s="146">
        <f>IF(AND(F199="Closed",X199&gt;=DATE(2026,6,1),X199&lt;=DATE(2026,6,30)),"Closed in June","other")</f>
        <v/>
      </c>
    </row>
    <row r="200" hidden="1">
      <c r="A200" s="9" t="n">
        <v>46148</v>
      </c>
      <c r="B200" s="1" t="n">
        <v>2026</v>
      </c>
      <c r="C200" s="8" t="inlineStr">
        <is>
          <t>Continuum</t>
        </is>
      </c>
      <c r="D200" s="1" t="inlineStr">
        <is>
          <t>Utility and C&amp;I</t>
        </is>
      </c>
      <c r="E200" s="1" t="n"/>
      <c r="F200" s="1" t="inlineStr">
        <is>
          <t>Closed</t>
        </is>
      </c>
      <c r="G200" s="8" t="inlineStr">
        <is>
          <t>Amiya Ranjan Behera</t>
        </is>
      </c>
      <c r="H200" s="8" t="n">
        <v>8917436223</v>
      </c>
      <c r="I200" s="10" t="inlineStr">
        <is>
          <t>PE06052602</t>
        </is>
      </c>
      <c r="J200" s="8" t="inlineStr">
        <is>
          <t>Diode Bypass Module Issue</t>
        </is>
      </c>
      <c r="K200" s="8" t="inlineStr">
        <is>
          <t>Bhavnagar</t>
        </is>
      </c>
      <c r="L200" s="8" t="inlineStr">
        <is>
          <t>Gujarat</t>
        </is>
      </c>
      <c r="M200" s="2" t="inlineStr">
        <is>
          <t>PS</t>
        </is>
      </c>
      <c r="N200" s="1" t="inlineStr">
        <is>
          <t>Cold Soldering</t>
        </is>
      </c>
      <c r="O200" s="11" t="n">
        <v>540</v>
      </c>
      <c r="P200" s="2" t="inlineStr">
        <is>
          <t>NSMP2305189150</t>
        </is>
      </c>
      <c r="Q200" s="14">
        <f>MID(P200,5,2)</f>
        <v/>
      </c>
      <c r="R200" s="14">
        <f>MID(P200,7,2)</f>
        <v/>
      </c>
      <c r="S200" s="1" t="inlineStr">
        <is>
          <t>G2B</t>
        </is>
      </c>
      <c r="T200" s="1" t="inlineStr">
        <is>
          <t>P2 - PEPPL</t>
        </is>
      </c>
      <c r="U200" s="1" t="inlineStr">
        <is>
          <t>P JB Cold Soldering</t>
        </is>
      </c>
      <c r="V200" s="1" t="inlineStr">
        <is>
          <t>Soldering</t>
        </is>
      </c>
      <c r="W200" s="1" t="inlineStr">
        <is>
          <t>Repair</t>
        </is>
      </c>
      <c r="X200" s="5" t="n">
        <v>46175</v>
      </c>
      <c r="Y200" s="1">
        <f>IF(X200="","",X200-A200)</f>
        <v/>
      </c>
      <c r="Z200" s="5" t="n">
        <v>46175</v>
      </c>
      <c r="AA200" s="3" t="n"/>
      <c r="AB200" s="3" t="n"/>
      <c r="AE200" s="146">
        <f>IF(AND(F200="Closed",X200&gt;=DATE(2026,6,1),X200&lt;=DATE(2026,6,30)),"Closed in June","other")</f>
        <v/>
      </c>
    </row>
    <row r="201" hidden="1">
      <c r="A201" s="9" t="n">
        <v>46148</v>
      </c>
      <c r="B201" s="1" t="n">
        <v>2026</v>
      </c>
      <c r="C201" s="8" t="inlineStr">
        <is>
          <t>Continuum</t>
        </is>
      </c>
      <c r="D201" s="1" t="inlineStr">
        <is>
          <t>Utility and C&amp;I</t>
        </is>
      </c>
      <c r="E201" s="1" t="n"/>
      <c r="F201" s="1" t="inlineStr">
        <is>
          <t>Closed</t>
        </is>
      </c>
      <c r="G201" s="8" t="inlineStr">
        <is>
          <t>Amiya Ranjan Behera</t>
        </is>
      </c>
      <c r="H201" s="8" t="n">
        <v>8917436223</v>
      </c>
      <c r="I201" s="10" t="inlineStr">
        <is>
          <t>PE06052602</t>
        </is>
      </c>
      <c r="J201" s="8" t="inlineStr">
        <is>
          <t>Diode Bypass Module Issue</t>
        </is>
      </c>
      <c r="K201" s="8" t="inlineStr">
        <is>
          <t>Bhavnagar</t>
        </is>
      </c>
      <c r="L201" s="8" t="inlineStr">
        <is>
          <t>Gujarat</t>
        </is>
      </c>
      <c r="M201" s="2" t="inlineStr">
        <is>
          <t>PS</t>
        </is>
      </c>
      <c r="N201" s="1" t="inlineStr">
        <is>
          <t>Cold Soldering</t>
        </is>
      </c>
      <c r="O201" s="11" t="n">
        <v>540</v>
      </c>
      <c r="P201" s="2" t="inlineStr">
        <is>
          <t>NSMP2305189277</t>
        </is>
      </c>
      <c r="Q201" s="14">
        <f>MID(P201,5,2)</f>
        <v/>
      </c>
      <c r="R201" s="14">
        <f>MID(P201,7,2)</f>
        <v/>
      </c>
      <c r="S201" s="1" t="inlineStr">
        <is>
          <t>G2B</t>
        </is>
      </c>
      <c r="T201" s="1" t="inlineStr">
        <is>
          <t>P2 - PEPPL</t>
        </is>
      </c>
      <c r="U201" s="1" t="inlineStr">
        <is>
          <t>P JB Cold Soldering</t>
        </is>
      </c>
      <c r="V201" s="1" t="inlineStr">
        <is>
          <t>Soldering</t>
        </is>
      </c>
      <c r="W201" s="1" t="inlineStr">
        <is>
          <t>Repair</t>
        </is>
      </c>
      <c r="X201" s="5" t="n">
        <v>46175</v>
      </c>
      <c r="Y201" s="1">
        <f>IF(X201="","",X201-A201)</f>
        <v/>
      </c>
      <c r="Z201" s="5" t="n">
        <v>46175</v>
      </c>
      <c r="AA201" s="3" t="n"/>
      <c r="AB201" s="3" t="n"/>
      <c r="AE201" s="146">
        <f>IF(AND(F201="Closed",X201&gt;=DATE(2026,6,1),X201&lt;=DATE(2026,6,30)),"Closed in June","other")</f>
        <v/>
      </c>
    </row>
    <row r="202" hidden="1">
      <c r="A202" s="9" t="n">
        <v>46148</v>
      </c>
      <c r="B202" s="1" t="n">
        <v>2026</v>
      </c>
      <c r="C202" s="8" t="inlineStr">
        <is>
          <t>Continuum</t>
        </is>
      </c>
      <c r="D202" s="1" t="inlineStr">
        <is>
          <t>Utility and C&amp;I</t>
        </is>
      </c>
      <c r="E202" s="1" t="n"/>
      <c r="F202" s="1" t="inlineStr">
        <is>
          <t>Closed</t>
        </is>
      </c>
      <c r="G202" s="8" t="inlineStr">
        <is>
          <t>Amiya Ranjan Behera</t>
        </is>
      </c>
      <c r="H202" s="8" t="n">
        <v>8917436223</v>
      </c>
      <c r="I202" s="10" t="inlineStr">
        <is>
          <t>PE06052602</t>
        </is>
      </c>
      <c r="J202" s="8" t="inlineStr">
        <is>
          <t>Diode Bypass Module Issue</t>
        </is>
      </c>
      <c r="K202" s="8" t="inlineStr">
        <is>
          <t>Bhavnagar</t>
        </is>
      </c>
      <c r="L202" s="8" t="inlineStr">
        <is>
          <t>Gujarat</t>
        </is>
      </c>
      <c r="M202" s="2" t="inlineStr">
        <is>
          <t>PR</t>
        </is>
      </c>
      <c r="N202" s="1" t="inlineStr">
        <is>
          <t>JB Issue</t>
        </is>
      </c>
      <c r="O202" s="11" t="n">
        <v>540</v>
      </c>
      <c r="P202" s="2" t="inlineStr">
        <is>
          <t>NSMP2305189298</t>
        </is>
      </c>
      <c r="Q202" s="14">
        <f>MID(P202,5,2)</f>
        <v/>
      </c>
      <c r="R202" s="14">
        <f>MID(P202,7,2)</f>
        <v/>
      </c>
      <c r="S202" s="1" t="inlineStr">
        <is>
          <t>G2B</t>
        </is>
      </c>
      <c r="T202" s="1" t="inlineStr">
        <is>
          <t>P2 - PEPPL</t>
        </is>
      </c>
      <c r="U202" s="1" t="inlineStr">
        <is>
          <t>P JB Issue</t>
        </is>
      </c>
      <c r="V202" s="3" t="inlineStr">
        <is>
          <t>JB Changed</t>
        </is>
      </c>
      <c r="W202" s="1" t="inlineStr">
        <is>
          <t>Repair</t>
        </is>
      </c>
      <c r="X202" s="5" t="n">
        <v>46175</v>
      </c>
      <c r="Y202" s="1">
        <f>IF(X202="","",X202-A202)</f>
        <v/>
      </c>
      <c r="Z202" s="5" t="n">
        <v>46175</v>
      </c>
      <c r="AA202" s="3" t="n"/>
      <c r="AB202" s="3" t="n"/>
      <c r="AE202" s="146">
        <f>IF(AND(F202="Closed",X202&gt;=DATE(2026,6,1),X202&lt;=DATE(2026,6,30)),"Closed in June","other")</f>
        <v/>
      </c>
    </row>
    <row r="203" hidden="1">
      <c r="A203" s="9" t="n">
        <v>46148</v>
      </c>
      <c r="B203" s="1" t="n">
        <v>2026</v>
      </c>
      <c r="C203" s="8" t="inlineStr">
        <is>
          <t>Continuum</t>
        </is>
      </c>
      <c r="D203" s="1" t="inlineStr">
        <is>
          <t>Utility and C&amp;I</t>
        </is>
      </c>
      <c r="E203" s="1" t="n"/>
      <c r="F203" s="1" t="inlineStr">
        <is>
          <t>Closed</t>
        </is>
      </c>
      <c r="G203" s="8" t="inlineStr">
        <is>
          <t>Amiya Ranjan Behera</t>
        </is>
      </c>
      <c r="H203" s="8" t="n">
        <v>8917436223</v>
      </c>
      <c r="I203" s="10" t="inlineStr">
        <is>
          <t>PE06052602</t>
        </is>
      </c>
      <c r="J203" s="8" t="inlineStr">
        <is>
          <t>Diode Bypass Module Issue</t>
        </is>
      </c>
      <c r="K203" s="8" t="inlineStr">
        <is>
          <t>Bhavnagar</t>
        </is>
      </c>
      <c r="L203" s="8" t="inlineStr">
        <is>
          <t>Gujarat</t>
        </is>
      </c>
      <c r="M203" s="2" t="inlineStr">
        <is>
          <t>PS</t>
        </is>
      </c>
      <c r="N203" s="1" t="inlineStr">
        <is>
          <t>Cold Soldering</t>
        </is>
      </c>
      <c r="O203" s="11" t="n">
        <v>540</v>
      </c>
      <c r="P203" s="2" t="inlineStr">
        <is>
          <t>NSMP2305189295</t>
        </is>
      </c>
      <c r="Q203" s="14">
        <f>MID(P203,5,2)</f>
        <v/>
      </c>
      <c r="R203" s="14">
        <f>MID(P203,7,2)</f>
        <v/>
      </c>
      <c r="S203" s="1" t="inlineStr">
        <is>
          <t>G2B</t>
        </is>
      </c>
      <c r="T203" s="1" t="inlineStr">
        <is>
          <t>P2 - PEPPL</t>
        </is>
      </c>
      <c r="U203" s="1" t="inlineStr">
        <is>
          <t>P JB Cold Soldering</t>
        </is>
      </c>
      <c r="V203" s="1" t="inlineStr">
        <is>
          <t>Soldering</t>
        </is>
      </c>
      <c r="W203" s="1" t="inlineStr">
        <is>
          <t>Repair</t>
        </is>
      </c>
      <c r="X203" s="5" t="n">
        <v>46175</v>
      </c>
      <c r="Y203" s="1">
        <f>IF(X203="","",X203-A203)</f>
        <v/>
      </c>
      <c r="Z203" s="5" t="n">
        <v>46175</v>
      </c>
      <c r="AA203" s="3" t="n"/>
      <c r="AB203" s="3" t="n"/>
      <c r="AE203" s="146">
        <f>IF(AND(F203="Closed",X203&gt;=DATE(2026,6,1),X203&lt;=DATE(2026,6,30)),"Closed in June","other")</f>
        <v/>
      </c>
    </row>
    <row r="204" hidden="1">
      <c r="A204" s="9" t="n">
        <v>46148</v>
      </c>
      <c r="B204" s="1" t="n">
        <v>2026</v>
      </c>
      <c r="C204" s="8" t="inlineStr">
        <is>
          <t>Continuum</t>
        </is>
      </c>
      <c r="D204" s="1" t="inlineStr">
        <is>
          <t>Utility and C&amp;I</t>
        </is>
      </c>
      <c r="E204" s="1" t="n"/>
      <c r="F204" s="1" t="inlineStr">
        <is>
          <t>Closed</t>
        </is>
      </c>
      <c r="G204" s="8" t="inlineStr">
        <is>
          <t>Amiya Ranjan Behera</t>
        </is>
      </c>
      <c r="H204" s="8" t="n">
        <v>8917436223</v>
      </c>
      <c r="I204" s="10" t="inlineStr">
        <is>
          <t>PE06052602</t>
        </is>
      </c>
      <c r="J204" s="8" t="inlineStr">
        <is>
          <t>Diode Bypass Module Issue</t>
        </is>
      </c>
      <c r="K204" s="8" t="inlineStr">
        <is>
          <t>Bhavnagar</t>
        </is>
      </c>
      <c r="L204" s="8" t="inlineStr">
        <is>
          <t>Gujarat</t>
        </is>
      </c>
      <c r="M204" s="2" t="inlineStr">
        <is>
          <t>PS</t>
        </is>
      </c>
      <c r="N204" s="1" t="inlineStr">
        <is>
          <t>Cold Soldering</t>
        </is>
      </c>
      <c r="O204" s="11" t="n">
        <v>540</v>
      </c>
      <c r="P204" s="2" t="inlineStr">
        <is>
          <t>NSMP2305189259</t>
        </is>
      </c>
      <c r="Q204" s="14">
        <f>MID(P204,5,2)</f>
        <v/>
      </c>
      <c r="R204" s="14">
        <f>MID(P204,7,2)</f>
        <v/>
      </c>
      <c r="S204" s="1" t="inlineStr">
        <is>
          <t>G2B</t>
        </is>
      </c>
      <c r="T204" s="1" t="inlineStr">
        <is>
          <t>P2 - PEPPL</t>
        </is>
      </c>
      <c r="U204" s="1" t="inlineStr">
        <is>
          <t>P JB Cold Soldering</t>
        </is>
      </c>
      <c r="V204" s="1" t="inlineStr">
        <is>
          <t>Soldering</t>
        </is>
      </c>
      <c r="W204" s="1" t="inlineStr">
        <is>
          <t>Repair</t>
        </is>
      </c>
      <c r="X204" s="5" t="n">
        <v>46175</v>
      </c>
      <c r="Y204" s="1">
        <f>IF(X204="","",X204-A204)</f>
        <v/>
      </c>
      <c r="Z204" s="5" t="n">
        <v>46175</v>
      </c>
      <c r="AA204" s="3" t="n"/>
      <c r="AB204" s="3" t="n"/>
      <c r="AE204" s="146">
        <f>IF(AND(F204="Closed",X204&gt;=DATE(2026,6,1),X204&lt;=DATE(2026,6,30)),"Closed in June","other")</f>
        <v/>
      </c>
    </row>
    <row r="205" hidden="1">
      <c r="A205" s="9" t="n">
        <v>46148</v>
      </c>
      <c r="B205" s="1" t="n">
        <v>2026</v>
      </c>
      <c r="C205" s="8" t="inlineStr">
        <is>
          <t>Continuum</t>
        </is>
      </c>
      <c r="D205" s="1" t="inlineStr">
        <is>
          <t>Utility and C&amp;I</t>
        </is>
      </c>
      <c r="E205" s="1" t="n"/>
      <c r="F205" s="1" t="inlineStr">
        <is>
          <t>Closed</t>
        </is>
      </c>
      <c r="G205" s="8" t="inlineStr">
        <is>
          <t>Amiya Ranjan Behera</t>
        </is>
      </c>
      <c r="H205" s="8" t="n">
        <v>8917436223</v>
      </c>
      <c r="I205" s="10" t="inlineStr">
        <is>
          <t>PE06052602</t>
        </is>
      </c>
      <c r="J205" s="8" t="inlineStr">
        <is>
          <t>Diode Bypass Module Issue</t>
        </is>
      </c>
      <c r="K205" s="8" t="inlineStr">
        <is>
          <t>Bhavnagar</t>
        </is>
      </c>
      <c r="L205" s="8" t="inlineStr">
        <is>
          <t>Gujarat</t>
        </is>
      </c>
      <c r="M205" s="2" t="inlineStr">
        <is>
          <t>PS</t>
        </is>
      </c>
      <c r="N205" s="1" t="inlineStr">
        <is>
          <t>Cold Soldering</t>
        </is>
      </c>
      <c r="O205" s="11" t="n">
        <v>540</v>
      </c>
      <c r="P205" s="2" t="inlineStr">
        <is>
          <t>NSMP2305194934</t>
        </is>
      </c>
      <c r="Q205" s="14">
        <f>MID(P205,5,2)</f>
        <v/>
      </c>
      <c r="R205" s="14">
        <f>MID(P205,7,2)</f>
        <v/>
      </c>
      <c r="S205" s="1" t="inlineStr">
        <is>
          <t>G2B</t>
        </is>
      </c>
      <c r="T205" s="1" t="inlineStr">
        <is>
          <t>P2 - PEPPL</t>
        </is>
      </c>
      <c r="U205" s="1" t="inlineStr">
        <is>
          <t>P JB Cold Soldering</t>
        </is>
      </c>
      <c r="V205" s="1" t="inlineStr">
        <is>
          <t>Soldering</t>
        </is>
      </c>
      <c r="W205" s="1" t="inlineStr">
        <is>
          <t>Repair</t>
        </is>
      </c>
      <c r="X205" s="5" t="n">
        <v>46175</v>
      </c>
      <c r="Y205" s="1">
        <f>IF(X205="","",X205-A205)</f>
        <v/>
      </c>
      <c r="Z205" s="5" t="n">
        <v>46175</v>
      </c>
      <c r="AA205" s="3" t="n"/>
      <c r="AB205" s="3" t="n"/>
      <c r="AE205" s="146">
        <f>IF(AND(F205="Closed",X205&gt;=DATE(2026,6,1),X205&lt;=DATE(2026,6,30)),"Closed in June","other")</f>
        <v/>
      </c>
    </row>
    <row r="206" hidden="1">
      <c r="A206" s="9" t="n">
        <v>46148</v>
      </c>
      <c r="B206" s="1" t="n">
        <v>2026</v>
      </c>
      <c r="C206" s="8" t="inlineStr">
        <is>
          <t>Continuum</t>
        </is>
      </c>
      <c r="D206" s="1" t="inlineStr">
        <is>
          <t>Utility and C&amp;I</t>
        </is>
      </c>
      <c r="E206" s="1" t="n"/>
      <c r="F206" s="1" t="inlineStr">
        <is>
          <t>Closed</t>
        </is>
      </c>
      <c r="G206" s="8" t="inlineStr">
        <is>
          <t>Amiya Ranjan Behera</t>
        </is>
      </c>
      <c r="H206" s="8" t="n">
        <v>8917436223</v>
      </c>
      <c r="I206" s="10" t="inlineStr">
        <is>
          <t>PE06052602</t>
        </is>
      </c>
      <c r="J206" s="8" t="inlineStr">
        <is>
          <t>Diode Bypass Module Issue</t>
        </is>
      </c>
      <c r="K206" s="8" t="inlineStr">
        <is>
          <t>Bhavnagar</t>
        </is>
      </c>
      <c r="L206" s="8" t="inlineStr">
        <is>
          <t>Gujarat</t>
        </is>
      </c>
      <c r="M206" s="2" t="inlineStr">
        <is>
          <t>PS</t>
        </is>
      </c>
      <c r="N206" s="1" t="inlineStr">
        <is>
          <t>Cold Soldering</t>
        </is>
      </c>
      <c r="O206" s="11" t="n">
        <v>540</v>
      </c>
      <c r="P206" s="2" t="inlineStr">
        <is>
          <t>NSMP2305133704</t>
        </is>
      </c>
      <c r="Q206" s="14">
        <f>MID(P206,5,2)</f>
        <v/>
      </c>
      <c r="R206" s="14">
        <f>MID(P206,7,2)</f>
        <v/>
      </c>
      <c r="S206" s="1" t="inlineStr">
        <is>
          <t>G2B</t>
        </is>
      </c>
      <c r="T206" s="1" t="inlineStr">
        <is>
          <t>P2 - PEPPL</t>
        </is>
      </c>
      <c r="U206" s="1" t="inlineStr">
        <is>
          <t>P JB Cold Soldering</t>
        </is>
      </c>
      <c r="V206" s="1" t="inlineStr">
        <is>
          <t>Soldering</t>
        </is>
      </c>
      <c r="W206" s="1" t="inlineStr">
        <is>
          <t>Repair</t>
        </is>
      </c>
      <c r="X206" s="5" t="n">
        <v>46175</v>
      </c>
      <c r="Y206" s="1">
        <f>IF(X206="","",X206-A206)</f>
        <v/>
      </c>
      <c r="Z206" s="5" t="n">
        <v>46175</v>
      </c>
      <c r="AA206" s="3" t="n"/>
      <c r="AB206" s="3" t="n"/>
      <c r="AE206" s="146">
        <f>IF(AND(F206="Closed",X206&gt;=DATE(2026,6,1),X206&lt;=DATE(2026,6,30)),"Closed in June","other")</f>
        <v/>
      </c>
    </row>
    <row r="207" hidden="1">
      <c r="A207" s="9" t="n">
        <v>46148</v>
      </c>
      <c r="B207" s="1" t="n">
        <v>2026</v>
      </c>
      <c r="C207" s="8" t="inlineStr">
        <is>
          <t>Continuum</t>
        </is>
      </c>
      <c r="D207" s="1" t="inlineStr">
        <is>
          <t>Utility and C&amp;I</t>
        </is>
      </c>
      <c r="E207" s="1" t="n"/>
      <c r="F207" s="1" t="inlineStr">
        <is>
          <t>Closed</t>
        </is>
      </c>
      <c r="G207" s="8" t="inlineStr">
        <is>
          <t>Amiya Ranjan Behera</t>
        </is>
      </c>
      <c r="H207" s="8" t="n">
        <v>8917436223</v>
      </c>
      <c r="I207" s="10" t="inlineStr">
        <is>
          <t>PE06052602</t>
        </is>
      </c>
      <c r="J207" s="8" t="inlineStr">
        <is>
          <t>Diode Bypass Module Issue</t>
        </is>
      </c>
      <c r="K207" s="8" t="inlineStr">
        <is>
          <t>Bhavnagar</t>
        </is>
      </c>
      <c r="L207" s="8" t="inlineStr">
        <is>
          <t>Gujarat</t>
        </is>
      </c>
      <c r="M207" s="2" t="inlineStr">
        <is>
          <t>PS</t>
        </is>
      </c>
      <c r="N207" s="1" t="inlineStr">
        <is>
          <t>Cold Soldering</t>
        </is>
      </c>
      <c r="O207" s="11" t="n">
        <v>540</v>
      </c>
      <c r="P207" s="2" t="inlineStr">
        <is>
          <t>NSMP2305189286</t>
        </is>
      </c>
      <c r="Q207" s="14">
        <f>MID(P207,5,2)</f>
        <v/>
      </c>
      <c r="R207" s="14">
        <f>MID(P207,7,2)</f>
        <v/>
      </c>
      <c r="S207" s="1" t="inlineStr">
        <is>
          <t>G2B</t>
        </is>
      </c>
      <c r="T207" s="1" t="inlineStr">
        <is>
          <t>P2 - PEPPL</t>
        </is>
      </c>
      <c r="U207" s="1" t="inlineStr">
        <is>
          <t>P JB Cold Soldering</t>
        </is>
      </c>
      <c r="V207" s="1" t="inlineStr">
        <is>
          <t>Soldering</t>
        </is>
      </c>
      <c r="W207" s="1" t="inlineStr">
        <is>
          <t>Repair</t>
        </is>
      </c>
      <c r="X207" s="5" t="n">
        <v>46175</v>
      </c>
      <c r="Y207" s="1">
        <f>IF(X207="","",X207-A207)</f>
        <v/>
      </c>
      <c r="Z207" s="5" t="n">
        <v>46175</v>
      </c>
      <c r="AA207" s="3" t="n"/>
      <c r="AB207" s="3" t="n"/>
      <c r="AE207" s="146">
        <f>IF(AND(F207="Closed",X207&gt;=DATE(2026,6,1),X207&lt;=DATE(2026,6,30)),"Closed in June","other")</f>
        <v/>
      </c>
    </row>
    <row r="208" hidden="1">
      <c r="A208" s="9" t="n">
        <v>46148</v>
      </c>
      <c r="B208" s="1" t="n">
        <v>2026</v>
      </c>
      <c r="C208" s="8" t="inlineStr">
        <is>
          <t>Continuum</t>
        </is>
      </c>
      <c r="D208" s="1" t="inlineStr">
        <is>
          <t>Utility and C&amp;I</t>
        </is>
      </c>
      <c r="E208" s="1" t="n"/>
      <c r="F208" s="1" t="inlineStr">
        <is>
          <t>Closed</t>
        </is>
      </c>
      <c r="G208" s="8" t="inlineStr">
        <is>
          <t>Amiya Ranjan Behera</t>
        </is>
      </c>
      <c r="H208" s="8" t="n">
        <v>8917436223</v>
      </c>
      <c r="I208" s="10" t="inlineStr">
        <is>
          <t>PE06052602</t>
        </is>
      </c>
      <c r="J208" s="8" t="inlineStr">
        <is>
          <t>Diode Bypass Module Issue</t>
        </is>
      </c>
      <c r="K208" s="8" t="inlineStr">
        <is>
          <t>Bhavnagar</t>
        </is>
      </c>
      <c r="L208" s="8" t="inlineStr">
        <is>
          <t>Gujarat</t>
        </is>
      </c>
      <c r="M208" s="2" t="inlineStr">
        <is>
          <t>PS</t>
        </is>
      </c>
      <c r="N208" s="1" t="inlineStr">
        <is>
          <t>Cold Soldering</t>
        </is>
      </c>
      <c r="O208" s="11" t="n">
        <v>540</v>
      </c>
      <c r="P208" s="2" t="inlineStr">
        <is>
          <t>NSMP2305189284</t>
        </is>
      </c>
      <c r="Q208" s="14">
        <f>MID(P208,5,2)</f>
        <v/>
      </c>
      <c r="R208" s="14">
        <f>MID(P208,7,2)</f>
        <v/>
      </c>
      <c r="S208" s="1" t="inlineStr">
        <is>
          <t>G2B</t>
        </is>
      </c>
      <c r="T208" s="1" t="inlineStr">
        <is>
          <t>P2 - PEPPL</t>
        </is>
      </c>
      <c r="U208" s="1" t="inlineStr">
        <is>
          <t>P JB Cold Soldering</t>
        </is>
      </c>
      <c r="V208" s="1" t="inlineStr">
        <is>
          <t>Soldering</t>
        </is>
      </c>
      <c r="W208" s="1" t="inlineStr">
        <is>
          <t>Repair</t>
        </is>
      </c>
      <c r="X208" s="5" t="n">
        <v>46175</v>
      </c>
      <c r="Y208" s="1">
        <f>IF(X208="","",X208-A208)</f>
        <v/>
      </c>
      <c r="Z208" s="5" t="n">
        <v>46175</v>
      </c>
      <c r="AA208" s="3" t="n"/>
      <c r="AB208" s="3" t="n"/>
      <c r="AE208" s="146">
        <f>IF(AND(F208="Closed",X208&gt;=DATE(2026,6,1),X208&lt;=DATE(2026,6,30)),"Closed in June","other")</f>
        <v/>
      </c>
    </row>
    <row r="209" hidden="1">
      <c r="A209" s="9" t="n">
        <v>46148</v>
      </c>
      <c r="B209" s="1" t="n">
        <v>2026</v>
      </c>
      <c r="C209" s="8" t="inlineStr">
        <is>
          <t>Continuum</t>
        </is>
      </c>
      <c r="D209" s="1" t="inlineStr">
        <is>
          <t>Utility and C&amp;I</t>
        </is>
      </c>
      <c r="E209" s="1" t="n"/>
      <c r="F209" s="1" t="inlineStr">
        <is>
          <t>Closed</t>
        </is>
      </c>
      <c r="G209" s="8" t="inlineStr">
        <is>
          <t>Amiya Ranjan Behera</t>
        </is>
      </c>
      <c r="H209" s="8" t="n">
        <v>8917436223</v>
      </c>
      <c r="I209" s="10" t="inlineStr">
        <is>
          <t>PE06052602</t>
        </is>
      </c>
      <c r="J209" s="8" t="inlineStr">
        <is>
          <t>Diode Bypass Module Issue</t>
        </is>
      </c>
      <c r="K209" s="8" t="inlineStr">
        <is>
          <t>Bhavnagar</t>
        </is>
      </c>
      <c r="L209" s="8" t="inlineStr">
        <is>
          <t>Gujarat</t>
        </is>
      </c>
      <c r="M209" s="2" t="inlineStr">
        <is>
          <t>PS</t>
        </is>
      </c>
      <c r="N209" s="1" t="inlineStr">
        <is>
          <t>Cold Soldering</t>
        </is>
      </c>
      <c r="O209" s="11" t="n">
        <v>540</v>
      </c>
      <c r="P209" s="2" t="inlineStr">
        <is>
          <t>NSMP2305189151</t>
        </is>
      </c>
      <c r="Q209" s="14">
        <f>MID(P209,5,2)</f>
        <v/>
      </c>
      <c r="R209" s="14">
        <f>MID(P209,7,2)</f>
        <v/>
      </c>
      <c r="S209" s="1" t="inlineStr">
        <is>
          <t>G2B</t>
        </is>
      </c>
      <c r="T209" s="1" t="inlineStr">
        <is>
          <t>P2 - PEPPL</t>
        </is>
      </c>
      <c r="U209" s="1" t="inlineStr">
        <is>
          <t>P JB Cold Soldering</t>
        </is>
      </c>
      <c r="V209" s="1" t="inlineStr">
        <is>
          <t>Soldering</t>
        </is>
      </c>
      <c r="W209" s="1" t="inlineStr">
        <is>
          <t>Repair</t>
        </is>
      </c>
      <c r="X209" s="5" t="n">
        <v>46175</v>
      </c>
      <c r="Y209" s="1">
        <f>IF(X209="","",X209-A209)</f>
        <v/>
      </c>
      <c r="Z209" s="5" t="n">
        <v>46175</v>
      </c>
      <c r="AA209" s="3" t="n"/>
      <c r="AB209" s="3" t="n"/>
      <c r="AE209" s="146">
        <f>IF(AND(F209="Closed",X209&gt;=DATE(2026,6,1),X209&lt;=DATE(2026,6,30)),"Closed in June","other")</f>
        <v/>
      </c>
    </row>
    <row r="210" hidden="1">
      <c r="A210" s="9" t="n">
        <v>46148</v>
      </c>
      <c r="B210" s="1" t="n">
        <v>2026</v>
      </c>
      <c r="C210" s="8" t="inlineStr">
        <is>
          <t>Continuum</t>
        </is>
      </c>
      <c r="D210" s="1" t="inlineStr">
        <is>
          <t>Utility and C&amp;I</t>
        </is>
      </c>
      <c r="E210" s="1" t="n"/>
      <c r="F210" s="1" t="inlineStr">
        <is>
          <t>Closed</t>
        </is>
      </c>
      <c r="G210" s="8" t="inlineStr">
        <is>
          <t>Amiya Ranjan Behera</t>
        </is>
      </c>
      <c r="H210" s="8" t="n">
        <v>8917436223</v>
      </c>
      <c r="I210" s="10" t="inlineStr">
        <is>
          <t>PE06052602</t>
        </is>
      </c>
      <c r="J210" s="8" t="inlineStr">
        <is>
          <t>Diode Bypass Module Issue</t>
        </is>
      </c>
      <c r="K210" s="8" t="inlineStr">
        <is>
          <t>Bhavnagar</t>
        </is>
      </c>
      <c r="L210" s="8" t="inlineStr">
        <is>
          <t>Gujarat</t>
        </is>
      </c>
      <c r="M210" s="2" t="inlineStr">
        <is>
          <t>PS</t>
        </is>
      </c>
      <c r="N210" s="1" t="inlineStr">
        <is>
          <t>Cold Soldering</t>
        </is>
      </c>
      <c r="O210" s="11" t="n">
        <v>540</v>
      </c>
      <c r="P210" s="2" t="inlineStr">
        <is>
          <t>NSMP2305189266</t>
        </is>
      </c>
      <c r="Q210" s="14">
        <f>MID(P210,5,2)</f>
        <v/>
      </c>
      <c r="R210" s="14">
        <f>MID(P210,7,2)</f>
        <v/>
      </c>
      <c r="S210" s="1" t="inlineStr">
        <is>
          <t>G2B</t>
        </is>
      </c>
      <c r="T210" s="1" t="inlineStr">
        <is>
          <t>P2 - PEPPL</t>
        </is>
      </c>
      <c r="U210" s="1" t="inlineStr">
        <is>
          <t>P JB Cold Soldering</t>
        </is>
      </c>
      <c r="V210" s="1" t="inlineStr">
        <is>
          <t>Soldering</t>
        </is>
      </c>
      <c r="W210" s="1" t="inlineStr">
        <is>
          <t>Repair</t>
        </is>
      </c>
      <c r="X210" s="5" t="n">
        <v>46175</v>
      </c>
      <c r="Y210" s="1">
        <f>IF(X210="","",X210-A210)</f>
        <v/>
      </c>
      <c r="Z210" s="5" t="n">
        <v>46175</v>
      </c>
      <c r="AA210" s="3" t="n"/>
      <c r="AB210" s="3" t="n"/>
      <c r="AE210" s="146">
        <f>IF(AND(F210="Closed",X210&gt;=DATE(2026,6,1),X210&lt;=DATE(2026,6,30)),"Closed in June","other")</f>
        <v/>
      </c>
    </row>
    <row r="211" hidden="1">
      <c r="A211" s="9" t="n">
        <v>46148</v>
      </c>
      <c r="B211" s="1" t="n">
        <v>2026</v>
      </c>
      <c r="C211" s="8" t="inlineStr">
        <is>
          <t>Continuum</t>
        </is>
      </c>
      <c r="D211" s="1" t="inlineStr">
        <is>
          <t>Utility and C&amp;I</t>
        </is>
      </c>
      <c r="E211" s="1" t="n"/>
      <c r="F211" s="1" t="inlineStr">
        <is>
          <t>Closed</t>
        </is>
      </c>
      <c r="G211" s="8" t="inlineStr">
        <is>
          <t>Amiya Ranjan Behera</t>
        </is>
      </c>
      <c r="H211" s="8" t="n">
        <v>8917436223</v>
      </c>
      <c r="I211" s="10" t="inlineStr">
        <is>
          <t>PE06052602</t>
        </is>
      </c>
      <c r="J211" s="8" t="inlineStr">
        <is>
          <t>Diode Bypass Module Issue</t>
        </is>
      </c>
      <c r="K211" s="8" t="inlineStr">
        <is>
          <t>Bhavnagar</t>
        </is>
      </c>
      <c r="L211" s="8" t="inlineStr">
        <is>
          <t>Gujarat</t>
        </is>
      </c>
      <c r="M211" s="2" t="inlineStr">
        <is>
          <t>PS</t>
        </is>
      </c>
      <c r="N211" s="1" t="inlineStr">
        <is>
          <t>Cold Soldering</t>
        </is>
      </c>
      <c r="O211" s="11" t="n">
        <v>540</v>
      </c>
      <c r="P211" s="2" t="inlineStr">
        <is>
          <t>NSMP2305189282</t>
        </is>
      </c>
      <c r="Q211" s="14">
        <f>MID(P211,5,2)</f>
        <v/>
      </c>
      <c r="R211" s="14">
        <f>MID(P211,7,2)</f>
        <v/>
      </c>
      <c r="S211" s="1" t="inlineStr">
        <is>
          <t>G2B</t>
        </is>
      </c>
      <c r="T211" s="1" t="inlineStr">
        <is>
          <t>P2 - PEPPL</t>
        </is>
      </c>
      <c r="U211" s="1" t="inlineStr">
        <is>
          <t>P JB Cold Soldering</t>
        </is>
      </c>
      <c r="V211" s="1" t="inlineStr">
        <is>
          <t>Soldering</t>
        </is>
      </c>
      <c r="W211" s="1" t="inlineStr">
        <is>
          <t>Repair</t>
        </is>
      </c>
      <c r="X211" s="5" t="n">
        <v>46175</v>
      </c>
      <c r="Y211" s="1">
        <f>IF(X211="","",X211-A211)</f>
        <v/>
      </c>
      <c r="Z211" s="5" t="n">
        <v>46175</v>
      </c>
      <c r="AA211" s="3" t="n"/>
      <c r="AB211" s="3" t="n"/>
      <c r="AE211" s="146">
        <f>IF(AND(F211="Closed",X211&gt;=DATE(2026,6,1),X211&lt;=DATE(2026,6,30)),"Closed in June","other")</f>
        <v/>
      </c>
    </row>
    <row r="212" hidden="1">
      <c r="A212" s="9" t="n">
        <v>46148</v>
      </c>
      <c r="B212" s="1" t="n">
        <v>2026</v>
      </c>
      <c r="C212" s="8" t="inlineStr">
        <is>
          <t>Continuum</t>
        </is>
      </c>
      <c r="D212" s="1" t="inlineStr">
        <is>
          <t>Utility and C&amp;I</t>
        </is>
      </c>
      <c r="E212" s="1" t="n"/>
      <c r="F212" s="1" t="inlineStr">
        <is>
          <t>Closed</t>
        </is>
      </c>
      <c r="G212" s="8" t="inlineStr">
        <is>
          <t>Amiya Ranjan Behera</t>
        </is>
      </c>
      <c r="H212" s="8" t="n">
        <v>8917436223</v>
      </c>
      <c r="I212" s="10" t="inlineStr">
        <is>
          <t>PE06052602</t>
        </is>
      </c>
      <c r="J212" s="8" t="inlineStr">
        <is>
          <t>Diode Bypass Module Issue</t>
        </is>
      </c>
      <c r="K212" s="8" t="inlineStr">
        <is>
          <t>Bhavnagar</t>
        </is>
      </c>
      <c r="L212" s="8" t="inlineStr">
        <is>
          <t>Gujarat</t>
        </is>
      </c>
      <c r="M212" s="2" t="inlineStr">
        <is>
          <t>PS</t>
        </is>
      </c>
      <c r="N212" s="1" t="inlineStr">
        <is>
          <t>Cold Soldering</t>
        </is>
      </c>
      <c r="O212" s="11" t="n">
        <v>540</v>
      </c>
      <c r="P212" s="2" t="inlineStr">
        <is>
          <t>NSMP2305124732</t>
        </is>
      </c>
      <c r="Q212" s="14">
        <f>MID(P212,5,2)</f>
        <v/>
      </c>
      <c r="R212" s="14">
        <f>MID(P212,7,2)</f>
        <v/>
      </c>
      <c r="S212" s="1" t="inlineStr">
        <is>
          <t>G2B</t>
        </is>
      </c>
      <c r="T212" s="1" t="inlineStr">
        <is>
          <t>P2 - PEPPL</t>
        </is>
      </c>
      <c r="U212" s="1" t="inlineStr">
        <is>
          <t>P JB Cold Soldering</t>
        </is>
      </c>
      <c r="V212" s="1" t="inlineStr">
        <is>
          <t>Soldering</t>
        </is>
      </c>
      <c r="W212" s="1" t="inlineStr">
        <is>
          <t>Repair</t>
        </is>
      </c>
      <c r="X212" s="5" t="n">
        <v>46175</v>
      </c>
      <c r="Y212" s="1">
        <f>IF(X212="","",X212-A212)</f>
        <v/>
      </c>
      <c r="Z212" s="5" t="n">
        <v>46175</v>
      </c>
      <c r="AA212" s="3" t="n"/>
      <c r="AB212" s="3" t="n"/>
      <c r="AE212" s="146">
        <f>IF(AND(F212="Closed",X212&gt;=DATE(2026,6,1),X212&lt;=DATE(2026,6,30)),"Closed in June","other")</f>
        <v/>
      </c>
    </row>
    <row r="213" hidden="1">
      <c r="A213" s="9" t="n">
        <v>46148</v>
      </c>
      <c r="B213" s="1" t="n">
        <v>2026</v>
      </c>
      <c r="C213" s="8" t="inlineStr">
        <is>
          <t>Continuum</t>
        </is>
      </c>
      <c r="D213" s="1" t="inlineStr">
        <is>
          <t>Utility and C&amp;I</t>
        </is>
      </c>
      <c r="E213" s="1" t="n"/>
      <c r="F213" s="1" t="inlineStr">
        <is>
          <t>Closed</t>
        </is>
      </c>
      <c r="G213" s="8" t="inlineStr">
        <is>
          <t>Amiya Ranjan Behera</t>
        </is>
      </c>
      <c r="H213" s="8" t="n">
        <v>8917436223</v>
      </c>
      <c r="I213" s="10" t="inlineStr">
        <is>
          <t>PE06052602</t>
        </is>
      </c>
      <c r="J213" s="8" t="inlineStr">
        <is>
          <t>Diode Bypass Module Issue</t>
        </is>
      </c>
      <c r="K213" s="8" t="inlineStr">
        <is>
          <t>Bhavnagar</t>
        </is>
      </c>
      <c r="L213" s="8" t="inlineStr">
        <is>
          <t>Gujarat</t>
        </is>
      </c>
      <c r="M213" s="2" t="inlineStr">
        <is>
          <t>PS</t>
        </is>
      </c>
      <c r="N213" s="1" t="inlineStr">
        <is>
          <t>Cold Soldering</t>
        </is>
      </c>
      <c r="O213" s="11" t="n">
        <v>540</v>
      </c>
      <c r="P213" s="2" t="inlineStr">
        <is>
          <t>NSMP2305189287</t>
        </is>
      </c>
      <c r="Q213" s="14">
        <f>MID(P213,5,2)</f>
        <v/>
      </c>
      <c r="R213" s="14">
        <f>MID(P213,7,2)</f>
        <v/>
      </c>
      <c r="S213" s="1" t="inlineStr">
        <is>
          <t>G2B</t>
        </is>
      </c>
      <c r="T213" s="1" t="inlineStr">
        <is>
          <t>P2 - PEPPL</t>
        </is>
      </c>
      <c r="U213" s="1" t="inlineStr">
        <is>
          <t>P JB Cold Soldering</t>
        </is>
      </c>
      <c r="V213" s="1" t="inlineStr">
        <is>
          <t>Soldering</t>
        </is>
      </c>
      <c r="W213" s="1" t="inlineStr">
        <is>
          <t>Repair</t>
        </is>
      </c>
      <c r="X213" s="5" t="n">
        <v>46175</v>
      </c>
      <c r="Y213" s="1">
        <f>IF(X213="","",X213-A213)</f>
        <v/>
      </c>
      <c r="Z213" s="5" t="n">
        <v>46175</v>
      </c>
      <c r="AA213" s="3" t="n"/>
      <c r="AB213" s="3" t="n"/>
      <c r="AE213" s="146">
        <f>IF(AND(F213="Closed",X213&gt;=DATE(2026,6,1),X213&lt;=DATE(2026,6,30)),"Closed in June","other")</f>
        <v/>
      </c>
    </row>
    <row r="214" hidden="1">
      <c r="A214" s="9" t="n">
        <v>46148</v>
      </c>
      <c r="B214" s="1" t="n">
        <v>2026</v>
      </c>
      <c r="C214" s="8" t="inlineStr">
        <is>
          <t>Continuum</t>
        </is>
      </c>
      <c r="D214" s="1" t="inlineStr">
        <is>
          <t>Utility and C&amp;I</t>
        </is>
      </c>
      <c r="E214" s="1" t="n"/>
      <c r="F214" s="1" t="inlineStr">
        <is>
          <t>Closed</t>
        </is>
      </c>
      <c r="G214" s="8" t="inlineStr">
        <is>
          <t>Amiya Ranjan Behera</t>
        </is>
      </c>
      <c r="H214" s="8" t="n">
        <v>8917436223</v>
      </c>
      <c r="I214" s="10" t="inlineStr">
        <is>
          <t>PE06052602</t>
        </is>
      </c>
      <c r="J214" s="8" t="inlineStr">
        <is>
          <t>Diode Bypass Module Issue</t>
        </is>
      </c>
      <c r="K214" s="8" t="inlineStr">
        <is>
          <t>Bhavnagar</t>
        </is>
      </c>
      <c r="L214" s="8" t="inlineStr">
        <is>
          <t>Gujarat</t>
        </is>
      </c>
      <c r="M214" s="2" t="inlineStr">
        <is>
          <t>PS</t>
        </is>
      </c>
      <c r="N214" s="1" t="inlineStr">
        <is>
          <t>Cold Soldering</t>
        </is>
      </c>
      <c r="O214" s="11" t="n">
        <v>540</v>
      </c>
      <c r="P214" s="2" t="inlineStr">
        <is>
          <t>NSMP2305189254</t>
        </is>
      </c>
      <c r="Q214" s="14">
        <f>MID(P214,5,2)</f>
        <v/>
      </c>
      <c r="R214" s="14">
        <f>MID(P214,7,2)</f>
        <v/>
      </c>
      <c r="S214" s="1" t="inlineStr">
        <is>
          <t>G2B</t>
        </is>
      </c>
      <c r="T214" s="1" t="inlineStr">
        <is>
          <t>P2 - PEPPL</t>
        </is>
      </c>
      <c r="U214" s="1" t="inlineStr">
        <is>
          <t>P JB Cold Soldering</t>
        </is>
      </c>
      <c r="V214" s="1" t="inlineStr">
        <is>
          <t>Soldering</t>
        </is>
      </c>
      <c r="W214" s="1" t="inlineStr">
        <is>
          <t>Repair</t>
        </is>
      </c>
      <c r="X214" s="5" t="n">
        <v>46175</v>
      </c>
      <c r="Y214" s="1">
        <f>IF(X214="","",X214-A214)</f>
        <v/>
      </c>
      <c r="Z214" s="5" t="n">
        <v>46175</v>
      </c>
      <c r="AA214" s="3" t="n"/>
      <c r="AB214" s="3" t="n"/>
      <c r="AE214" s="146">
        <f>IF(AND(F214="Closed",X214&gt;=DATE(2026,6,1),X214&lt;=DATE(2026,6,30)),"Closed in June","other")</f>
        <v/>
      </c>
    </row>
    <row r="215" hidden="1">
      <c r="A215" s="9" t="n">
        <v>46148</v>
      </c>
      <c r="B215" s="1" t="n">
        <v>2026</v>
      </c>
      <c r="C215" s="8" t="inlineStr">
        <is>
          <t>Continuum</t>
        </is>
      </c>
      <c r="D215" s="1" t="inlineStr">
        <is>
          <t>Utility and C&amp;I</t>
        </is>
      </c>
      <c r="E215" s="1" t="n"/>
      <c r="F215" s="1" t="inlineStr">
        <is>
          <t>Closed</t>
        </is>
      </c>
      <c r="G215" s="8" t="inlineStr">
        <is>
          <t>Amiya Ranjan Behera</t>
        </is>
      </c>
      <c r="H215" s="8" t="n">
        <v>8917436223</v>
      </c>
      <c r="I215" s="10" t="inlineStr">
        <is>
          <t>PE06052602</t>
        </is>
      </c>
      <c r="J215" s="8" t="inlineStr">
        <is>
          <t>Diode Bypass Module Issue</t>
        </is>
      </c>
      <c r="K215" s="8" t="inlineStr">
        <is>
          <t>Bhavnagar</t>
        </is>
      </c>
      <c r="L215" s="8" t="inlineStr">
        <is>
          <t>Gujarat</t>
        </is>
      </c>
      <c r="M215" s="2" t="inlineStr">
        <is>
          <t>PS</t>
        </is>
      </c>
      <c r="N215" s="1" t="inlineStr">
        <is>
          <t>Cold Soldering</t>
        </is>
      </c>
      <c r="O215" s="11" t="n">
        <v>540</v>
      </c>
      <c r="P215" s="2" t="inlineStr">
        <is>
          <t>NSMP2305124937</t>
        </is>
      </c>
      <c r="Q215" s="14">
        <f>MID(P215,5,2)</f>
        <v/>
      </c>
      <c r="R215" s="14">
        <f>MID(P215,7,2)</f>
        <v/>
      </c>
      <c r="S215" s="1" t="inlineStr">
        <is>
          <t>G2B</t>
        </is>
      </c>
      <c r="T215" s="1" t="inlineStr">
        <is>
          <t>P2 - PEPPL</t>
        </is>
      </c>
      <c r="U215" s="1" t="inlineStr">
        <is>
          <t>P JB Cold Soldering</t>
        </is>
      </c>
      <c r="V215" s="1" t="inlineStr">
        <is>
          <t>Soldering</t>
        </is>
      </c>
      <c r="W215" s="1" t="inlineStr">
        <is>
          <t>Repair</t>
        </is>
      </c>
      <c r="X215" s="5" t="n">
        <v>46175</v>
      </c>
      <c r="Y215" s="1">
        <f>IF(X215="","",X215-A215)</f>
        <v/>
      </c>
      <c r="Z215" s="5" t="n">
        <v>46175</v>
      </c>
      <c r="AA215" s="3" t="n"/>
      <c r="AB215" s="3" t="n"/>
      <c r="AE215" s="146">
        <f>IF(AND(F215="Closed",X215&gt;=DATE(2026,6,1),X215&lt;=DATE(2026,6,30)),"Closed in June","other")</f>
        <v/>
      </c>
    </row>
    <row r="216" hidden="1">
      <c r="A216" s="9" t="n">
        <v>46148</v>
      </c>
      <c r="B216" s="1" t="n">
        <v>2026</v>
      </c>
      <c r="C216" s="8" t="inlineStr">
        <is>
          <t>Continuum</t>
        </is>
      </c>
      <c r="D216" s="1" t="inlineStr">
        <is>
          <t>Utility and C&amp;I</t>
        </is>
      </c>
      <c r="E216" s="1" t="n"/>
      <c r="F216" s="1" t="inlineStr">
        <is>
          <t>Closed</t>
        </is>
      </c>
      <c r="G216" s="8" t="inlineStr">
        <is>
          <t>Amiya Ranjan Behera</t>
        </is>
      </c>
      <c r="H216" s="8" t="n">
        <v>8917436223</v>
      </c>
      <c r="I216" s="10" t="inlineStr">
        <is>
          <t>PE06052602</t>
        </is>
      </c>
      <c r="J216" s="8" t="inlineStr">
        <is>
          <t>Diode Bypass Module Issue</t>
        </is>
      </c>
      <c r="K216" s="8" t="inlineStr">
        <is>
          <t>Bhavnagar</t>
        </is>
      </c>
      <c r="L216" s="8" t="inlineStr">
        <is>
          <t>Gujarat</t>
        </is>
      </c>
      <c r="M216" s="2" t="inlineStr">
        <is>
          <t>PNR</t>
        </is>
      </c>
      <c r="N216" s="1" t="inlineStr">
        <is>
          <t>JB Issue</t>
        </is>
      </c>
      <c r="O216" s="11" t="n">
        <v>540</v>
      </c>
      <c r="P216" s="2" t="inlineStr">
        <is>
          <t>NSMP2305194971</t>
        </is>
      </c>
      <c r="Q216" s="14">
        <f>MID(P216,5,2)</f>
        <v/>
      </c>
      <c r="R216" s="14">
        <f>MID(P216,7,2)</f>
        <v/>
      </c>
      <c r="S216" s="1" t="inlineStr">
        <is>
          <t>G2B</t>
        </is>
      </c>
      <c r="T216" s="1" t="inlineStr">
        <is>
          <t>P2 - PEPPL</t>
        </is>
      </c>
      <c r="U216" s="1" t="inlineStr">
        <is>
          <t>P &amp; N JB Issue</t>
        </is>
      </c>
      <c r="V216" s="3" t="inlineStr">
        <is>
          <t>JB Changed</t>
        </is>
      </c>
      <c r="W216" s="1" t="inlineStr">
        <is>
          <t>Repair</t>
        </is>
      </c>
      <c r="X216" s="5" t="n">
        <v>46175</v>
      </c>
      <c r="Y216" s="1">
        <f>IF(X216="","",X216-A216)</f>
        <v/>
      </c>
      <c r="Z216" s="5" t="n">
        <v>46175</v>
      </c>
      <c r="AA216" s="3" t="n"/>
      <c r="AB216" s="3" t="n"/>
      <c r="AE216" s="146">
        <f>IF(AND(F216="Closed",X216&gt;=DATE(2026,6,1),X216&lt;=DATE(2026,6,30)),"Closed in June","other")</f>
        <v/>
      </c>
    </row>
    <row r="217" hidden="1">
      <c r="A217" s="9" t="n">
        <v>46148</v>
      </c>
      <c r="B217" s="1" t="n">
        <v>2026</v>
      </c>
      <c r="C217" s="8" t="inlineStr">
        <is>
          <t>Continuum</t>
        </is>
      </c>
      <c r="D217" s="1" t="inlineStr">
        <is>
          <t>Utility and C&amp;I</t>
        </is>
      </c>
      <c r="E217" s="1" t="n"/>
      <c r="F217" s="1" t="inlineStr">
        <is>
          <t>Closed</t>
        </is>
      </c>
      <c r="G217" s="8" t="inlineStr">
        <is>
          <t>Amiya Ranjan Behera</t>
        </is>
      </c>
      <c r="H217" s="8" t="n">
        <v>8917436223</v>
      </c>
      <c r="I217" s="10" t="inlineStr">
        <is>
          <t>PE06052602</t>
        </is>
      </c>
      <c r="J217" s="8" t="inlineStr">
        <is>
          <t>Diode Bypass Module Issue</t>
        </is>
      </c>
      <c r="K217" s="8" t="inlineStr">
        <is>
          <t>Bhavnagar</t>
        </is>
      </c>
      <c r="L217" s="8" t="inlineStr">
        <is>
          <t>Gujarat</t>
        </is>
      </c>
      <c r="M217" s="2" t="inlineStr">
        <is>
          <t>PR</t>
        </is>
      </c>
      <c r="N217" s="1" t="inlineStr">
        <is>
          <t>JB Issue</t>
        </is>
      </c>
      <c r="O217" s="11" t="n">
        <v>540</v>
      </c>
      <c r="P217" s="2" t="inlineStr">
        <is>
          <t>NSMP2305188696</t>
        </is>
      </c>
      <c r="Q217" s="14">
        <f>MID(P217,5,2)</f>
        <v/>
      </c>
      <c r="R217" s="14">
        <f>MID(P217,7,2)</f>
        <v/>
      </c>
      <c r="S217" s="1" t="inlineStr">
        <is>
          <t>G2B</t>
        </is>
      </c>
      <c r="T217" s="1" t="inlineStr">
        <is>
          <t>P2 - PEPPL</t>
        </is>
      </c>
      <c r="U217" s="1" t="inlineStr">
        <is>
          <t>P JB Issue</t>
        </is>
      </c>
      <c r="V217" s="3" t="inlineStr">
        <is>
          <t>JB Changed</t>
        </is>
      </c>
      <c r="W217" s="1" t="inlineStr">
        <is>
          <t>Repair</t>
        </is>
      </c>
      <c r="X217" s="5" t="n">
        <v>46175</v>
      </c>
      <c r="Y217" s="1">
        <f>IF(X217="","",X217-A217)</f>
        <v/>
      </c>
      <c r="Z217" s="5" t="n">
        <v>46175</v>
      </c>
      <c r="AA217" s="3" t="n"/>
      <c r="AB217" s="3" t="n"/>
      <c r="AE217" s="146">
        <f>IF(AND(F217="Closed",X217&gt;=DATE(2026,6,1),X217&lt;=DATE(2026,6,30)),"Closed in June","other")</f>
        <v/>
      </c>
    </row>
    <row r="218" hidden="1">
      <c r="A218" s="9" t="n">
        <v>46148</v>
      </c>
      <c r="B218" s="1" t="n">
        <v>2026</v>
      </c>
      <c r="C218" s="8" t="inlineStr">
        <is>
          <t>Continuum</t>
        </is>
      </c>
      <c r="D218" s="1" t="inlineStr">
        <is>
          <t>Utility and C&amp;I</t>
        </is>
      </c>
      <c r="E218" s="1" t="n"/>
      <c r="F218" s="1" t="inlineStr">
        <is>
          <t>Closed</t>
        </is>
      </c>
      <c r="G218" s="8" t="inlineStr">
        <is>
          <t>Amiya Ranjan Behera</t>
        </is>
      </c>
      <c r="H218" s="8" t="n">
        <v>8917436223</v>
      </c>
      <c r="I218" s="10" t="inlineStr">
        <is>
          <t>PE06052602</t>
        </is>
      </c>
      <c r="J218" s="8" t="inlineStr">
        <is>
          <t>Diode Bypass Module Issue</t>
        </is>
      </c>
      <c r="K218" s="8" t="inlineStr">
        <is>
          <t>Bhavnagar</t>
        </is>
      </c>
      <c r="L218" s="8" t="inlineStr">
        <is>
          <t>Gujarat</t>
        </is>
      </c>
      <c r="M218" s="2" t="inlineStr">
        <is>
          <t>PS</t>
        </is>
      </c>
      <c r="N218" s="1" t="inlineStr">
        <is>
          <t>Cold Soldering</t>
        </is>
      </c>
      <c r="O218" s="11" t="n">
        <v>540</v>
      </c>
      <c r="P218" s="2" t="inlineStr">
        <is>
          <t>NSMP2305124958</t>
        </is>
      </c>
      <c r="Q218" s="14">
        <f>MID(P218,5,2)</f>
        <v/>
      </c>
      <c r="R218" s="14">
        <f>MID(P218,7,2)</f>
        <v/>
      </c>
      <c r="S218" s="1" t="inlineStr">
        <is>
          <t>G2B</t>
        </is>
      </c>
      <c r="T218" s="1" t="inlineStr">
        <is>
          <t>P2 - PEPPL</t>
        </is>
      </c>
      <c r="U218" s="1" t="inlineStr">
        <is>
          <t>P JB Cold Soldering</t>
        </is>
      </c>
      <c r="V218" s="1" t="inlineStr">
        <is>
          <t>Soldering</t>
        </is>
      </c>
      <c r="W218" s="1" t="inlineStr">
        <is>
          <t>Repair</t>
        </is>
      </c>
      <c r="X218" s="5" t="n">
        <v>46175</v>
      </c>
      <c r="Y218" s="1">
        <f>IF(X218="","",X218-A218)</f>
        <v/>
      </c>
      <c r="Z218" s="5" t="n">
        <v>46175</v>
      </c>
      <c r="AA218" s="3" t="n"/>
      <c r="AB218" s="3" t="n"/>
      <c r="AE218" s="146">
        <f>IF(AND(F218="Closed",X218&gt;=DATE(2026,6,1),X218&lt;=DATE(2026,6,30)),"Closed in June","other")</f>
        <v/>
      </c>
    </row>
    <row r="219" hidden="1">
      <c r="A219" s="9" t="n">
        <v>46148</v>
      </c>
      <c r="B219" s="1" t="n">
        <v>2026</v>
      </c>
      <c r="C219" s="8" t="inlineStr">
        <is>
          <t>Continuum</t>
        </is>
      </c>
      <c r="D219" s="1" t="inlineStr">
        <is>
          <t>Utility and C&amp;I</t>
        </is>
      </c>
      <c r="E219" s="1" t="n"/>
      <c r="F219" s="1" t="inlineStr">
        <is>
          <t>Closed</t>
        </is>
      </c>
      <c r="G219" s="8" t="inlineStr">
        <is>
          <t>Amiya Ranjan Behera</t>
        </is>
      </c>
      <c r="H219" s="8" t="n">
        <v>8917436223</v>
      </c>
      <c r="I219" s="10" t="inlineStr">
        <is>
          <t>PE06052602</t>
        </is>
      </c>
      <c r="J219" s="8" t="inlineStr">
        <is>
          <t>Diode Bypass Module Issue</t>
        </is>
      </c>
      <c r="K219" s="8" t="inlineStr">
        <is>
          <t>Bhavnagar</t>
        </is>
      </c>
      <c r="L219" s="8" t="inlineStr">
        <is>
          <t>Gujarat</t>
        </is>
      </c>
      <c r="M219" s="2" t="inlineStr">
        <is>
          <t>PS</t>
        </is>
      </c>
      <c r="N219" s="1" t="inlineStr">
        <is>
          <t>Cold Soldering</t>
        </is>
      </c>
      <c r="O219" s="11" t="n">
        <v>540</v>
      </c>
      <c r="P219" s="2" t="inlineStr">
        <is>
          <t>NSMP2305133679</t>
        </is>
      </c>
      <c r="Q219" s="14">
        <f>MID(P219,5,2)</f>
        <v/>
      </c>
      <c r="R219" s="14">
        <f>MID(P219,7,2)</f>
        <v/>
      </c>
      <c r="S219" s="1" t="inlineStr">
        <is>
          <t>G2B</t>
        </is>
      </c>
      <c r="T219" s="1" t="inlineStr">
        <is>
          <t>P2 - PEPPL</t>
        </is>
      </c>
      <c r="U219" s="1" t="inlineStr">
        <is>
          <t>P JB Cold Soldering</t>
        </is>
      </c>
      <c r="V219" s="1" t="inlineStr">
        <is>
          <t>Soldering</t>
        </is>
      </c>
      <c r="W219" s="1" t="inlineStr">
        <is>
          <t>Repair</t>
        </is>
      </c>
      <c r="X219" s="5" t="n">
        <v>46175</v>
      </c>
      <c r="Y219" s="1">
        <f>IF(X219="","",X219-A219)</f>
        <v/>
      </c>
      <c r="Z219" s="5" t="n">
        <v>46175</v>
      </c>
      <c r="AA219" s="3" t="n"/>
      <c r="AB219" s="3" t="n"/>
      <c r="AE219" s="146">
        <f>IF(AND(F219="Closed",X219&gt;=DATE(2026,6,1),X219&lt;=DATE(2026,6,30)),"Closed in June","other")</f>
        <v/>
      </c>
    </row>
    <row r="220" hidden="1">
      <c r="A220" s="9" t="n">
        <v>46148</v>
      </c>
      <c r="B220" s="1" t="n">
        <v>2026</v>
      </c>
      <c r="C220" s="8" t="inlineStr">
        <is>
          <t>Continuum</t>
        </is>
      </c>
      <c r="D220" s="1" t="inlineStr">
        <is>
          <t>Utility and C&amp;I</t>
        </is>
      </c>
      <c r="E220" s="1" t="n"/>
      <c r="F220" s="1" t="inlineStr">
        <is>
          <t>Closed</t>
        </is>
      </c>
      <c r="G220" s="8" t="inlineStr">
        <is>
          <t>Amiya Ranjan Behera</t>
        </is>
      </c>
      <c r="H220" s="8" t="n">
        <v>8917436223</v>
      </c>
      <c r="I220" s="10" t="inlineStr">
        <is>
          <t>PE06052602</t>
        </is>
      </c>
      <c r="J220" s="8" t="inlineStr">
        <is>
          <t>Diode Bypass Module Issue</t>
        </is>
      </c>
      <c r="K220" s="8" t="inlineStr">
        <is>
          <t>Bhavnagar</t>
        </is>
      </c>
      <c r="L220" s="8" t="inlineStr">
        <is>
          <t>Gujarat</t>
        </is>
      </c>
      <c r="M220" s="2" t="inlineStr">
        <is>
          <t>PS</t>
        </is>
      </c>
      <c r="N220" s="1" t="inlineStr">
        <is>
          <t>Cold Soldering</t>
        </is>
      </c>
      <c r="O220" s="11" t="n">
        <v>540</v>
      </c>
      <c r="P220" s="2" t="inlineStr">
        <is>
          <t>NSMP2305133703</t>
        </is>
      </c>
      <c r="Q220" s="14">
        <f>MID(P220,5,2)</f>
        <v/>
      </c>
      <c r="R220" s="14">
        <f>MID(P220,7,2)</f>
        <v/>
      </c>
      <c r="S220" s="1" t="inlineStr">
        <is>
          <t>G2B</t>
        </is>
      </c>
      <c r="T220" s="1" t="inlineStr">
        <is>
          <t>P2 - PEPPL</t>
        </is>
      </c>
      <c r="U220" s="1" t="inlineStr">
        <is>
          <t>P JB Cold Soldering</t>
        </is>
      </c>
      <c r="V220" s="1" t="inlineStr">
        <is>
          <t>Soldering</t>
        </is>
      </c>
      <c r="W220" s="1" t="inlineStr">
        <is>
          <t>Repair</t>
        </is>
      </c>
      <c r="X220" s="5" t="n">
        <v>46175</v>
      </c>
      <c r="Y220" s="1">
        <f>IF(X220="","",X220-A220)</f>
        <v/>
      </c>
      <c r="Z220" s="5" t="n">
        <v>46175</v>
      </c>
      <c r="AA220" s="3" t="n"/>
      <c r="AB220" s="3" t="n"/>
      <c r="AE220" s="146">
        <f>IF(AND(F220="Closed",X220&gt;=DATE(2026,6,1),X220&lt;=DATE(2026,6,30)),"Closed in June","other")</f>
        <v/>
      </c>
    </row>
    <row r="221" hidden="1">
      <c r="A221" s="9" t="n">
        <v>46148</v>
      </c>
      <c r="B221" s="1" t="n">
        <v>2026</v>
      </c>
      <c r="C221" s="8" t="inlineStr">
        <is>
          <t>Continuum</t>
        </is>
      </c>
      <c r="D221" s="1" t="inlineStr">
        <is>
          <t>Utility and C&amp;I</t>
        </is>
      </c>
      <c r="E221" s="1" t="n"/>
      <c r="F221" s="1" t="inlineStr">
        <is>
          <t>Closed</t>
        </is>
      </c>
      <c r="G221" s="8" t="inlineStr">
        <is>
          <t>Amiya Ranjan Behera</t>
        </is>
      </c>
      <c r="H221" s="8" t="n">
        <v>8917436223</v>
      </c>
      <c r="I221" s="10" t="inlineStr">
        <is>
          <t>PE06052602</t>
        </is>
      </c>
      <c r="J221" s="8" t="inlineStr">
        <is>
          <t>Diode Bypass Module Issue</t>
        </is>
      </c>
      <c r="K221" s="8" t="inlineStr">
        <is>
          <t>Bhavnagar</t>
        </is>
      </c>
      <c r="L221" s="8" t="inlineStr">
        <is>
          <t>Gujarat</t>
        </is>
      </c>
      <c r="M221" s="2" t="inlineStr">
        <is>
          <t>PR</t>
        </is>
      </c>
      <c r="N221" s="1" t="inlineStr">
        <is>
          <t>JB Issue</t>
        </is>
      </c>
      <c r="O221" s="11" t="n">
        <v>540</v>
      </c>
      <c r="P221" s="2" t="inlineStr">
        <is>
          <t>NSMP2305188970</t>
        </is>
      </c>
      <c r="Q221" s="14">
        <f>MID(P221,5,2)</f>
        <v/>
      </c>
      <c r="R221" s="14">
        <f>MID(P221,7,2)</f>
        <v/>
      </c>
      <c r="S221" s="1" t="inlineStr">
        <is>
          <t>G2B</t>
        </is>
      </c>
      <c r="T221" s="1" t="inlineStr">
        <is>
          <t>P2 - PEPPL</t>
        </is>
      </c>
      <c r="U221" s="1" t="inlineStr">
        <is>
          <t>P JB Issue</t>
        </is>
      </c>
      <c r="V221" s="3" t="inlineStr">
        <is>
          <t>JB Changed</t>
        </is>
      </c>
      <c r="W221" s="1" t="inlineStr">
        <is>
          <t>Repair</t>
        </is>
      </c>
      <c r="X221" s="5" t="n">
        <v>46175</v>
      </c>
      <c r="Y221" s="1">
        <f>IF(X221="","",X221-A221)</f>
        <v/>
      </c>
      <c r="Z221" s="5" t="n">
        <v>46175</v>
      </c>
      <c r="AA221" s="3" t="n"/>
      <c r="AB221" s="3" t="n"/>
      <c r="AE221" s="146">
        <f>IF(AND(F221="Closed",X221&gt;=DATE(2026,6,1),X221&lt;=DATE(2026,6,30)),"Closed in June","other")</f>
        <v/>
      </c>
    </row>
    <row r="222" hidden="1">
      <c r="A222" s="9" t="n">
        <v>46148</v>
      </c>
      <c r="B222" s="1" t="n">
        <v>2026</v>
      </c>
      <c r="C222" s="8" t="inlineStr">
        <is>
          <t>Continuum</t>
        </is>
      </c>
      <c r="D222" s="1" t="inlineStr">
        <is>
          <t>Utility and C&amp;I</t>
        </is>
      </c>
      <c r="E222" s="1" t="n"/>
      <c r="F222" s="1" t="inlineStr">
        <is>
          <t>Closed</t>
        </is>
      </c>
      <c r="G222" s="8" t="inlineStr">
        <is>
          <t>Amiya Ranjan Behera</t>
        </is>
      </c>
      <c r="H222" s="8" t="n">
        <v>8917436223</v>
      </c>
      <c r="I222" s="10" t="inlineStr">
        <is>
          <t>PE06052602</t>
        </is>
      </c>
      <c r="J222" s="8" t="inlineStr">
        <is>
          <t>Diode Bypass Module Issue</t>
        </is>
      </c>
      <c r="K222" s="8" t="inlineStr">
        <is>
          <t>Bhavnagar</t>
        </is>
      </c>
      <c r="L222" s="8" t="inlineStr">
        <is>
          <t>Gujarat</t>
        </is>
      </c>
      <c r="M222" s="2" t="inlineStr">
        <is>
          <t>PS</t>
        </is>
      </c>
      <c r="N222" s="1" t="inlineStr">
        <is>
          <t>Cold Soldering</t>
        </is>
      </c>
      <c r="O222" s="11" t="n">
        <v>540</v>
      </c>
      <c r="P222" s="2" t="inlineStr">
        <is>
          <t>NSMP2305199089</t>
        </is>
      </c>
      <c r="Q222" s="14">
        <f>MID(P222,5,2)</f>
        <v/>
      </c>
      <c r="R222" s="14">
        <f>MID(P222,7,2)</f>
        <v/>
      </c>
      <c r="S222" s="1" t="inlineStr">
        <is>
          <t>G2B</t>
        </is>
      </c>
      <c r="T222" s="1" t="inlineStr">
        <is>
          <t>P2 - PEPPL</t>
        </is>
      </c>
      <c r="U222" s="1" t="inlineStr">
        <is>
          <t>P JB Cold Soldering</t>
        </is>
      </c>
      <c r="V222" s="1" t="inlineStr">
        <is>
          <t>Soldering</t>
        </is>
      </c>
      <c r="W222" s="1" t="inlineStr">
        <is>
          <t>Repair</t>
        </is>
      </c>
      <c r="X222" s="5" t="n">
        <v>46175</v>
      </c>
      <c r="Y222" s="1">
        <f>IF(X222="","",X222-A222)</f>
        <v/>
      </c>
      <c r="Z222" s="5" t="n">
        <v>46175</v>
      </c>
      <c r="AA222" s="3" t="n"/>
      <c r="AB222" s="3" t="n"/>
      <c r="AE222" s="146">
        <f>IF(AND(F222="Closed",X222&gt;=DATE(2026,6,1),X222&lt;=DATE(2026,6,30)),"Closed in June","other")</f>
        <v/>
      </c>
    </row>
    <row r="223" hidden="1">
      <c r="A223" s="9" t="n">
        <v>46148</v>
      </c>
      <c r="B223" s="1" t="n">
        <v>2026</v>
      </c>
      <c r="C223" s="8" t="inlineStr">
        <is>
          <t>Continuum</t>
        </is>
      </c>
      <c r="D223" s="1" t="inlineStr">
        <is>
          <t>Utility and C&amp;I</t>
        </is>
      </c>
      <c r="E223" s="1" t="n"/>
      <c r="F223" s="1" t="inlineStr">
        <is>
          <t>Closed</t>
        </is>
      </c>
      <c r="G223" s="8" t="inlineStr">
        <is>
          <t>Amiya Ranjan Behera</t>
        </is>
      </c>
      <c r="H223" s="8" t="n">
        <v>8917436223</v>
      </c>
      <c r="I223" s="10" t="inlineStr">
        <is>
          <t>PE06052602</t>
        </is>
      </c>
      <c r="J223" s="8" t="inlineStr">
        <is>
          <t>Diode Bypass Module Issue</t>
        </is>
      </c>
      <c r="K223" s="8" t="inlineStr">
        <is>
          <t>Bhavnagar</t>
        </is>
      </c>
      <c r="L223" s="8" t="inlineStr">
        <is>
          <t>Gujarat</t>
        </is>
      </c>
      <c r="M223" s="2" t="inlineStr">
        <is>
          <t>PR</t>
        </is>
      </c>
      <c r="N223" s="1" t="inlineStr">
        <is>
          <t>JB Issue</t>
        </is>
      </c>
      <c r="O223" s="11" t="n">
        <v>540</v>
      </c>
      <c r="P223" s="2" t="inlineStr">
        <is>
          <t>NSMP2305190241</t>
        </is>
      </c>
      <c r="Q223" s="14">
        <f>MID(P223,5,2)</f>
        <v/>
      </c>
      <c r="R223" s="14">
        <f>MID(P223,7,2)</f>
        <v/>
      </c>
      <c r="S223" s="1" t="inlineStr">
        <is>
          <t>G2B</t>
        </is>
      </c>
      <c r="T223" s="1" t="inlineStr">
        <is>
          <t>P2 - PEPPL</t>
        </is>
      </c>
      <c r="U223" s="1" t="inlineStr">
        <is>
          <t>P JB Issue</t>
        </is>
      </c>
      <c r="V223" s="3" t="inlineStr">
        <is>
          <t>JB Changed</t>
        </is>
      </c>
      <c r="W223" s="1" t="inlineStr">
        <is>
          <t>Repair</t>
        </is>
      </c>
      <c r="X223" s="5" t="n">
        <v>46175</v>
      </c>
      <c r="Y223" s="1">
        <f>IF(X223="","",X223-A223)</f>
        <v/>
      </c>
      <c r="Z223" s="5" t="n">
        <v>46175</v>
      </c>
      <c r="AA223" s="3" t="n"/>
      <c r="AB223" s="3" t="n"/>
      <c r="AE223" s="146">
        <f>IF(AND(F223="Closed",X223&gt;=DATE(2026,6,1),X223&lt;=DATE(2026,6,30)),"Closed in June","other")</f>
        <v/>
      </c>
    </row>
    <row r="224" hidden="1">
      <c r="A224" s="9" t="n">
        <v>46148</v>
      </c>
      <c r="B224" s="1" t="n">
        <v>2026</v>
      </c>
      <c r="C224" s="8" t="inlineStr">
        <is>
          <t>Continuum</t>
        </is>
      </c>
      <c r="D224" s="1" t="inlineStr">
        <is>
          <t>Utility and C&amp;I</t>
        </is>
      </c>
      <c r="E224" s="1" t="n"/>
      <c r="F224" s="1" t="inlineStr">
        <is>
          <t>Closed</t>
        </is>
      </c>
      <c r="G224" s="8" t="inlineStr">
        <is>
          <t>Amiya Ranjan Behera</t>
        </is>
      </c>
      <c r="H224" s="8" t="n">
        <v>8917436223</v>
      </c>
      <c r="I224" s="10" t="inlineStr">
        <is>
          <t>PE06052602</t>
        </is>
      </c>
      <c r="J224" s="8" t="inlineStr">
        <is>
          <t>Diode Bypass Module Issue</t>
        </is>
      </c>
      <c r="K224" s="8" t="inlineStr">
        <is>
          <t>Bhavnagar</t>
        </is>
      </c>
      <c r="L224" s="8" t="inlineStr">
        <is>
          <t>Gujarat</t>
        </is>
      </c>
      <c r="M224" s="2" t="inlineStr">
        <is>
          <t>PS</t>
        </is>
      </c>
      <c r="N224" s="1" t="inlineStr">
        <is>
          <t>Cold Soldering</t>
        </is>
      </c>
      <c r="O224" s="11" t="n">
        <v>540</v>
      </c>
      <c r="P224" s="2" t="inlineStr">
        <is>
          <t>NSMP2305189426</t>
        </is>
      </c>
      <c r="Q224" s="14">
        <f>MID(P224,5,2)</f>
        <v/>
      </c>
      <c r="R224" s="14">
        <f>MID(P224,7,2)</f>
        <v/>
      </c>
      <c r="S224" s="1" t="inlineStr">
        <is>
          <t>G2B</t>
        </is>
      </c>
      <c r="T224" s="1" t="inlineStr">
        <is>
          <t>P2 - PEPPL</t>
        </is>
      </c>
      <c r="U224" s="1" t="inlineStr">
        <is>
          <t>P JB Cold Soldering</t>
        </is>
      </c>
      <c r="V224" s="1" t="inlineStr">
        <is>
          <t>Soldering</t>
        </is>
      </c>
      <c r="W224" s="1" t="inlineStr">
        <is>
          <t>Repair</t>
        </is>
      </c>
      <c r="X224" s="5" t="n">
        <v>46175</v>
      </c>
      <c r="Y224" s="1">
        <f>IF(X224="","",X224-A224)</f>
        <v/>
      </c>
      <c r="Z224" s="5" t="n">
        <v>46175</v>
      </c>
      <c r="AA224" s="3" t="n"/>
      <c r="AB224" s="3" t="n"/>
      <c r="AE224" s="146">
        <f>IF(AND(F224="Closed",X224&gt;=DATE(2026,6,1),X224&lt;=DATE(2026,6,30)),"Closed in June","other")</f>
        <v/>
      </c>
    </row>
    <row r="225" hidden="1">
      <c r="A225" s="9" t="n">
        <v>46148</v>
      </c>
      <c r="B225" s="1" t="n">
        <v>2026</v>
      </c>
      <c r="C225" s="8" t="inlineStr">
        <is>
          <t>Continuum</t>
        </is>
      </c>
      <c r="D225" s="1" t="inlineStr">
        <is>
          <t>Utility and C&amp;I</t>
        </is>
      </c>
      <c r="E225" s="1" t="n"/>
      <c r="F225" s="1" t="inlineStr">
        <is>
          <t>Closed</t>
        </is>
      </c>
      <c r="G225" s="8" t="inlineStr">
        <is>
          <t>Amiya Ranjan Behera</t>
        </is>
      </c>
      <c r="H225" s="8" t="n">
        <v>8917436223</v>
      </c>
      <c r="I225" s="10" t="inlineStr">
        <is>
          <t>PE06052602</t>
        </is>
      </c>
      <c r="J225" s="8" t="inlineStr">
        <is>
          <t>Diode Bypass Module Issue</t>
        </is>
      </c>
      <c r="K225" s="8" t="inlineStr">
        <is>
          <t>Bhavnagar</t>
        </is>
      </c>
      <c r="L225" s="8" t="inlineStr">
        <is>
          <t>Gujarat</t>
        </is>
      </c>
      <c r="M225" s="2" t="inlineStr">
        <is>
          <t xml:space="preserve">OK </t>
        </is>
      </c>
      <c r="N225" s="2" t="inlineStr">
        <is>
          <t>No Issue Found</t>
        </is>
      </c>
      <c r="O225" s="11" t="n">
        <v>540</v>
      </c>
      <c r="P225" s="2" t="inlineStr">
        <is>
          <t>NSMP2305190286</t>
        </is>
      </c>
      <c r="Q225" s="14">
        <f>MID(P225,5,2)</f>
        <v/>
      </c>
      <c r="R225" s="14">
        <f>MID(P225,7,2)</f>
        <v/>
      </c>
      <c r="S225" s="1" t="inlineStr">
        <is>
          <t>G2B</t>
        </is>
      </c>
      <c r="T225" s="1" t="inlineStr">
        <is>
          <t>P2 - PEPPL</t>
        </is>
      </c>
      <c r="U225" s="6" t="inlineStr">
        <is>
          <t>No Issue Found</t>
        </is>
      </c>
      <c r="V225" s="6" t="inlineStr">
        <is>
          <t>Inspection</t>
        </is>
      </c>
      <c r="W225" s="1" t="inlineStr">
        <is>
          <t>Rejected</t>
        </is>
      </c>
      <c r="X225" s="5" t="n">
        <v>46175</v>
      </c>
      <c r="Y225" s="1">
        <f>IF(X225="","",X225-A225)</f>
        <v/>
      </c>
      <c r="Z225" s="5" t="n">
        <v>46175</v>
      </c>
      <c r="AA225" s="3" t="n"/>
      <c r="AB225" s="3" t="n"/>
      <c r="AE225" s="146">
        <f>IF(AND(F225="Closed",X225&gt;=DATE(2026,6,1),X225&lt;=DATE(2026,6,30)),"Closed in June","other")</f>
        <v/>
      </c>
    </row>
    <row r="226" hidden="1">
      <c r="A226" s="9" t="n">
        <v>46148</v>
      </c>
      <c r="B226" s="1" t="n">
        <v>2026</v>
      </c>
      <c r="C226" s="8" t="inlineStr">
        <is>
          <t>Continuum</t>
        </is>
      </c>
      <c r="D226" s="1" t="inlineStr">
        <is>
          <t>Utility and C&amp;I</t>
        </is>
      </c>
      <c r="E226" s="1" t="n"/>
      <c r="F226" s="1" t="inlineStr">
        <is>
          <t>Closed</t>
        </is>
      </c>
      <c r="G226" s="8" t="inlineStr">
        <is>
          <t>Amiya Ranjan Behera</t>
        </is>
      </c>
      <c r="H226" s="8" t="n">
        <v>8917436223</v>
      </c>
      <c r="I226" s="10" t="inlineStr">
        <is>
          <t>PE06052602</t>
        </is>
      </c>
      <c r="J226" s="8" t="inlineStr">
        <is>
          <t>Diode Bypass Module Issue</t>
        </is>
      </c>
      <c r="K226" s="8" t="inlineStr">
        <is>
          <t>Bhavnagar</t>
        </is>
      </c>
      <c r="L226" s="8" t="inlineStr">
        <is>
          <t>Gujarat</t>
        </is>
      </c>
      <c r="M226" s="2" t="inlineStr">
        <is>
          <t xml:space="preserve">OK </t>
        </is>
      </c>
      <c r="N226" s="2" t="inlineStr">
        <is>
          <t>No Issue Found</t>
        </is>
      </c>
      <c r="O226" s="11" t="n">
        <v>540</v>
      </c>
      <c r="P226" s="2" t="inlineStr">
        <is>
          <t>NSMP2305128911</t>
        </is>
      </c>
      <c r="Q226" s="14">
        <f>MID(P226,5,2)</f>
        <v/>
      </c>
      <c r="R226" s="14">
        <f>MID(P226,7,2)</f>
        <v/>
      </c>
      <c r="S226" s="1" t="inlineStr">
        <is>
          <t>G2B</t>
        </is>
      </c>
      <c r="T226" s="1" t="inlineStr">
        <is>
          <t>P2 - PEPPL</t>
        </is>
      </c>
      <c r="U226" s="6" t="inlineStr">
        <is>
          <t>No Issue Found</t>
        </is>
      </c>
      <c r="V226" s="6" t="inlineStr">
        <is>
          <t>Inspection</t>
        </is>
      </c>
      <c r="W226" s="1" t="inlineStr">
        <is>
          <t>Rejected</t>
        </is>
      </c>
      <c r="X226" s="5" t="n">
        <v>46175</v>
      </c>
      <c r="Y226" s="1">
        <f>IF(X226="","",X226-A226)</f>
        <v/>
      </c>
      <c r="Z226" s="5" t="n">
        <v>46175</v>
      </c>
      <c r="AA226" s="3" t="n"/>
      <c r="AB226" s="3" t="n"/>
      <c r="AE226" s="146">
        <f>IF(AND(F226="Closed",X226&gt;=DATE(2026,6,1),X226&lt;=DATE(2026,6,30)),"Closed in June","other")</f>
        <v/>
      </c>
    </row>
    <row r="227" hidden="1">
      <c r="A227" s="9" t="n">
        <v>46148</v>
      </c>
      <c r="B227" s="1" t="n">
        <v>2026</v>
      </c>
      <c r="C227" s="8" t="inlineStr">
        <is>
          <t>Continuum</t>
        </is>
      </c>
      <c r="D227" s="1" t="inlineStr">
        <is>
          <t>Utility and C&amp;I</t>
        </is>
      </c>
      <c r="E227" s="1" t="n"/>
      <c r="F227" s="1" t="inlineStr">
        <is>
          <t>Closed</t>
        </is>
      </c>
      <c r="G227" s="8" t="inlineStr">
        <is>
          <t>Amiya Ranjan Behera</t>
        </is>
      </c>
      <c r="H227" s="8" t="n">
        <v>8917436223</v>
      </c>
      <c r="I227" s="10" t="inlineStr">
        <is>
          <t>PE06052602</t>
        </is>
      </c>
      <c r="J227" s="8" t="inlineStr">
        <is>
          <t>Diode Bypass Module Issue</t>
        </is>
      </c>
      <c r="K227" s="8" t="inlineStr">
        <is>
          <t>Bhavnagar</t>
        </is>
      </c>
      <c r="L227" s="8" t="inlineStr">
        <is>
          <t>Gujarat</t>
        </is>
      </c>
      <c r="M227" s="2" t="inlineStr">
        <is>
          <t xml:space="preserve">OK </t>
        </is>
      </c>
      <c r="N227" s="2" t="inlineStr">
        <is>
          <t>No Issue Found</t>
        </is>
      </c>
      <c r="O227" s="11" t="n">
        <v>540</v>
      </c>
      <c r="P227" s="2" t="inlineStr">
        <is>
          <t>NSMP2305128931</t>
        </is>
      </c>
      <c r="Q227" s="14">
        <f>MID(P227,5,2)</f>
        <v/>
      </c>
      <c r="R227" s="14">
        <f>MID(P227,7,2)</f>
        <v/>
      </c>
      <c r="S227" s="1" t="inlineStr">
        <is>
          <t>G2B</t>
        </is>
      </c>
      <c r="T227" s="1" t="inlineStr">
        <is>
          <t>P2 - PEPPL</t>
        </is>
      </c>
      <c r="U227" s="6" t="inlineStr">
        <is>
          <t>No Issue Found</t>
        </is>
      </c>
      <c r="V227" s="6" t="inlineStr">
        <is>
          <t>Inspection</t>
        </is>
      </c>
      <c r="W227" s="1" t="inlineStr">
        <is>
          <t>Rejected</t>
        </is>
      </c>
      <c r="X227" s="5" t="n">
        <v>46175</v>
      </c>
      <c r="Y227" s="1">
        <f>IF(X227="","",X227-A227)</f>
        <v/>
      </c>
      <c r="Z227" s="5" t="n">
        <v>46175</v>
      </c>
      <c r="AA227" s="3" t="n"/>
      <c r="AB227" s="3" t="n"/>
      <c r="AE227" s="146">
        <f>IF(AND(F227="Closed",X227&gt;=DATE(2026,6,1),X227&lt;=DATE(2026,6,30)),"Closed in June","other")</f>
        <v/>
      </c>
    </row>
    <row r="228" hidden="1">
      <c r="A228" s="9" t="n">
        <v>46148</v>
      </c>
      <c r="B228" s="1" t="n">
        <v>2026</v>
      </c>
      <c r="C228" s="8" t="inlineStr">
        <is>
          <t>Continuum</t>
        </is>
      </c>
      <c r="D228" s="1" t="inlineStr">
        <is>
          <t>Utility and C&amp;I</t>
        </is>
      </c>
      <c r="E228" s="1" t="n"/>
      <c r="F228" s="1" t="inlineStr">
        <is>
          <t>Closed</t>
        </is>
      </c>
      <c r="G228" s="8" t="inlineStr">
        <is>
          <t>Amiya Ranjan Behera</t>
        </is>
      </c>
      <c r="H228" s="8" t="n">
        <v>8917436223</v>
      </c>
      <c r="I228" s="10" t="inlineStr">
        <is>
          <t>PE06052602</t>
        </is>
      </c>
      <c r="J228" s="8" t="inlineStr">
        <is>
          <t>Diode Bypass Module Issue</t>
        </is>
      </c>
      <c r="K228" s="8" t="inlineStr">
        <is>
          <t>Bhavnagar</t>
        </is>
      </c>
      <c r="L228" s="8" t="inlineStr">
        <is>
          <t>Gujarat</t>
        </is>
      </c>
      <c r="M228" s="2" t="inlineStr">
        <is>
          <t>NS</t>
        </is>
      </c>
      <c r="N228" s="8" t="inlineStr">
        <is>
          <t>Cold Soldering</t>
        </is>
      </c>
      <c r="O228" s="11" t="n">
        <v>540</v>
      </c>
      <c r="P228" s="2" t="inlineStr">
        <is>
          <t>NSMP2305198127</t>
        </is>
      </c>
      <c r="Q228" s="14">
        <f>MID(P228,5,2)</f>
        <v/>
      </c>
      <c r="R228" s="14">
        <f>MID(P228,7,2)</f>
        <v/>
      </c>
      <c r="S228" s="1" t="inlineStr">
        <is>
          <t>G2B</t>
        </is>
      </c>
      <c r="T228" s="1" t="inlineStr">
        <is>
          <t>P2 - PEPPL</t>
        </is>
      </c>
      <c r="U228" s="6" t="inlineStr">
        <is>
          <t>N JB Cold Soldering</t>
        </is>
      </c>
      <c r="V228" s="6" t="inlineStr">
        <is>
          <t>Soldering</t>
        </is>
      </c>
      <c r="W228" s="1" t="inlineStr">
        <is>
          <t>Repair</t>
        </is>
      </c>
      <c r="X228" s="5" t="n">
        <v>46175</v>
      </c>
      <c r="Y228" s="1">
        <f>IF(X228="","",X228-A228)</f>
        <v/>
      </c>
      <c r="Z228" s="5" t="n">
        <v>46175</v>
      </c>
      <c r="AA228" s="3" t="n"/>
      <c r="AB228" s="3" t="n"/>
      <c r="AE228" s="146">
        <f>IF(AND(F228="Closed",X228&gt;=DATE(2026,6,1),X228&lt;=DATE(2026,6,30)),"Closed in June","other")</f>
        <v/>
      </c>
    </row>
    <row r="229" hidden="1">
      <c r="A229" s="9" t="n">
        <v>46148</v>
      </c>
      <c r="B229" s="1" t="n">
        <v>2026</v>
      </c>
      <c r="C229" s="8" t="inlineStr">
        <is>
          <t>Continuum</t>
        </is>
      </c>
      <c r="D229" s="1" t="inlineStr">
        <is>
          <t>Utility and C&amp;I</t>
        </is>
      </c>
      <c r="E229" s="1" t="n"/>
      <c r="F229" s="1" t="inlineStr">
        <is>
          <t>Closed</t>
        </is>
      </c>
      <c r="G229" s="8" t="inlineStr">
        <is>
          <t>Amiya Ranjan Behera</t>
        </is>
      </c>
      <c r="H229" s="8" t="n">
        <v>8917436223</v>
      </c>
      <c r="I229" s="10" t="inlineStr">
        <is>
          <t>PE06052602</t>
        </is>
      </c>
      <c r="J229" s="8" t="inlineStr">
        <is>
          <t>Diode Bypass Module Issue</t>
        </is>
      </c>
      <c r="K229" s="8" t="inlineStr">
        <is>
          <t>Bhavnagar</t>
        </is>
      </c>
      <c r="L229" s="8" t="inlineStr">
        <is>
          <t>Gujarat</t>
        </is>
      </c>
      <c r="M229" s="2" t="inlineStr">
        <is>
          <t>PS</t>
        </is>
      </c>
      <c r="N229" s="1" t="inlineStr">
        <is>
          <t>Cold Soldering</t>
        </is>
      </c>
      <c r="O229" s="11" t="n">
        <v>540</v>
      </c>
      <c r="P229" s="2" t="inlineStr">
        <is>
          <t>NSMP2305198896</t>
        </is>
      </c>
      <c r="Q229" s="14">
        <f>MID(P229,5,2)</f>
        <v/>
      </c>
      <c r="R229" s="14">
        <f>MID(P229,7,2)</f>
        <v/>
      </c>
      <c r="S229" s="1" t="inlineStr">
        <is>
          <t>G2B</t>
        </is>
      </c>
      <c r="T229" s="1" t="inlineStr">
        <is>
          <t>P2 - PEPPL</t>
        </is>
      </c>
      <c r="U229" s="1" t="inlineStr">
        <is>
          <t>P JB Cold Soldering</t>
        </is>
      </c>
      <c r="V229" s="1" t="inlineStr">
        <is>
          <t>Soldering</t>
        </is>
      </c>
      <c r="W229" s="1" t="inlineStr">
        <is>
          <t>Repair</t>
        </is>
      </c>
      <c r="X229" s="5" t="n">
        <v>46175</v>
      </c>
      <c r="Y229" s="1">
        <f>IF(X229="","",X229-A229)</f>
        <v/>
      </c>
      <c r="Z229" s="5" t="n">
        <v>46175</v>
      </c>
      <c r="AA229" s="3" t="n"/>
      <c r="AB229" s="3" t="n"/>
      <c r="AE229" s="146">
        <f>IF(AND(F229="Closed",X229&gt;=DATE(2026,6,1),X229&lt;=DATE(2026,6,30)),"Closed in June","other")</f>
        <v/>
      </c>
    </row>
    <row r="230" hidden="1">
      <c r="A230" s="9" t="n">
        <v>46148</v>
      </c>
      <c r="B230" s="1" t="n">
        <v>2026</v>
      </c>
      <c r="C230" s="8" t="inlineStr">
        <is>
          <t>Continuum</t>
        </is>
      </c>
      <c r="D230" s="1" t="inlineStr">
        <is>
          <t>Utility and C&amp;I</t>
        </is>
      </c>
      <c r="E230" s="1" t="n"/>
      <c r="F230" s="1" t="inlineStr">
        <is>
          <t>Closed</t>
        </is>
      </c>
      <c r="G230" s="8" t="inlineStr">
        <is>
          <t>Amiya Ranjan Behera</t>
        </is>
      </c>
      <c r="H230" s="8" t="n">
        <v>8917436223</v>
      </c>
      <c r="I230" s="10" t="inlineStr">
        <is>
          <t>PE06052602</t>
        </is>
      </c>
      <c r="J230" s="8" t="inlineStr">
        <is>
          <t>Diode Bypass Module Issue</t>
        </is>
      </c>
      <c r="K230" s="8" t="inlineStr">
        <is>
          <t>Bhavnagar</t>
        </is>
      </c>
      <c r="L230" s="8" t="inlineStr">
        <is>
          <t>Gujarat</t>
        </is>
      </c>
      <c r="M230" s="2" t="inlineStr">
        <is>
          <t>NS</t>
        </is>
      </c>
      <c r="N230" s="8" t="inlineStr">
        <is>
          <t>Cold Soldering</t>
        </is>
      </c>
      <c r="O230" s="11" t="n">
        <v>540</v>
      </c>
      <c r="P230" s="2" t="inlineStr">
        <is>
          <t>NSMP2305189854</t>
        </is>
      </c>
      <c r="Q230" s="14">
        <f>MID(P230,5,2)</f>
        <v/>
      </c>
      <c r="R230" s="14">
        <f>MID(P230,7,2)</f>
        <v/>
      </c>
      <c r="S230" s="1" t="inlineStr">
        <is>
          <t>G2B</t>
        </is>
      </c>
      <c r="T230" s="1" t="inlineStr">
        <is>
          <t>P2 - PEPPL</t>
        </is>
      </c>
      <c r="U230" s="6" t="inlineStr">
        <is>
          <t>N JB Cold Soldering</t>
        </is>
      </c>
      <c r="V230" s="6" t="inlineStr">
        <is>
          <t>Soldering</t>
        </is>
      </c>
      <c r="W230" s="1" t="inlineStr">
        <is>
          <t>Repair</t>
        </is>
      </c>
      <c r="X230" s="5" t="n">
        <v>46175</v>
      </c>
      <c r="Y230" s="1">
        <f>IF(X230="","",X230-A230)</f>
        <v/>
      </c>
      <c r="Z230" s="5" t="n">
        <v>46175</v>
      </c>
      <c r="AA230" s="3" t="n"/>
      <c r="AB230" s="3" t="n"/>
      <c r="AE230" s="146">
        <f>IF(AND(F230="Closed",X230&gt;=DATE(2026,6,1),X230&lt;=DATE(2026,6,30)),"Closed in June","other")</f>
        <v/>
      </c>
    </row>
    <row r="231" hidden="1">
      <c r="A231" s="9" t="n">
        <v>46148</v>
      </c>
      <c r="B231" s="1" t="n">
        <v>2026</v>
      </c>
      <c r="C231" s="8" t="inlineStr">
        <is>
          <t>Continuum</t>
        </is>
      </c>
      <c r="D231" s="1" t="inlineStr">
        <is>
          <t>Utility and C&amp;I</t>
        </is>
      </c>
      <c r="E231" s="1" t="n"/>
      <c r="F231" s="1" t="inlineStr">
        <is>
          <t>Closed</t>
        </is>
      </c>
      <c r="G231" s="8" t="inlineStr">
        <is>
          <t>Amiya Ranjan Behera</t>
        </is>
      </c>
      <c r="H231" s="8" t="n">
        <v>8917436223</v>
      </c>
      <c r="I231" s="10" t="inlineStr">
        <is>
          <t>PE06052602</t>
        </is>
      </c>
      <c r="J231" s="8" t="inlineStr">
        <is>
          <t>Diode Bypass Module Issue</t>
        </is>
      </c>
      <c r="K231" s="8" t="inlineStr">
        <is>
          <t>Bhavnagar</t>
        </is>
      </c>
      <c r="L231" s="8" t="inlineStr">
        <is>
          <t>Gujarat</t>
        </is>
      </c>
      <c r="M231" s="2" t="inlineStr">
        <is>
          <t>NS</t>
        </is>
      </c>
      <c r="N231" s="8" t="inlineStr">
        <is>
          <t>Cold Soldering</t>
        </is>
      </c>
      <c r="O231" s="11" t="n">
        <v>540</v>
      </c>
      <c r="P231" s="2" t="inlineStr">
        <is>
          <t>NSMP2305174956</t>
        </is>
      </c>
      <c r="Q231" s="14">
        <f>MID(P231,5,2)</f>
        <v/>
      </c>
      <c r="R231" s="14">
        <f>MID(P231,7,2)</f>
        <v/>
      </c>
      <c r="S231" s="1" t="inlineStr">
        <is>
          <t>G2B</t>
        </is>
      </c>
      <c r="T231" s="1" t="inlineStr">
        <is>
          <t>P2 - PEPPL</t>
        </is>
      </c>
      <c r="U231" s="6" t="inlineStr">
        <is>
          <t>N JB Cold Soldering</t>
        </is>
      </c>
      <c r="V231" s="6" t="inlineStr">
        <is>
          <t>Soldering</t>
        </is>
      </c>
      <c r="W231" s="1" t="inlineStr">
        <is>
          <t>Repair</t>
        </is>
      </c>
      <c r="X231" s="5" t="n">
        <v>46175</v>
      </c>
      <c r="Y231" s="1">
        <f>IF(X231="","",X231-A231)</f>
        <v/>
      </c>
      <c r="Z231" s="5" t="n">
        <v>46175</v>
      </c>
      <c r="AA231" s="3" t="n"/>
      <c r="AB231" s="3" t="n"/>
      <c r="AE231" s="146">
        <f>IF(AND(F231="Closed",X231&gt;=DATE(2026,6,1),X231&lt;=DATE(2026,6,30)),"Closed in June","other")</f>
        <v/>
      </c>
    </row>
    <row r="232" hidden="1">
      <c r="A232" s="9" t="n">
        <v>46148</v>
      </c>
      <c r="B232" s="1" t="n">
        <v>2026</v>
      </c>
      <c r="C232" s="8" t="inlineStr">
        <is>
          <t>Continuum</t>
        </is>
      </c>
      <c r="D232" s="1" t="inlineStr">
        <is>
          <t>Utility and C&amp;I</t>
        </is>
      </c>
      <c r="E232" s="1" t="n"/>
      <c r="F232" s="1" t="inlineStr">
        <is>
          <t>Closed</t>
        </is>
      </c>
      <c r="G232" s="8" t="inlineStr">
        <is>
          <t>Amiya Ranjan Behera</t>
        </is>
      </c>
      <c r="H232" s="8" t="n">
        <v>8917436223</v>
      </c>
      <c r="I232" s="10" t="inlineStr">
        <is>
          <t>PE06052602</t>
        </is>
      </c>
      <c r="J232" s="8" t="inlineStr">
        <is>
          <t>Diode Bypass Module Issue</t>
        </is>
      </c>
      <c r="K232" s="8" t="inlineStr">
        <is>
          <t>Bhavnagar</t>
        </is>
      </c>
      <c r="L232" s="8" t="inlineStr">
        <is>
          <t>Gujarat</t>
        </is>
      </c>
      <c r="M232" s="2" t="inlineStr">
        <is>
          <t>NS</t>
        </is>
      </c>
      <c r="N232" s="8" t="inlineStr">
        <is>
          <t>Cold Soldering</t>
        </is>
      </c>
      <c r="O232" s="11" t="n">
        <v>540</v>
      </c>
      <c r="P232" s="2" t="inlineStr">
        <is>
          <t>NSMP2305174948</t>
        </is>
      </c>
      <c r="Q232" s="14">
        <f>MID(P232,5,2)</f>
        <v/>
      </c>
      <c r="R232" s="14">
        <f>MID(P232,7,2)</f>
        <v/>
      </c>
      <c r="S232" s="1" t="inlineStr">
        <is>
          <t>G2B</t>
        </is>
      </c>
      <c r="T232" s="1" t="inlineStr">
        <is>
          <t>P2 - PEPPL</t>
        </is>
      </c>
      <c r="U232" s="6" t="inlineStr">
        <is>
          <t>N JB Cold Soldering</t>
        </is>
      </c>
      <c r="V232" s="6" t="inlineStr">
        <is>
          <t>Soldering</t>
        </is>
      </c>
      <c r="W232" s="1" t="inlineStr">
        <is>
          <t>Repair</t>
        </is>
      </c>
      <c r="X232" s="5" t="n">
        <v>46175</v>
      </c>
      <c r="Y232" s="1">
        <f>IF(X232="","",X232-A232)</f>
        <v/>
      </c>
      <c r="Z232" s="5" t="n">
        <v>46175</v>
      </c>
      <c r="AA232" s="3" t="n"/>
      <c r="AB232" s="3" t="n"/>
      <c r="AE232" s="146">
        <f>IF(AND(F232="Closed",X232&gt;=DATE(2026,6,1),X232&lt;=DATE(2026,6,30)),"Closed in June","other")</f>
        <v/>
      </c>
    </row>
    <row r="233" hidden="1">
      <c r="A233" s="9" t="n">
        <v>46148</v>
      </c>
      <c r="B233" s="1" t="n">
        <v>2026</v>
      </c>
      <c r="C233" s="8" t="inlineStr">
        <is>
          <t>Continuum</t>
        </is>
      </c>
      <c r="D233" s="1" t="inlineStr">
        <is>
          <t>Utility and C&amp;I</t>
        </is>
      </c>
      <c r="E233" s="1" t="n"/>
      <c r="F233" s="1" t="inlineStr">
        <is>
          <t>Closed</t>
        </is>
      </c>
      <c r="G233" s="8" t="inlineStr">
        <is>
          <t>Amiya Ranjan Behera</t>
        </is>
      </c>
      <c r="H233" s="8" t="n">
        <v>8917436223</v>
      </c>
      <c r="I233" s="10" t="inlineStr">
        <is>
          <t>PE06052602</t>
        </is>
      </c>
      <c r="J233" s="8" t="inlineStr">
        <is>
          <t>Diode Bypass Module Issue</t>
        </is>
      </c>
      <c r="K233" s="8" t="inlineStr">
        <is>
          <t>Bhavnagar</t>
        </is>
      </c>
      <c r="L233" s="8" t="inlineStr">
        <is>
          <t>Gujarat</t>
        </is>
      </c>
      <c r="M233" s="2" t="inlineStr">
        <is>
          <t>NS</t>
        </is>
      </c>
      <c r="N233" s="8" t="inlineStr">
        <is>
          <t>Cold Soldering</t>
        </is>
      </c>
      <c r="O233" s="11" t="n">
        <v>540</v>
      </c>
      <c r="P233" s="2" t="inlineStr">
        <is>
          <t>NSMP2305174936</t>
        </is>
      </c>
      <c r="Q233" s="14">
        <f>MID(P233,5,2)</f>
        <v/>
      </c>
      <c r="R233" s="14">
        <f>MID(P233,7,2)</f>
        <v/>
      </c>
      <c r="S233" s="1" t="inlineStr">
        <is>
          <t>G2B</t>
        </is>
      </c>
      <c r="T233" s="1" t="inlineStr">
        <is>
          <t>P2 - PEPPL</t>
        </is>
      </c>
      <c r="U233" s="6" t="inlineStr">
        <is>
          <t>N JB Cold Soldering</t>
        </is>
      </c>
      <c r="V233" s="6" t="inlineStr">
        <is>
          <t>Soldering</t>
        </is>
      </c>
      <c r="W233" s="1" t="inlineStr">
        <is>
          <t>Repair</t>
        </is>
      </c>
      <c r="X233" s="5" t="n">
        <v>46175</v>
      </c>
      <c r="Y233" s="1">
        <f>IF(X233="","",X233-A233)</f>
        <v/>
      </c>
      <c r="Z233" s="5" t="n">
        <v>46175</v>
      </c>
      <c r="AA233" s="3" t="n"/>
      <c r="AB233" s="3" t="n"/>
      <c r="AE233" s="146">
        <f>IF(AND(F233="Closed",X233&gt;=DATE(2026,6,1),X233&lt;=DATE(2026,6,30)),"Closed in June","other")</f>
        <v/>
      </c>
    </row>
    <row r="234" hidden="1">
      <c r="A234" s="9" t="n">
        <v>46148</v>
      </c>
      <c r="B234" s="1" t="n">
        <v>2026</v>
      </c>
      <c r="C234" s="8" t="inlineStr">
        <is>
          <t>Continuum</t>
        </is>
      </c>
      <c r="D234" s="1" t="inlineStr">
        <is>
          <t>Utility and C&amp;I</t>
        </is>
      </c>
      <c r="E234" s="1" t="n"/>
      <c r="F234" s="1" t="inlineStr">
        <is>
          <t>Closed</t>
        </is>
      </c>
      <c r="G234" s="8" t="inlineStr">
        <is>
          <t>Amiya Ranjan Behera</t>
        </is>
      </c>
      <c r="H234" s="8" t="n">
        <v>8917436223</v>
      </c>
      <c r="I234" s="10" t="inlineStr">
        <is>
          <t>PE06052602</t>
        </is>
      </c>
      <c r="J234" s="8" t="inlineStr">
        <is>
          <t>Diode Bypass Module Issue</t>
        </is>
      </c>
      <c r="K234" s="8" t="inlineStr">
        <is>
          <t>Bhavnagar</t>
        </is>
      </c>
      <c r="L234" s="8" t="inlineStr">
        <is>
          <t>Gujarat</t>
        </is>
      </c>
      <c r="M234" s="2" t="inlineStr">
        <is>
          <t>PS</t>
        </is>
      </c>
      <c r="N234" s="1" t="inlineStr">
        <is>
          <t>Cold Soldering</t>
        </is>
      </c>
      <c r="O234" s="11" t="n">
        <v>540</v>
      </c>
      <c r="P234" s="2" t="inlineStr">
        <is>
          <t>NSMP2305174941</t>
        </is>
      </c>
      <c r="Q234" s="14">
        <f>MID(P234,5,2)</f>
        <v/>
      </c>
      <c r="R234" s="14">
        <f>MID(P234,7,2)</f>
        <v/>
      </c>
      <c r="S234" s="1" t="inlineStr">
        <is>
          <t>G2B</t>
        </is>
      </c>
      <c r="T234" s="1" t="inlineStr">
        <is>
          <t>P2 - PEPPL</t>
        </is>
      </c>
      <c r="U234" s="1" t="inlineStr">
        <is>
          <t>P JB Cold Soldering</t>
        </is>
      </c>
      <c r="V234" s="1" t="inlineStr">
        <is>
          <t>Soldering</t>
        </is>
      </c>
      <c r="W234" s="1" t="inlineStr">
        <is>
          <t>Repair</t>
        </is>
      </c>
      <c r="X234" s="5" t="n">
        <v>46175</v>
      </c>
      <c r="Y234" s="1">
        <f>IF(X234="","",X234-A234)</f>
        <v/>
      </c>
      <c r="Z234" s="5" t="n">
        <v>46175</v>
      </c>
      <c r="AA234" s="3" t="n"/>
      <c r="AB234" s="3" t="n"/>
      <c r="AE234" s="146">
        <f>IF(AND(F234="Closed",X234&gt;=DATE(2026,6,1),X234&lt;=DATE(2026,6,30)),"Closed in June","other")</f>
        <v/>
      </c>
    </row>
    <row r="235" hidden="1">
      <c r="A235" s="9" t="n">
        <v>46148</v>
      </c>
      <c r="B235" s="1" t="n">
        <v>2026</v>
      </c>
      <c r="C235" s="8" t="inlineStr">
        <is>
          <t>Continuum</t>
        </is>
      </c>
      <c r="D235" s="1" t="inlineStr">
        <is>
          <t>Utility and C&amp;I</t>
        </is>
      </c>
      <c r="E235" s="1" t="n"/>
      <c r="F235" s="1" t="inlineStr">
        <is>
          <t>Closed</t>
        </is>
      </c>
      <c r="G235" s="8" t="inlineStr">
        <is>
          <t>Amiya Ranjan Behera</t>
        </is>
      </c>
      <c r="H235" s="8" t="n">
        <v>8917436223</v>
      </c>
      <c r="I235" s="10" t="inlineStr">
        <is>
          <t>PE06052602</t>
        </is>
      </c>
      <c r="J235" s="8" t="inlineStr">
        <is>
          <t>Diode Bypass Module Issue</t>
        </is>
      </c>
      <c r="K235" s="8" t="inlineStr">
        <is>
          <t>Bhavnagar</t>
        </is>
      </c>
      <c r="L235" s="8" t="inlineStr">
        <is>
          <t>Gujarat</t>
        </is>
      </c>
      <c r="M235" s="2" t="inlineStr">
        <is>
          <t>NS</t>
        </is>
      </c>
      <c r="N235" s="8" t="inlineStr">
        <is>
          <t>Cold Soldering</t>
        </is>
      </c>
      <c r="O235" s="11" t="n">
        <v>540</v>
      </c>
      <c r="P235" s="2" t="inlineStr">
        <is>
          <t>NSMP2305174852</t>
        </is>
      </c>
      <c r="Q235" s="14">
        <f>MID(P235,5,2)</f>
        <v/>
      </c>
      <c r="R235" s="14">
        <f>MID(P235,7,2)</f>
        <v/>
      </c>
      <c r="S235" s="1" t="inlineStr">
        <is>
          <t>G2B</t>
        </is>
      </c>
      <c r="T235" s="1" t="inlineStr">
        <is>
          <t>P2 - PEPPL</t>
        </is>
      </c>
      <c r="U235" s="6" t="inlineStr">
        <is>
          <t>N JB Cold Soldering</t>
        </is>
      </c>
      <c r="V235" s="6" t="inlineStr">
        <is>
          <t>Soldering</t>
        </is>
      </c>
      <c r="W235" s="1" t="inlineStr">
        <is>
          <t>Repair</t>
        </is>
      </c>
      <c r="X235" s="5" t="n">
        <v>46175</v>
      </c>
      <c r="Y235" s="1">
        <f>IF(X235="","",X235-A235)</f>
        <v/>
      </c>
      <c r="Z235" s="5" t="n">
        <v>46175</v>
      </c>
      <c r="AA235" s="3" t="n"/>
      <c r="AB235" s="3" t="n"/>
      <c r="AE235" s="146">
        <f>IF(AND(F235="Closed",X235&gt;=DATE(2026,6,1),X235&lt;=DATE(2026,6,30)),"Closed in June","other")</f>
        <v/>
      </c>
    </row>
    <row r="236" hidden="1">
      <c r="A236" s="9" t="n">
        <v>46148</v>
      </c>
      <c r="B236" s="1" t="n">
        <v>2026</v>
      </c>
      <c r="C236" s="8" t="inlineStr">
        <is>
          <t>Continuum</t>
        </is>
      </c>
      <c r="D236" s="1" t="inlineStr">
        <is>
          <t>Utility and C&amp;I</t>
        </is>
      </c>
      <c r="E236" s="1" t="n"/>
      <c r="F236" s="1" t="inlineStr">
        <is>
          <t>Closed</t>
        </is>
      </c>
      <c r="G236" s="8" t="inlineStr">
        <is>
          <t>Amiya Ranjan Behera</t>
        </is>
      </c>
      <c r="H236" s="8" t="n">
        <v>8917436223</v>
      </c>
      <c r="I236" s="10" t="inlineStr">
        <is>
          <t>PE06052602</t>
        </is>
      </c>
      <c r="J236" s="8" t="inlineStr">
        <is>
          <t>Diode Bypass Module Issue</t>
        </is>
      </c>
      <c r="K236" s="8" t="inlineStr">
        <is>
          <t>Bhavnagar</t>
        </is>
      </c>
      <c r="L236" s="8" t="inlineStr">
        <is>
          <t>Gujarat</t>
        </is>
      </c>
      <c r="M236" s="2" t="inlineStr">
        <is>
          <t>NS</t>
        </is>
      </c>
      <c r="N236" s="8" t="inlineStr">
        <is>
          <t>Cold Soldering</t>
        </is>
      </c>
      <c r="O236" s="11" t="n">
        <v>540</v>
      </c>
      <c r="P236" s="2" t="inlineStr">
        <is>
          <t>NSMP2305198937</t>
        </is>
      </c>
      <c r="Q236" s="14">
        <f>MID(P236,5,2)</f>
        <v/>
      </c>
      <c r="R236" s="14">
        <f>MID(P236,7,2)</f>
        <v/>
      </c>
      <c r="S236" s="1" t="inlineStr">
        <is>
          <t>G2B</t>
        </is>
      </c>
      <c r="T236" s="1" t="inlineStr">
        <is>
          <t>P2 - PEPPL</t>
        </is>
      </c>
      <c r="U236" s="6" t="inlineStr">
        <is>
          <t>N JB Cold Soldering</t>
        </is>
      </c>
      <c r="V236" s="6" t="inlineStr">
        <is>
          <t>Soldering</t>
        </is>
      </c>
      <c r="W236" s="1" t="inlineStr">
        <is>
          <t>Repair</t>
        </is>
      </c>
      <c r="X236" s="5" t="n">
        <v>46175</v>
      </c>
      <c r="Y236" s="1">
        <f>IF(X236="","",X236-A236)</f>
        <v/>
      </c>
      <c r="Z236" s="5" t="n">
        <v>46175</v>
      </c>
      <c r="AA236" s="3" t="n"/>
      <c r="AB236" s="3" t="n"/>
      <c r="AE236" s="146">
        <f>IF(AND(F236="Closed",X236&gt;=DATE(2026,6,1),X236&lt;=DATE(2026,6,30)),"Closed in June","other")</f>
        <v/>
      </c>
    </row>
    <row r="237" hidden="1">
      <c r="A237" s="9" t="n">
        <v>46148</v>
      </c>
      <c r="B237" s="1" t="n">
        <v>2026</v>
      </c>
      <c r="C237" s="8" t="inlineStr">
        <is>
          <t>Continuum</t>
        </is>
      </c>
      <c r="D237" s="1" t="inlineStr">
        <is>
          <t>Utility and C&amp;I</t>
        </is>
      </c>
      <c r="E237" s="1" t="n"/>
      <c r="F237" s="1" t="inlineStr">
        <is>
          <t>Closed</t>
        </is>
      </c>
      <c r="G237" s="8" t="inlineStr">
        <is>
          <t>Amiya Ranjan Behera</t>
        </is>
      </c>
      <c r="H237" s="8" t="n">
        <v>8917436223</v>
      </c>
      <c r="I237" s="10" t="inlineStr">
        <is>
          <t>PE06052602</t>
        </is>
      </c>
      <c r="J237" s="8" t="inlineStr">
        <is>
          <t>Diode Bypass Module Issue</t>
        </is>
      </c>
      <c r="K237" s="8" t="inlineStr">
        <is>
          <t>Bhavnagar</t>
        </is>
      </c>
      <c r="L237" s="8" t="inlineStr">
        <is>
          <t>Gujarat</t>
        </is>
      </c>
      <c r="M237" s="2" t="inlineStr">
        <is>
          <t>NS</t>
        </is>
      </c>
      <c r="N237" s="8" t="inlineStr">
        <is>
          <t>Cold Soldering</t>
        </is>
      </c>
      <c r="O237" s="11" t="n">
        <v>540</v>
      </c>
      <c r="P237" s="2" t="inlineStr">
        <is>
          <t>NSMP2305133986</t>
        </is>
      </c>
      <c r="Q237" s="14">
        <f>MID(P237,5,2)</f>
        <v/>
      </c>
      <c r="R237" s="14">
        <f>MID(P237,7,2)</f>
        <v/>
      </c>
      <c r="S237" s="1" t="inlineStr">
        <is>
          <t>G2B</t>
        </is>
      </c>
      <c r="T237" s="1" t="inlineStr">
        <is>
          <t>P2 - PEPPL</t>
        </is>
      </c>
      <c r="U237" s="6" t="inlineStr">
        <is>
          <t>N JB Cold Soldering</t>
        </is>
      </c>
      <c r="V237" s="6" t="inlineStr">
        <is>
          <t>Soldering</t>
        </is>
      </c>
      <c r="W237" s="1" t="inlineStr">
        <is>
          <t>Repair</t>
        </is>
      </c>
      <c r="X237" s="5" t="n">
        <v>46175</v>
      </c>
      <c r="Y237" s="1">
        <f>IF(X237="","",X237-A237)</f>
        <v/>
      </c>
      <c r="Z237" s="5" t="n">
        <v>46175</v>
      </c>
      <c r="AA237" s="3" t="n"/>
      <c r="AB237" s="3" t="n"/>
      <c r="AE237" s="146">
        <f>IF(AND(F237="Closed",X237&gt;=DATE(2026,6,1),X237&lt;=DATE(2026,6,30)),"Closed in June","other")</f>
        <v/>
      </c>
    </row>
    <row r="238" hidden="1">
      <c r="A238" s="9" t="n">
        <v>46148</v>
      </c>
      <c r="B238" s="1" t="n">
        <v>2026</v>
      </c>
      <c r="C238" s="8" t="inlineStr">
        <is>
          <t>Continuum</t>
        </is>
      </c>
      <c r="D238" s="1" t="inlineStr">
        <is>
          <t>Utility and C&amp;I</t>
        </is>
      </c>
      <c r="E238" s="1" t="n"/>
      <c r="F238" s="1" t="inlineStr">
        <is>
          <t>Closed</t>
        </is>
      </c>
      <c r="G238" s="8" t="inlineStr">
        <is>
          <t>Amiya Ranjan Behera</t>
        </is>
      </c>
      <c r="H238" s="8" t="n">
        <v>8917436223</v>
      </c>
      <c r="I238" s="10" t="inlineStr">
        <is>
          <t>PE06052602</t>
        </is>
      </c>
      <c r="J238" s="8" t="inlineStr">
        <is>
          <t>Diode Bypass Module Issue</t>
        </is>
      </c>
      <c r="K238" s="8" t="inlineStr">
        <is>
          <t>Bhavnagar</t>
        </is>
      </c>
      <c r="L238" s="8" t="inlineStr">
        <is>
          <t>Gujarat</t>
        </is>
      </c>
      <c r="M238" s="2" t="inlineStr">
        <is>
          <t>NS</t>
        </is>
      </c>
      <c r="N238" s="8" t="inlineStr">
        <is>
          <t>Cold Soldering</t>
        </is>
      </c>
      <c r="O238" s="11" t="n">
        <v>540</v>
      </c>
      <c r="P238" s="2" t="inlineStr">
        <is>
          <t>NSMP2305189741</t>
        </is>
      </c>
      <c r="Q238" s="14">
        <f>MID(P238,5,2)</f>
        <v/>
      </c>
      <c r="R238" s="14">
        <f>MID(P238,7,2)</f>
        <v/>
      </c>
      <c r="S238" s="1" t="inlineStr">
        <is>
          <t>G2B</t>
        </is>
      </c>
      <c r="T238" s="1" t="inlineStr">
        <is>
          <t>P2 - PEPPL</t>
        </is>
      </c>
      <c r="U238" s="6" t="inlineStr">
        <is>
          <t>N JB Cold Soldering</t>
        </is>
      </c>
      <c r="V238" s="6" t="inlineStr">
        <is>
          <t>Soldering</t>
        </is>
      </c>
      <c r="W238" s="1" t="inlineStr">
        <is>
          <t>Repair</t>
        </is>
      </c>
      <c r="X238" s="5" t="n">
        <v>46175</v>
      </c>
      <c r="Y238" s="1">
        <f>IF(X238="","",X238-A238)</f>
        <v/>
      </c>
      <c r="Z238" s="5" t="n">
        <v>46175</v>
      </c>
      <c r="AA238" s="3" t="n"/>
      <c r="AB238" s="3" t="n"/>
      <c r="AE238" s="146">
        <f>IF(AND(F238="Closed",X238&gt;=DATE(2026,6,1),X238&lt;=DATE(2026,6,30)),"Closed in June","other")</f>
        <v/>
      </c>
    </row>
    <row r="239" hidden="1">
      <c r="A239" s="9" t="n">
        <v>46148</v>
      </c>
      <c r="B239" s="1" t="n">
        <v>2026</v>
      </c>
      <c r="C239" s="8" t="inlineStr">
        <is>
          <t>Continuum</t>
        </is>
      </c>
      <c r="D239" s="1" t="inlineStr">
        <is>
          <t>Utility and C&amp;I</t>
        </is>
      </c>
      <c r="E239" s="1" t="n"/>
      <c r="F239" s="1" t="inlineStr">
        <is>
          <t>Closed</t>
        </is>
      </c>
      <c r="G239" s="8" t="inlineStr">
        <is>
          <t>Amiya Ranjan Behera</t>
        </is>
      </c>
      <c r="H239" s="8" t="n">
        <v>8917436223</v>
      </c>
      <c r="I239" s="10" t="inlineStr">
        <is>
          <t>PE06052602</t>
        </is>
      </c>
      <c r="J239" s="8" t="inlineStr">
        <is>
          <t>Diode Bypass Module Issue</t>
        </is>
      </c>
      <c r="K239" s="8" t="inlineStr">
        <is>
          <t>Bhavnagar</t>
        </is>
      </c>
      <c r="L239" s="8" t="inlineStr">
        <is>
          <t>Gujarat</t>
        </is>
      </c>
      <c r="M239" s="2" t="inlineStr">
        <is>
          <t>NS</t>
        </is>
      </c>
      <c r="N239" s="8" t="inlineStr">
        <is>
          <t>Cold Soldering</t>
        </is>
      </c>
      <c r="O239" s="11" t="n">
        <v>540</v>
      </c>
      <c r="P239" s="2" t="inlineStr">
        <is>
          <t>NSMP2305133964</t>
        </is>
      </c>
      <c r="Q239" s="14">
        <f>MID(P239,5,2)</f>
        <v/>
      </c>
      <c r="R239" s="14">
        <f>MID(P239,7,2)</f>
        <v/>
      </c>
      <c r="S239" s="1" t="inlineStr">
        <is>
          <t>G2B</t>
        </is>
      </c>
      <c r="T239" s="1" t="inlineStr">
        <is>
          <t>P2 - PEPPL</t>
        </is>
      </c>
      <c r="U239" s="6" t="inlineStr">
        <is>
          <t>N JB Cold Soldering</t>
        </is>
      </c>
      <c r="V239" s="6" t="inlineStr">
        <is>
          <t>Soldering</t>
        </is>
      </c>
      <c r="W239" s="1" t="inlineStr">
        <is>
          <t>Repair</t>
        </is>
      </c>
      <c r="X239" s="5" t="n">
        <v>46175</v>
      </c>
      <c r="Y239" s="1">
        <f>IF(X239="","",X239-A239)</f>
        <v/>
      </c>
      <c r="Z239" s="5" t="n">
        <v>46175</v>
      </c>
      <c r="AA239" s="3" t="n"/>
      <c r="AB239" s="3" t="n"/>
      <c r="AE239" s="146">
        <f>IF(AND(F239="Closed",X239&gt;=DATE(2026,6,1),X239&lt;=DATE(2026,6,30)),"Closed in June","other")</f>
        <v/>
      </c>
    </row>
    <row r="240" hidden="1">
      <c r="A240" s="9" t="n">
        <v>46148</v>
      </c>
      <c r="B240" s="1" t="n">
        <v>2026</v>
      </c>
      <c r="C240" s="8" t="inlineStr">
        <is>
          <t>Continuum</t>
        </is>
      </c>
      <c r="D240" s="1" t="inlineStr">
        <is>
          <t>Utility and C&amp;I</t>
        </is>
      </c>
      <c r="E240" s="1" t="n"/>
      <c r="F240" s="1" t="inlineStr">
        <is>
          <t>Closed</t>
        </is>
      </c>
      <c r="G240" s="8" t="inlineStr">
        <is>
          <t>Amiya Ranjan Behera</t>
        </is>
      </c>
      <c r="H240" s="8" t="n">
        <v>8917436223</v>
      </c>
      <c r="I240" s="10" t="inlineStr">
        <is>
          <t>PE06052602</t>
        </is>
      </c>
      <c r="J240" s="8" t="inlineStr">
        <is>
          <t>Diode Bypass Module Issue</t>
        </is>
      </c>
      <c r="K240" s="8" t="inlineStr">
        <is>
          <t>Bhavnagar</t>
        </is>
      </c>
      <c r="L240" s="8" t="inlineStr">
        <is>
          <t>Gujarat</t>
        </is>
      </c>
      <c r="M240" s="2" t="inlineStr">
        <is>
          <t>NS</t>
        </is>
      </c>
      <c r="N240" s="8" t="inlineStr">
        <is>
          <t>Cold Soldering</t>
        </is>
      </c>
      <c r="O240" s="11" t="n">
        <v>540</v>
      </c>
      <c r="P240" s="2" t="inlineStr">
        <is>
          <t>NSMP2305198887</t>
        </is>
      </c>
      <c r="Q240" s="14">
        <f>MID(P240,5,2)</f>
        <v/>
      </c>
      <c r="R240" s="14">
        <f>MID(P240,7,2)</f>
        <v/>
      </c>
      <c r="S240" s="1" t="inlineStr">
        <is>
          <t>G2B</t>
        </is>
      </c>
      <c r="T240" s="1" t="inlineStr">
        <is>
          <t>P2 - PEPPL</t>
        </is>
      </c>
      <c r="U240" s="6" t="inlineStr">
        <is>
          <t>N JB Cold Soldering</t>
        </is>
      </c>
      <c r="V240" s="6" t="inlineStr">
        <is>
          <t>Soldering</t>
        </is>
      </c>
      <c r="W240" s="1" t="inlineStr">
        <is>
          <t>Repair</t>
        </is>
      </c>
      <c r="X240" s="5" t="n">
        <v>46175</v>
      </c>
      <c r="Y240" s="1">
        <f>IF(X240="","",X240-A240)</f>
        <v/>
      </c>
      <c r="Z240" s="5" t="n">
        <v>46175</v>
      </c>
      <c r="AA240" s="3" t="n"/>
      <c r="AB240" s="3" t="n"/>
      <c r="AE240" s="146">
        <f>IF(AND(F240="Closed",X240&gt;=DATE(2026,6,1),X240&lt;=DATE(2026,6,30)),"Closed in June","other")</f>
        <v/>
      </c>
    </row>
    <row r="241" hidden="1">
      <c r="A241" s="9" t="n">
        <v>46148</v>
      </c>
      <c r="B241" s="1" t="n">
        <v>2026</v>
      </c>
      <c r="C241" s="8" t="inlineStr">
        <is>
          <t>Continuum</t>
        </is>
      </c>
      <c r="D241" s="1" t="inlineStr">
        <is>
          <t>Utility and C&amp;I</t>
        </is>
      </c>
      <c r="E241" s="1" t="n"/>
      <c r="F241" s="1" t="inlineStr">
        <is>
          <t>Closed</t>
        </is>
      </c>
      <c r="G241" s="8" t="inlineStr">
        <is>
          <t>Amiya Ranjan Behera</t>
        </is>
      </c>
      <c r="H241" s="8" t="n">
        <v>8917436223</v>
      </c>
      <c r="I241" s="10" t="inlineStr">
        <is>
          <t>PE06052602</t>
        </is>
      </c>
      <c r="J241" s="8" t="inlineStr">
        <is>
          <t>Diode Bypass Module Issue</t>
        </is>
      </c>
      <c r="K241" s="8" t="inlineStr">
        <is>
          <t>Bhavnagar</t>
        </is>
      </c>
      <c r="L241" s="8" t="inlineStr">
        <is>
          <t>Gujarat</t>
        </is>
      </c>
      <c r="M241" s="2" t="inlineStr">
        <is>
          <t xml:space="preserve">OK </t>
        </is>
      </c>
      <c r="N241" s="2" t="inlineStr">
        <is>
          <t>No Issue Found</t>
        </is>
      </c>
      <c r="O241" s="11" t="n">
        <v>540</v>
      </c>
      <c r="P241" s="2" t="inlineStr">
        <is>
          <t>NSMP2305198899</t>
        </is>
      </c>
      <c r="Q241" s="14">
        <f>MID(P241,5,2)</f>
        <v/>
      </c>
      <c r="R241" s="14">
        <f>MID(P241,7,2)</f>
        <v/>
      </c>
      <c r="S241" s="1" t="inlineStr">
        <is>
          <t>G2B</t>
        </is>
      </c>
      <c r="T241" s="1" t="inlineStr">
        <is>
          <t>P2 - PEPPL</t>
        </is>
      </c>
      <c r="U241" s="6" t="inlineStr">
        <is>
          <t>No Issue Found</t>
        </is>
      </c>
      <c r="V241" s="6" t="inlineStr">
        <is>
          <t>Inspection</t>
        </is>
      </c>
      <c r="W241" s="1" t="inlineStr">
        <is>
          <t>Rejected</t>
        </is>
      </c>
      <c r="X241" s="5" t="n">
        <v>46175</v>
      </c>
      <c r="Y241" s="1">
        <f>IF(X241="","",X241-A241)</f>
        <v/>
      </c>
      <c r="Z241" s="5" t="n">
        <v>46175</v>
      </c>
      <c r="AA241" s="3" t="n"/>
      <c r="AB241" s="3" t="n"/>
      <c r="AE241" s="146">
        <f>IF(AND(F241="Closed",X241&gt;=DATE(2026,6,1),X241&lt;=DATE(2026,6,30)),"Closed in June","other")</f>
        <v/>
      </c>
    </row>
    <row r="242" hidden="1">
      <c r="A242" s="9" t="n">
        <v>46148</v>
      </c>
      <c r="B242" s="1" t="n">
        <v>2026</v>
      </c>
      <c r="C242" s="8" t="inlineStr">
        <is>
          <t>Continuum</t>
        </is>
      </c>
      <c r="D242" s="1" t="inlineStr">
        <is>
          <t>Utility and C&amp;I</t>
        </is>
      </c>
      <c r="E242" s="1" t="n"/>
      <c r="F242" s="1" t="inlineStr">
        <is>
          <t>Closed</t>
        </is>
      </c>
      <c r="G242" s="8" t="inlineStr">
        <is>
          <t>Amiya Ranjan Behera</t>
        </is>
      </c>
      <c r="H242" s="8" t="n">
        <v>8917436223</v>
      </c>
      <c r="I242" s="10" t="inlineStr">
        <is>
          <t>PE06052602</t>
        </is>
      </c>
      <c r="J242" s="8" t="inlineStr">
        <is>
          <t>Diode Bypass Module Issue</t>
        </is>
      </c>
      <c r="K242" s="8" t="inlineStr">
        <is>
          <t>Bhavnagar</t>
        </is>
      </c>
      <c r="L242" s="8" t="inlineStr">
        <is>
          <t>Gujarat</t>
        </is>
      </c>
      <c r="M242" s="2" t="inlineStr">
        <is>
          <t xml:space="preserve">OK </t>
        </is>
      </c>
      <c r="N242" s="2" t="inlineStr">
        <is>
          <t>No Issue Found</t>
        </is>
      </c>
      <c r="O242" s="11" t="n">
        <v>540</v>
      </c>
      <c r="P242" s="2" t="inlineStr">
        <is>
          <t>NSMP2305180013</t>
        </is>
      </c>
      <c r="Q242" s="14">
        <f>MID(P242,5,2)</f>
        <v/>
      </c>
      <c r="R242" s="14">
        <f>MID(P242,7,2)</f>
        <v/>
      </c>
      <c r="S242" s="1" t="inlineStr">
        <is>
          <t>G2B</t>
        </is>
      </c>
      <c r="T242" s="1" t="inlineStr">
        <is>
          <t>P2 - PEPPL</t>
        </is>
      </c>
      <c r="U242" s="6" t="inlineStr">
        <is>
          <t>No Issue Found</t>
        </is>
      </c>
      <c r="V242" s="6" t="inlineStr">
        <is>
          <t>Inspection</t>
        </is>
      </c>
      <c r="W242" s="1" t="inlineStr">
        <is>
          <t>Rejected</t>
        </is>
      </c>
      <c r="X242" s="5" t="n">
        <v>46175</v>
      </c>
      <c r="Y242" s="1">
        <f>IF(X242="","",X242-A242)</f>
        <v/>
      </c>
      <c r="Z242" s="5" t="n">
        <v>46175</v>
      </c>
      <c r="AA242" s="3" t="n"/>
      <c r="AB242" s="3" t="n"/>
      <c r="AE242" s="146">
        <f>IF(AND(F242="Closed",X242&gt;=DATE(2026,6,1),X242&lt;=DATE(2026,6,30)),"Closed in June","other")</f>
        <v/>
      </c>
    </row>
    <row r="243" hidden="1">
      <c r="A243" s="9" t="n">
        <v>46148</v>
      </c>
      <c r="B243" s="1" t="n">
        <v>2026</v>
      </c>
      <c r="C243" s="8" t="inlineStr">
        <is>
          <t>Continuum</t>
        </is>
      </c>
      <c r="D243" s="1" t="inlineStr">
        <is>
          <t>Utility and C&amp;I</t>
        </is>
      </c>
      <c r="E243" s="1" t="n"/>
      <c r="F243" s="1" t="inlineStr">
        <is>
          <t>Closed</t>
        </is>
      </c>
      <c r="G243" s="8" t="inlineStr">
        <is>
          <t>Amiya Ranjan Behera</t>
        </is>
      </c>
      <c r="H243" s="8" t="n">
        <v>8917436223</v>
      </c>
      <c r="I243" s="10" t="inlineStr">
        <is>
          <t>PE06052602</t>
        </is>
      </c>
      <c r="J243" s="8" t="inlineStr">
        <is>
          <t>Diode Bypass Module Issue</t>
        </is>
      </c>
      <c r="K243" s="8" t="inlineStr">
        <is>
          <t>Bhavnagar</t>
        </is>
      </c>
      <c r="L243" s="8" t="inlineStr">
        <is>
          <t>Gujarat</t>
        </is>
      </c>
      <c r="M243" s="2" t="inlineStr">
        <is>
          <t xml:space="preserve">OK </t>
        </is>
      </c>
      <c r="N243" s="2" t="inlineStr">
        <is>
          <t>No Issue Found</t>
        </is>
      </c>
      <c r="O243" s="11" t="n">
        <v>540</v>
      </c>
      <c r="P243" s="2" t="inlineStr">
        <is>
          <t>NSMP2305171981</t>
        </is>
      </c>
      <c r="Q243" s="14">
        <f>MID(P243,5,2)</f>
        <v/>
      </c>
      <c r="R243" s="14">
        <f>MID(P243,7,2)</f>
        <v/>
      </c>
      <c r="S243" s="1" t="inlineStr">
        <is>
          <t>G2B</t>
        </is>
      </c>
      <c r="T243" s="1" t="inlineStr">
        <is>
          <t>P2 - PEPPL</t>
        </is>
      </c>
      <c r="U243" s="6" t="inlineStr">
        <is>
          <t>No Issue Found</t>
        </is>
      </c>
      <c r="V243" s="6" t="inlineStr">
        <is>
          <t>Inspection</t>
        </is>
      </c>
      <c r="W243" s="1" t="inlineStr">
        <is>
          <t>Rejected</t>
        </is>
      </c>
      <c r="X243" s="5" t="n">
        <v>46175</v>
      </c>
      <c r="Y243" s="1">
        <f>IF(X243="","",X243-A243)</f>
        <v/>
      </c>
      <c r="Z243" s="5" t="n">
        <v>46175</v>
      </c>
      <c r="AA243" s="3" t="n"/>
      <c r="AB243" s="3" t="n"/>
      <c r="AE243" s="146">
        <f>IF(AND(F243="Closed",X243&gt;=DATE(2026,6,1),X243&lt;=DATE(2026,6,30)),"Closed in June","other")</f>
        <v/>
      </c>
    </row>
    <row r="244" hidden="1">
      <c r="A244" s="9" t="n">
        <v>46148</v>
      </c>
      <c r="B244" s="1" t="n">
        <v>2026</v>
      </c>
      <c r="C244" s="8" t="inlineStr">
        <is>
          <t>Continuum</t>
        </is>
      </c>
      <c r="D244" s="1" t="inlineStr">
        <is>
          <t>Utility and C&amp;I</t>
        </is>
      </c>
      <c r="E244" s="1" t="n"/>
      <c r="F244" s="1" t="inlineStr">
        <is>
          <t>Closed</t>
        </is>
      </c>
      <c r="G244" s="8" t="inlineStr">
        <is>
          <t>Amiya Ranjan Behera</t>
        </is>
      </c>
      <c r="H244" s="8" t="n">
        <v>8917436223</v>
      </c>
      <c r="I244" s="10" t="inlineStr">
        <is>
          <t>PE06052602</t>
        </is>
      </c>
      <c r="J244" s="8" t="inlineStr">
        <is>
          <t>Diode Bypass Module Issue</t>
        </is>
      </c>
      <c r="K244" s="8" t="inlineStr">
        <is>
          <t>Bhavnagar</t>
        </is>
      </c>
      <c r="L244" s="8" t="inlineStr">
        <is>
          <t>Gujarat</t>
        </is>
      </c>
      <c r="M244" s="2" t="inlineStr">
        <is>
          <t xml:space="preserve">OK </t>
        </is>
      </c>
      <c r="N244" s="2" t="inlineStr">
        <is>
          <t>No Issue Found</t>
        </is>
      </c>
      <c r="O244" s="11" t="n">
        <v>540</v>
      </c>
      <c r="P244" s="2" t="inlineStr">
        <is>
          <t>NSMP2305171935</t>
        </is>
      </c>
      <c r="Q244" s="14">
        <f>MID(P244,5,2)</f>
        <v/>
      </c>
      <c r="R244" s="14">
        <f>MID(P244,7,2)</f>
        <v/>
      </c>
      <c r="S244" s="1" t="inlineStr">
        <is>
          <t>G2B</t>
        </is>
      </c>
      <c r="T244" s="1" t="inlineStr">
        <is>
          <t>P2 - PEPPL</t>
        </is>
      </c>
      <c r="U244" s="6" t="inlineStr">
        <is>
          <t>No Issue Found</t>
        </is>
      </c>
      <c r="V244" s="6" t="inlineStr">
        <is>
          <t>Inspection</t>
        </is>
      </c>
      <c r="W244" s="1" t="inlineStr">
        <is>
          <t>Rejected</t>
        </is>
      </c>
      <c r="X244" s="5" t="n">
        <v>46175</v>
      </c>
      <c r="Y244" s="1">
        <f>IF(X244="","",X244-A244)</f>
        <v/>
      </c>
      <c r="Z244" s="5" t="n">
        <v>46175</v>
      </c>
      <c r="AA244" s="3" t="n"/>
      <c r="AB244" s="3" t="n"/>
      <c r="AE244" s="146">
        <f>IF(AND(F244="Closed",X244&gt;=DATE(2026,6,1),X244&lt;=DATE(2026,6,30)),"Closed in June","other")</f>
        <v/>
      </c>
    </row>
    <row r="245" hidden="1">
      <c r="A245" s="9" t="n">
        <v>46148</v>
      </c>
      <c r="B245" s="1" t="n">
        <v>2026</v>
      </c>
      <c r="C245" s="8" t="inlineStr">
        <is>
          <t>Continuum</t>
        </is>
      </c>
      <c r="D245" s="1" t="inlineStr">
        <is>
          <t>Utility and C&amp;I</t>
        </is>
      </c>
      <c r="E245" s="1" t="n"/>
      <c r="F245" s="1" t="inlineStr">
        <is>
          <t>Closed</t>
        </is>
      </c>
      <c r="G245" s="8" t="inlineStr">
        <is>
          <t>Amiya Ranjan Behera</t>
        </is>
      </c>
      <c r="H245" s="8" t="n">
        <v>8917436223</v>
      </c>
      <c r="I245" s="10" t="inlineStr">
        <is>
          <t>PE06052602</t>
        </is>
      </c>
      <c r="J245" s="8" t="inlineStr">
        <is>
          <t>Diode Bypass Module Issue</t>
        </is>
      </c>
      <c r="K245" s="8" t="inlineStr">
        <is>
          <t>Bhavnagar</t>
        </is>
      </c>
      <c r="L245" s="8" t="inlineStr">
        <is>
          <t>Gujarat</t>
        </is>
      </c>
      <c r="M245" s="2" t="inlineStr">
        <is>
          <t xml:space="preserve">OK </t>
        </is>
      </c>
      <c r="N245" s="2" t="inlineStr">
        <is>
          <t>No Issue Found</t>
        </is>
      </c>
      <c r="O245" s="11" t="n">
        <v>540</v>
      </c>
      <c r="P245" s="2" t="inlineStr">
        <is>
          <t>NSMP2305189438</t>
        </is>
      </c>
      <c r="Q245" s="14">
        <f>MID(P245,5,2)</f>
        <v/>
      </c>
      <c r="R245" s="14">
        <f>MID(P245,7,2)</f>
        <v/>
      </c>
      <c r="S245" s="1" t="inlineStr">
        <is>
          <t>G2B</t>
        </is>
      </c>
      <c r="T245" s="1" t="inlineStr">
        <is>
          <t>P2 - PEPPL</t>
        </is>
      </c>
      <c r="U245" s="6" t="inlineStr">
        <is>
          <t>No Issue Found</t>
        </is>
      </c>
      <c r="V245" s="6" t="inlineStr">
        <is>
          <t>Inspection</t>
        </is>
      </c>
      <c r="W245" s="1" t="inlineStr">
        <is>
          <t>Rejected</t>
        </is>
      </c>
      <c r="X245" s="5" t="n">
        <v>46175</v>
      </c>
      <c r="Y245" s="1">
        <f>IF(X245="","",X245-A245)</f>
        <v/>
      </c>
      <c r="Z245" s="5" t="n">
        <v>46175</v>
      </c>
      <c r="AA245" s="3" t="n"/>
      <c r="AB245" s="3" t="n"/>
      <c r="AE245" s="146">
        <f>IF(AND(F245="Closed",X245&gt;=DATE(2026,6,1),X245&lt;=DATE(2026,6,30)),"Closed in June","other")</f>
        <v/>
      </c>
    </row>
    <row r="246" hidden="1">
      <c r="A246" s="9" t="n">
        <v>46148</v>
      </c>
      <c r="B246" s="1" t="n">
        <v>2026</v>
      </c>
      <c r="C246" s="8" t="inlineStr">
        <is>
          <t>Continuum</t>
        </is>
      </c>
      <c r="D246" s="1" t="inlineStr">
        <is>
          <t>Utility and C&amp;I</t>
        </is>
      </c>
      <c r="E246" s="1" t="n"/>
      <c r="F246" s="1" t="inlineStr">
        <is>
          <t>Closed</t>
        </is>
      </c>
      <c r="G246" s="8" t="inlineStr">
        <is>
          <t>Amiya Ranjan Behera</t>
        </is>
      </c>
      <c r="H246" s="8" t="n">
        <v>8917436223</v>
      </c>
      <c r="I246" s="10" t="inlineStr">
        <is>
          <t>PE06052602</t>
        </is>
      </c>
      <c r="J246" s="8" t="inlineStr">
        <is>
          <t>Diode Bypass Module Issue</t>
        </is>
      </c>
      <c r="K246" s="8" t="inlineStr">
        <is>
          <t>Bhavnagar</t>
        </is>
      </c>
      <c r="L246" s="8" t="inlineStr">
        <is>
          <t>Gujarat</t>
        </is>
      </c>
      <c r="M246" s="2" t="inlineStr">
        <is>
          <t>NS</t>
        </is>
      </c>
      <c r="N246" s="8" t="inlineStr">
        <is>
          <t>Cold Soldering</t>
        </is>
      </c>
      <c r="O246" s="11" t="n">
        <v>540</v>
      </c>
      <c r="P246" s="2" t="inlineStr">
        <is>
          <t>NSMP2305189788</t>
        </is>
      </c>
      <c r="Q246" s="14">
        <f>MID(P246,5,2)</f>
        <v/>
      </c>
      <c r="R246" s="14">
        <f>MID(P246,7,2)</f>
        <v/>
      </c>
      <c r="S246" s="1" t="inlineStr">
        <is>
          <t>G2B</t>
        </is>
      </c>
      <c r="T246" s="1" t="inlineStr">
        <is>
          <t>P2 - PEPPL</t>
        </is>
      </c>
      <c r="U246" s="6" t="inlineStr">
        <is>
          <t>N JB Cold Soldering</t>
        </is>
      </c>
      <c r="V246" s="6" t="inlineStr">
        <is>
          <t>Soldering</t>
        </is>
      </c>
      <c r="W246" s="1" t="inlineStr">
        <is>
          <t>Repair</t>
        </is>
      </c>
      <c r="X246" s="5" t="n">
        <v>46175</v>
      </c>
      <c r="Y246" s="1">
        <f>IF(X246="","",X246-A246)</f>
        <v/>
      </c>
      <c r="Z246" s="5" t="n">
        <v>46175</v>
      </c>
      <c r="AA246" s="3" t="n"/>
      <c r="AB246" s="3" t="n"/>
      <c r="AE246" s="146">
        <f>IF(AND(F246="Closed",X246&gt;=DATE(2026,6,1),X246&lt;=DATE(2026,6,30)),"Closed in June","other")</f>
        <v/>
      </c>
    </row>
    <row r="247" hidden="1">
      <c r="A247" s="9" t="n">
        <v>46148</v>
      </c>
      <c r="B247" s="1" t="n">
        <v>2026</v>
      </c>
      <c r="C247" s="8" t="inlineStr">
        <is>
          <t>Continuum</t>
        </is>
      </c>
      <c r="D247" s="1" t="inlineStr">
        <is>
          <t>Utility and C&amp;I</t>
        </is>
      </c>
      <c r="E247" s="1" t="n"/>
      <c r="F247" s="1" t="inlineStr">
        <is>
          <t>Closed</t>
        </is>
      </c>
      <c r="G247" s="8" t="inlineStr">
        <is>
          <t>Amiya Ranjan Behera</t>
        </is>
      </c>
      <c r="H247" s="8" t="n">
        <v>8917436223</v>
      </c>
      <c r="I247" s="10" t="inlineStr">
        <is>
          <t>PE06052602</t>
        </is>
      </c>
      <c r="J247" s="8" t="inlineStr">
        <is>
          <t>Diode Bypass Module Issue</t>
        </is>
      </c>
      <c r="K247" s="8" t="inlineStr">
        <is>
          <t>Bhavnagar</t>
        </is>
      </c>
      <c r="L247" s="8" t="inlineStr">
        <is>
          <t>Gujarat</t>
        </is>
      </c>
      <c r="M247" s="2" t="inlineStr">
        <is>
          <t>NS</t>
        </is>
      </c>
      <c r="N247" s="8" t="inlineStr">
        <is>
          <t>Cold Soldering</t>
        </is>
      </c>
      <c r="O247" s="11" t="n">
        <v>540</v>
      </c>
      <c r="P247" s="2" t="inlineStr">
        <is>
          <t>NSMP2305189748</t>
        </is>
      </c>
      <c r="Q247" s="14">
        <f>MID(P247,5,2)</f>
        <v/>
      </c>
      <c r="R247" s="14">
        <f>MID(P247,7,2)</f>
        <v/>
      </c>
      <c r="S247" s="1" t="inlineStr">
        <is>
          <t>G2B</t>
        </is>
      </c>
      <c r="T247" s="1" t="inlineStr">
        <is>
          <t>P2 - PEPPL</t>
        </is>
      </c>
      <c r="U247" s="6" t="inlineStr">
        <is>
          <t>N JB Cold Soldering</t>
        </is>
      </c>
      <c r="V247" s="6" t="inlineStr">
        <is>
          <t>Soldering</t>
        </is>
      </c>
      <c r="W247" s="1" t="inlineStr">
        <is>
          <t>Repair</t>
        </is>
      </c>
      <c r="X247" s="5" t="n">
        <v>46175</v>
      </c>
      <c r="Y247" s="1">
        <f>IF(X247="","",X247-A247)</f>
        <v/>
      </c>
      <c r="Z247" s="5" t="n">
        <v>46175</v>
      </c>
      <c r="AA247" s="3" t="n"/>
      <c r="AB247" s="3" t="n"/>
      <c r="AE247" s="146">
        <f>IF(AND(F247="Closed",X247&gt;=DATE(2026,6,1),X247&lt;=DATE(2026,6,30)),"Closed in June","other")</f>
        <v/>
      </c>
    </row>
    <row r="248" hidden="1">
      <c r="A248" s="9" t="n">
        <v>46148</v>
      </c>
      <c r="B248" s="1" t="n">
        <v>2026</v>
      </c>
      <c r="C248" s="8" t="inlineStr">
        <is>
          <t>Continuum</t>
        </is>
      </c>
      <c r="D248" s="1" t="inlineStr">
        <is>
          <t>Utility and C&amp;I</t>
        </is>
      </c>
      <c r="E248" s="1" t="n"/>
      <c r="F248" s="1" t="inlineStr">
        <is>
          <t>Closed</t>
        </is>
      </c>
      <c r="G248" s="8" t="inlineStr">
        <is>
          <t>Amiya Ranjan Behera</t>
        </is>
      </c>
      <c r="H248" s="8" t="n">
        <v>8917436223</v>
      </c>
      <c r="I248" s="10" t="inlineStr">
        <is>
          <t>PE06052602</t>
        </is>
      </c>
      <c r="J248" s="8" t="inlineStr">
        <is>
          <t>Diode Bypass Module Issue</t>
        </is>
      </c>
      <c r="K248" s="8" t="inlineStr">
        <is>
          <t>Bhavnagar</t>
        </is>
      </c>
      <c r="L248" s="8" t="inlineStr">
        <is>
          <t>Gujarat</t>
        </is>
      </c>
      <c r="M248" s="2" t="inlineStr">
        <is>
          <t>NS</t>
        </is>
      </c>
      <c r="N248" s="8" t="inlineStr">
        <is>
          <t>Cold Soldering</t>
        </is>
      </c>
      <c r="O248" s="11" t="n">
        <v>540</v>
      </c>
      <c r="P248" s="2" t="inlineStr">
        <is>
          <t>NSMP2305189781</t>
        </is>
      </c>
      <c r="Q248" s="14">
        <f>MID(P248,5,2)</f>
        <v/>
      </c>
      <c r="R248" s="14">
        <f>MID(P248,7,2)</f>
        <v/>
      </c>
      <c r="S248" s="1" t="inlineStr">
        <is>
          <t>G2B</t>
        </is>
      </c>
      <c r="T248" s="1" t="inlineStr">
        <is>
          <t>P2 - PEPPL</t>
        </is>
      </c>
      <c r="U248" s="6" t="inlineStr">
        <is>
          <t>N JB Cold Soldering</t>
        </is>
      </c>
      <c r="V248" s="6" t="inlineStr">
        <is>
          <t>Soldering</t>
        </is>
      </c>
      <c r="W248" s="1" t="inlineStr">
        <is>
          <t>Repair</t>
        </is>
      </c>
      <c r="X248" s="5" t="n">
        <v>46175</v>
      </c>
      <c r="Y248" s="1">
        <f>IF(X248="","",X248-A248)</f>
        <v/>
      </c>
      <c r="Z248" s="5" t="n">
        <v>46175</v>
      </c>
      <c r="AA248" s="3" t="n"/>
      <c r="AB248" s="3" t="n"/>
      <c r="AE248" s="146">
        <f>IF(AND(F248="Closed",X248&gt;=DATE(2026,6,1),X248&lt;=DATE(2026,6,30)),"Closed in June","other")</f>
        <v/>
      </c>
    </row>
    <row r="249" hidden="1">
      <c r="A249" s="9" t="n">
        <v>46148</v>
      </c>
      <c r="B249" s="1" t="n">
        <v>2026</v>
      </c>
      <c r="C249" s="8" t="inlineStr">
        <is>
          <t>Continuum</t>
        </is>
      </c>
      <c r="D249" s="1" t="inlineStr">
        <is>
          <t>Utility and C&amp;I</t>
        </is>
      </c>
      <c r="E249" s="1" t="n"/>
      <c r="F249" s="1" t="inlineStr">
        <is>
          <t>Closed</t>
        </is>
      </c>
      <c r="G249" s="8" t="inlineStr">
        <is>
          <t>Amiya Ranjan Behera</t>
        </is>
      </c>
      <c r="H249" s="8" t="n">
        <v>8917436223</v>
      </c>
      <c r="I249" s="10" t="inlineStr">
        <is>
          <t>PE06052602</t>
        </is>
      </c>
      <c r="J249" s="8" t="inlineStr">
        <is>
          <t>Diode Bypass Module Issue</t>
        </is>
      </c>
      <c r="K249" s="8" t="inlineStr">
        <is>
          <t>Bhavnagar</t>
        </is>
      </c>
      <c r="L249" s="8" t="inlineStr">
        <is>
          <t>Gujarat</t>
        </is>
      </c>
      <c r="M249" s="2" t="inlineStr">
        <is>
          <t>PS</t>
        </is>
      </c>
      <c r="N249" s="1" t="inlineStr">
        <is>
          <t>Cold Soldering</t>
        </is>
      </c>
      <c r="O249" s="11" t="n">
        <v>540</v>
      </c>
      <c r="P249" s="2" t="inlineStr">
        <is>
          <t>NSMP2305198921</t>
        </is>
      </c>
      <c r="Q249" s="14">
        <f>MID(P249,5,2)</f>
        <v/>
      </c>
      <c r="R249" s="14">
        <f>MID(P249,7,2)</f>
        <v/>
      </c>
      <c r="S249" s="1" t="inlineStr">
        <is>
          <t>G2B</t>
        </is>
      </c>
      <c r="T249" s="1" t="inlineStr">
        <is>
          <t>P2 - PEPPL</t>
        </is>
      </c>
      <c r="U249" s="1" t="inlineStr">
        <is>
          <t>P JB Cold Soldering</t>
        </is>
      </c>
      <c r="V249" s="1" t="inlineStr">
        <is>
          <t>Soldering</t>
        </is>
      </c>
      <c r="W249" s="1" t="inlineStr">
        <is>
          <t>Repair</t>
        </is>
      </c>
      <c r="X249" s="5" t="n">
        <v>46175</v>
      </c>
      <c r="Y249" s="1">
        <f>IF(X249="","",X249-A249)</f>
        <v/>
      </c>
      <c r="Z249" s="5" t="n">
        <v>46175</v>
      </c>
      <c r="AA249" s="3" t="n"/>
      <c r="AB249" s="3" t="n"/>
      <c r="AE249" s="146">
        <f>IF(AND(F249="Closed",X249&gt;=DATE(2026,6,1),X249&lt;=DATE(2026,6,30)),"Closed in June","other")</f>
        <v/>
      </c>
    </row>
    <row r="250" hidden="1">
      <c r="A250" s="9" t="n">
        <v>46148</v>
      </c>
      <c r="B250" s="1" t="n">
        <v>2026</v>
      </c>
      <c r="C250" s="8" t="inlineStr">
        <is>
          <t>Continuum</t>
        </is>
      </c>
      <c r="D250" s="1" t="inlineStr">
        <is>
          <t>Utility and C&amp;I</t>
        </is>
      </c>
      <c r="E250" s="1" t="n"/>
      <c r="F250" s="1" t="inlineStr">
        <is>
          <t>Closed</t>
        </is>
      </c>
      <c r="G250" s="8" t="inlineStr">
        <is>
          <t>Amiya Ranjan Behera</t>
        </is>
      </c>
      <c r="H250" s="8" t="n">
        <v>8917436223</v>
      </c>
      <c r="I250" s="10" t="inlineStr">
        <is>
          <t>PE06052602</t>
        </is>
      </c>
      <c r="J250" s="8" t="inlineStr">
        <is>
          <t>Diode Bypass Module Issue</t>
        </is>
      </c>
      <c r="K250" s="8" t="inlineStr">
        <is>
          <t>Bhavnagar</t>
        </is>
      </c>
      <c r="L250" s="8" t="inlineStr">
        <is>
          <t>Gujarat</t>
        </is>
      </c>
      <c r="M250" s="2" t="inlineStr">
        <is>
          <t>NS</t>
        </is>
      </c>
      <c r="N250" s="8" t="inlineStr">
        <is>
          <t>Cold Soldering</t>
        </is>
      </c>
      <c r="O250" s="11" t="n">
        <v>540</v>
      </c>
      <c r="P250" s="2" t="inlineStr">
        <is>
          <t>NSMP2305189789</t>
        </is>
      </c>
      <c r="Q250" s="14">
        <f>MID(P250,5,2)</f>
        <v/>
      </c>
      <c r="R250" s="14">
        <f>MID(P250,7,2)</f>
        <v/>
      </c>
      <c r="S250" s="1" t="inlineStr">
        <is>
          <t>G2B</t>
        </is>
      </c>
      <c r="T250" s="1" t="inlineStr">
        <is>
          <t>P2 - PEPPL</t>
        </is>
      </c>
      <c r="U250" s="6" t="inlineStr">
        <is>
          <t>N JB Cold Soldering</t>
        </is>
      </c>
      <c r="V250" s="6" t="inlineStr">
        <is>
          <t>Soldering</t>
        </is>
      </c>
      <c r="W250" s="1" t="inlineStr">
        <is>
          <t>Repair</t>
        </is>
      </c>
      <c r="X250" s="5" t="n">
        <v>46175</v>
      </c>
      <c r="Y250" s="1">
        <f>IF(X250="","",X250-A250)</f>
        <v/>
      </c>
      <c r="Z250" s="5" t="n">
        <v>46175</v>
      </c>
      <c r="AA250" s="3" t="n"/>
      <c r="AB250" s="3" t="n"/>
      <c r="AE250" s="146">
        <f>IF(AND(F250="Closed",X250&gt;=DATE(2026,6,1),X250&lt;=DATE(2026,6,30)),"Closed in June","other")</f>
        <v/>
      </c>
    </row>
    <row r="251" hidden="1">
      <c r="A251" s="9" t="n">
        <v>46148</v>
      </c>
      <c r="B251" s="1" t="n">
        <v>2026</v>
      </c>
      <c r="C251" s="8" t="inlineStr">
        <is>
          <t>Continuum</t>
        </is>
      </c>
      <c r="D251" s="1" t="inlineStr">
        <is>
          <t>Utility and C&amp;I</t>
        </is>
      </c>
      <c r="E251" s="1" t="n"/>
      <c r="F251" s="1" t="inlineStr">
        <is>
          <t>Closed</t>
        </is>
      </c>
      <c r="G251" s="8" t="inlineStr">
        <is>
          <t>Amiya Ranjan Behera</t>
        </is>
      </c>
      <c r="H251" s="8" t="n">
        <v>8917436223</v>
      </c>
      <c r="I251" s="10" t="inlineStr">
        <is>
          <t>PE06052602</t>
        </is>
      </c>
      <c r="J251" s="8" t="inlineStr">
        <is>
          <t>Diode Bypass Module Issue</t>
        </is>
      </c>
      <c r="K251" s="8" t="inlineStr">
        <is>
          <t>Bhavnagar</t>
        </is>
      </c>
      <c r="L251" s="8" t="inlineStr">
        <is>
          <t>Gujarat</t>
        </is>
      </c>
      <c r="M251" s="2" t="inlineStr">
        <is>
          <t>NS</t>
        </is>
      </c>
      <c r="N251" s="8" t="inlineStr">
        <is>
          <t>Cold Soldering</t>
        </is>
      </c>
      <c r="O251" s="11" t="n">
        <v>540</v>
      </c>
      <c r="P251" s="2" t="inlineStr">
        <is>
          <t>NSMP2305191093</t>
        </is>
      </c>
      <c r="Q251" s="14">
        <f>MID(P251,5,2)</f>
        <v/>
      </c>
      <c r="R251" s="14">
        <f>MID(P251,7,2)</f>
        <v/>
      </c>
      <c r="S251" s="1" t="inlineStr">
        <is>
          <t>G2B</t>
        </is>
      </c>
      <c r="T251" s="1" t="inlineStr">
        <is>
          <t>P2 - PEPPL</t>
        </is>
      </c>
      <c r="U251" s="6" t="inlineStr">
        <is>
          <t>N JB Cold Soldering</t>
        </is>
      </c>
      <c r="V251" s="6" t="inlineStr">
        <is>
          <t>Soldering</t>
        </is>
      </c>
      <c r="W251" s="1" t="inlineStr">
        <is>
          <t>Repair</t>
        </is>
      </c>
      <c r="X251" s="5" t="n">
        <v>46175</v>
      </c>
      <c r="Y251" s="1">
        <f>IF(X251="","",X251-A251)</f>
        <v/>
      </c>
      <c r="Z251" s="5" t="n">
        <v>46175</v>
      </c>
      <c r="AA251" s="3" t="n"/>
      <c r="AB251" s="3" t="n"/>
      <c r="AE251" s="146">
        <f>IF(AND(F251="Closed",X251&gt;=DATE(2026,6,1),X251&lt;=DATE(2026,6,30)),"Closed in June","other")</f>
        <v/>
      </c>
    </row>
    <row r="252" hidden="1">
      <c r="A252" s="9" t="n">
        <v>46148</v>
      </c>
      <c r="B252" s="1" t="n">
        <v>2026</v>
      </c>
      <c r="C252" s="8" t="inlineStr">
        <is>
          <t>Continuum</t>
        </is>
      </c>
      <c r="D252" s="1" t="inlineStr">
        <is>
          <t>Utility and C&amp;I</t>
        </is>
      </c>
      <c r="E252" s="1" t="n"/>
      <c r="F252" s="1" t="inlineStr">
        <is>
          <t>Closed</t>
        </is>
      </c>
      <c r="G252" s="8" t="inlineStr">
        <is>
          <t>Amiya Ranjan Behera</t>
        </is>
      </c>
      <c r="H252" s="8" t="n">
        <v>8917436223</v>
      </c>
      <c r="I252" s="10" t="inlineStr">
        <is>
          <t>PE06052602</t>
        </is>
      </c>
      <c r="J252" s="8" t="inlineStr">
        <is>
          <t>Diode Bypass Module Issue</t>
        </is>
      </c>
      <c r="K252" s="8" t="inlineStr">
        <is>
          <t>Bhavnagar</t>
        </is>
      </c>
      <c r="L252" s="8" t="inlineStr">
        <is>
          <t>Gujarat</t>
        </is>
      </c>
      <c r="M252" s="2" t="inlineStr">
        <is>
          <t>PS</t>
        </is>
      </c>
      <c r="N252" s="1" t="inlineStr">
        <is>
          <t>Cold Soldering</t>
        </is>
      </c>
      <c r="O252" s="11" t="n">
        <v>540</v>
      </c>
      <c r="P252" s="2" t="inlineStr">
        <is>
          <t>NSMP2305191106</t>
        </is>
      </c>
      <c r="Q252" s="14">
        <f>MID(P252,5,2)</f>
        <v/>
      </c>
      <c r="R252" s="14">
        <f>MID(P252,7,2)</f>
        <v/>
      </c>
      <c r="S252" s="1" t="inlineStr">
        <is>
          <t>G2B</t>
        </is>
      </c>
      <c r="T252" s="1" t="inlineStr">
        <is>
          <t>P2 - PEPPL</t>
        </is>
      </c>
      <c r="U252" s="1" t="inlineStr">
        <is>
          <t>P JB Cold Soldering</t>
        </is>
      </c>
      <c r="V252" s="1" t="inlineStr">
        <is>
          <t>Soldering</t>
        </is>
      </c>
      <c r="W252" s="1" t="inlineStr">
        <is>
          <t>Repair</t>
        </is>
      </c>
      <c r="X252" s="5" t="n">
        <v>46175</v>
      </c>
      <c r="Y252" s="1">
        <f>IF(X252="","",X252-A252)</f>
        <v/>
      </c>
      <c r="Z252" s="5" t="n">
        <v>46175</v>
      </c>
      <c r="AA252" s="3" t="n"/>
      <c r="AB252" s="3" t="n"/>
      <c r="AE252" s="146">
        <f>IF(AND(F252="Closed",X252&gt;=DATE(2026,6,1),X252&lt;=DATE(2026,6,30)),"Closed in June","other")</f>
        <v/>
      </c>
    </row>
    <row r="253" hidden="1">
      <c r="A253" s="9" t="n">
        <v>46148</v>
      </c>
      <c r="B253" s="1" t="n">
        <v>2026</v>
      </c>
      <c r="C253" s="8" t="inlineStr">
        <is>
          <t>Continuum</t>
        </is>
      </c>
      <c r="D253" s="1" t="inlineStr">
        <is>
          <t>Utility and C&amp;I</t>
        </is>
      </c>
      <c r="E253" s="1" t="n"/>
      <c r="F253" s="1" t="inlineStr">
        <is>
          <t>Closed</t>
        </is>
      </c>
      <c r="G253" s="8" t="inlineStr">
        <is>
          <t>Amiya Ranjan Behera</t>
        </is>
      </c>
      <c r="H253" s="8" t="n">
        <v>8917436223</v>
      </c>
      <c r="I253" s="10" t="inlineStr">
        <is>
          <t>PE06052602</t>
        </is>
      </c>
      <c r="J253" s="8" t="inlineStr">
        <is>
          <t>Diode Bypass Module Issue</t>
        </is>
      </c>
      <c r="K253" s="8" t="inlineStr">
        <is>
          <t>Bhavnagar</t>
        </is>
      </c>
      <c r="L253" s="8" t="inlineStr">
        <is>
          <t>Gujarat</t>
        </is>
      </c>
      <c r="M253" s="2" t="inlineStr">
        <is>
          <t>NS</t>
        </is>
      </c>
      <c r="N253" s="8" t="inlineStr">
        <is>
          <t>Cold Soldering</t>
        </is>
      </c>
      <c r="O253" s="11" t="n">
        <v>540</v>
      </c>
      <c r="P253" s="2" t="inlineStr">
        <is>
          <t>NSMP2305199359</t>
        </is>
      </c>
      <c r="Q253" s="14">
        <f>MID(P253,5,2)</f>
        <v/>
      </c>
      <c r="R253" s="14">
        <f>MID(P253,7,2)</f>
        <v/>
      </c>
      <c r="S253" s="1" t="inlineStr">
        <is>
          <t>G2B</t>
        </is>
      </c>
      <c r="T253" s="1" t="inlineStr">
        <is>
          <t>P2 - PEPPL</t>
        </is>
      </c>
      <c r="U253" s="6" t="inlineStr">
        <is>
          <t>N JB Cold Soldering</t>
        </is>
      </c>
      <c r="V253" s="6" t="inlineStr">
        <is>
          <t>Soldering</t>
        </is>
      </c>
      <c r="W253" s="1" t="inlineStr">
        <is>
          <t>Repair</t>
        </is>
      </c>
      <c r="X253" s="5" t="n">
        <v>46175</v>
      </c>
      <c r="Y253" s="1">
        <f>IF(X253="","",X253-A253)</f>
        <v/>
      </c>
      <c r="Z253" s="5" t="n">
        <v>46175</v>
      </c>
      <c r="AA253" s="3" t="n"/>
      <c r="AB253" s="3" t="n"/>
      <c r="AE253" s="146">
        <f>IF(AND(F253="Closed",X253&gt;=DATE(2026,6,1),X253&lt;=DATE(2026,6,30)),"Closed in June","other")</f>
        <v/>
      </c>
    </row>
    <row r="254" hidden="1">
      <c r="A254" s="9" t="n">
        <v>46148</v>
      </c>
      <c r="B254" s="1" t="n">
        <v>2026</v>
      </c>
      <c r="C254" s="8" t="inlineStr">
        <is>
          <t>Continuum</t>
        </is>
      </c>
      <c r="D254" s="1" t="inlineStr">
        <is>
          <t>Utility and C&amp;I</t>
        </is>
      </c>
      <c r="E254" s="1" t="n"/>
      <c r="F254" s="1" t="inlineStr">
        <is>
          <t>Closed</t>
        </is>
      </c>
      <c r="G254" s="8" t="inlineStr">
        <is>
          <t>Amiya Ranjan Behera</t>
        </is>
      </c>
      <c r="H254" s="8" t="n">
        <v>8917436223</v>
      </c>
      <c r="I254" s="10" t="inlineStr">
        <is>
          <t>PE06052602</t>
        </is>
      </c>
      <c r="J254" s="8" t="inlineStr">
        <is>
          <t>Diode Bypass Module Issue</t>
        </is>
      </c>
      <c r="K254" s="8" t="inlineStr">
        <is>
          <t>Bhavnagar</t>
        </is>
      </c>
      <c r="L254" s="8" t="inlineStr">
        <is>
          <t>Gujarat</t>
        </is>
      </c>
      <c r="M254" s="2" t="inlineStr">
        <is>
          <t>NS</t>
        </is>
      </c>
      <c r="N254" s="8" t="inlineStr">
        <is>
          <t>Cold Soldering</t>
        </is>
      </c>
      <c r="O254" s="11" t="n">
        <v>540</v>
      </c>
      <c r="P254" s="2" t="inlineStr">
        <is>
          <t>NSMP2305190045</t>
        </is>
      </c>
      <c r="Q254" s="14">
        <f>MID(P254,5,2)</f>
        <v/>
      </c>
      <c r="R254" s="14">
        <f>MID(P254,7,2)</f>
        <v/>
      </c>
      <c r="S254" s="1" t="inlineStr">
        <is>
          <t>G2B</t>
        </is>
      </c>
      <c r="T254" s="1" t="inlineStr">
        <is>
          <t>P2 - PEPPL</t>
        </is>
      </c>
      <c r="U254" s="6" t="inlineStr">
        <is>
          <t>N JB Cold Soldering</t>
        </is>
      </c>
      <c r="V254" s="6" t="inlineStr">
        <is>
          <t>Soldering</t>
        </is>
      </c>
      <c r="W254" s="1" t="inlineStr">
        <is>
          <t>Repair</t>
        </is>
      </c>
      <c r="X254" s="5" t="n">
        <v>46175</v>
      </c>
      <c r="Y254" s="1">
        <f>IF(X254="","",X254-A254)</f>
        <v/>
      </c>
      <c r="Z254" s="5" t="n">
        <v>46175</v>
      </c>
      <c r="AA254" s="3" t="n"/>
      <c r="AB254" s="3" t="n"/>
      <c r="AE254" s="146">
        <f>IF(AND(F254="Closed",X254&gt;=DATE(2026,6,1),X254&lt;=DATE(2026,6,30)),"Closed in June","other")</f>
        <v/>
      </c>
    </row>
    <row r="255" hidden="1">
      <c r="A255" s="9" t="n">
        <v>46148</v>
      </c>
      <c r="B255" s="1" t="n">
        <v>2026</v>
      </c>
      <c r="C255" s="8" t="inlineStr">
        <is>
          <t>Continuum</t>
        </is>
      </c>
      <c r="D255" s="1" t="inlineStr">
        <is>
          <t>Utility and C&amp;I</t>
        </is>
      </c>
      <c r="E255" s="1" t="n"/>
      <c r="F255" s="1" t="inlineStr">
        <is>
          <t>Closed</t>
        </is>
      </c>
      <c r="G255" s="8" t="inlineStr">
        <is>
          <t>Amiya Ranjan Behera</t>
        </is>
      </c>
      <c r="H255" s="8" t="n">
        <v>8917436223</v>
      </c>
      <c r="I255" s="10" t="inlineStr">
        <is>
          <t>PE06052602</t>
        </is>
      </c>
      <c r="J255" s="8" t="inlineStr">
        <is>
          <t>Diode Bypass Module Issue</t>
        </is>
      </c>
      <c r="K255" s="8" t="inlineStr">
        <is>
          <t>Bhavnagar</t>
        </is>
      </c>
      <c r="L255" s="8" t="inlineStr">
        <is>
          <t>Gujarat</t>
        </is>
      </c>
      <c r="M255" s="2" t="inlineStr">
        <is>
          <t>NS</t>
        </is>
      </c>
      <c r="N255" s="8" t="inlineStr">
        <is>
          <t>Cold Soldering</t>
        </is>
      </c>
      <c r="O255" s="11" t="n">
        <v>540</v>
      </c>
      <c r="P255" s="2" t="inlineStr">
        <is>
          <t>NSMP2305190017</t>
        </is>
      </c>
      <c r="Q255" s="14">
        <f>MID(P255,5,2)</f>
        <v/>
      </c>
      <c r="R255" s="14">
        <f>MID(P255,7,2)</f>
        <v/>
      </c>
      <c r="S255" s="1" t="inlineStr">
        <is>
          <t>G2B</t>
        </is>
      </c>
      <c r="T255" s="1" t="inlineStr">
        <is>
          <t>P2 - PEPPL</t>
        </is>
      </c>
      <c r="U255" s="6" t="inlineStr">
        <is>
          <t>N JB Cold Soldering</t>
        </is>
      </c>
      <c r="V255" s="6" t="inlineStr">
        <is>
          <t>Soldering</t>
        </is>
      </c>
      <c r="W255" s="1" t="inlineStr">
        <is>
          <t>Repair</t>
        </is>
      </c>
      <c r="X255" s="5" t="n">
        <v>46175</v>
      </c>
      <c r="Y255" s="1">
        <f>IF(X255="","",X255-A255)</f>
        <v/>
      </c>
      <c r="Z255" s="5" t="n">
        <v>46175</v>
      </c>
      <c r="AA255" s="3" t="n"/>
      <c r="AB255" s="3" t="n"/>
      <c r="AE255" s="146">
        <f>IF(AND(F255="Closed",X255&gt;=DATE(2026,6,1),X255&lt;=DATE(2026,6,30)),"Closed in June","other")</f>
        <v/>
      </c>
    </row>
    <row r="256" hidden="1">
      <c r="A256" s="9" t="n">
        <v>46148</v>
      </c>
      <c r="B256" s="1" t="n">
        <v>2026</v>
      </c>
      <c r="C256" s="8" t="inlineStr">
        <is>
          <t>Continuum</t>
        </is>
      </c>
      <c r="D256" s="1" t="inlineStr">
        <is>
          <t>Utility and C&amp;I</t>
        </is>
      </c>
      <c r="E256" s="1" t="n"/>
      <c r="F256" s="1" t="inlineStr">
        <is>
          <t>Closed</t>
        </is>
      </c>
      <c r="G256" s="8" t="inlineStr">
        <is>
          <t>Amiya Ranjan Behera</t>
        </is>
      </c>
      <c r="H256" s="8" t="n">
        <v>8917436223</v>
      </c>
      <c r="I256" s="10" t="inlineStr">
        <is>
          <t>PE06052602</t>
        </is>
      </c>
      <c r="J256" s="8" t="inlineStr">
        <is>
          <t>Diode Bypass Module Issue</t>
        </is>
      </c>
      <c r="K256" s="8" t="inlineStr">
        <is>
          <t>Bhavnagar</t>
        </is>
      </c>
      <c r="L256" s="8" t="inlineStr">
        <is>
          <t>Gujarat</t>
        </is>
      </c>
      <c r="M256" s="2" t="inlineStr">
        <is>
          <t>NS</t>
        </is>
      </c>
      <c r="N256" s="8" t="inlineStr">
        <is>
          <t>Cold Soldering</t>
        </is>
      </c>
      <c r="O256" s="11" t="n">
        <v>540</v>
      </c>
      <c r="P256" s="2" t="inlineStr">
        <is>
          <t>NSMP2305190035</t>
        </is>
      </c>
      <c r="Q256" s="14">
        <f>MID(P256,5,2)</f>
        <v/>
      </c>
      <c r="R256" s="14">
        <f>MID(P256,7,2)</f>
        <v/>
      </c>
      <c r="S256" s="1" t="inlineStr">
        <is>
          <t>G2B</t>
        </is>
      </c>
      <c r="T256" s="1" t="inlineStr">
        <is>
          <t>P2 - PEPPL</t>
        </is>
      </c>
      <c r="U256" s="6" t="inlineStr">
        <is>
          <t>N JB Cold Soldering</t>
        </is>
      </c>
      <c r="V256" s="6" t="inlineStr">
        <is>
          <t>Soldering</t>
        </is>
      </c>
      <c r="W256" s="1" t="inlineStr">
        <is>
          <t>Repair</t>
        </is>
      </c>
      <c r="X256" s="5" t="n">
        <v>46175</v>
      </c>
      <c r="Y256" s="1">
        <f>IF(X256="","",X256-A256)</f>
        <v/>
      </c>
      <c r="Z256" s="5" t="n">
        <v>46175</v>
      </c>
      <c r="AA256" s="3" t="n"/>
      <c r="AB256" s="3" t="n"/>
      <c r="AE256" s="146">
        <f>IF(AND(F256="Closed",X256&gt;=DATE(2026,6,1),X256&lt;=DATE(2026,6,30)),"Closed in June","other")</f>
        <v/>
      </c>
    </row>
    <row r="257" hidden="1">
      <c r="A257" s="9" t="n">
        <v>46148</v>
      </c>
      <c r="B257" s="1" t="n">
        <v>2026</v>
      </c>
      <c r="C257" s="8" t="inlineStr">
        <is>
          <t>Continuum</t>
        </is>
      </c>
      <c r="D257" s="1" t="inlineStr">
        <is>
          <t>Utility and C&amp;I</t>
        </is>
      </c>
      <c r="E257" s="1" t="n"/>
      <c r="F257" s="1" t="inlineStr">
        <is>
          <t>Closed</t>
        </is>
      </c>
      <c r="G257" s="8" t="inlineStr">
        <is>
          <t>Amiya Ranjan Behera</t>
        </is>
      </c>
      <c r="H257" s="8" t="n">
        <v>8917436223</v>
      </c>
      <c r="I257" s="10" t="inlineStr">
        <is>
          <t>PE06052602</t>
        </is>
      </c>
      <c r="J257" s="8" t="inlineStr">
        <is>
          <t>Diode Bypass Module Issue</t>
        </is>
      </c>
      <c r="K257" s="8" t="inlineStr">
        <is>
          <t>Bhavnagar</t>
        </is>
      </c>
      <c r="L257" s="8" t="inlineStr">
        <is>
          <t>Gujarat</t>
        </is>
      </c>
      <c r="M257" s="2" t="inlineStr">
        <is>
          <t xml:space="preserve">OK </t>
        </is>
      </c>
      <c r="N257" s="2" t="inlineStr">
        <is>
          <t>No Issue Found</t>
        </is>
      </c>
      <c r="O257" s="11" t="n">
        <v>540</v>
      </c>
      <c r="P257" s="2" t="inlineStr">
        <is>
          <t>NSMP2305170998</t>
        </is>
      </c>
      <c r="Q257" s="14">
        <f>MID(P257,5,2)</f>
        <v/>
      </c>
      <c r="R257" s="14">
        <f>MID(P257,7,2)</f>
        <v/>
      </c>
      <c r="S257" s="1" t="inlineStr">
        <is>
          <t>G2B</t>
        </is>
      </c>
      <c r="T257" s="1" t="inlineStr">
        <is>
          <t>P2 - PEPPL</t>
        </is>
      </c>
      <c r="U257" s="6" t="inlineStr">
        <is>
          <t>No Issue Found</t>
        </is>
      </c>
      <c r="V257" s="6" t="inlineStr">
        <is>
          <t>Inspection</t>
        </is>
      </c>
      <c r="W257" s="1" t="inlineStr">
        <is>
          <t>Rejected</t>
        </is>
      </c>
      <c r="X257" s="5" t="n">
        <v>46175</v>
      </c>
      <c r="Y257" s="1">
        <f>IF(X257="","",X257-A257)</f>
        <v/>
      </c>
      <c r="Z257" s="5" t="n">
        <v>46175</v>
      </c>
      <c r="AA257" s="3" t="n"/>
      <c r="AB257" s="3" t="n"/>
      <c r="AE257" s="146">
        <f>IF(AND(F257="Closed",X257&gt;=DATE(2026,6,1),X257&lt;=DATE(2026,6,30)),"Closed in June","other")</f>
        <v/>
      </c>
    </row>
    <row r="258" hidden="1">
      <c r="A258" s="9" t="n">
        <v>46148</v>
      </c>
      <c r="B258" s="1" t="n">
        <v>2026</v>
      </c>
      <c r="C258" s="8" t="inlineStr">
        <is>
          <t>Continuum</t>
        </is>
      </c>
      <c r="D258" s="1" t="inlineStr">
        <is>
          <t>Utility and C&amp;I</t>
        </is>
      </c>
      <c r="E258" s="1" t="n"/>
      <c r="F258" s="1" t="inlineStr">
        <is>
          <t>Closed</t>
        </is>
      </c>
      <c r="G258" s="8" t="inlineStr">
        <is>
          <t>Amiya Ranjan Behera</t>
        </is>
      </c>
      <c r="H258" s="8" t="n">
        <v>8917436223</v>
      </c>
      <c r="I258" s="10" t="inlineStr">
        <is>
          <t>PE06052602</t>
        </is>
      </c>
      <c r="J258" s="8" t="inlineStr">
        <is>
          <t>Diode Bypass Module Issue</t>
        </is>
      </c>
      <c r="K258" s="8" t="inlineStr">
        <is>
          <t>Bhavnagar</t>
        </is>
      </c>
      <c r="L258" s="8" t="inlineStr">
        <is>
          <t>Gujarat</t>
        </is>
      </c>
      <c r="M258" s="2" t="inlineStr">
        <is>
          <t xml:space="preserve">OK </t>
        </is>
      </c>
      <c r="N258" s="2" t="inlineStr">
        <is>
          <t>No Issue Found</t>
        </is>
      </c>
      <c r="O258" s="11" t="n">
        <v>540</v>
      </c>
      <c r="P258" s="2" t="inlineStr">
        <is>
          <t>NSMP2305171087</t>
        </is>
      </c>
      <c r="Q258" s="14">
        <f>MID(P258,5,2)</f>
        <v/>
      </c>
      <c r="R258" s="14">
        <f>MID(P258,7,2)</f>
        <v/>
      </c>
      <c r="S258" s="1" t="inlineStr">
        <is>
          <t>G2B</t>
        </is>
      </c>
      <c r="T258" s="1" t="inlineStr">
        <is>
          <t>P2 - PEPPL</t>
        </is>
      </c>
      <c r="U258" s="6" t="inlineStr">
        <is>
          <t>No Issue Found</t>
        </is>
      </c>
      <c r="V258" s="6" t="inlineStr">
        <is>
          <t>Inspection</t>
        </is>
      </c>
      <c r="W258" s="1" t="inlineStr">
        <is>
          <t>Rejected</t>
        </is>
      </c>
      <c r="X258" s="5" t="n">
        <v>46175</v>
      </c>
      <c r="Y258" s="1">
        <f>IF(X258="","",X258-A258)</f>
        <v/>
      </c>
      <c r="Z258" s="5" t="n">
        <v>46175</v>
      </c>
      <c r="AA258" s="3" t="n"/>
      <c r="AB258" s="3" t="n"/>
      <c r="AE258" s="146">
        <f>IF(AND(F258="Closed",X258&gt;=DATE(2026,6,1),X258&lt;=DATE(2026,6,30)),"Closed in June","other")</f>
        <v/>
      </c>
    </row>
    <row r="259" hidden="1">
      <c r="A259" s="9" t="n">
        <v>46148</v>
      </c>
      <c r="B259" s="1" t="n">
        <v>2026</v>
      </c>
      <c r="C259" s="8" t="inlineStr">
        <is>
          <t>Continuum</t>
        </is>
      </c>
      <c r="D259" s="1" t="inlineStr">
        <is>
          <t>Utility and C&amp;I</t>
        </is>
      </c>
      <c r="E259" s="1" t="n"/>
      <c r="F259" s="1" t="inlineStr">
        <is>
          <t>Closed</t>
        </is>
      </c>
      <c r="G259" s="8" t="inlineStr">
        <is>
          <t>Amiya Ranjan Behera</t>
        </is>
      </c>
      <c r="H259" s="8" t="n">
        <v>8917436223</v>
      </c>
      <c r="I259" s="10" t="inlineStr">
        <is>
          <t>PE06052602</t>
        </is>
      </c>
      <c r="J259" s="8" t="inlineStr">
        <is>
          <t>Diode Bypass Module Issue</t>
        </is>
      </c>
      <c r="K259" s="8" t="inlineStr">
        <is>
          <t>Bhavnagar</t>
        </is>
      </c>
      <c r="L259" s="8" t="inlineStr">
        <is>
          <t>Gujarat</t>
        </is>
      </c>
      <c r="M259" s="2" t="inlineStr">
        <is>
          <t>NR</t>
        </is>
      </c>
      <c r="N259" s="8" t="inlineStr">
        <is>
          <t>JB Issue</t>
        </is>
      </c>
      <c r="O259" s="11" t="n">
        <v>540</v>
      </c>
      <c r="P259" s="2" t="inlineStr">
        <is>
          <t>NSMP2304037176</t>
        </is>
      </c>
      <c r="Q259" s="14">
        <f>MID(P259,5,2)</f>
        <v/>
      </c>
      <c r="R259" s="14">
        <f>MID(P259,7,2)</f>
        <v/>
      </c>
      <c r="S259" s="1" t="inlineStr">
        <is>
          <t>G2B</t>
        </is>
      </c>
      <c r="T259" s="1" t="inlineStr">
        <is>
          <t>P2 - PEPPL</t>
        </is>
      </c>
      <c r="U259" s="6" t="inlineStr">
        <is>
          <t>N JB Issue</t>
        </is>
      </c>
      <c r="V259" s="6" t="inlineStr">
        <is>
          <t>JB Changed</t>
        </is>
      </c>
      <c r="W259" s="1" t="inlineStr">
        <is>
          <t>Repair</t>
        </is>
      </c>
      <c r="X259" s="5" t="n">
        <v>46175</v>
      </c>
      <c r="Y259" s="1">
        <f>IF(X259="","",X259-A259)</f>
        <v/>
      </c>
      <c r="Z259" s="5" t="n">
        <v>46175</v>
      </c>
      <c r="AA259" s="3" t="n"/>
      <c r="AB259" s="3" t="n"/>
      <c r="AE259" s="146">
        <f>IF(AND(F259="Closed",X259&gt;=DATE(2026,6,1),X259&lt;=DATE(2026,6,30)),"Closed in June","other")</f>
        <v/>
      </c>
    </row>
    <row r="260" hidden="1">
      <c r="A260" s="9" t="n">
        <v>46148</v>
      </c>
      <c r="B260" s="1" t="n">
        <v>2026</v>
      </c>
      <c r="C260" s="8" t="inlineStr">
        <is>
          <t>Continuum</t>
        </is>
      </c>
      <c r="D260" s="1" t="inlineStr">
        <is>
          <t>Utility and C&amp;I</t>
        </is>
      </c>
      <c r="E260" s="1" t="n"/>
      <c r="F260" s="1" t="inlineStr">
        <is>
          <t>Closed</t>
        </is>
      </c>
      <c r="G260" s="8" t="inlineStr">
        <is>
          <t>Amiya Ranjan Behera</t>
        </is>
      </c>
      <c r="H260" s="8" t="n">
        <v>8917436223</v>
      </c>
      <c r="I260" s="10" t="inlineStr">
        <is>
          <t>PE06052602</t>
        </is>
      </c>
      <c r="J260" s="8" t="inlineStr">
        <is>
          <t>Diode Bypass Module Issue</t>
        </is>
      </c>
      <c r="K260" s="8" t="inlineStr">
        <is>
          <t>Bhavnagar</t>
        </is>
      </c>
      <c r="L260" s="8" t="inlineStr">
        <is>
          <t>Gujarat</t>
        </is>
      </c>
      <c r="M260" s="2" t="inlineStr">
        <is>
          <t>PS</t>
        </is>
      </c>
      <c r="N260" s="1" t="inlineStr">
        <is>
          <t>Cold Soldering</t>
        </is>
      </c>
      <c r="O260" s="11" t="n">
        <v>540</v>
      </c>
      <c r="P260" s="2" t="inlineStr">
        <is>
          <t>NSMP2304068351</t>
        </is>
      </c>
      <c r="Q260" s="14">
        <f>MID(P260,5,2)</f>
        <v/>
      </c>
      <c r="R260" s="14">
        <f>MID(P260,7,2)</f>
        <v/>
      </c>
      <c r="S260" s="1" t="inlineStr">
        <is>
          <t>G2B</t>
        </is>
      </c>
      <c r="T260" s="1" t="inlineStr">
        <is>
          <t>P2 - PEPPL</t>
        </is>
      </c>
      <c r="U260" s="1" t="inlineStr">
        <is>
          <t>P JB Cold Soldering</t>
        </is>
      </c>
      <c r="V260" s="1" t="inlineStr">
        <is>
          <t>Soldering</t>
        </is>
      </c>
      <c r="W260" s="1" t="inlineStr">
        <is>
          <t>Repair</t>
        </is>
      </c>
      <c r="X260" s="5" t="n">
        <v>46175</v>
      </c>
      <c r="Y260" s="1">
        <f>IF(X260="","",X260-A260)</f>
        <v/>
      </c>
      <c r="Z260" s="5" t="n">
        <v>46175</v>
      </c>
      <c r="AA260" s="3" t="n"/>
      <c r="AB260" s="3" t="n"/>
      <c r="AE260" s="146">
        <f>IF(AND(F260="Closed",X260&gt;=DATE(2026,6,1),X260&lt;=DATE(2026,6,30)),"Closed in June","other")</f>
        <v/>
      </c>
    </row>
    <row r="261" hidden="1">
      <c r="A261" s="9" t="n">
        <v>46148</v>
      </c>
      <c r="B261" s="1" t="n">
        <v>2026</v>
      </c>
      <c r="C261" s="8" t="inlineStr">
        <is>
          <t>Continuum</t>
        </is>
      </c>
      <c r="D261" s="1" t="inlineStr">
        <is>
          <t>Utility and C&amp;I</t>
        </is>
      </c>
      <c r="E261" s="1" t="n"/>
      <c r="F261" s="1" t="inlineStr">
        <is>
          <t>Closed</t>
        </is>
      </c>
      <c r="G261" s="8" t="inlineStr">
        <is>
          <t>Amiya Ranjan Behera</t>
        </is>
      </c>
      <c r="H261" s="8" t="n">
        <v>8917436223</v>
      </c>
      <c r="I261" s="10" t="inlineStr">
        <is>
          <t>PE06052602</t>
        </is>
      </c>
      <c r="J261" s="8" t="inlineStr">
        <is>
          <t>Diode Bypass Module Issue</t>
        </is>
      </c>
      <c r="K261" s="8" t="inlineStr">
        <is>
          <t>Bhavnagar</t>
        </is>
      </c>
      <c r="L261" s="8" t="inlineStr">
        <is>
          <t>Gujarat</t>
        </is>
      </c>
      <c r="M261" s="2" t="inlineStr">
        <is>
          <t>PS</t>
        </is>
      </c>
      <c r="N261" s="1" t="inlineStr">
        <is>
          <t>Cold Soldering</t>
        </is>
      </c>
      <c r="O261" s="11" t="n">
        <v>540</v>
      </c>
      <c r="P261" s="2" t="inlineStr">
        <is>
          <t>NSMP2304068978</t>
        </is>
      </c>
      <c r="Q261" s="14">
        <f>MID(P261,5,2)</f>
        <v/>
      </c>
      <c r="R261" s="14">
        <f>MID(P261,7,2)</f>
        <v/>
      </c>
      <c r="S261" s="1" t="inlineStr">
        <is>
          <t>G2B</t>
        </is>
      </c>
      <c r="T261" s="1" t="inlineStr">
        <is>
          <t>P2 - PEPPL</t>
        </is>
      </c>
      <c r="U261" s="1" t="inlineStr">
        <is>
          <t>P JB Cold Soldering</t>
        </is>
      </c>
      <c r="V261" s="1" t="inlineStr">
        <is>
          <t>Soldering</t>
        </is>
      </c>
      <c r="W261" s="1" t="inlineStr">
        <is>
          <t>Repair</t>
        </is>
      </c>
      <c r="X261" s="5" t="n">
        <v>46175</v>
      </c>
      <c r="Y261" s="1">
        <f>IF(X261="","",X261-A261)</f>
        <v/>
      </c>
      <c r="Z261" s="5" t="n">
        <v>46175</v>
      </c>
      <c r="AA261" s="3" t="n"/>
      <c r="AB261" s="3" t="n"/>
      <c r="AE261" s="146">
        <f>IF(AND(F261="Closed",X261&gt;=DATE(2026,6,1),X261&lt;=DATE(2026,6,30)),"Closed in June","other")</f>
        <v/>
      </c>
    </row>
    <row r="262" hidden="1">
      <c r="A262" s="9" t="n">
        <v>46148</v>
      </c>
      <c r="B262" s="1" t="n">
        <v>2026</v>
      </c>
      <c r="C262" s="8" t="inlineStr">
        <is>
          <t>Continuum</t>
        </is>
      </c>
      <c r="D262" s="1" t="inlineStr">
        <is>
          <t>Utility and C&amp;I</t>
        </is>
      </c>
      <c r="E262" s="1" t="n"/>
      <c r="F262" s="1" t="inlineStr">
        <is>
          <t>Closed</t>
        </is>
      </c>
      <c r="G262" s="8" t="inlineStr">
        <is>
          <t>Amiya Ranjan Behera</t>
        </is>
      </c>
      <c r="H262" s="8" t="n">
        <v>8917436223</v>
      </c>
      <c r="I262" s="10" t="inlineStr">
        <is>
          <t>PE06052602</t>
        </is>
      </c>
      <c r="J262" s="8" t="inlineStr">
        <is>
          <t>Diode Bypass Module Issue</t>
        </is>
      </c>
      <c r="K262" s="8" t="inlineStr">
        <is>
          <t>Bhavnagar</t>
        </is>
      </c>
      <c r="L262" s="8" t="inlineStr">
        <is>
          <t>Gujarat</t>
        </is>
      </c>
      <c r="M262" s="2" t="inlineStr">
        <is>
          <t>PS</t>
        </is>
      </c>
      <c r="N262" s="1" t="inlineStr">
        <is>
          <t>Cold Soldering</t>
        </is>
      </c>
      <c r="O262" s="11" t="n">
        <v>540</v>
      </c>
      <c r="P262" s="2" t="inlineStr">
        <is>
          <t>NSMP2304068955</t>
        </is>
      </c>
      <c r="Q262" s="14">
        <f>MID(P262,5,2)</f>
        <v/>
      </c>
      <c r="R262" s="14">
        <f>MID(P262,7,2)</f>
        <v/>
      </c>
      <c r="S262" s="1" t="inlineStr">
        <is>
          <t>G2B</t>
        </is>
      </c>
      <c r="T262" s="1" t="inlineStr">
        <is>
          <t>P2 - PEPPL</t>
        </is>
      </c>
      <c r="U262" s="1" t="inlineStr">
        <is>
          <t>P JB Cold Soldering</t>
        </is>
      </c>
      <c r="V262" s="1" t="inlineStr">
        <is>
          <t>Soldering</t>
        </is>
      </c>
      <c r="W262" s="1" t="inlineStr">
        <is>
          <t>Repair</t>
        </is>
      </c>
      <c r="X262" s="5" t="n">
        <v>46175</v>
      </c>
      <c r="Y262" s="1">
        <f>IF(X262="","",X262-A262)</f>
        <v/>
      </c>
      <c r="Z262" s="5" t="n">
        <v>46175</v>
      </c>
      <c r="AA262" s="3" t="n"/>
      <c r="AB262" s="3" t="n"/>
      <c r="AE262" s="146">
        <f>IF(AND(F262="Closed",X262&gt;=DATE(2026,6,1),X262&lt;=DATE(2026,6,30)),"Closed in June","other")</f>
        <v/>
      </c>
    </row>
    <row r="263" hidden="1">
      <c r="A263" s="9" t="n">
        <v>46148</v>
      </c>
      <c r="B263" s="1" t="n">
        <v>2026</v>
      </c>
      <c r="C263" s="8" t="inlineStr">
        <is>
          <t>Continuum</t>
        </is>
      </c>
      <c r="D263" s="1" t="inlineStr">
        <is>
          <t>Utility and C&amp;I</t>
        </is>
      </c>
      <c r="E263" s="1" t="n"/>
      <c r="F263" s="1" t="inlineStr">
        <is>
          <t>Closed</t>
        </is>
      </c>
      <c r="G263" s="8" t="inlineStr">
        <is>
          <t>Amiya Ranjan Behera</t>
        </is>
      </c>
      <c r="H263" s="8" t="n">
        <v>8917436223</v>
      </c>
      <c r="I263" s="10" t="inlineStr">
        <is>
          <t>PE06052602</t>
        </is>
      </c>
      <c r="J263" s="8" t="inlineStr">
        <is>
          <t>Diode Bypass Module Issue</t>
        </is>
      </c>
      <c r="K263" s="8" t="inlineStr">
        <is>
          <t>Bhavnagar</t>
        </is>
      </c>
      <c r="L263" s="8" t="inlineStr">
        <is>
          <t>Gujarat</t>
        </is>
      </c>
      <c r="M263" s="2" t="inlineStr">
        <is>
          <t>NS</t>
        </is>
      </c>
      <c r="N263" s="8" t="inlineStr">
        <is>
          <t>Cold Soldering</t>
        </is>
      </c>
      <c r="O263" s="11" t="n">
        <v>540</v>
      </c>
      <c r="P263" s="2" t="inlineStr">
        <is>
          <t>NSMP2304068960</t>
        </is>
      </c>
      <c r="Q263" s="14">
        <f>MID(P263,5,2)</f>
        <v/>
      </c>
      <c r="R263" s="14">
        <f>MID(P263,7,2)</f>
        <v/>
      </c>
      <c r="S263" s="1" t="inlineStr">
        <is>
          <t>G2B</t>
        </is>
      </c>
      <c r="T263" s="1" t="inlineStr">
        <is>
          <t>P2 - PEPPL</t>
        </is>
      </c>
      <c r="U263" s="6" t="inlineStr">
        <is>
          <t>N JB Cold Soldering</t>
        </is>
      </c>
      <c r="V263" s="6" t="inlineStr">
        <is>
          <t>Soldering</t>
        </is>
      </c>
      <c r="W263" s="1" t="inlineStr">
        <is>
          <t>Repair</t>
        </is>
      </c>
      <c r="X263" s="5" t="n">
        <v>46175</v>
      </c>
      <c r="Y263" s="1">
        <f>IF(X263="","",X263-A263)</f>
        <v/>
      </c>
      <c r="Z263" s="5" t="n">
        <v>46175</v>
      </c>
      <c r="AA263" s="3" t="n"/>
      <c r="AB263" s="3" t="n"/>
      <c r="AE263" s="146">
        <f>IF(AND(F263="Closed",X263&gt;=DATE(2026,6,1),X263&lt;=DATE(2026,6,30)),"Closed in June","other")</f>
        <v/>
      </c>
    </row>
    <row r="264" hidden="1">
      <c r="A264" s="9" t="n">
        <v>46148</v>
      </c>
      <c r="B264" s="1" t="n">
        <v>2026</v>
      </c>
      <c r="C264" s="8" t="inlineStr">
        <is>
          <t>Continuum</t>
        </is>
      </c>
      <c r="D264" s="1" t="inlineStr">
        <is>
          <t>Utility and C&amp;I</t>
        </is>
      </c>
      <c r="E264" s="1" t="n"/>
      <c r="F264" s="1" t="inlineStr">
        <is>
          <t>Closed</t>
        </is>
      </c>
      <c r="G264" s="8" t="inlineStr">
        <is>
          <t>Amiya Ranjan Behera</t>
        </is>
      </c>
      <c r="H264" s="8" t="n">
        <v>8917436223</v>
      </c>
      <c r="I264" s="10" t="inlineStr">
        <is>
          <t>PE06052602</t>
        </is>
      </c>
      <c r="J264" s="8" t="inlineStr">
        <is>
          <t>Diode Bypass Module Issue</t>
        </is>
      </c>
      <c r="K264" s="8" t="inlineStr">
        <is>
          <t>Bhavnagar</t>
        </is>
      </c>
      <c r="L264" s="8" t="inlineStr">
        <is>
          <t>Gujarat</t>
        </is>
      </c>
      <c r="M264" s="2" t="inlineStr">
        <is>
          <t>PS</t>
        </is>
      </c>
      <c r="N264" s="1" t="inlineStr">
        <is>
          <t>Cold Soldering</t>
        </is>
      </c>
      <c r="O264" s="11" t="n">
        <v>540</v>
      </c>
      <c r="P264" s="2" t="inlineStr">
        <is>
          <t>NSMP2304068934</t>
        </is>
      </c>
      <c r="Q264" s="14">
        <f>MID(P264,5,2)</f>
        <v/>
      </c>
      <c r="R264" s="14">
        <f>MID(P264,7,2)</f>
        <v/>
      </c>
      <c r="S264" s="1" t="inlineStr">
        <is>
          <t>G2B</t>
        </is>
      </c>
      <c r="T264" s="1" t="inlineStr">
        <is>
          <t>P2 - PEPPL</t>
        </is>
      </c>
      <c r="U264" s="1" t="inlineStr">
        <is>
          <t>P JB Cold Soldering</t>
        </is>
      </c>
      <c r="V264" s="1" t="inlineStr">
        <is>
          <t>Soldering</t>
        </is>
      </c>
      <c r="W264" s="1" t="inlineStr">
        <is>
          <t>Repair</t>
        </is>
      </c>
      <c r="X264" s="5" t="n">
        <v>46175</v>
      </c>
      <c r="Y264" s="1">
        <f>IF(X264="","",X264-A264)</f>
        <v/>
      </c>
      <c r="Z264" s="5" t="n">
        <v>46175</v>
      </c>
      <c r="AA264" s="3" t="n"/>
      <c r="AB264" s="3" t="n"/>
      <c r="AE264" s="146">
        <f>IF(AND(F264="Closed",X264&gt;=DATE(2026,6,1),X264&lt;=DATE(2026,6,30)),"Closed in June","other")</f>
        <v/>
      </c>
    </row>
    <row r="265" hidden="1">
      <c r="A265" s="9" t="n">
        <v>46148</v>
      </c>
      <c r="B265" s="1" t="n">
        <v>2026</v>
      </c>
      <c r="C265" s="8" t="inlineStr">
        <is>
          <t>Continuum</t>
        </is>
      </c>
      <c r="D265" s="1" t="inlineStr">
        <is>
          <t>Utility and C&amp;I</t>
        </is>
      </c>
      <c r="E265" s="1" t="n"/>
      <c r="F265" s="1" t="inlineStr">
        <is>
          <t>Closed</t>
        </is>
      </c>
      <c r="G265" s="8" t="inlineStr">
        <is>
          <t>Amiya Ranjan Behera</t>
        </is>
      </c>
      <c r="H265" s="8" t="n">
        <v>8917436223</v>
      </c>
      <c r="I265" s="10" t="inlineStr">
        <is>
          <t>PE06052602</t>
        </is>
      </c>
      <c r="J265" s="8" t="inlineStr">
        <is>
          <t>Diode Bypass Module Issue</t>
        </is>
      </c>
      <c r="K265" s="8" t="inlineStr">
        <is>
          <t>Bhavnagar</t>
        </is>
      </c>
      <c r="L265" s="8" t="inlineStr">
        <is>
          <t>Gujarat</t>
        </is>
      </c>
      <c r="M265" s="2" t="inlineStr">
        <is>
          <t>PR</t>
        </is>
      </c>
      <c r="N265" s="1" t="inlineStr">
        <is>
          <t>JB Issue</t>
        </is>
      </c>
      <c r="O265" s="11" t="n">
        <v>540</v>
      </c>
      <c r="P265" s="2" t="inlineStr">
        <is>
          <t>NSMP2304010191</t>
        </is>
      </c>
      <c r="Q265" s="14">
        <f>MID(P265,5,2)</f>
        <v/>
      </c>
      <c r="R265" s="14">
        <f>MID(P265,7,2)</f>
        <v/>
      </c>
      <c r="S265" s="1" t="inlineStr">
        <is>
          <t>G2B</t>
        </is>
      </c>
      <c r="T265" s="1" t="inlineStr">
        <is>
          <t>P2 - PEPPL</t>
        </is>
      </c>
      <c r="U265" s="1" t="inlineStr">
        <is>
          <t>P JB Issue</t>
        </is>
      </c>
      <c r="V265" s="3" t="inlineStr">
        <is>
          <t>JB Changed</t>
        </is>
      </c>
      <c r="W265" s="1" t="inlineStr">
        <is>
          <t>Repair</t>
        </is>
      </c>
      <c r="X265" s="5" t="n">
        <v>46175</v>
      </c>
      <c r="Y265" s="1">
        <f>IF(X265="","",X265-A265)</f>
        <v/>
      </c>
      <c r="Z265" s="5" t="n">
        <v>46175</v>
      </c>
      <c r="AA265" s="3" t="n"/>
      <c r="AB265" s="3" t="n"/>
      <c r="AE265" s="146">
        <f>IF(AND(F265="Closed",X265&gt;=DATE(2026,6,1),X265&lt;=DATE(2026,6,30)),"Closed in June","other")</f>
        <v/>
      </c>
    </row>
    <row r="266" hidden="1">
      <c r="A266" s="9" t="n">
        <v>46148</v>
      </c>
      <c r="B266" s="1" t="n">
        <v>2026</v>
      </c>
      <c r="C266" s="8" t="inlineStr">
        <is>
          <t>Continuum</t>
        </is>
      </c>
      <c r="D266" s="1" t="inlineStr">
        <is>
          <t>Utility and C&amp;I</t>
        </is>
      </c>
      <c r="E266" s="1" t="n"/>
      <c r="F266" s="1" t="inlineStr">
        <is>
          <t>Closed</t>
        </is>
      </c>
      <c r="G266" s="8" t="inlineStr">
        <is>
          <t>Amiya Ranjan Behera</t>
        </is>
      </c>
      <c r="H266" s="8" t="n">
        <v>8917436223</v>
      </c>
      <c r="I266" s="10" t="inlineStr">
        <is>
          <t>PE06052602</t>
        </is>
      </c>
      <c r="J266" s="8" t="inlineStr">
        <is>
          <t>Diode Bypass Module Issue</t>
        </is>
      </c>
      <c r="K266" s="8" t="inlineStr">
        <is>
          <t>Bhavnagar</t>
        </is>
      </c>
      <c r="L266" s="8" t="inlineStr">
        <is>
          <t>Gujarat</t>
        </is>
      </c>
      <c r="M266" s="2" t="inlineStr">
        <is>
          <t>PR</t>
        </is>
      </c>
      <c r="N266" s="1" t="inlineStr">
        <is>
          <t>JB Issue</t>
        </is>
      </c>
      <c r="O266" s="11" t="n">
        <v>540</v>
      </c>
      <c r="P266" s="2" t="inlineStr">
        <is>
          <t>NSMP2304010203</t>
        </is>
      </c>
      <c r="Q266" s="14">
        <f>MID(P266,5,2)</f>
        <v/>
      </c>
      <c r="R266" s="14">
        <f>MID(P266,7,2)</f>
        <v/>
      </c>
      <c r="S266" s="1" t="inlineStr">
        <is>
          <t>G2B</t>
        </is>
      </c>
      <c r="T266" s="1" t="inlineStr">
        <is>
          <t>P2 - PEPPL</t>
        </is>
      </c>
      <c r="U266" s="1" t="inlineStr">
        <is>
          <t>P JB Issue</t>
        </is>
      </c>
      <c r="V266" s="3" t="inlineStr">
        <is>
          <t>JB Changed</t>
        </is>
      </c>
      <c r="W266" s="1" t="inlineStr">
        <is>
          <t>Repair</t>
        </is>
      </c>
      <c r="X266" s="5" t="n">
        <v>46175</v>
      </c>
      <c r="Y266" s="1">
        <f>IF(X266="","",X266-A266)</f>
        <v/>
      </c>
      <c r="Z266" s="5" t="n">
        <v>46175</v>
      </c>
      <c r="AA266" s="3" t="n"/>
      <c r="AB266" s="3" t="n"/>
      <c r="AE266" s="146">
        <f>IF(AND(F266="Closed",X266&gt;=DATE(2026,6,1),X266&lt;=DATE(2026,6,30)),"Closed in June","other")</f>
        <v/>
      </c>
    </row>
    <row r="267" hidden="1">
      <c r="A267" s="9" t="n">
        <v>46148</v>
      </c>
      <c r="B267" s="1" t="n">
        <v>2026</v>
      </c>
      <c r="C267" s="8" t="inlineStr">
        <is>
          <t>Continuum</t>
        </is>
      </c>
      <c r="D267" s="1" t="inlineStr">
        <is>
          <t>Utility and C&amp;I</t>
        </is>
      </c>
      <c r="E267" s="1" t="n"/>
      <c r="F267" s="1" t="inlineStr">
        <is>
          <t>Closed</t>
        </is>
      </c>
      <c r="G267" s="8" t="inlineStr">
        <is>
          <t>Amiya Ranjan Behera</t>
        </is>
      </c>
      <c r="H267" s="8" t="n">
        <v>8917436223</v>
      </c>
      <c r="I267" s="10" t="inlineStr">
        <is>
          <t>PE06052602</t>
        </is>
      </c>
      <c r="J267" s="8" t="inlineStr">
        <is>
          <t>Diode Bypass Module Issue</t>
        </is>
      </c>
      <c r="K267" s="8" t="inlineStr">
        <is>
          <t>Bhavnagar</t>
        </is>
      </c>
      <c r="L267" s="8" t="inlineStr">
        <is>
          <t>Gujarat</t>
        </is>
      </c>
      <c r="M267" s="2" t="inlineStr">
        <is>
          <t>PS</t>
        </is>
      </c>
      <c r="N267" s="1" t="inlineStr">
        <is>
          <t>Cold Soldering</t>
        </is>
      </c>
      <c r="O267" s="11" t="n">
        <v>540</v>
      </c>
      <c r="P267" s="2" t="inlineStr">
        <is>
          <t>NSMP2304010425</t>
        </is>
      </c>
      <c r="Q267" s="14">
        <f>MID(P267,5,2)</f>
        <v/>
      </c>
      <c r="R267" s="14">
        <f>MID(P267,7,2)</f>
        <v/>
      </c>
      <c r="S267" s="1" t="inlineStr">
        <is>
          <t>G2B</t>
        </is>
      </c>
      <c r="T267" s="1" t="inlineStr">
        <is>
          <t>P2 - PEPPL</t>
        </is>
      </c>
      <c r="U267" s="1" t="inlineStr">
        <is>
          <t>P JB Cold Soldering</t>
        </is>
      </c>
      <c r="V267" s="1" t="inlineStr">
        <is>
          <t>Soldering</t>
        </is>
      </c>
      <c r="W267" s="1" t="inlineStr">
        <is>
          <t>Repair</t>
        </is>
      </c>
      <c r="X267" s="5" t="n">
        <v>46175</v>
      </c>
      <c r="Y267" s="1">
        <f>IF(X267="","",X267-A267)</f>
        <v/>
      </c>
      <c r="Z267" s="5" t="n">
        <v>46175</v>
      </c>
      <c r="AA267" s="3" t="n"/>
      <c r="AB267" s="3" t="n"/>
      <c r="AE267" s="146">
        <f>IF(AND(F267="Closed",X267&gt;=DATE(2026,6,1),X267&lt;=DATE(2026,6,30)),"Closed in June","other")</f>
        <v/>
      </c>
    </row>
    <row r="268" hidden="1">
      <c r="A268" s="9" t="n">
        <v>46148</v>
      </c>
      <c r="B268" s="1" t="n">
        <v>2026</v>
      </c>
      <c r="C268" s="8" t="inlineStr">
        <is>
          <t>Continuum</t>
        </is>
      </c>
      <c r="D268" s="1" t="inlineStr">
        <is>
          <t>Utility and C&amp;I</t>
        </is>
      </c>
      <c r="E268" s="1" t="n"/>
      <c r="F268" s="1" t="inlineStr">
        <is>
          <t>Closed</t>
        </is>
      </c>
      <c r="G268" s="8" t="inlineStr">
        <is>
          <t>Amiya Ranjan Behera</t>
        </is>
      </c>
      <c r="H268" s="8" t="n">
        <v>8917436223</v>
      </c>
      <c r="I268" s="10" t="inlineStr">
        <is>
          <t>PE06052602</t>
        </is>
      </c>
      <c r="J268" s="8" t="inlineStr">
        <is>
          <t>Diode Bypass Module Issue</t>
        </is>
      </c>
      <c r="K268" s="8" t="inlineStr">
        <is>
          <t>Bhavnagar</t>
        </is>
      </c>
      <c r="L268" s="8" t="inlineStr">
        <is>
          <t>Gujarat</t>
        </is>
      </c>
      <c r="M268" s="2" t="inlineStr">
        <is>
          <t>PR</t>
        </is>
      </c>
      <c r="N268" s="1" t="inlineStr">
        <is>
          <t>JB Issue</t>
        </is>
      </c>
      <c r="O268" s="11" t="n">
        <v>540</v>
      </c>
      <c r="P268" s="2" t="inlineStr">
        <is>
          <t>NSMP2304010468</t>
        </is>
      </c>
      <c r="Q268" s="14">
        <f>MID(P268,5,2)</f>
        <v/>
      </c>
      <c r="R268" s="14">
        <f>MID(P268,7,2)</f>
        <v/>
      </c>
      <c r="S268" s="1" t="inlineStr">
        <is>
          <t>G2B</t>
        </is>
      </c>
      <c r="T268" s="1" t="inlineStr">
        <is>
          <t>P2 - PEPPL</t>
        </is>
      </c>
      <c r="U268" s="1" t="inlineStr">
        <is>
          <t>P JB Issue</t>
        </is>
      </c>
      <c r="V268" s="3" t="inlineStr">
        <is>
          <t>JB Changed</t>
        </is>
      </c>
      <c r="W268" s="1" t="inlineStr">
        <is>
          <t>Repair</t>
        </is>
      </c>
      <c r="X268" s="5" t="n">
        <v>46175</v>
      </c>
      <c r="Y268" s="1">
        <f>IF(X268="","",X268-A268)</f>
        <v/>
      </c>
      <c r="Z268" s="5" t="n">
        <v>46175</v>
      </c>
      <c r="AA268" s="3" t="n"/>
      <c r="AB268" s="3" t="n"/>
      <c r="AE268" s="146">
        <f>IF(AND(F268="Closed",X268&gt;=DATE(2026,6,1),X268&lt;=DATE(2026,6,30)),"Closed in June","other")</f>
        <v/>
      </c>
    </row>
    <row r="269" hidden="1">
      <c r="A269" s="9" t="n">
        <v>46148</v>
      </c>
      <c r="B269" s="1" t="n">
        <v>2026</v>
      </c>
      <c r="C269" s="8" t="inlineStr">
        <is>
          <t>Continuum</t>
        </is>
      </c>
      <c r="D269" s="1" t="inlineStr">
        <is>
          <t>Utility and C&amp;I</t>
        </is>
      </c>
      <c r="E269" s="1" t="n"/>
      <c r="F269" s="1" t="inlineStr">
        <is>
          <t>Closed</t>
        </is>
      </c>
      <c r="G269" s="8" t="inlineStr">
        <is>
          <t>Amiya Ranjan Behera</t>
        </is>
      </c>
      <c r="H269" s="8" t="n">
        <v>8917436223</v>
      </c>
      <c r="I269" s="10" t="inlineStr">
        <is>
          <t>PE06052602</t>
        </is>
      </c>
      <c r="J269" s="8" t="inlineStr">
        <is>
          <t>Diode Bypass Module Issue</t>
        </is>
      </c>
      <c r="K269" s="8" t="inlineStr">
        <is>
          <t>Bhavnagar</t>
        </is>
      </c>
      <c r="L269" s="8" t="inlineStr">
        <is>
          <t>Gujarat</t>
        </is>
      </c>
      <c r="M269" s="2" t="inlineStr">
        <is>
          <t>PS</t>
        </is>
      </c>
      <c r="N269" s="1" t="inlineStr">
        <is>
          <t>Cold Soldering</t>
        </is>
      </c>
      <c r="O269" s="11" t="n">
        <v>540</v>
      </c>
      <c r="P269" s="2" t="inlineStr">
        <is>
          <t>NSMP2304077223</t>
        </is>
      </c>
      <c r="Q269" s="14">
        <f>MID(P269,5,2)</f>
        <v/>
      </c>
      <c r="R269" s="14">
        <f>MID(P269,7,2)</f>
        <v/>
      </c>
      <c r="S269" s="1" t="inlineStr">
        <is>
          <t>G2B</t>
        </is>
      </c>
      <c r="T269" s="1" t="inlineStr">
        <is>
          <t>P2 - PEPPL</t>
        </is>
      </c>
      <c r="U269" s="1" t="inlineStr">
        <is>
          <t>P JB Cold Soldering</t>
        </is>
      </c>
      <c r="V269" s="1" t="inlineStr">
        <is>
          <t>Soldering</t>
        </is>
      </c>
      <c r="W269" s="1" t="inlineStr">
        <is>
          <t>Repair</t>
        </is>
      </c>
      <c r="X269" s="5" t="n">
        <v>46175</v>
      </c>
      <c r="Y269" s="1">
        <f>IF(X269="","",X269-A269)</f>
        <v/>
      </c>
      <c r="Z269" s="5" t="n">
        <v>46175</v>
      </c>
      <c r="AA269" s="3" t="n"/>
      <c r="AB269" s="3" t="n"/>
      <c r="AE269" s="146">
        <f>IF(AND(F269="Closed",X269&gt;=DATE(2026,6,1),X269&lt;=DATE(2026,6,30)),"Closed in June","other")</f>
        <v/>
      </c>
    </row>
    <row r="270" hidden="1">
      <c r="A270" s="9" t="n">
        <v>46148</v>
      </c>
      <c r="B270" s="1" t="n">
        <v>2026</v>
      </c>
      <c r="C270" s="8" t="inlineStr">
        <is>
          <t>Continuum</t>
        </is>
      </c>
      <c r="D270" s="1" t="inlineStr">
        <is>
          <t>Utility and C&amp;I</t>
        </is>
      </c>
      <c r="E270" s="1" t="n"/>
      <c r="F270" s="1" t="inlineStr">
        <is>
          <t>Closed</t>
        </is>
      </c>
      <c r="G270" s="8" t="inlineStr">
        <is>
          <t>Amiya Ranjan Behera</t>
        </is>
      </c>
      <c r="H270" s="8" t="n">
        <v>8917436223</v>
      </c>
      <c r="I270" s="10" t="inlineStr">
        <is>
          <t>PE06052602</t>
        </is>
      </c>
      <c r="J270" s="8" t="inlineStr">
        <is>
          <t>Diode Bypass Module Issue</t>
        </is>
      </c>
      <c r="K270" s="8" t="inlineStr">
        <is>
          <t>Bhavnagar</t>
        </is>
      </c>
      <c r="L270" s="8" t="inlineStr">
        <is>
          <t>Gujarat</t>
        </is>
      </c>
      <c r="M270" s="2" t="inlineStr">
        <is>
          <t>PR</t>
        </is>
      </c>
      <c r="N270" s="1" t="inlineStr">
        <is>
          <t>JB Issue</t>
        </is>
      </c>
      <c r="O270" s="11" t="n">
        <v>540</v>
      </c>
      <c r="P270" s="2" t="inlineStr">
        <is>
          <t>NSMP2304069586</t>
        </is>
      </c>
      <c r="Q270" s="14">
        <f>MID(P270,5,2)</f>
        <v/>
      </c>
      <c r="R270" s="14">
        <f>MID(P270,7,2)</f>
        <v/>
      </c>
      <c r="S270" s="1" t="inlineStr">
        <is>
          <t>G2B</t>
        </is>
      </c>
      <c r="T270" s="1" t="inlineStr">
        <is>
          <t>P2 - PEPPL</t>
        </is>
      </c>
      <c r="U270" s="1" t="inlineStr">
        <is>
          <t>P JB Issue</t>
        </is>
      </c>
      <c r="V270" s="3" t="inlineStr">
        <is>
          <t>JB Changed</t>
        </is>
      </c>
      <c r="W270" s="1" t="inlineStr">
        <is>
          <t>Repair</t>
        </is>
      </c>
      <c r="X270" s="5" t="n">
        <v>46175</v>
      </c>
      <c r="Y270" s="1">
        <f>IF(X270="","",X270-A270)</f>
        <v/>
      </c>
      <c r="Z270" s="5" t="n">
        <v>46175</v>
      </c>
      <c r="AA270" s="3" t="n"/>
      <c r="AB270" s="3" t="n"/>
      <c r="AE270" s="146">
        <f>IF(AND(F270="Closed",X270&gt;=DATE(2026,6,1),X270&lt;=DATE(2026,6,30)),"Closed in June","other")</f>
        <v/>
      </c>
    </row>
    <row r="271" hidden="1">
      <c r="A271" s="9" t="n">
        <v>46148</v>
      </c>
      <c r="B271" s="1" t="n">
        <v>2026</v>
      </c>
      <c r="C271" s="8" t="inlineStr">
        <is>
          <t>Continuum</t>
        </is>
      </c>
      <c r="D271" s="1" t="inlineStr">
        <is>
          <t>Utility and C&amp;I</t>
        </is>
      </c>
      <c r="E271" s="1" t="n"/>
      <c r="F271" s="1" t="inlineStr">
        <is>
          <t>Closed</t>
        </is>
      </c>
      <c r="G271" s="8" t="inlineStr">
        <is>
          <t>Amiya Ranjan Behera</t>
        </is>
      </c>
      <c r="H271" s="8" t="n">
        <v>8917436223</v>
      </c>
      <c r="I271" s="10" t="inlineStr">
        <is>
          <t>PE06052602</t>
        </is>
      </c>
      <c r="J271" s="8" t="inlineStr">
        <is>
          <t>Diode Bypass Module Issue</t>
        </is>
      </c>
      <c r="K271" s="8" t="inlineStr">
        <is>
          <t>Bhavnagar</t>
        </is>
      </c>
      <c r="L271" s="8" t="inlineStr">
        <is>
          <t>Gujarat</t>
        </is>
      </c>
      <c r="M271" s="2" t="inlineStr">
        <is>
          <t>PR</t>
        </is>
      </c>
      <c r="N271" s="1" t="inlineStr">
        <is>
          <t>JB Issue</t>
        </is>
      </c>
      <c r="O271" s="11" t="n">
        <v>540</v>
      </c>
      <c r="P271" s="2" t="inlineStr">
        <is>
          <t>NSMP2304068652</t>
        </is>
      </c>
      <c r="Q271" s="14">
        <f>MID(P271,5,2)</f>
        <v/>
      </c>
      <c r="R271" s="14">
        <f>MID(P271,7,2)</f>
        <v/>
      </c>
      <c r="S271" s="1" t="inlineStr">
        <is>
          <t>G2B</t>
        </is>
      </c>
      <c r="T271" s="1" t="inlineStr">
        <is>
          <t>P2 - PEPPL</t>
        </is>
      </c>
      <c r="U271" s="1" t="inlineStr">
        <is>
          <t>P JB Issue</t>
        </is>
      </c>
      <c r="V271" s="3" t="inlineStr">
        <is>
          <t>JB Changed</t>
        </is>
      </c>
      <c r="W271" s="1" t="inlineStr">
        <is>
          <t>Repair</t>
        </is>
      </c>
      <c r="X271" s="5" t="n">
        <v>46175</v>
      </c>
      <c r="Y271" s="1">
        <f>IF(X271="","",X271-A271)</f>
        <v/>
      </c>
      <c r="Z271" s="5" t="n">
        <v>46175</v>
      </c>
      <c r="AA271" s="3" t="n"/>
      <c r="AB271" s="3" t="n"/>
      <c r="AE271" s="146">
        <f>IF(AND(F271="Closed",X271&gt;=DATE(2026,6,1),X271&lt;=DATE(2026,6,30)),"Closed in June","other")</f>
        <v/>
      </c>
    </row>
    <row r="272" hidden="1">
      <c r="A272" s="9" t="n">
        <v>46158</v>
      </c>
      <c r="B272" s="1" t="n">
        <v>2026</v>
      </c>
      <c r="C272" s="8" t="inlineStr">
        <is>
          <t>Shakti Pump</t>
        </is>
      </c>
      <c r="D272" s="8" t="inlineStr">
        <is>
          <t>Solar Pump</t>
        </is>
      </c>
      <c r="E272" s="1" t="n"/>
      <c r="F272" s="1" t="inlineStr">
        <is>
          <t>Closed</t>
        </is>
      </c>
      <c r="G272" s="8" t="inlineStr">
        <is>
          <t xml:space="preserve">Rahul Gupta </t>
        </is>
      </c>
      <c r="H272" s="48" t="n">
        <v>9890778332</v>
      </c>
      <c r="I272" s="10" t="inlineStr">
        <is>
          <t>PE16052602</t>
        </is>
      </c>
      <c r="J272" s="8" t="inlineStr">
        <is>
          <t xml:space="preserve"> Junction box issue</t>
        </is>
      </c>
      <c r="K272" s="8" t="inlineStr">
        <is>
          <t>BEED</t>
        </is>
      </c>
      <c r="L272" s="11" t="inlineStr">
        <is>
          <t>Maharashtra</t>
        </is>
      </c>
      <c r="M272" s="2" t="inlineStr">
        <is>
          <t>AR</t>
        </is>
      </c>
      <c r="N272" s="1" t="inlineStr">
        <is>
          <t>JB Issue</t>
        </is>
      </c>
      <c r="O272" s="8" t="n">
        <v>535</v>
      </c>
      <c r="P272" s="2" t="inlineStr">
        <is>
          <t>NSMPC2504013240</t>
        </is>
      </c>
      <c r="Q272" s="14">
        <f>MID(P272,6,2)</f>
        <v/>
      </c>
      <c r="R272" s="14">
        <f>MID(P272,8,2)</f>
        <v/>
      </c>
      <c r="S272" s="1" t="inlineStr">
        <is>
          <t>G2TB</t>
        </is>
      </c>
      <c r="T272" s="1" t="inlineStr">
        <is>
          <t>P2 - PEPPL</t>
        </is>
      </c>
      <c r="U272" s="6" t="inlineStr">
        <is>
          <t>All JB Issue</t>
        </is>
      </c>
      <c r="V272" s="1" t="inlineStr">
        <is>
          <t>JB Changed</t>
        </is>
      </c>
      <c r="W272" s="1" t="inlineStr">
        <is>
          <t>Repair</t>
        </is>
      </c>
      <c r="X272" s="5" t="n">
        <v>46175</v>
      </c>
      <c r="Y272" s="1">
        <f>IF(X272="","",X272-A272)</f>
        <v/>
      </c>
      <c r="Z272" s="5" t="n">
        <v>46175</v>
      </c>
      <c r="AA272" s="3" t="n"/>
      <c r="AB272" s="3" t="n"/>
      <c r="AE272" s="146">
        <f>IF(AND(F272="Closed",X272&gt;=DATE(2026,6,1),X272&lt;=DATE(2026,6,30)),"Closed in June","other")</f>
        <v/>
      </c>
    </row>
    <row r="273" hidden="1">
      <c r="A273" s="9" t="n">
        <v>46158</v>
      </c>
      <c r="B273" s="1" t="n">
        <v>2026</v>
      </c>
      <c r="C273" s="8" t="inlineStr">
        <is>
          <t>Shakti Pump</t>
        </is>
      </c>
      <c r="D273" s="8" t="inlineStr">
        <is>
          <t>Solar Pump</t>
        </is>
      </c>
      <c r="E273" s="1" t="n"/>
      <c r="F273" s="1" t="inlineStr">
        <is>
          <t>Closed</t>
        </is>
      </c>
      <c r="G273" s="8" t="inlineStr">
        <is>
          <t xml:space="preserve">Rahul Gupta </t>
        </is>
      </c>
      <c r="H273" s="48" t="n">
        <v>9890778332</v>
      </c>
      <c r="I273" s="10" t="inlineStr">
        <is>
          <t>PE16052602</t>
        </is>
      </c>
      <c r="J273" s="8" t="inlineStr">
        <is>
          <t xml:space="preserve"> Junction box issue</t>
        </is>
      </c>
      <c r="K273" s="8" t="inlineStr">
        <is>
          <t>BEED</t>
        </is>
      </c>
      <c r="L273" s="11" t="inlineStr">
        <is>
          <t>Maharashtra</t>
        </is>
      </c>
      <c r="M273" s="2" t="inlineStr">
        <is>
          <t>AR</t>
        </is>
      </c>
      <c r="N273" s="1" t="inlineStr">
        <is>
          <t>JB Issue</t>
        </is>
      </c>
      <c r="O273" s="8" t="n">
        <v>535</v>
      </c>
      <c r="P273" s="17" t="inlineStr">
        <is>
          <t>NSMPC2504013267</t>
        </is>
      </c>
      <c r="Q273" s="14">
        <f>MID(P273,6,2)</f>
        <v/>
      </c>
      <c r="R273" s="14">
        <f>MID(P273,8,2)</f>
        <v/>
      </c>
      <c r="S273" s="1" t="inlineStr">
        <is>
          <t>G2TB</t>
        </is>
      </c>
      <c r="T273" s="1" t="inlineStr">
        <is>
          <t>P2 - PEPPL</t>
        </is>
      </c>
      <c r="U273" s="6" t="inlineStr">
        <is>
          <t>All JB Issue</t>
        </is>
      </c>
      <c r="V273" s="1" t="inlineStr">
        <is>
          <t>JB Changed</t>
        </is>
      </c>
      <c r="W273" s="1" t="inlineStr">
        <is>
          <t>Repair</t>
        </is>
      </c>
      <c r="X273" s="5" t="n">
        <v>46175</v>
      </c>
      <c r="Y273" s="1">
        <f>IF(X273="","",X273-A273)</f>
        <v/>
      </c>
      <c r="Z273" s="5" t="n">
        <v>46175</v>
      </c>
      <c r="AA273" s="3" t="n"/>
      <c r="AB273" s="3" t="n"/>
      <c r="AE273" s="146">
        <f>IF(AND(F273="Closed",X273&gt;=DATE(2026,6,1),X273&lt;=DATE(2026,6,30)),"Closed in June","other")</f>
        <v/>
      </c>
    </row>
    <row r="274" hidden="1">
      <c r="A274" s="9" t="n">
        <v>46158</v>
      </c>
      <c r="B274" s="1" t="n">
        <v>2026</v>
      </c>
      <c r="C274" s="8" t="inlineStr">
        <is>
          <t>Shakti Pump</t>
        </is>
      </c>
      <c r="D274" s="8" t="inlineStr">
        <is>
          <t>Solar Pump</t>
        </is>
      </c>
      <c r="E274" s="1" t="n"/>
      <c r="F274" s="1" t="inlineStr">
        <is>
          <t>Closed</t>
        </is>
      </c>
      <c r="G274" s="8" t="inlineStr">
        <is>
          <t xml:space="preserve">Rahul Gupta </t>
        </is>
      </c>
      <c r="H274" s="48" t="n">
        <v>9890778332</v>
      </c>
      <c r="I274" s="10" t="inlineStr">
        <is>
          <t>PE16052602</t>
        </is>
      </c>
      <c r="J274" s="8" t="inlineStr">
        <is>
          <t xml:space="preserve"> Junction box issue</t>
        </is>
      </c>
      <c r="K274" s="8" t="inlineStr">
        <is>
          <t>BEED</t>
        </is>
      </c>
      <c r="L274" s="11" t="inlineStr">
        <is>
          <t>Maharashtra</t>
        </is>
      </c>
      <c r="M274" s="2" t="inlineStr">
        <is>
          <t>AR</t>
        </is>
      </c>
      <c r="N274" s="1" t="inlineStr">
        <is>
          <t>JB Issue</t>
        </is>
      </c>
      <c r="O274" s="8" t="n">
        <v>535</v>
      </c>
      <c r="P274" s="2" t="inlineStr">
        <is>
          <t>NSMPC2504013245</t>
        </is>
      </c>
      <c r="Q274" s="14">
        <f>MID(P274,6,2)</f>
        <v/>
      </c>
      <c r="R274" s="14">
        <f>MID(P274,8,2)</f>
        <v/>
      </c>
      <c r="S274" s="1" t="inlineStr">
        <is>
          <t>G2TB</t>
        </is>
      </c>
      <c r="T274" s="1" t="inlineStr">
        <is>
          <t>P2 - PEPPL</t>
        </is>
      </c>
      <c r="U274" s="6" t="inlineStr">
        <is>
          <t>All JB Issue</t>
        </is>
      </c>
      <c r="V274" s="1" t="inlineStr">
        <is>
          <t>JB Changed</t>
        </is>
      </c>
      <c r="W274" s="1" t="inlineStr">
        <is>
          <t>Repair</t>
        </is>
      </c>
      <c r="X274" s="5" t="n">
        <v>46175</v>
      </c>
      <c r="Y274" s="1">
        <f>IF(X274="","",X274-A274)</f>
        <v/>
      </c>
      <c r="Z274" s="5" t="n">
        <v>46175</v>
      </c>
      <c r="AA274" s="3" t="n"/>
      <c r="AB274" s="3" t="n"/>
      <c r="AE274" s="146">
        <f>IF(AND(F274="Closed",X274&gt;=DATE(2026,6,1),X274&lt;=DATE(2026,6,30)),"Closed in June","other")</f>
        <v/>
      </c>
    </row>
    <row r="275" hidden="1">
      <c r="A275" s="9" t="n">
        <v>46158</v>
      </c>
      <c r="B275" s="1" t="n">
        <v>2026</v>
      </c>
      <c r="C275" s="8" t="inlineStr">
        <is>
          <t>Shakti Pump</t>
        </is>
      </c>
      <c r="D275" s="8" t="inlineStr">
        <is>
          <t>Solar Pump</t>
        </is>
      </c>
      <c r="E275" s="1" t="n"/>
      <c r="F275" s="1" t="inlineStr">
        <is>
          <t>Closed</t>
        </is>
      </c>
      <c r="G275" s="8" t="inlineStr">
        <is>
          <t xml:space="preserve">Rahul Gupta </t>
        </is>
      </c>
      <c r="H275" s="48" t="n">
        <v>9890778332</v>
      </c>
      <c r="I275" s="10" t="inlineStr">
        <is>
          <t>PE16052602</t>
        </is>
      </c>
      <c r="J275" s="8" t="inlineStr">
        <is>
          <t xml:space="preserve"> Junction box issue</t>
        </is>
      </c>
      <c r="K275" s="8" t="inlineStr">
        <is>
          <t>BEED</t>
        </is>
      </c>
      <c r="L275" s="11" t="inlineStr">
        <is>
          <t>Maharashtra</t>
        </is>
      </c>
      <c r="M275" s="2" t="inlineStr">
        <is>
          <t>AR</t>
        </is>
      </c>
      <c r="N275" s="1" t="inlineStr">
        <is>
          <t>JB Issue</t>
        </is>
      </c>
      <c r="O275" s="8" t="n">
        <v>535</v>
      </c>
      <c r="P275" s="2" t="inlineStr">
        <is>
          <t>NSMPC2504013235</t>
        </is>
      </c>
      <c r="Q275" s="14">
        <f>MID(P275,6,2)</f>
        <v/>
      </c>
      <c r="R275" s="14">
        <f>MID(P275,8,2)</f>
        <v/>
      </c>
      <c r="S275" s="1" t="inlineStr">
        <is>
          <t>G2TB</t>
        </is>
      </c>
      <c r="T275" s="1" t="inlineStr">
        <is>
          <t>P2 - PEPPL</t>
        </is>
      </c>
      <c r="U275" s="6" t="inlineStr">
        <is>
          <t>All JB Issue</t>
        </is>
      </c>
      <c r="V275" s="1" t="inlineStr">
        <is>
          <t>JB Changed</t>
        </is>
      </c>
      <c r="W275" s="1" t="inlineStr">
        <is>
          <t>Repair</t>
        </is>
      </c>
      <c r="X275" s="5" t="n">
        <v>46175</v>
      </c>
      <c r="Y275" s="1">
        <f>IF(X275="","",X275-A275)</f>
        <v/>
      </c>
      <c r="Z275" s="5" t="n">
        <v>46175</v>
      </c>
      <c r="AA275" s="3" t="n"/>
      <c r="AB275" s="3" t="n"/>
      <c r="AE275" s="146">
        <f>IF(AND(F275="Closed",X275&gt;=DATE(2026,6,1),X275&lt;=DATE(2026,6,30)),"Closed in June","other")</f>
        <v/>
      </c>
    </row>
    <row r="276" hidden="1">
      <c r="A276" s="9" t="n">
        <v>46158</v>
      </c>
      <c r="B276" s="1" t="n">
        <v>2026</v>
      </c>
      <c r="C276" s="8" t="inlineStr">
        <is>
          <t>Shakti Pump</t>
        </is>
      </c>
      <c r="D276" s="8" t="inlineStr">
        <is>
          <t>Solar Pump</t>
        </is>
      </c>
      <c r="E276" s="1" t="n"/>
      <c r="F276" s="1" t="inlineStr">
        <is>
          <t>Closed</t>
        </is>
      </c>
      <c r="G276" s="8" t="inlineStr">
        <is>
          <t xml:space="preserve">Rahul Gupta </t>
        </is>
      </c>
      <c r="H276" s="48" t="n">
        <v>9890778332</v>
      </c>
      <c r="I276" s="10" t="inlineStr">
        <is>
          <t>PE16052602</t>
        </is>
      </c>
      <c r="J276" s="8" t="inlineStr">
        <is>
          <t xml:space="preserve"> Junction box issue</t>
        </is>
      </c>
      <c r="K276" s="8" t="inlineStr">
        <is>
          <t>BEED</t>
        </is>
      </c>
      <c r="L276" s="11" t="inlineStr">
        <is>
          <t>Maharashtra</t>
        </is>
      </c>
      <c r="M276" s="2" t="inlineStr">
        <is>
          <t>AR</t>
        </is>
      </c>
      <c r="N276" s="1" t="inlineStr">
        <is>
          <t>JB Issue</t>
        </is>
      </c>
      <c r="O276" s="8" t="n">
        <v>535</v>
      </c>
      <c r="P276" s="2" t="inlineStr">
        <is>
          <t>NSMPC2504013228</t>
        </is>
      </c>
      <c r="Q276" s="14">
        <f>MID(P276,6,2)</f>
        <v/>
      </c>
      <c r="R276" s="14">
        <f>MID(P276,8,2)</f>
        <v/>
      </c>
      <c r="S276" s="1" t="inlineStr">
        <is>
          <t>G2TB</t>
        </is>
      </c>
      <c r="T276" s="1" t="inlineStr">
        <is>
          <t>P2 - PEPPL</t>
        </is>
      </c>
      <c r="U276" s="6" t="inlineStr">
        <is>
          <t>All JB Issue</t>
        </is>
      </c>
      <c r="V276" s="1" t="inlineStr">
        <is>
          <t>JB Changed</t>
        </is>
      </c>
      <c r="W276" s="1" t="inlineStr">
        <is>
          <t>Repair</t>
        </is>
      </c>
      <c r="X276" s="5" t="n">
        <v>46175</v>
      </c>
      <c r="Y276" s="1">
        <f>IF(X276="","",X276-A276)</f>
        <v/>
      </c>
      <c r="Z276" s="5" t="n">
        <v>46175</v>
      </c>
      <c r="AA276" s="3" t="n"/>
      <c r="AB276" s="3" t="n"/>
      <c r="AE276" s="146">
        <f>IF(AND(F276="Closed",X276&gt;=DATE(2026,6,1),X276&lt;=DATE(2026,6,30)),"Closed in June","other")</f>
        <v/>
      </c>
    </row>
    <row r="277" hidden="1">
      <c r="A277" s="9" t="n">
        <v>46158</v>
      </c>
      <c r="B277" s="1" t="n">
        <v>2026</v>
      </c>
      <c r="C277" s="8" t="inlineStr">
        <is>
          <t>Shakti Pump</t>
        </is>
      </c>
      <c r="D277" s="8" t="inlineStr">
        <is>
          <t>Solar Pump</t>
        </is>
      </c>
      <c r="E277" s="1" t="n"/>
      <c r="F277" s="1" t="inlineStr">
        <is>
          <t>Closed</t>
        </is>
      </c>
      <c r="G277" s="8" t="inlineStr">
        <is>
          <t xml:space="preserve">Rahul Gupta </t>
        </is>
      </c>
      <c r="H277" s="48" t="n">
        <v>9890778332</v>
      </c>
      <c r="I277" s="10" t="inlineStr">
        <is>
          <t>PE16052602</t>
        </is>
      </c>
      <c r="J277" s="8" t="inlineStr">
        <is>
          <t xml:space="preserve"> Junction box issue</t>
        </is>
      </c>
      <c r="K277" s="8" t="inlineStr">
        <is>
          <t>BEED</t>
        </is>
      </c>
      <c r="L277" s="11" t="inlineStr">
        <is>
          <t>Maharashtra</t>
        </is>
      </c>
      <c r="M277" s="2" t="inlineStr">
        <is>
          <t>AR</t>
        </is>
      </c>
      <c r="N277" s="1" t="inlineStr">
        <is>
          <t>JB Issue</t>
        </is>
      </c>
      <c r="O277" s="8" t="n">
        <v>535</v>
      </c>
      <c r="P277" s="2" t="inlineStr">
        <is>
          <t>NSMPC2504013206</t>
        </is>
      </c>
      <c r="Q277" s="14">
        <f>MID(P277,6,2)</f>
        <v/>
      </c>
      <c r="R277" s="14">
        <f>MID(P277,8,2)</f>
        <v/>
      </c>
      <c r="S277" s="1" t="inlineStr">
        <is>
          <t>G2TB</t>
        </is>
      </c>
      <c r="T277" s="1" t="inlineStr">
        <is>
          <t>P2 - PEPPL</t>
        </is>
      </c>
      <c r="U277" s="6" t="inlineStr">
        <is>
          <t>All JB Issue</t>
        </is>
      </c>
      <c r="V277" s="1" t="inlineStr">
        <is>
          <t>JB Changed</t>
        </is>
      </c>
      <c r="W277" s="1" t="inlineStr">
        <is>
          <t>Repair</t>
        </is>
      </c>
      <c r="X277" s="5" t="n">
        <v>46175</v>
      </c>
      <c r="Y277" s="1">
        <f>IF(X277="","",X277-A277)</f>
        <v/>
      </c>
      <c r="Z277" s="5" t="n">
        <v>46175</v>
      </c>
      <c r="AA277" s="3" t="n"/>
      <c r="AB277" s="3" t="n"/>
      <c r="AE277" s="146">
        <f>IF(AND(F277="Closed",X277&gt;=DATE(2026,6,1),X277&lt;=DATE(2026,6,30)),"Closed in June","other")</f>
        <v/>
      </c>
    </row>
    <row r="278" hidden="1">
      <c r="A278" s="9" t="n">
        <v>46158</v>
      </c>
      <c r="B278" s="1" t="n">
        <v>2026</v>
      </c>
      <c r="C278" s="8" t="inlineStr">
        <is>
          <t>Shakti Pump</t>
        </is>
      </c>
      <c r="D278" s="8" t="inlineStr">
        <is>
          <t>Solar Pump</t>
        </is>
      </c>
      <c r="E278" s="1" t="n"/>
      <c r="F278" s="1" t="inlineStr">
        <is>
          <t>Closed</t>
        </is>
      </c>
      <c r="G278" s="8" t="inlineStr">
        <is>
          <t xml:space="preserve">Rahul Gupta </t>
        </is>
      </c>
      <c r="H278" s="48" t="n">
        <v>9890778332</v>
      </c>
      <c r="I278" s="10" t="inlineStr">
        <is>
          <t>PE16052602</t>
        </is>
      </c>
      <c r="J278" s="8" t="inlineStr">
        <is>
          <t xml:space="preserve"> Junction box issue</t>
        </is>
      </c>
      <c r="K278" s="8" t="inlineStr">
        <is>
          <t>BEED</t>
        </is>
      </c>
      <c r="L278" s="11" t="inlineStr">
        <is>
          <t>Maharashtra</t>
        </is>
      </c>
      <c r="M278" s="2" t="inlineStr">
        <is>
          <t>AR</t>
        </is>
      </c>
      <c r="N278" s="1" t="inlineStr">
        <is>
          <t>JB Issue</t>
        </is>
      </c>
      <c r="O278" s="8" t="n">
        <v>535</v>
      </c>
      <c r="P278" s="2" t="inlineStr">
        <is>
          <t>NSMPC2504013265</t>
        </is>
      </c>
      <c r="Q278" s="14">
        <f>MID(P278,6,2)</f>
        <v/>
      </c>
      <c r="R278" s="14">
        <f>MID(P278,8,2)</f>
        <v/>
      </c>
      <c r="S278" s="1" t="inlineStr">
        <is>
          <t>G2TB</t>
        </is>
      </c>
      <c r="T278" s="1" t="inlineStr">
        <is>
          <t>P2 - PEPPL</t>
        </is>
      </c>
      <c r="U278" s="6" t="inlineStr">
        <is>
          <t>All JB Issue</t>
        </is>
      </c>
      <c r="V278" s="1" t="inlineStr">
        <is>
          <t>JB Changed</t>
        </is>
      </c>
      <c r="W278" s="1" t="inlineStr">
        <is>
          <t>Repair</t>
        </is>
      </c>
      <c r="X278" s="5" t="n">
        <v>46175</v>
      </c>
      <c r="Y278" s="1">
        <f>IF(X278="","",X278-A278)</f>
        <v/>
      </c>
      <c r="Z278" s="5" t="n">
        <v>46175</v>
      </c>
      <c r="AA278" s="3" t="n"/>
      <c r="AB278" s="3" t="n"/>
      <c r="AE278" s="146">
        <f>IF(AND(F278="Closed",X278&gt;=DATE(2026,6,1),X278&lt;=DATE(2026,6,30)),"Closed in June","other")</f>
        <v/>
      </c>
    </row>
    <row r="279" hidden="1">
      <c r="A279" s="9" t="n">
        <v>46158</v>
      </c>
      <c r="B279" s="1" t="n">
        <v>2026</v>
      </c>
      <c r="C279" s="8" t="inlineStr">
        <is>
          <t>Shakti Pump</t>
        </is>
      </c>
      <c r="D279" s="8" t="inlineStr">
        <is>
          <t>Solar Pump</t>
        </is>
      </c>
      <c r="E279" s="1" t="n"/>
      <c r="F279" s="1" t="inlineStr">
        <is>
          <t>Closed</t>
        </is>
      </c>
      <c r="G279" s="8" t="inlineStr">
        <is>
          <t xml:space="preserve">Rahul Gupta </t>
        </is>
      </c>
      <c r="H279" s="48" t="n">
        <v>9890778332</v>
      </c>
      <c r="I279" s="10" t="inlineStr">
        <is>
          <t>PE16052602</t>
        </is>
      </c>
      <c r="J279" s="8" t="inlineStr">
        <is>
          <t xml:space="preserve"> Junction box issue</t>
        </is>
      </c>
      <c r="K279" s="8" t="inlineStr">
        <is>
          <t>BEED</t>
        </is>
      </c>
      <c r="L279" s="11" t="inlineStr">
        <is>
          <t>Maharashtra</t>
        </is>
      </c>
      <c r="M279" s="2" t="inlineStr">
        <is>
          <t>AR</t>
        </is>
      </c>
      <c r="N279" s="1" t="inlineStr">
        <is>
          <t>JB Issue</t>
        </is>
      </c>
      <c r="O279" s="8" t="n">
        <v>535</v>
      </c>
      <c r="P279" s="2" t="inlineStr">
        <is>
          <t>NSMPC2504013242</t>
        </is>
      </c>
      <c r="Q279" s="14">
        <f>MID(P279,6,2)</f>
        <v/>
      </c>
      <c r="R279" s="14">
        <f>MID(P279,8,2)</f>
        <v/>
      </c>
      <c r="S279" s="1" t="inlineStr">
        <is>
          <t>G2TB</t>
        </is>
      </c>
      <c r="T279" s="1" t="inlineStr">
        <is>
          <t>P2 - PEPPL</t>
        </is>
      </c>
      <c r="U279" s="6" t="inlineStr">
        <is>
          <t>All JB Issue</t>
        </is>
      </c>
      <c r="V279" s="1" t="inlineStr">
        <is>
          <t>JB Changed</t>
        </is>
      </c>
      <c r="W279" s="1" t="inlineStr">
        <is>
          <t>Repair</t>
        </is>
      </c>
      <c r="X279" s="5" t="n">
        <v>46175</v>
      </c>
      <c r="Y279" s="1">
        <f>IF(X279="","",X279-A279)</f>
        <v/>
      </c>
      <c r="Z279" s="5" t="n">
        <v>46175</v>
      </c>
      <c r="AA279" s="3" t="n"/>
      <c r="AB279" s="3" t="n"/>
      <c r="AE279" s="146">
        <f>IF(AND(F279="Closed",X279&gt;=DATE(2026,6,1),X279&lt;=DATE(2026,6,30)),"Closed in June","other")</f>
        <v/>
      </c>
    </row>
    <row r="280" hidden="1">
      <c r="A280" s="9" t="n">
        <v>46158</v>
      </c>
      <c r="B280" s="1" t="n">
        <v>2026</v>
      </c>
      <c r="C280" s="8" t="inlineStr">
        <is>
          <t>Shakti Pump</t>
        </is>
      </c>
      <c r="D280" s="8" t="inlineStr">
        <is>
          <t>Solar Pump</t>
        </is>
      </c>
      <c r="E280" s="1" t="n"/>
      <c r="F280" s="1" t="inlineStr">
        <is>
          <t>Closed</t>
        </is>
      </c>
      <c r="G280" s="8" t="inlineStr">
        <is>
          <t xml:space="preserve">Rahul Gupta </t>
        </is>
      </c>
      <c r="H280" s="48" t="n">
        <v>9890778332</v>
      </c>
      <c r="I280" s="10" t="inlineStr">
        <is>
          <t>PE16052602</t>
        </is>
      </c>
      <c r="J280" s="8" t="inlineStr">
        <is>
          <t xml:space="preserve"> Junction box issue</t>
        </is>
      </c>
      <c r="K280" s="8" t="inlineStr">
        <is>
          <t>BEED</t>
        </is>
      </c>
      <c r="L280" s="11" t="inlineStr">
        <is>
          <t>Maharashtra</t>
        </is>
      </c>
      <c r="M280" s="2" t="inlineStr">
        <is>
          <t>AR</t>
        </is>
      </c>
      <c r="N280" s="1" t="inlineStr">
        <is>
          <t>JB Issue</t>
        </is>
      </c>
      <c r="O280" s="8" t="n">
        <v>535</v>
      </c>
      <c r="P280" s="2" t="inlineStr">
        <is>
          <t>NSMPC2504013224</t>
        </is>
      </c>
      <c r="Q280" s="14">
        <f>MID(P280,6,2)</f>
        <v/>
      </c>
      <c r="R280" s="14">
        <f>MID(P280,8,2)</f>
        <v/>
      </c>
      <c r="S280" s="1" t="inlineStr">
        <is>
          <t>G2TB</t>
        </is>
      </c>
      <c r="T280" s="1" t="inlineStr">
        <is>
          <t>P2 - PEPPL</t>
        </is>
      </c>
      <c r="U280" s="6" t="inlineStr">
        <is>
          <t>All JB Issue</t>
        </is>
      </c>
      <c r="V280" s="1" t="inlineStr">
        <is>
          <t>JB Changed</t>
        </is>
      </c>
      <c r="W280" s="1" t="inlineStr">
        <is>
          <t>Repair</t>
        </is>
      </c>
      <c r="X280" s="5" t="n">
        <v>46175</v>
      </c>
      <c r="Y280" s="1">
        <f>IF(X280="","",X280-A280)</f>
        <v/>
      </c>
      <c r="Z280" s="5" t="n">
        <v>46175</v>
      </c>
      <c r="AA280" s="3" t="n"/>
      <c r="AB280" s="3" t="n"/>
      <c r="AE280" s="146">
        <f>IF(AND(F280="Closed",X280&gt;=DATE(2026,6,1),X280&lt;=DATE(2026,6,30)),"Closed in June","other")</f>
        <v/>
      </c>
    </row>
    <row r="281" hidden="1">
      <c r="A281" s="9" t="n">
        <v>46143</v>
      </c>
      <c r="B281" s="1" t="n">
        <v>2026</v>
      </c>
      <c r="C281" s="8" t="inlineStr">
        <is>
          <t>Yanara Power</t>
        </is>
      </c>
      <c r="D281" s="1" t="inlineStr">
        <is>
          <t>Utility and C&amp;I</t>
        </is>
      </c>
      <c r="E281" s="1" t="n"/>
      <c r="F281" s="1" t="inlineStr">
        <is>
          <t>Closed</t>
        </is>
      </c>
      <c r="G281" s="2" t="inlineStr">
        <is>
          <t xml:space="preserve">Ashish Jindal </t>
        </is>
      </c>
      <c r="H281" s="8" t="n">
        <v>9983975581</v>
      </c>
      <c r="I281" s="10" t="inlineStr">
        <is>
          <t>PE01052601</t>
        </is>
      </c>
      <c r="J281" s="8" t="inlineStr">
        <is>
          <t>Multiple Issues</t>
        </is>
      </c>
      <c r="K281" s="11" t="inlineStr">
        <is>
          <t>Holi</t>
        </is>
      </c>
      <c r="L281" s="11" t="inlineStr">
        <is>
          <t>Maharashtra</t>
        </is>
      </c>
      <c r="M281" s="2" t="inlineStr">
        <is>
          <t>PS</t>
        </is>
      </c>
      <c r="N281" s="1" t="inlineStr">
        <is>
          <t>Cold Soldering</t>
        </is>
      </c>
      <c r="O281" s="11" t="n">
        <v>575</v>
      </c>
      <c r="P281" s="2" t="inlineStr">
        <is>
          <t>NSMI24070196628</t>
        </is>
      </c>
      <c r="Q281" s="14">
        <f>MID(P281,5,2)</f>
        <v/>
      </c>
      <c r="R281" s="14">
        <f>MID(P281,7,2)</f>
        <v/>
      </c>
      <c r="S281" s="1" t="inlineStr">
        <is>
          <t>G2G</t>
        </is>
      </c>
      <c r="T281" s="1" t="inlineStr">
        <is>
          <t>P4 - PEIPL</t>
        </is>
      </c>
      <c r="U281" s="6" t="inlineStr">
        <is>
          <t>P JB Cold Soldering</t>
        </is>
      </c>
      <c r="V281" s="6" t="inlineStr">
        <is>
          <t>Soldering</t>
        </is>
      </c>
      <c r="W281" s="1" t="inlineStr">
        <is>
          <t>Repair</t>
        </is>
      </c>
      <c r="X281" s="5" t="n">
        <v>46175</v>
      </c>
      <c r="Y281" s="1">
        <f>IF(X281="","",X281-A281)</f>
        <v/>
      </c>
      <c r="Z281" s="5" t="n">
        <v>46175</v>
      </c>
      <c r="AA281" s="3" t="n"/>
      <c r="AB281" s="3" t="n"/>
      <c r="AE281" s="146">
        <f>IF(AND(F281="Closed",X281&gt;=DATE(2026,6,1),X281&lt;=DATE(2026,6,30)),"Closed in June","other")</f>
        <v/>
      </c>
    </row>
    <row r="282" hidden="1">
      <c r="A282" s="9" t="n">
        <v>46143</v>
      </c>
      <c r="B282" s="1" t="n">
        <v>2026</v>
      </c>
      <c r="C282" s="8" t="inlineStr">
        <is>
          <t>Yanara Power</t>
        </is>
      </c>
      <c r="D282" s="1" t="inlineStr">
        <is>
          <t>Utility and C&amp;I</t>
        </is>
      </c>
      <c r="E282" s="1" t="n"/>
      <c r="F282" s="1" t="inlineStr">
        <is>
          <t>Closed</t>
        </is>
      </c>
      <c r="G282" s="2" t="inlineStr">
        <is>
          <t xml:space="preserve">Ashish Jindal </t>
        </is>
      </c>
      <c r="H282" s="8" t="n">
        <v>9983975581</v>
      </c>
      <c r="I282" s="10" t="inlineStr">
        <is>
          <t>PE01052601</t>
        </is>
      </c>
      <c r="J282" s="8" t="inlineStr">
        <is>
          <t>Multiple Issues</t>
        </is>
      </c>
      <c r="K282" s="11" t="inlineStr">
        <is>
          <t>Holi</t>
        </is>
      </c>
      <c r="L282" s="11" t="inlineStr">
        <is>
          <t>Maharashtra</t>
        </is>
      </c>
      <c r="M282" s="2" t="inlineStr">
        <is>
          <t>PS</t>
        </is>
      </c>
      <c r="N282" s="1" t="inlineStr">
        <is>
          <t>Cold Soldering</t>
        </is>
      </c>
      <c r="O282" s="11" t="n">
        <v>575</v>
      </c>
      <c r="P282" s="2" t="inlineStr">
        <is>
          <t>NSMI24070196697</t>
        </is>
      </c>
      <c r="Q282" s="14">
        <f>MID(P282,5,2)</f>
        <v/>
      </c>
      <c r="R282" s="14">
        <f>MID(P282,7,2)</f>
        <v/>
      </c>
      <c r="S282" s="1" t="inlineStr">
        <is>
          <t>G2G</t>
        </is>
      </c>
      <c r="T282" s="1" t="inlineStr">
        <is>
          <t>P4 - PEIPL</t>
        </is>
      </c>
      <c r="U282" s="6" t="inlineStr">
        <is>
          <t>P JB Cold Soldering</t>
        </is>
      </c>
      <c r="V282" s="6" t="inlineStr">
        <is>
          <t>Soldering</t>
        </is>
      </c>
      <c r="W282" s="1" t="inlineStr">
        <is>
          <t>Repair</t>
        </is>
      </c>
      <c r="X282" s="5" t="n">
        <v>46175</v>
      </c>
      <c r="Y282" s="1">
        <f>IF(X282="","",X282-A282)</f>
        <v/>
      </c>
      <c r="Z282" s="5" t="n">
        <v>46175</v>
      </c>
      <c r="AA282" s="3" t="n"/>
      <c r="AB282" s="3" t="n"/>
      <c r="AE282" s="146">
        <f>IF(AND(F282="Closed",X282&gt;=DATE(2026,6,1),X282&lt;=DATE(2026,6,30)),"Closed in June","other")</f>
        <v/>
      </c>
    </row>
    <row r="283" hidden="1">
      <c r="A283" s="9" t="n">
        <v>46143</v>
      </c>
      <c r="B283" s="1" t="n">
        <v>2026</v>
      </c>
      <c r="C283" s="8" t="inlineStr">
        <is>
          <t>Yanara Power</t>
        </is>
      </c>
      <c r="D283" s="1" t="inlineStr">
        <is>
          <t>Utility and C&amp;I</t>
        </is>
      </c>
      <c r="E283" s="1" t="n"/>
      <c r="F283" s="1" t="inlineStr">
        <is>
          <t>Closed</t>
        </is>
      </c>
      <c r="G283" s="2" t="inlineStr">
        <is>
          <t xml:space="preserve">Ashish Jindal </t>
        </is>
      </c>
      <c r="H283" s="8" t="n">
        <v>9983975581</v>
      </c>
      <c r="I283" s="10" t="inlineStr">
        <is>
          <t>PE01052601</t>
        </is>
      </c>
      <c r="J283" s="8" t="inlineStr">
        <is>
          <t>Multiple Issues</t>
        </is>
      </c>
      <c r="K283" s="11" t="inlineStr">
        <is>
          <t>Holi</t>
        </is>
      </c>
      <c r="L283" s="11" t="inlineStr">
        <is>
          <t>Maharashtra</t>
        </is>
      </c>
      <c r="M283" s="2" t="inlineStr">
        <is>
          <t>PS</t>
        </is>
      </c>
      <c r="N283" s="1" t="inlineStr">
        <is>
          <t>Cold Soldering</t>
        </is>
      </c>
      <c r="O283" s="11" t="n">
        <v>575</v>
      </c>
      <c r="P283" s="2" t="inlineStr">
        <is>
          <t>NSMI24070196764</t>
        </is>
      </c>
      <c r="Q283" s="14">
        <f>MID(P283,5,2)</f>
        <v/>
      </c>
      <c r="R283" s="14">
        <f>MID(P283,7,2)</f>
        <v/>
      </c>
      <c r="S283" s="1" t="inlineStr">
        <is>
          <t>G2G</t>
        </is>
      </c>
      <c r="T283" s="1" t="inlineStr">
        <is>
          <t>P4 - PEIPL</t>
        </is>
      </c>
      <c r="U283" s="6" t="inlineStr">
        <is>
          <t>P JB Cold Soldering</t>
        </is>
      </c>
      <c r="V283" s="6" t="inlineStr">
        <is>
          <t>Soldering</t>
        </is>
      </c>
      <c r="W283" s="1" t="inlineStr">
        <is>
          <t>Repair</t>
        </is>
      </c>
      <c r="X283" s="5" t="n">
        <v>46175</v>
      </c>
      <c r="Y283" s="1">
        <f>IF(X283="","",X283-A283)</f>
        <v/>
      </c>
      <c r="Z283" s="5" t="n">
        <v>46175</v>
      </c>
      <c r="AA283" s="3" t="n"/>
      <c r="AB283" s="3" t="n"/>
      <c r="AE283" s="146">
        <f>IF(AND(F283="Closed",X283&gt;=DATE(2026,6,1),X283&lt;=DATE(2026,6,30)),"Closed in June","other")</f>
        <v/>
      </c>
    </row>
    <row r="284" hidden="1">
      <c r="A284" s="9" t="n">
        <v>46143</v>
      </c>
      <c r="B284" s="1" t="n">
        <v>2026</v>
      </c>
      <c r="C284" s="8" t="inlineStr">
        <is>
          <t>Yanara Power</t>
        </is>
      </c>
      <c r="D284" s="1" t="inlineStr">
        <is>
          <t>Utility and C&amp;I</t>
        </is>
      </c>
      <c r="E284" s="1" t="n"/>
      <c r="F284" s="1" t="inlineStr">
        <is>
          <t>Closed</t>
        </is>
      </c>
      <c r="G284" s="2" t="inlineStr">
        <is>
          <t xml:space="preserve">Ashish Jindal </t>
        </is>
      </c>
      <c r="H284" s="8" t="n">
        <v>9983975581</v>
      </c>
      <c r="I284" s="10" t="inlineStr">
        <is>
          <t>PE01052601</t>
        </is>
      </c>
      <c r="J284" s="8" t="inlineStr">
        <is>
          <t>Multiple Issues</t>
        </is>
      </c>
      <c r="K284" s="11" t="inlineStr">
        <is>
          <t>Holi</t>
        </is>
      </c>
      <c r="L284" s="11" t="inlineStr">
        <is>
          <t>Maharashtra</t>
        </is>
      </c>
      <c r="M284" s="2" t="inlineStr">
        <is>
          <t>PS</t>
        </is>
      </c>
      <c r="N284" s="1" t="inlineStr">
        <is>
          <t>Cold Soldering</t>
        </is>
      </c>
      <c r="O284" s="11" t="n">
        <v>575</v>
      </c>
      <c r="P284" s="2" t="inlineStr">
        <is>
          <t>NSMI24070196370</t>
        </is>
      </c>
      <c r="Q284" s="14">
        <f>MID(P284,5,2)</f>
        <v/>
      </c>
      <c r="R284" s="14">
        <f>MID(P284,7,2)</f>
        <v/>
      </c>
      <c r="S284" s="1" t="inlineStr">
        <is>
          <t>G2G</t>
        </is>
      </c>
      <c r="T284" s="1" t="inlineStr">
        <is>
          <t>P4 - PEIPL</t>
        </is>
      </c>
      <c r="U284" s="6" t="inlineStr">
        <is>
          <t>P JB Cold Soldering</t>
        </is>
      </c>
      <c r="V284" s="6" t="inlineStr">
        <is>
          <t>Soldering</t>
        </is>
      </c>
      <c r="W284" s="1" t="inlineStr">
        <is>
          <t>Repair</t>
        </is>
      </c>
      <c r="X284" s="5" t="n">
        <v>46175</v>
      </c>
      <c r="Y284" s="1">
        <f>IF(X284="","",X284-A284)</f>
        <v/>
      </c>
      <c r="Z284" s="5" t="n">
        <v>46175</v>
      </c>
      <c r="AA284" s="3" t="n"/>
      <c r="AB284" s="3" t="n"/>
      <c r="AE284" s="146">
        <f>IF(AND(F284="Closed",X284&gt;=DATE(2026,6,1),X284&lt;=DATE(2026,6,30)),"Closed in June","other")</f>
        <v/>
      </c>
    </row>
    <row r="285" hidden="1">
      <c r="A285" s="9" t="n">
        <v>46143</v>
      </c>
      <c r="B285" s="1" t="n">
        <v>2026</v>
      </c>
      <c r="C285" s="8" t="inlineStr">
        <is>
          <t>Yanara Power</t>
        </is>
      </c>
      <c r="D285" s="1" t="inlineStr">
        <is>
          <t>Utility and C&amp;I</t>
        </is>
      </c>
      <c r="E285" s="1" t="n"/>
      <c r="F285" s="1" t="inlineStr">
        <is>
          <t>Closed</t>
        </is>
      </c>
      <c r="G285" s="2" t="inlineStr">
        <is>
          <t xml:space="preserve">Ashish Jindal </t>
        </is>
      </c>
      <c r="H285" s="8" t="n">
        <v>9983975581</v>
      </c>
      <c r="I285" s="10" t="inlineStr">
        <is>
          <t>PE01052601</t>
        </is>
      </c>
      <c r="J285" s="8" t="inlineStr">
        <is>
          <t>Multiple Issues</t>
        </is>
      </c>
      <c r="K285" s="11" t="inlineStr">
        <is>
          <t>Holi</t>
        </is>
      </c>
      <c r="L285" s="11" t="inlineStr">
        <is>
          <t>Maharashtra</t>
        </is>
      </c>
      <c r="M285" s="2" t="inlineStr">
        <is>
          <t>PS</t>
        </is>
      </c>
      <c r="N285" s="1" t="inlineStr">
        <is>
          <t>Cold Soldering</t>
        </is>
      </c>
      <c r="O285" s="11" t="n">
        <v>575</v>
      </c>
      <c r="P285" s="2" t="inlineStr">
        <is>
          <t>NSMI24070193766</t>
        </is>
      </c>
      <c r="Q285" s="14">
        <f>MID(P285,5,2)</f>
        <v/>
      </c>
      <c r="R285" s="14">
        <f>MID(P285,7,2)</f>
        <v/>
      </c>
      <c r="S285" s="1" t="inlineStr">
        <is>
          <t>G2G</t>
        </is>
      </c>
      <c r="T285" s="1" t="inlineStr">
        <is>
          <t>P4 - PEIPL</t>
        </is>
      </c>
      <c r="U285" s="6" t="inlineStr">
        <is>
          <t>P JB Cold Soldering</t>
        </is>
      </c>
      <c r="V285" s="6" t="inlineStr">
        <is>
          <t>Soldering</t>
        </is>
      </c>
      <c r="W285" s="1" t="inlineStr">
        <is>
          <t>Repair</t>
        </is>
      </c>
      <c r="X285" s="5" t="n">
        <v>46175</v>
      </c>
      <c r="Y285" s="1">
        <f>IF(X285="","",X285-A285)</f>
        <v/>
      </c>
      <c r="Z285" s="5" t="n">
        <v>46175</v>
      </c>
      <c r="AA285" s="3" t="n"/>
      <c r="AB285" s="3" t="n"/>
      <c r="AE285" s="146">
        <f>IF(AND(F285="Closed",X285&gt;=DATE(2026,6,1),X285&lt;=DATE(2026,6,30)),"Closed in June","other")</f>
        <v/>
      </c>
    </row>
    <row r="286" hidden="1">
      <c r="A286" s="9" t="n">
        <v>46143</v>
      </c>
      <c r="B286" s="1" t="n">
        <v>2026</v>
      </c>
      <c r="C286" s="8" t="inlineStr">
        <is>
          <t>Yanara Power</t>
        </is>
      </c>
      <c r="D286" s="1" t="inlineStr">
        <is>
          <t>Utility and C&amp;I</t>
        </is>
      </c>
      <c r="E286" s="1" t="n"/>
      <c r="F286" s="1" t="inlineStr">
        <is>
          <t>Closed</t>
        </is>
      </c>
      <c r="G286" s="2" t="inlineStr">
        <is>
          <t xml:space="preserve">Ashish Jindal </t>
        </is>
      </c>
      <c r="H286" s="8" t="n">
        <v>9983975581</v>
      </c>
      <c r="I286" s="10" t="inlineStr">
        <is>
          <t>PE01052601</t>
        </is>
      </c>
      <c r="J286" s="8" t="inlineStr">
        <is>
          <t>Multiple Issues</t>
        </is>
      </c>
      <c r="K286" s="11" t="inlineStr">
        <is>
          <t>Holi</t>
        </is>
      </c>
      <c r="L286" s="11" t="inlineStr">
        <is>
          <t>Maharashtra</t>
        </is>
      </c>
      <c r="M286" s="2" t="inlineStr">
        <is>
          <t>PNS</t>
        </is>
      </c>
      <c r="N286" s="1" t="inlineStr">
        <is>
          <t>Cold Soldering</t>
        </is>
      </c>
      <c r="O286" s="11" t="n">
        <v>575</v>
      </c>
      <c r="P286" s="2" t="inlineStr">
        <is>
          <t>NSMI24070194305</t>
        </is>
      </c>
      <c r="Q286" s="14">
        <f>MID(P286,5,2)</f>
        <v/>
      </c>
      <c r="R286" s="14">
        <f>MID(P286,7,2)</f>
        <v/>
      </c>
      <c r="S286" s="1" t="inlineStr">
        <is>
          <t>G2G</t>
        </is>
      </c>
      <c r="T286" s="1" t="inlineStr">
        <is>
          <t>P4 - PEIPL</t>
        </is>
      </c>
      <c r="U286" s="1" t="inlineStr">
        <is>
          <t>P &amp; N JB Cold Soldering</t>
        </is>
      </c>
      <c r="V286" s="1" t="inlineStr">
        <is>
          <t>Soldering</t>
        </is>
      </c>
      <c r="W286" s="1" t="inlineStr">
        <is>
          <t>Repair</t>
        </is>
      </c>
      <c r="X286" s="5" t="n">
        <v>46175</v>
      </c>
      <c r="Y286" s="1">
        <f>IF(X286="","",X286-A286)</f>
        <v/>
      </c>
      <c r="Z286" s="5" t="n">
        <v>46175</v>
      </c>
      <c r="AA286" s="3" t="n"/>
      <c r="AB286" s="3" t="n"/>
      <c r="AE286" s="146">
        <f>IF(AND(F286="Closed",X286&gt;=DATE(2026,6,1),X286&lt;=DATE(2026,6,30)),"Closed in June","other")</f>
        <v/>
      </c>
    </row>
    <row r="287" hidden="1">
      <c r="A287" s="9" t="n">
        <v>46143</v>
      </c>
      <c r="B287" s="1" t="n">
        <v>2026</v>
      </c>
      <c r="C287" s="8" t="inlineStr">
        <is>
          <t>Yanara Power</t>
        </is>
      </c>
      <c r="D287" s="1" t="inlineStr">
        <is>
          <t>Utility and C&amp;I</t>
        </is>
      </c>
      <c r="E287" s="1" t="n"/>
      <c r="F287" s="1" t="inlineStr">
        <is>
          <t>Closed</t>
        </is>
      </c>
      <c r="G287" s="2" t="inlineStr">
        <is>
          <t xml:space="preserve">Ashish Jindal </t>
        </is>
      </c>
      <c r="H287" s="8" t="n">
        <v>9983975581</v>
      </c>
      <c r="I287" s="10" t="inlineStr">
        <is>
          <t>PE01052601</t>
        </is>
      </c>
      <c r="J287" s="8" t="inlineStr">
        <is>
          <t>Multiple Issues</t>
        </is>
      </c>
      <c r="K287" s="11" t="inlineStr">
        <is>
          <t>Holi</t>
        </is>
      </c>
      <c r="L287" s="11" t="inlineStr">
        <is>
          <t>Maharashtra</t>
        </is>
      </c>
      <c r="M287" s="2" t="inlineStr">
        <is>
          <t>PNS</t>
        </is>
      </c>
      <c r="N287" s="1" t="inlineStr">
        <is>
          <t>Cold Soldering</t>
        </is>
      </c>
      <c r="O287" s="11" t="n">
        <v>575</v>
      </c>
      <c r="P287" s="2" t="inlineStr">
        <is>
          <t>NSMI24070188839</t>
        </is>
      </c>
      <c r="Q287" s="14">
        <f>MID(P287,5,2)</f>
        <v/>
      </c>
      <c r="R287" s="14">
        <f>MID(P287,7,2)</f>
        <v/>
      </c>
      <c r="S287" s="1" t="inlineStr">
        <is>
          <t>G2G</t>
        </is>
      </c>
      <c r="T287" s="1" t="inlineStr">
        <is>
          <t>P4 - PEIPL</t>
        </is>
      </c>
      <c r="U287" s="1" t="inlineStr">
        <is>
          <t>P &amp; N JB Cold Soldering</t>
        </is>
      </c>
      <c r="V287" s="1" t="inlineStr">
        <is>
          <t>Soldering</t>
        </is>
      </c>
      <c r="W287" s="1" t="inlineStr">
        <is>
          <t>Repair</t>
        </is>
      </c>
      <c r="X287" s="5" t="n">
        <v>46175</v>
      </c>
      <c r="Y287" s="1">
        <f>IF(X287="","",X287-A287)</f>
        <v/>
      </c>
      <c r="Z287" s="5" t="n">
        <v>46175</v>
      </c>
      <c r="AA287" s="3" t="n"/>
      <c r="AB287" s="3" t="n"/>
      <c r="AE287" s="146">
        <f>IF(AND(F287="Closed",X287&gt;=DATE(2026,6,1),X287&lt;=DATE(2026,6,30)),"Closed in June","other")</f>
        <v/>
      </c>
    </row>
    <row r="288" hidden="1">
      <c r="A288" s="9" t="n">
        <v>46143</v>
      </c>
      <c r="B288" s="1" t="n">
        <v>2026</v>
      </c>
      <c r="C288" s="8" t="inlineStr">
        <is>
          <t>Yanara Power</t>
        </is>
      </c>
      <c r="D288" s="1" t="inlineStr">
        <is>
          <t>Utility and C&amp;I</t>
        </is>
      </c>
      <c r="E288" s="1" t="n"/>
      <c r="F288" s="1" t="inlineStr">
        <is>
          <t>Closed</t>
        </is>
      </c>
      <c r="G288" s="2" t="inlineStr">
        <is>
          <t xml:space="preserve">Ashish Jindal </t>
        </is>
      </c>
      <c r="H288" s="8" t="n">
        <v>9983975581</v>
      </c>
      <c r="I288" s="10" t="inlineStr">
        <is>
          <t>PE01052601</t>
        </is>
      </c>
      <c r="J288" s="8" t="inlineStr">
        <is>
          <t>Multiple Issues</t>
        </is>
      </c>
      <c r="K288" s="11" t="inlineStr">
        <is>
          <t>Holi</t>
        </is>
      </c>
      <c r="L288" s="11" t="inlineStr">
        <is>
          <t>Maharashtra</t>
        </is>
      </c>
      <c r="M288" s="2" t="inlineStr">
        <is>
          <t>PS</t>
        </is>
      </c>
      <c r="N288" s="1" t="inlineStr">
        <is>
          <t>Cold Soldering</t>
        </is>
      </c>
      <c r="O288" s="11" t="n">
        <v>575</v>
      </c>
      <c r="P288" s="2" t="inlineStr">
        <is>
          <t>NSMI24070187164</t>
        </is>
      </c>
      <c r="Q288" s="14">
        <f>MID(P288,5,2)</f>
        <v/>
      </c>
      <c r="R288" s="14">
        <f>MID(P288,7,2)</f>
        <v/>
      </c>
      <c r="S288" s="1" t="inlineStr">
        <is>
          <t>G2G</t>
        </is>
      </c>
      <c r="T288" s="1" t="inlineStr">
        <is>
          <t>P4 - PEIPL</t>
        </is>
      </c>
      <c r="U288" s="6" t="inlineStr">
        <is>
          <t>P JB Cold Soldering</t>
        </is>
      </c>
      <c r="V288" s="6" t="inlineStr">
        <is>
          <t>Soldering</t>
        </is>
      </c>
      <c r="W288" s="1" t="inlineStr">
        <is>
          <t>Repair</t>
        </is>
      </c>
      <c r="X288" s="5" t="n">
        <v>46175</v>
      </c>
      <c r="Y288" s="1">
        <f>IF(X288="","",X288-A288)</f>
        <v/>
      </c>
      <c r="Z288" s="5" t="n">
        <v>46175</v>
      </c>
      <c r="AA288" s="3" t="n"/>
      <c r="AB288" s="3" t="n"/>
      <c r="AE288" s="146">
        <f>IF(AND(F288="Closed",X288&gt;=DATE(2026,6,1),X288&lt;=DATE(2026,6,30)),"Closed in June","other")</f>
        <v/>
      </c>
    </row>
    <row r="289" hidden="1">
      <c r="A289" s="9" t="n">
        <v>46143</v>
      </c>
      <c r="B289" s="1" t="n">
        <v>2026</v>
      </c>
      <c r="C289" s="8" t="inlineStr">
        <is>
          <t>Yanara Power</t>
        </is>
      </c>
      <c r="D289" s="1" t="inlineStr">
        <is>
          <t>Utility and C&amp;I</t>
        </is>
      </c>
      <c r="E289" s="1" t="n"/>
      <c r="F289" s="1" t="inlineStr">
        <is>
          <t>Closed</t>
        </is>
      </c>
      <c r="G289" s="2" t="inlineStr">
        <is>
          <t xml:space="preserve">Ashish Jindal </t>
        </is>
      </c>
      <c r="H289" s="8" t="n">
        <v>9983975581</v>
      </c>
      <c r="I289" s="10" t="inlineStr">
        <is>
          <t>PE01052601</t>
        </is>
      </c>
      <c r="J289" s="8" t="inlineStr">
        <is>
          <t>Multiple Issues</t>
        </is>
      </c>
      <c r="K289" s="11" t="inlineStr">
        <is>
          <t>Holi</t>
        </is>
      </c>
      <c r="L289" s="11" t="inlineStr">
        <is>
          <t>Maharashtra</t>
        </is>
      </c>
      <c r="M289" s="2" t="inlineStr">
        <is>
          <t>PS</t>
        </is>
      </c>
      <c r="N289" s="1" t="inlineStr">
        <is>
          <t>Cold Soldering</t>
        </is>
      </c>
      <c r="O289" s="11" t="n">
        <v>575</v>
      </c>
      <c r="P289" s="2" t="inlineStr">
        <is>
          <t>NSMI24070196516</t>
        </is>
      </c>
      <c r="Q289" s="14">
        <f>MID(P289,5,2)</f>
        <v/>
      </c>
      <c r="R289" s="14">
        <f>MID(P289,7,2)</f>
        <v/>
      </c>
      <c r="S289" s="1" t="inlineStr">
        <is>
          <t>G2G</t>
        </is>
      </c>
      <c r="T289" s="1" t="inlineStr">
        <is>
          <t>P4 - PEIPL</t>
        </is>
      </c>
      <c r="U289" s="6" t="inlineStr">
        <is>
          <t>P JB Cold Soldering</t>
        </is>
      </c>
      <c r="V289" s="6" t="inlineStr">
        <is>
          <t>Soldering</t>
        </is>
      </c>
      <c r="W289" s="1" t="inlineStr">
        <is>
          <t>Repair</t>
        </is>
      </c>
      <c r="X289" s="5" t="n">
        <v>46175</v>
      </c>
      <c r="Y289" s="1">
        <f>IF(X289="","",X289-A289)</f>
        <v/>
      </c>
      <c r="Z289" s="5" t="n">
        <v>46175</v>
      </c>
      <c r="AA289" s="3" t="n"/>
      <c r="AB289" s="3" t="n"/>
      <c r="AE289" s="146">
        <f>IF(AND(F289="Closed",X289&gt;=DATE(2026,6,1),X289&lt;=DATE(2026,6,30)),"Closed in June","other")</f>
        <v/>
      </c>
    </row>
    <row r="290" hidden="1">
      <c r="A290" s="9" t="n">
        <v>46143</v>
      </c>
      <c r="B290" s="1" t="n">
        <v>2026</v>
      </c>
      <c r="C290" s="8" t="inlineStr">
        <is>
          <t>Yanara Power</t>
        </is>
      </c>
      <c r="D290" s="1" t="inlineStr">
        <is>
          <t>Utility and C&amp;I</t>
        </is>
      </c>
      <c r="E290" s="1" t="n"/>
      <c r="F290" s="1" t="inlineStr">
        <is>
          <t>Closed</t>
        </is>
      </c>
      <c r="G290" s="2" t="inlineStr">
        <is>
          <t xml:space="preserve">Ashish Jindal </t>
        </is>
      </c>
      <c r="H290" s="8" t="n">
        <v>9983975581</v>
      </c>
      <c r="I290" s="10" t="inlineStr">
        <is>
          <t>PE01052601</t>
        </is>
      </c>
      <c r="J290" s="8" t="inlineStr">
        <is>
          <t>Multiple Issues</t>
        </is>
      </c>
      <c r="K290" s="11" t="inlineStr">
        <is>
          <t>Holi</t>
        </is>
      </c>
      <c r="L290" s="11" t="inlineStr">
        <is>
          <t>Maharashtra</t>
        </is>
      </c>
      <c r="M290" s="2" t="inlineStr">
        <is>
          <t>PR</t>
        </is>
      </c>
      <c r="N290" s="1" t="inlineStr">
        <is>
          <t>JB Issue</t>
        </is>
      </c>
      <c r="O290" s="11" t="n">
        <v>575</v>
      </c>
      <c r="P290" s="2" t="inlineStr">
        <is>
          <t>NSMI24070180773</t>
        </is>
      </c>
      <c r="Q290" s="14">
        <f>MID(P290,5,2)</f>
        <v/>
      </c>
      <c r="R290" s="14">
        <f>MID(P290,7,2)</f>
        <v/>
      </c>
      <c r="S290" s="1" t="inlineStr">
        <is>
          <t>G2G</t>
        </is>
      </c>
      <c r="T290" s="1" t="inlineStr">
        <is>
          <t>P4 - PEIPL</t>
        </is>
      </c>
      <c r="U290" s="1" t="inlineStr">
        <is>
          <t>P JB Issue</t>
        </is>
      </c>
      <c r="V290" s="1" t="inlineStr">
        <is>
          <t>JB Changed</t>
        </is>
      </c>
      <c r="W290" s="1" t="inlineStr">
        <is>
          <t>Repair</t>
        </is>
      </c>
      <c r="X290" s="5" t="n">
        <v>46175</v>
      </c>
      <c r="Y290" s="1">
        <f>IF(X290="","",X290-A290)</f>
        <v/>
      </c>
      <c r="Z290" s="5" t="n">
        <v>46175</v>
      </c>
      <c r="AA290" s="3" t="n"/>
      <c r="AB290" s="3" t="n"/>
      <c r="AE290" s="146">
        <f>IF(AND(F290="Closed",X290&gt;=DATE(2026,6,1),X290&lt;=DATE(2026,6,30)),"Closed in June","other")</f>
        <v/>
      </c>
    </row>
    <row r="291" hidden="1">
      <c r="A291" s="9" t="n">
        <v>46143</v>
      </c>
      <c r="B291" s="1" t="n">
        <v>2026</v>
      </c>
      <c r="C291" s="8" t="inlineStr">
        <is>
          <t>Yanara Power</t>
        </is>
      </c>
      <c r="D291" s="1" t="inlineStr">
        <is>
          <t>Utility and C&amp;I</t>
        </is>
      </c>
      <c r="E291" s="1" t="n"/>
      <c r="F291" s="1" t="inlineStr">
        <is>
          <t>Closed</t>
        </is>
      </c>
      <c r="G291" s="2" t="inlineStr">
        <is>
          <t xml:space="preserve">Ashish Jindal </t>
        </is>
      </c>
      <c r="H291" s="8" t="n">
        <v>9983975581</v>
      </c>
      <c r="I291" s="10" t="inlineStr">
        <is>
          <t>PE01052601</t>
        </is>
      </c>
      <c r="J291" s="8" t="inlineStr">
        <is>
          <t>Multiple Issues</t>
        </is>
      </c>
      <c r="K291" s="11" t="inlineStr">
        <is>
          <t>Holi</t>
        </is>
      </c>
      <c r="L291" s="11" t="inlineStr">
        <is>
          <t>Maharashtra</t>
        </is>
      </c>
      <c r="M291" s="2" t="inlineStr">
        <is>
          <t>PS</t>
        </is>
      </c>
      <c r="N291" s="1" t="inlineStr">
        <is>
          <t>Cold Soldering</t>
        </is>
      </c>
      <c r="O291" s="11" t="n">
        <v>575</v>
      </c>
      <c r="P291" s="2" t="inlineStr">
        <is>
          <t>NSMI24070187530</t>
        </is>
      </c>
      <c r="Q291" s="14">
        <f>MID(P291,5,2)</f>
        <v/>
      </c>
      <c r="R291" s="14">
        <f>MID(P291,7,2)</f>
        <v/>
      </c>
      <c r="S291" s="1" t="inlineStr">
        <is>
          <t>G2G</t>
        </is>
      </c>
      <c r="T291" s="1" t="inlineStr">
        <is>
          <t>P4 - PEIPL</t>
        </is>
      </c>
      <c r="U291" s="6" t="inlineStr">
        <is>
          <t>P JB Cold Soldering</t>
        </is>
      </c>
      <c r="V291" s="6" t="inlineStr">
        <is>
          <t>Soldering</t>
        </is>
      </c>
      <c r="W291" s="1" t="inlineStr">
        <is>
          <t>Repair</t>
        </is>
      </c>
      <c r="X291" s="5" t="n">
        <v>46175</v>
      </c>
      <c r="Y291" s="1">
        <f>IF(X291="","",X291-A291)</f>
        <v/>
      </c>
      <c r="Z291" s="5" t="n">
        <v>46175</v>
      </c>
      <c r="AA291" s="3" t="n"/>
      <c r="AB291" s="3" t="n"/>
      <c r="AE291" s="146">
        <f>IF(AND(F291="Closed",X291&gt;=DATE(2026,6,1),X291&lt;=DATE(2026,6,30)),"Closed in June","other")</f>
        <v/>
      </c>
    </row>
    <row r="292" hidden="1">
      <c r="A292" s="9" t="n">
        <v>46143</v>
      </c>
      <c r="B292" s="1" t="n">
        <v>2026</v>
      </c>
      <c r="C292" s="8" t="inlineStr">
        <is>
          <t>Yanara Power</t>
        </is>
      </c>
      <c r="D292" s="1" t="inlineStr">
        <is>
          <t>Utility and C&amp;I</t>
        </is>
      </c>
      <c r="E292" s="1" t="n"/>
      <c r="F292" s="1" t="inlineStr">
        <is>
          <t>Closed</t>
        </is>
      </c>
      <c r="G292" s="2" t="inlineStr">
        <is>
          <t xml:space="preserve">Ashish Jindal </t>
        </is>
      </c>
      <c r="H292" s="8" t="n">
        <v>9983975581</v>
      </c>
      <c r="I292" s="10" t="inlineStr">
        <is>
          <t>PE01052601</t>
        </is>
      </c>
      <c r="J292" s="8" t="inlineStr">
        <is>
          <t>Multiple Issues</t>
        </is>
      </c>
      <c r="K292" s="11" t="inlineStr">
        <is>
          <t>Holi</t>
        </is>
      </c>
      <c r="L292" s="11" t="inlineStr">
        <is>
          <t>Maharashtra</t>
        </is>
      </c>
      <c r="M292" s="2" t="inlineStr">
        <is>
          <t>NS</t>
        </is>
      </c>
      <c r="N292" s="1" t="inlineStr">
        <is>
          <t>Cold Soldering</t>
        </is>
      </c>
      <c r="O292" s="11" t="n">
        <v>575</v>
      </c>
      <c r="P292" s="2" t="inlineStr">
        <is>
          <t>NSMI24070195948</t>
        </is>
      </c>
      <c r="Q292" s="14">
        <f>MID(P292,5,2)</f>
        <v/>
      </c>
      <c r="R292" s="14">
        <f>MID(P292,7,2)</f>
        <v/>
      </c>
      <c r="S292" s="1" t="inlineStr">
        <is>
          <t>G2G</t>
        </is>
      </c>
      <c r="T292" s="1" t="inlineStr">
        <is>
          <t>P4 - PEIPL</t>
        </is>
      </c>
      <c r="U292" s="1" t="inlineStr">
        <is>
          <t>N JB Cold Soldering</t>
        </is>
      </c>
      <c r="V292" s="1" t="inlineStr">
        <is>
          <t>Soldering</t>
        </is>
      </c>
      <c r="W292" s="1" t="inlineStr">
        <is>
          <t>Repair</t>
        </is>
      </c>
      <c r="X292" s="5" t="n">
        <v>46175</v>
      </c>
      <c r="Y292" s="1">
        <f>IF(X292="","",X292-A292)</f>
        <v/>
      </c>
      <c r="Z292" s="5" t="n">
        <v>46175</v>
      </c>
      <c r="AA292" s="3" t="n"/>
      <c r="AB292" s="3" t="n"/>
      <c r="AE292" s="146">
        <f>IF(AND(F292="Closed",X292&gt;=DATE(2026,6,1),X292&lt;=DATE(2026,6,30)),"Closed in June","other")</f>
        <v/>
      </c>
    </row>
    <row r="293" hidden="1">
      <c r="A293" s="9" t="n">
        <v>46143</v>
      </c>
      <c r="B293" s="1" t="n">
        <v>2026</v>
      </c>
      <c r="C293" s="8" t="inlineStr">
        <is>
          <t>Yanara Power</t>
        </is>
      </c>
      <c r="D293" s="1" t="inlineStr">
        <is>
          <t>Utility and C&amp;I</t>
        </is>
      </c>
      <c r="E293" s="1" t="n"/>
      <c r="F293" s="1" t="inlineStr">
        <is>
          <t>Closed</t>
        </is>
      </c>
      <c r="G293" s="2" t="inlineStr">
        <is>
          <t xml:space="preserve">Ashish Jindal </t>
        </is>
      </c>
      <c r="H293" s="8" t="n">
        <v>9983975581</v>
      </c>
      <c r="I293" s="10" t="inlineStr">
        <is>
          <t>PE01052601</t>
        </is>
      </c>
      <c r="J293" s="8" t="inlineStr">
        <is>
          <t>Multiple Issues</t>
        </is>
      </c>
      <c r="K293" s="11" t="inlineStr">
        <is>
          <t>Holi</t>
        </is>
      </c>
      <c r="L293" s="11" t="inlineStr">
        <is>
          <t>Maharashtra</t>
        </is>
      </c>
      <c r="M293" s="2" t="inlineStr">
        <is>
          <t>NS</t>
        </is>
      </c>
      <c r="N293" s="1" t="inlineStr">
        <is>
          <t>Cold Soldering</t>
        </is>
      </c>
      <c r="O293" s="11" t="n">
        <v>575</v>
      </c>
      <c r="P293" s="2" t="inlineStr">
        <is>
          <t>NSMI24070195910</t>
        </is>
      </c>
      <c r="Q293" s="14">
        <f>MID(P293,5,2)</f>
        <v/>
      </c>
      <c r="R293" s="14">
        <f>MID(P293,7,2)</f>
        <v/>
      </c>
      <c r="S293" s="1" t="inlineStr">
        <is>
          <t>G2G</t>
        </is>
      </c>
      <c r="T293" s="1" t="inlineStr">
        <is>
          <t>P4 - PEIPL</t>
        </is>
      </c>
      <c r="U293" s="1" t="inlineStr">
        <is>
          <t>N JB Cold Soldering</t>
        </is>
      </c>
      <c r="V293" s="1" t="inlineStr">
        <is>
          <t>Soldering</t>
        </is>
      </c>
      <c r="W293" s="1" t="inlineStr">
        <is>
          <t>Repair</t>
        </is>
      </c>
      <c r="X293" s="5" t="n">
        <v>46175</v>
      </c>
      <c r="Y293" s="1">
        <f>IF(X293="","",X293-A293)</f>
        <v/>
      </c>
      <c r="Z293" s="5" t="n">
        <v>46175</v>
      </c>
      <c r="AA293" s="3" t="n"/>
      <c r="AB293" s="3" t="n"/>
      <c r="AE293" s="146">
        <f>IF(AND(F293="Closed",X293&gt;=DATE(2026,6,1),X293&lt;=DATE(2026,6,30)),"Closed in June","other")</f>
        <v/>
      </c>
    </row>
    <row r="294" hidden="1">
      <c r="A294" s="9" t="n">
        <v>46143</v>
      </c>
      <c r="B294" s="1" t="n">
        <v>2026</v>
      </c>
      <c r="C294" s="8" t="inlineStr">
        <is>
          <t>Yanara Power</t>
        </is>
      </c>
      <c r="D294" s="1" t="inlineStr">
        <is>
          <t>Utility and C&amp;I</t>
        </is>
      </c>
      <c r="E294" s="1" t="n"/>
      <c r="F294" s="1" t="inlineStr">
        <is>
          <t>Closed</t>
        </is>
      </c>
      <c r="G294" s="2" t="inlineStr">
        <is>
          <t xml:space="preserve">Ashish Jindal </t>
        </is>
      </c>
      <c r="H294" s="8" t="n">
        <v>9983975581</v>
      </c>
      <c r="I294" s="10" t="inlineStr">
        <is>
          <t>PE01052601</t>
        </is>
      </c>
      <c r="J294" s="8" t="inlineStr">
        <is>
          <t>Multiple Issues</t>
        </is>
      </c>
      <c r="K294" s="11" t="inlineStr">
        <is>
          <t>Holi</t>
        </is>
      </c>
      <c r="L294" s="11" t="inlineStr">
        <is>
          <t>Maharashtra</t>
        </is>
      </c>
      <c r="M294" s="2" t="inlineStr">
        <is>
          <t>NS</t>
        </is>
      </c>
      <c r="N294" s="1" t="inlineStr">
        <is>
          <t>Cold Soldering</t>
        </is>
      </c>
      <c r="O294" s="11" t="n">
        <v>575</v>
      </c>
      <c r="P294" s="2" t="inlineStr">
        <is>
          <t>NSMI24070195875</t>
        </is>
      </c>
      <c r="Q294" s="14">
        <f>MID(P294,5,2)</f>
        <v/>
      </c>
      <c r="R294" s="14">
        <f>MID(P294,7,2)</f>
        <v/>
      </c>
      <c r="S294" s="1" t="inlineStr">
        <is>
          <t>G2G</t>
        </is>
      </c>
      <c r="T294" s="1" t="inlineStr">
        <is>
          <t>P4 - PEIPL</t>
        </is>
      </c>
      <c r="U294" s="1" t="inlineStr">
        <is>
          <t>N JB Cold Soldering</t>
        </is>
      </c>
      <c r="V294" s="1" t="inlineStr">
        <is>
          <t>Soldering</t>
        </is>
      </c>
      <c r="W294" s="1" t="inlineStr">
        <is>
          <t>Repair</t>
        </is>
      </c>
      <c r="X294" s="5" t="n">
        <v>46175</v>
      </c>
      <c r="Y294" s="1">
        <f>IF(X294="","",X294-A294)</f>
        <v/>
      </c>
      <c r="Z294" s="5" t="n">
        <v>46175</v>
      </c>
      <c r="AA294" s="3" t="n"/>
      <c r="AB294" s="3" t="n"/>
      <c r="AE294" s="146">
        <f>IF(AND(F294="Closed",X294&gt;=DATE(2026,6,1),X294&lt;=DATE(2026,6,30)),"Closed in June","other")</f>
        <v/>
      </c>
    </row>
    <row r="295" hidden="1">
      <c r="A295" s="9" t="n">
        <v>46143</v>
      </c>
      <c r="B295" s="1" t="n">
        <v>2026</v>
      </c>
      <c r="C295" s="8" t="inlineStr">
        <is>
          <t>Yanara Power</t>
        </is>
      </c>
      <c r="D295" s="1" t="inlineStr">
        <is>
          <t>Utility and C&amp;I</t>
        </is>
      </c>
      <c r="E295" s="1" t="n"/>
      <c r="F295" s="1" t="inlineStr">
        <is>
          <t>Closed</t>
        </is>
      </c>
      <c r="G295" s="2" t="inlineStr">
        <is>
          <t xml:space="preserve">Ashish Jindal </t>
        </is>
      </c>
      <c r="H295" s="8" t="n">
        <v>9983975581</v>
      </c>
      <c r="I295" s="10" t="inlineStr">
        <is>
          <t>PE01052601</t>
        </is>
      </c>
      <c r="J295" s="8" t="inlineStr">
        <is>
          <t>Multiple Issues</t>
        </is>
      </c>
      <c r="K295" s="11" t="inlineStr">
        <is>
          <t>Holi</t>
        </is>
      </c>
      <c r="L295" s="11" t="inlineStr">
        <is>
          <t>Maharashtra</t>
        </is>
      </c>
      <c r="M295" s="2" t="inlineStr">
        <is>
          <t>NS</t>
        </is>
      </c>
      <c r="N295" s="1" t="inlineStr">
        <is>
          <t>Cold Soldering</t>
        </is>
      </c>
      <c r="O295" s="11" t="n">
        <v>575</v>
      </c>
      <c r="P295" s="2" t="inlineStr">
        <is>
          <t>NSMI24070195913</t>
        </is>
      </c>
      <c r="Q295" s="14">
        <f>MID(P295,5,2)</f>
        <v/>
      </c>
      <c r="R295" s="14">
        <f>MID(P295,7,2)</f>
        <v/>
      </c>
      <c r="S295" s="1" t="inlineStr">
        <is>
          <t>G2G</t>
        </is>
      </c>
      <c r="T295" s="1" t="inlineStr">
        <is>
          <t>P4 - PEIPL</t>
        </is>
      </c>
      <c r="U295" s="1" t="inlineStr">
        <is>
          <t>N JB Cold Soldering</t>
        </is>
      </c>
      <c r="V295" s="1" t="inlineStr">
        <is>
          <t>Soldering</t>
        </is>
      </c>
      <c r="W295" s="1" t="inlineStr">
        <is>
          <t>Repair</t>
        </is>
      </c>
      <c r="X295" s="5" t="n">
        <v>46175</v>
      </c>
      <c r="Y295" s="1">
        <f>IF(X295="","",X295-A295)</f>
        <v/>
      </c>
      <c r="Z295" s="5" t="n">
        <v>46175</v>
      </c>
      <c r="AA295" s="3" t="n"/>
      <c r="AB295" s="3" t="n"/>
      <c r="AE295" s="146">
        <f>IF(AND(F295="Closed",X295&gt;=DATE(2026,6,1),X295&lt;=DATE(2026,6,30)),"Closed in June","other")</f>
        <v/>
      </c>
    </row>
    <row r="296" hidden="1">
      <c r="A296" s="9" t="n">
        <v>46143</v>
      </c>
      <c r="B296" s="1" t="n">
        <v>2026</v>
      </c>
      <c r="C296" s="8" t="inlineStr">
        <is>
          <t>Yanara Power</t>
        </is>
      </c>
      <c r="D296" s="1" t="inlineStr">
        <is>
          <t>Utility and C&amp;I</t>
        </is>
      </c>
      <c r="E296" s="1" t="n"/>
      <c r="F296" s="1" t="inlineStr">
        <is>
          <t>Closed</t>
        </is>
      </c>
      <c r="G296" s="2" t="inlineStr">
        <is>
          <t xml:space="preserve">Ashish Jindal </t>
        </is>
      </c>
      <c r="H296" s="8" t="n">
        <v>9983975581</v>
      </c>
      <c r="I296" s="10" t="inlineStr">
        <is>
          <t>PE01052601</t>
        </is>
      </c>
      <c r="J296" s="8" t="inlineStr">
        <is>
          <t>Multiple Issues</t>
        </is>
      </c>
      <c r="K296" s="11" t="inlineStr">
        <is>
          <t>Holi</t>
        </is>
      </c>
      <c r="L296" s="11" t="inlineStr">
        <is>
          <t>Maharashtra</t>
        </is>
      </c>
      <c r="M296" s="2" t="inlineStr">
        <is>
          <t>NS</t>
        </is>
      </c>
      <c r="N296" s="1" t="inlineStr">
        <is>
          <t>Cold Soldering</t>
        </is>
      </c>
      <c r="O296" s="11" t="n">
        <v>575</v>
      </c>
      <c r="P296" s="2" t="inlineStr">
        <is>
          <t>NSMI24070195969</t>
        </is>
      </c>
      <c r="Q296" s="14">
        <f>MID(P296,5,2)</f>
        <v/>
      </c>
      <c r="R296" s="14">
        <f>MID(P296,7,2)</f>
        <v/>
      </c>
      <c r="S296" s="1" t="inlineStr">
        <is>
          <t>G2G</t>
        </is>
      </c>
      <c r="T296" s="1" t="inlineStr">
        <is>
          <t>P4 - PEIPL</t>
        </is>
      </c>
      <c r="U296" s="1" t="inlineStr">
        <is>
          <t>N JB Cold Soldering</t>
        </is>
      </c>
      <c r="V296" s="1" t="inlineStr">
        <is>
          <t>Soldering</t>
        </is>
      </c>
      <c r="W296" s="1" t="inlineStr">
        <is>
          <t>Repair</t>
        </is>
      </c>
      <c r="X296" s="5" t="n">
        <v>46175</v>
      </c>
      <c r="Y296" s="1">
        <f>IF(X296="","",X296-A296)</f>
        <v/>
      </c>
      <c r="Z296" s="5" t="n">
        <v>46175</v>
      </c>
      <c r="AA296" s="3" t="n"/>
      <c r="AB296" s="3" t="n"/>
      <c r="AE296" s="146">
        <f>IF(AND(F296="Closed",X296&gt;=DATE(2026,6,1),X296&lt;=DATE(2026,6,30)),"Closed in June","other")</f>
        <v/>
      </c>
    </row>
    <row r="297" hidden="1">
      <c r="A297" s="9" t="n">
        <v>46143</v>
      </c>
      <c r="B297" s="1" t="n">
        <v>2026</v>
      </c>
      <c r="C297" s="8" t="inlineStr">
        <is>
          <t>Yanara Power</t>
        </is>
      </c>
      <c r="D297" s="1" t="inlineStr">
        <is>
          <t>Utility and C&amp;I</t>
        </is>
      </c>
      <c r="E297" s="1" t="n"/>
      <c r="F297" s="1" t="inlineStr">
        <is>
          <t>Closed</t>
        </is>
      </c>
      <c r="G297" s="2" t="inlineStr">
        <is>
          <t xml:space="preserve">Ashish Jindal </t>
        </is>
      </c>
      <c r="H297" s="8" t="n">
        <v>9983975581</v>
      </c>
      <c r="I297" s="10" t="inlineStr">
        <is>
          <t>PE01052601</t>
        </is>
      </c>
      <c r="J297" s="8" t="inlineStr">
        <is>
          <t>Multiple Issues</t>
        </is>
      </c>
      <c r="K297" s="11" t="inlineStr">
        <is>
          <t>Holi</t>
        </is>
      </c>
      <c r="L297" s="11" t="inlineStr">
        <is>
          <t>Maharashtra</t>
        </is>
      </c>
      <c r="M297" s="2" t="inlineStr">
        <is>
          <t>NS</t>
        </is>
      </c>
      <c r="N297" s="1" t="inlineStr">
        <is>
          <t>Cold Soldering</t>
        </is>
      </c>
      <c r="O297" s="11" t="n">
        <v>575</v>
      </c>
      <c r="P297" s="2" t="inlineStr">
        <is>
          <t>NSMI24070195949</t>
        </is>
      </c>
      <c r="Q297" s="14">
        <f>MID(P297,5,2)</f>
        <v/>
      </c>
      <c r="R297" s="14">
        <f>MID(P297,7,2)</f>
        <v/>
      </c>
      <c r="S297" s="1" t="inlineStr">
        <is>
          <t>G2G</t>
        </is>
      </c>
      <c r="T297" s="1" t="inlineStr">
        <is>
          <t>P4 - PEIPL</t>
        </is>
      </c>
      <c r="U297" s="1" t="inlineStr">
        <is>
          <t>N JB Cold Soldering</t>
        </is>
      </c>
      <c r="V297" s="1" t="inlineStr">
        <is>
          <t>Soldering</t>
        </is>
      </c>
      <c r="W297" s="1" t="inlineStr">
        <is>
          <t>Repair</t>
        </is>
      </c>
      <c r="X297" s="5" t="n">
        <v>46175</v>
      </c>
      <c r="Y297" s="1">
        <f>IF(X297="","",X297-A297)</f>
        <v/>
      </c>
      <c r="Z297" s="5" t="n">
        <v>46175</v>
      </c>
      <c r="AA297" s="3" t="n"/>
      <c r="AB297" s="3" t="n"/>
      <c r="AE297" s="146">
        <f>IF(AND(F297="Closed",X297&gt;=DATE(2026,6,1),X297&lt;=DATE(2026,6,30)),"Closed in June","other")</f>
        <v/>
      </c>
    </row>
    <row r="298" hidden="1">
      <c r="A298" s="9" t="n">
        <v>46143</v>
      </c>
      <c r="B298" s="1" t="n">
        <v>2026</v>
      </c>
      <c r="C298" s="8" t="inlineStr">
        <is>
          <t>Yanara Power</t>
        </is>
      </c>
      <c r="D298" s="1" t="inlineStr">
        <is>
          <t>Utility and C&amp;I</t>
        </is>
      </c>
      <c r="E298" s="1" t="n"/>
      <c r="F298" s="1" t="inlineStr">
        <is>
          <t>Closed</t>
        </is>
      </c>
      <c r="G298" s="2" t="inlineStr">
        <is>
          <t xml:space="preserve">Ashish Jindal </t>
        </is>
      </c>
      <c r="H298" s="8" t="n">
        <v>9983975581</v>
      </c>
      <c r="I298" s="10" t="inlineStr">
        <is>
          <t>PE01052601</t>
        </is>
      </c>
      <c r="J298" s="8" t="inlineStr">
        <is>
          <t>Multiple Issues</t>
        </is>
      </c>
      <c r="K298" s="11" t="inlineStr">
        <is>
          <t>Holi</t>
        </is>
      </c>
      <c r="L298" s="11" t="inlineStr">
        <is>
          <t>Maharashtra</t>
        </is>
      </c>
      <c r="M298" s="2" t="inlineStr">
        <is>
          <t>NS</t>
        </is>
      </c>
      <c r="N298" s="1" t="inlineStr">
        <is>
          <t>Cold Soldering</t>
        </is>
      </c>
      <c r="O298" s="11" t="n">
        <v>575</v>
      </c>
      <c r="P298" s="2" t="inlineStr">
        <is>
          <t>NSMI24070195409</t>
        </is>
      </c>
      <c r="Q298" s="14">
        <f>MID(P298,5,2)</f>
        <v/>
      </c>
      <c r="R298" s="14">
        <f>MID(P298,7,2)</f>
        <v/>
      </c>
      <c r="S298" s="1" t="inlineStr">
        <is>
          <t>G2G</t>
        </is>
      </c>
      <c r="T298" s="1" t="inlineStr">
        <is>
          <t>P4 - PEIPL</t>
        </is>
      </c>
      <c r="U298" s="1" t="inlineStr">
        <is>
          <t>N JB Cold Soldering</t>
        </is>
      </c>
      <c r="V298" s="1" t="inlineStr">
        <is>
          <t>Soldering</t>
        </is>
      </c>
      <c r="W298" s="1" t="inlineStr">
        <is>
          <t>Repair</t>
        </is>
      </c>
      <c r="X298" s="5" t="n">
        <v>46175</v>
      </c>
      <c r="Y298" s="1">
        <f>IF(X298="","",X298-A298)</f>
        <v/>
      </c>
      <c r="Z298" s="5" t="n">
        <v>46175</v>
      </c>
      <c r="AA298" s="3" t="n"/>
      <c r="AB298" s="3" t="n"/>
      <c r="AE298" s="146">
        <f>IF(AND(F298="Closed",X298&gt;=DATE(2026,6,1),X298&lt;=DATE(2026,6,30)),"Closed in June","other")</f>
        <v/>
      </c>
    </row>
    <row r="299" hidden="1">
      <c r="A299" s="9" t="n">
        <v>46143</v>
      </c>
      <c r="B299" s="1" t="n">
        <v>2026</v>
      </c>
      <c r="C299" s="8" t="inlineStr">
        <is>
          <t>Yanara Power</t>
        </is>
      </c>
      <c r="D299" s="1" t="inlineStr">
        <is>
          <t>Utility and C&amp;I</t>
        </is>
      </c>
      <c r="E299" s="1" t="n"/>
      <c r="F299" s="1" t="inlineStr">
        <is>
          <t>Closed</t>
        </is>
      </c>
      <c r="G299" s="2" t="inlineStr">
        <is>
          <t xml:space="preserve">Ashish Jindal </t>
        </is>
      </c>
      <c r="H299" s="8" t="n">
        <v>9983975581</v>
      </c>
      <c r="I299" s="10" t="inlineStr">
        <is>
          <t>PE01052601</t>
        </is>
      </c>
      <c r="J299" s="8" t="inlineStr">
        <is>
          <t>Multiple Issues</t>
        </is>
      </c>
      <c r="K299" s="11" t="inlineStr">
        <is>
          <t>Holi</t>
        </is>
      </c>
      <c r="L299" s="11" t="inlineStr">
        <is>
          <t>Maharashtra</t>
        </is>
      </c>
      <c r="M299" s="2" t="inlineStr">
        <is>
          <t>PS</t>
        </is>
      </c>
      <c r="N299" s="1" t="inlineStr">
        <is>
          <t>Cold Soldering</t>
        </is>
      </c>
      <c r="O299" s="11" t="n">
        <v>575</v>
      </c>
      <c r="P299" s="2" t="inlineStr">
        <is>
          <t>NSMI24070196403</t>
        </is>
      </c>
      <c r="Q299" s="14">
        <f>MID(P299,5,2)</f>
        <v/>
      </c>
      <c r="R299" s="14">
        <f>MID(P299,7,2)</f>
        <v/>
      </c>
      <c r="S299" s="1" t="inlineStr">
        <is>
          <t>G2G</t>
        </is>
      </c>
      <c r="T299" s="1" t="inlineStr">
        <is>
          <t>P4 - PEIPL</t>
        </is>
      </c>
      <c r="U299" s="6" t="inlineStr">
        <is>
          <t>P JB Cold Soldering</t>
        </is>
      </c>
      <c r="V299" s="6" t="inlineStr">
        <is>
          <t>Soldering</t>
        </is>
      </c>
      <c r="W299" s="1" t="inlineStr">
        <is>
          <t>Repair</t>
        </is>
      </c>
      <c r="X299" s="5" t="n">
        <v>46175</v>
      </c>
      <c r="Y299" s="1">
        <f>IF(X299="","",X299-A299)</f>
        <v/>
      </c>
      <c r="Z299" s="5" t="n">
        <v>46175</v>
      </c>
      <c r="AA299" s="3" t="n"/>
      <c r="AB299" s="3" t="n"/>
      <c r="AE299" s="146">
        <f>IF(AND(F299="Closed",X299&gt;=DATE(2026,6,1),X299&lt;=DATE(2026,6,30)),"Closed in June","other")</f>
        <v/>
      </c>
    </row>
    <row r="300" hidden="1">
      <c r="A300" s="9" t="n">
        <v>46143</v>
      </c>
      <c r="B300" s="1" t="n">
        <v>2026</v>
      </c>
      <c r="C300" s="8" t="inlineStr">
        <is>
          <t>Yanara Power</t>
        </is>
      </c>
      <c r="D300" s="1" t="inlineStr">
        <is>
          <t>Utility and C&amp;I</t>
        </is>
      </c>
      <c r="E300" s="1" t="n"/>
      <c r="F300" s="1" t="inlineStr">
        <is>
          <t>Closed</t>
        </is>
      </c>
      <c r="G300" s="2" t="inlineStr">
        <is>
          <t xml:space="preserve">Ashish Jindal </t>
        </is>
      </c>
      <c r="H300" s="8" t="n">
        <v>9983975581</v>
      </c>
      <c r="I300" s="10" t="inlineStr">
        <is>
          <t>PE01052601</t>
        </is>
      </c>
      <c r="J300" s="8" t="inlineStr">
        <is>
          <t>Multiple Issues</t>
        </is>
      </c>
      <c r="K300" s="11" t="inlineStr">
        <is>
          <t>Holi</t>
        </is>
      </c>
      <c r="L300" s="11" t="inlineStr">
        <is>
          <t>Maharashtra</t>
        </is>
      </c>
      <c r="M300" s="2" t="inlineStr">
        <is>
          <t>PS</t>
        </is>
      </c>
      <c r="N300" s="1" t="inlineStr">
        <is>
          <t>Cold Soldering</t>
        </is>
      </c>
      <c r="O300" s="11" t="n">
        <v>575</v>
      </c>
      <c r="P300" s="2" t="inlineStr">
        <is>
          <t>NSMI24070196407</t>
        </is>
      </c>
      <c r="Q300" s="14">
        <f>MID(P300,5,2)</f>
        <v/>
      </c>
      <c r="R300" s="14">
        <f>MID(P300,7,2)</f>
        <v/>
      </c>
      <c r="S300" s="1" t="inlineStr">
        <is>
          <t>G2G</t>
        </is>
      </c>
      <c r="T300" s="1" t="inlineStr">
        <is>
          <t>P4 - PEIPL</t>
        </is>
      </c>
      <c r="U300" s="6" t="inlineStr">
        <is>
          <t>P JB Cold Soldering</t>
        </is>
      </c>
      <c r="V300" s="6" t="inlineStr">
        <is>
          <t>Soldering</t>
        </is>
      </c>
      <c r="W300" s="1" t="inlineStr">
        <is>
          <t>Repair</t>
        </is>
      </c>
      <c r="X300" s="5" t="n">
        <v>46175</v>
      </c>
      <c r="Y300" s="1">
        <f>IF(X300="","",X300-A300)</f>
        <v/>
      </c>
      <c r="Z300" s="5" t="n">
        <v>46175</v>
      </c>
      <c r="AA300" s="3" t="n"/>
      <c r="AB300" s="3" t="n"/>
      <c r="AE300" s="146">
        <f>IF(AND(F300="Closed",X300&gt;=DATE(2026,6,1),X300&lt;=DATE(2026,6,30)),"Closed in June","other")</f>
        <v/>
      </c>
    </row>
    <row r="301" hidden="1">
      <c r="A301" s="9" t="n">
        <v>46143</v>
      </c>
      <c r="B301" s="1" t="n">
        <v>2026</v>
      </c>
      <c r="C301" s="8" t="inlineStr">
        <is>
          <t>Yanara Power</t>
        </is>
      </c>
      <c r="D301" s="1" t="inlineStr">
        <is>
          <t>Utility and C&amp;I</t>
        </is>
      </c>
      <c r="E301" s="1" t="n"/>
      <c r="F301" s="1" t="inlineStr">
        <is>
          <t>Closed</t>
        </is>
      </c>
      <c r="G301" s="2" t="inlineStr">
        <is>
          <t xml:space="preserve">Ashish Jindal </t>
        </is>
      </c>
      <c r="H301" s="8" t="n">
        <v>9983975581</v>
      </c>
      <c r="I301" s="10" t="inlineStr">
        <is>
          <t>PE01052601</t>
        </is>
      </c>
      <c r="J301" s="8" t="inlineStr">
        <is>
          <t>Multiple Issues</t>
        </is>
      </c>
      <c r="K301" s="11" t="inlineStr">
        <is>
          <t>Holi</t>
        </is>
      </c>
      <c r="L301" s="11" t="inlineStr">
        <is>
          <t>Maharashtra</t>
        </is>
      </c>
      <c r="M301" s="2" t="inlineStr">
        <is>
          <t>PS</t>
        </is>
      </c>
      <c r="N301" s="1" t="inlineStr">
        <is>
          <t>Cold Soldering</t>
        </is>
      </c>
      <c r="O301" s="11" t="n">
        <v>575</v>
      </c>
      <c r="P301" s="2" t="inlineStr">
        <is>
          <t>NSMI24070201385</t>
        </is>
      </c>
      <c r="Q301" s="14">
        <f>MID(P301,5,2)</f>
        <v/>
      </c>
      <c r="R301" s="14">
        <f>MID(P301,7,2)</f>
        <v/>
      </c>
      <c r="S301" s="1" t="inlineStr">
        <is>
          <t>G2G</t>
        </is>
      </c>
      <c r="T301" s="1" t="inlineStr">
        <is>
          <t>P4 - PEIPL</t>
        </is>
      </c>
      <c r="U301" s="6" t="inlineStr">
        <is>
          <t>P JB Cold Soldering</t>
        </is>
      </c>
      <c r="V301" s="6" t="inlineStr">
        <is>
          <t>Soldering</t>
        </is>
      </c>
      <c r="W301" s="1" t="inlineStr">
        <is>
          <t>Repair</t>
        </is>
      </c>
      <c r="X301" s="5" t="n">
        <v>46175</v>
      </c>
      <c r="Y301" s="1">
        <f>IF(X301="","",X301-A301)</f>
        <v/>
      </c>
      <c r="Z301" s="5" t="n">
        <v>46175</v>
      </c>
      <c r="AA301" s="3" t="n"/>
      <c r="AB301" s="3" t="n"/>
      <c r="AE301" s="146">
        <f>IF(AND(F301="Closed",X301&gt;=DATE(2026,6,1),X301&lt;=DATE(2026,6,30)),"Closed in June","other")</f>
        <v/>
      </c>
    </row>
    <row r="302" hidden="1">
      <c r="A302" s="9" t="n">
        <v>46143</v>
      </c>
      <c r="B302" s="1" t="n">
        <v>2026</v>
      </c>
      <c r="C302" s="8" t="inlineStr">
        <is>
          <t>Yanara Power</t>
        </is>
      </c>
      <c r="D302" s="1" t="inlineStr">
        <is>
          <t>Utility and C&amp;I</t>
        </is>
      </c>
      <c r="E302" s="1" t="n"/>
      <c r="F302" s="1" t="inlineStr">
        <is>
          <t>Closed</t>
        </is>
      </c>
      <c r="G302" s="2" t="inlineStr">
        <is>
          <t xml:space="preserve">Ashish Jindal </t>
        </is>
      </c>
      <c r="H302" s="8" t="n">
        <v>9983975581</v>
      </c>
      <c r="I302" s="10" t="inlineStr">
        <is>
          <t>PE01052601</t>
        </is>
      </c>
      <c r="J302" s="8" t="inlineStr">
        <is>
          <t>Multiple Issues</t>
        </is>
      </c>
      <c r="K302" s="11" t="inlineStr">
        <is>
          <t>Holi</t>
        </is>
      </c>
      <c r="L302" s="11" t="inlineStr">
        <is>
          <t>Maharashtra</t>
        </is>
      </c>
      <c r="M302" s="2" t="inlineStr">
        <is>
          <t>PS</t>
        </is>
      </c>
      <c r="N302" s="1" t="inlineStr">
        <is>
          <t>Cold Soldering</t>
        </is>
      </c>
      <c r="O302" s="11" t="n">
        <v>575</v>
      </c>
      <c r="P302" s="2" t="inlineStr">
        <is>
          <t>NSMI24070201280</t>
        </is>
      </c>
      <c r="Q302" s="14">
        <f>MID(P302,5,2)</f>
        <v/>
      </c>
      <c r="R302" s="14">
        <f>MID(P302,7,2)</f>
        <v/>
      </c>
      <c r="S302" s="1" t="inlineStr">
        <is>
          <t>G2G</t>
        </is>
      </c>
      <c r="T302" s="1" t="inlineStr">
        <is>
          <t>P4 - PEIPL</t>
        </is>
      </c>
      <c r="U302" s="6" t="inlineStr">
        <is>
          <t>P JB Cold Soldering</t>
        </is>
      </c>
      <c r="V302" s="6" t="inlineStr">
        <is>
          <t>Soldering</t>
        </is>
      </c>
      <c r="W302" s="1" t="inlineStr">
        <is>
          <t>Repair</t>
        </is>
      </c>
      <c r="X302" s="5" t="n">
        <v>46175</v>
      </c>
      <c r="Y302" s="1">
        <f>IF(X302="","",X302-A302)</f>
        <v/>
      </c>
      <c r="Z302" s="5" t="n">
        <v>46175</v>
      </c>
      <c r="AA302" s="3" t="n"/>
      <c r="AB302" s="3" t="n"/>
      <c r="AE302" s="146">
        <f>IF(AND(F302="Closed",X302&gt;=DATE(2026,6,1),X302&lt;=DATE(2026,6,30)),"Closed in June","other")</f>
        <v/>
      </c>
    </row>
    <row r="303" hidden="1">
      <c r="A303" s="9" t="n">
        <v>46143</v>
      </c>
      <c r="B303" s="1" t="n">
        <v>2026</v>
      </c>
      <c r="C303" s="8" t="inlineStr">
        <is>
          <t>Yanara Power</t>
        </is>
      </c>
      <c r="D303" s="1" t="inlineStr">
        <is>
          <t>Utility and C&amp;I</t>
        </is>
      </c>
      <c r="E303" s="1" t="n"/>
      <c r="F303" s="1" t="inlineStr">
        <is>
          <t>Closed</t>
        </is>
      </c>
      <c r="G303" s="2" t="inlineStr">
        <is>
          <t xml:space="preserve">Ashish Jindal </t>
        </is>
      </c>
      <c r="H303" s="8" t="n">
        <v>9983975581</v>
      </c>
      <c r="I303" s="10" t="inlineStr">
        <is>
          <t>PE01052601</t>
        </is>
      </c>
      <c r="J303" s="8" t="inlineStr">
        <is>
          <t>Multiple Issues</t>
        </is>
      </c>
      <c r="K303" s="11" t="inlineStr">
        <is>
          <t>Holi</t>
        </is>
      </c>
      <c r="L303" s="11" t="inlineStr">
        <is>
          <t>Maharashtra</t>
        </is>
      </c>
      <c r="M303" s="2" t="inlineStr">
        <is>
          <t>PS</t>
        </is>
      </c>
      <c r="N303" s="1" t="inlineStr">
        <is>
          <t>Cold Soldering</t>
        </is>
      </c>
      <c r="O303" s="11" t="n">
        <v>575</v>
      </c>
      <c r="P303" s="2" t="inlineStr">
        <is>
          <t>NSMI24070201332</t>
        </is>
      </c>
      <c r="Q303" s="14">
        <f>MID(P303,5,2)</f>
        <v/>
      </c>
      <c r="R303" s="14">
        <f>MID(P303,7,2)</f>
        <v/>
      </c>
      <c r="S303" s="1" t="inlineStr">
        <is>
          <t>G2G</t>
        </is>
      </c>
      <c r="T303" s="1" t="inlineStr">
        <is>
          <t>P4 - PEIPL</t>
        </is>
      </c>
      <c r="U303" s="6" t="inlineStr">
        <is>
          <t>P JB Cold Soldering</t>
        </is>
      </c>
      <c r="V303" s="6" t="inlineStr">
        <is>
          <t>Soldering</t>
        </is>
      </c>
      <c r="W303" s="1" t="inlineStr">
        <is>
          <t>Repair</t>
        </is>
      </c>
      <c r="X303" s="5" t="n">
        <v>46175</v>
      </c>
      <c r="Y303" s="1">
        <f>IF(X303="","",X303-A303)</f>
        <v/>
      </c>
      <c r="Z303" s="5" t="n">
        <v>46175</v>
      </c>
      <c r="AA303" s="3" t="n"/>
      <c r="AB303" s="3" t="n"/>
      <c r="AE303" s="146">
        <f>IF(AND(F303="Closed",X303&gt;=DATE(2026,6,1),X303&lt;=DATE(2026,6,30)),"Closed in June","other")</f>
        <v/>
      </c>
    </row>
    <row r="304" hidden="1">
      <c r="A304" s="9" t="n">
        <v>46143</v>
      </c>
      <c r="B304" s="1" t="n">
        <v>2026</v>
      </c>
      <c r="C304" s="8" t="inlineStr">
        <is>
          <t>Yanara Power</t>
        </is>
      </c>
      <c r="D304" s="1" t="inlineStr">
        <is>
          <t>Utility and C&amp;I</t>
        </is>
      </c>
      <c r="E304" s="1" t="n"/>
      <c r="F304" s="1" t="inlineStr">
        <is>
          <t>Closed</t>
        </is>
      </c>
      <c r="G304" s="2" t="inlineStr">
        <is>
          <t xml:space="preserve">Ashish Jindal </t>
        </is>
      </c>
      <c r="H304" s="8" t="n">
        <v>9983975581</v>
      </c>
      <c r="I304" s="10" t="inlineStr">
        <is>
          <t>PE01052601</t>
        </is>
      </c>
      <c r="J304" s="8" t="inlineStr">
        <is>
          <t>Multiple Issues</t>
        </is>
      </c>
      <c r="K304" s="11" t="inlineStr">
        <is>
          <t>Holi</t>
        </is>
      </c>
      <c r="L304" s="11" t="inlineStr">
        <is>
          <t>Maharashtra</t>
        </is>
      </c>
      <c r="M304" s="2" t="inlineStr">
        <is>
          <t>PS</t>
        </is>
      </c>
      <c r="N304" s="1" t="inlineStr">
        <is>
          <t>Cold Soldering</t>
        </is>
      </c>
      <c r="O304" s="11" t="n">
        <v>575</v>
      </c>
      <c r="P304" s="2" t="inlineStr">
        <is>
          <t>NSMI24070201268</t>
        </is>
      </c>
      <c r="Q304" s="14">
        <f>MID(P304,5,2)</f>
        <v/>
      </c>
      <c r="R304" s="14">
        <f>MID(P304,7,2)</f>
        <v/>
      </c>
      <c r="S304" s="1" t="inlineStr">
        <is>
          <t>G2G</t>
        </is>
      </c>
      <c r="T304" s="1" t="inlineStr">
        <is>
          <t>P4 - PEIPL</t>
        </is>
      </c>
      <c r="U304" s="6" t="inlineStr">
        <is>
          <t>P JB Cold Soldering</t>
        </is>
      </c>
      <c r="V304" s="6" t="inlineStr">
        <is>
          <t>Soldering</t>
        </is>
      </c>
      <c r="W304" s="1" t="inlineStr">
        <is>
          <t>Repair</t>
        </is>
      </c>
      <c r="X304" s="5" t="n">
        <v>46175</v>
      </c>
      <c r="Y304" s="1">
        <f>IF(X304="","",X304-A304)</f>
        <v/>
      </c>
      <c r="Z304" s="5" t="n">
        <v>46175</v>
      </c>
      <c r="AA304" s="3" t="n"/>
      <c r="AB304" s="3" t="n"/>
      <c r="AE304" s="146">
        <f>IF(AND(F304="Closed",X304&gt;=DATE(2026,6,1),X304&lt;=DATE(2026,6,30)),"Closed in June","other")</f>
        <v/>
      </c>
    </row>
    <row r="305" hidden="1">
      <c r="A305" s="9" t="n">
        <v>46143</v>
      </c>
      <c r="B305" s="1" t="n">
        <v>2026</v>
      </c>
      <c r="C305" s="8" t="inlineStr">
        <is>
          <t>Yanara Power</t>
        </is>
      </c>
      <c r="D305" s="1" t="inlineStr">
        <is>
          <t>Utility and C&amp;I</t>
        </is>
      </c>
      <c r="E305" s="1" t="n"/>
      <c r="F305" s="1" t="inlineStr">
        <is>
          <t>Closed</t>
        </is>
      </c>
      <c r="G305" s="2" t="inlineStr">
        <is>
          <t xml:space="preserve">Ashish Jindal </t>
        </is>
      </c>
      <c r="H305" s="8" t="n">
        <v>9983975581</v>
      </c>
      <c r="I305" s="10" t="inlineStr">
        <is>
          <t>PE01052601</t>
        </is>
      </c>
      <c r="J305" s="8" t="inlineStr">
        <is>
          <t>Multiple Issues</t>
        </is>
      </c>
      <c r="K305" s="11" t="inlineStr">
        <is>
          <t>Holi</t>
        </is>
      </c>
      <c r="L305" s="11" t="inlineStr">
        <is>
          <t>Maharashtra</t>
        </is>
      </c>
      <c r="M305" s="2" t="inlineStr">
        <is>
          <t>PS</t>
        </is>
      </c>
      <c r="N305" s="1" t="inlineStr">
        <is>
          <t>Cold Soldering</t>
        </is>
      </c>
      <c r="O305" s="11" t="n">
        <v>575</v>
      </c>
      <c r="P305" s="2" t="inlineStr">
        <is>
          <t>NSMI24070192832</t>
        </is>
      </c>
      <c r="Q305" s="14">
        <f>MID(P305,5,2)</f>
        <v/>
      </c>
      <c r="R305" s="14">
        <f>MID(P305,7,2)</f>
        <v/>
      </c>
      <c r="S305" s="1" t="inlineStr">
        <is>
          <t>G2G</t>
        </is>
      </c>
      <c r="T305" s="1" t="inlineStr">
        <is>
          <t>P4 - PEIPL</t>
        </is>
      </c>
      <c r="U305" s="6" t="inlineStr">
        <is>
          <t>P JB Cold Soldering</t>
        </is>
      </c>
      <c r="V305" s="6" t="inlineStr">
        <is>
          <t>Soldering</t>
        </is>
      </c>
      <c r="W305" s="1" t="inlineStr">
        <is>
          <t>Repair</t>
        </is>
      </c>
      <c r="X305" s="5" t="n">
        <v>46175</v>
      </c>
      <c r="Y305" s="1">
        <f>IF(X305="","",X305-A305)</f>
        <v/>
      </c>
      <c r="Z305" s="5" t="n">
        <v>46175</v>
      </c>
      <c r="AA305" s="3" t="n"/>
      <c r="AB305" s="3" t="n"/>
      <c r="AE305" s="146">
        <f>IF(AND(F305="Closed",X305&gt;=DATE(2026,6,1),X305&lt;=DATE(2026,6,30)),"Closed in June","other")</f>
        <v/>
      </c>
    </row>
    <row r="306" hidden="1">
      <c r="A306" s="9" t="n">
        <v>46143</v>
      </c>
      <c r="B306" s="1" t="n">
        <v>2026</v>
      </c>
      <c r="C306" s="8" t="inlineStr">
        <is>
          <t>Yanara Power</t>
        </is>
      </c>
      <c r="D306" s="1" t="inlineStr">
        <is>
          <t>Utility and C&amp;I</t>
        </is>
      </c>
      <c r="E306" s="1" t="n"/>
      <c r="F306" s="1" t="inlineStr">
        <is>
          <t>Closed</t>
        </is>
      </c>
      <c r="G306" s="2" t="inlineStr">
        <is>
          <t xml:space="preserve">Ashish Jindal </t>
        </is>
      </c>
      <c r="H306" s="8" t="n">
        <v>9983975581</v>
      </c>
      <c r="I306" s="10" t="inlineStr">
        <is>
          <t>PE01052601</t>
        </is>
      </c>
      <c r="J306" s="8" t="inlineStr">
        <is>
          <t>Multiple Issues</t>
        </is>
      </c>
      <c r="K306" s="11" t="inlineStr">
        <is>
          <t>Holi</t>
        </is>
      </c>
      <c r="L306" s="11" t="inlineStr">
        <is>
          <t>Maharashtra</t>
        </is>
      </c>
      <c r="M306" s="2" t="inlineStr">
        <is>
          <t>NS</t>
        </is>
      </c>
      <c r="N306" s="1" t="inlineStr">
        <is>
          <t>Cold Soldering</t>
        </is>
      </c>
      <c r="O306" s="11" t="n">
        <v>575</v>
      </c>
      <c r="P306" s="2" t="inlineStr">
        <is>
          <t>NSMI24070194867</t>
        </is>
      </c>
      <c r="Q306" s="14">
        <f>MID(P306,5,2)</f>
        <v/>
      </c>
      <c r="R306" s="14">
        <f>MID(P306,7,2)</f>
        <v/>
      </c>
      <c r="S306" s="1" t="inlineStr">
        <is>
          <t>G2G</t>
        </is>
      </c>
      <c r="T306" s="1" t="inlineStr">
        <is>
          <t>P4 - PEIPL</t>
        </is>
      </c>
      <c r="U306" s="1" t="inlineStr">
        <is>
          <t>N JB Cold Soldering</t>
        </is>
      </c>
      <c r="V306" s="1" t="inlineStr">
        <is>
          <t>Soldering</t>
        </is>
      </c>
      <c r="W306" s="1" t="inlineStr">
        <is>
          <t>Repair</t>
        </is>
      </c>
      <c r="X306" s="5" t="n">
        <v>46175</v>
      </c>
      <c r="Y306" s="1">
        <f>IF(X306="","",X306-A306)</f>
        <v/>
      </c>
      <c r="Z306" s="5" t="n">
        <v>46175</v>
      </c>
      <c r="AA306" s="3" t="n"/>
      <c r="AB306" s="3" t="n"/>
      <c r="AE306" s="146">
        <f>IF(AND(F306="Closed",X306&gt;=DATE(2026,6,1),X306&lt;=DATE(2026,6,30)),"Closed in June","other")</f>
        <v/>
      </c>
    </row>
    <row r="307" hidden="1">
      <c r="A307" s="9" t="n">
        <v>46143</v>
      </c>
      <c r="B307" s="1" t="n">
        <v>2026</v>
      </c>
      <c r="C307" s="8" t="inlineStr">
        <is>
          <t>Yanara Power</t>
        </is>
      </c>
      <c r="D307" s="1" t="inlineStr">
        <is>
          <t>Utility and C&amp;I</t>
        </is>
      </c>
      <c r="E307" s="1" t="n"/>
      <c r="F307" s="1" t="inlineStr">
        <is>
          <t>Closed</t>
        </is>
      </c>
      <c r="G307" s="2" t="inlineStr">
        <is>
          <t xml:space="preserve">Ashish Jindal </t>
        </is>
      </c>
      <c r="H307" s="8" t="n">
        <v>9983975581</v>
      </c>
      <c r="I307" s="10" t="inlineStr">
        <is>
          <t>PE01052601</t>
        </is>
      </c>
      <c r="J307" s="8" t="inlineStr">
        <is>
          <t>Multiple Issues</t>
        </is>
      </c>
      <c r="K307" s="11" t="inlineStr">
        <is>
          <t>Holi</t>
        </is>
      </c>
      <c r="L307" s="11" t="inlineStr">
        <is>
          <t>Maharashtra</t>
        </is>
      </c>
      <c r="M307" s="2" t="inlineStr">
        <is>
          <t>PS</t>
        </is>
      </c>
      <c r="N307" s="1" t="inlineStr">
        <is>
          <t>Cold Soldering</t>
        </is>
      </c>
      <c r="O307" s="11" t="n">
        <v>575</v>
      </c>
      <c r="P307" s="2" t="inlineStr">
        <is>
          <t>NSMI24070185867</t>
        </is>
      </c>
      <c r="Q307" s="14">
        <f>MID(P307,5,2)</f>
        <v/>
      </c>
      <c r="R307" s="14">
        <f>MID(P307,7,2)</f>
        <v/>
      </c>
      <c r="S307" s="1" t="inlineStr">
        <is>
          <t>G2G</t>
        </is>
      </c>
      <c r="T307" s="1" t="inlineStr">
        <is>
          <t>P4 - PEIPL</t>
        </is>
      </c>
      <c r="U307" s="6" t="inlineStr">
        <is>
          <t>P JB Cold Soldering</t>
        </is>
      </c>
      <c r="V307" s="6" t="inlineStr">
        <is>
          <t>Soldering</t>
        </is>
      </c>
      <c r="W307" s="1" t="inlineStr">
        <is>
          <t>Repair</t>
        </is>
      </c>
      <c r="X307" s="5" t="n">
        <v>46175</v>
      </c>
      <c r="Y307" s="1">
        <f>IF(X307="","",X307-A307)</f>
        <v/>
      </c>
      <c r="Z307" s="5" t="n">
        <v>46175</v>
      </c>
      <c r="AA307" s="3" t="n"/>
      <c r="AB307" s="3" t="n"/>
      <c r="AE307" s="146">
        <f>IF(AND(F307="Closed",X307&gt;=DATE(2026,6,1),X307&lt;=DATE(2026,6,30)),"Closed in June","other")</f>
        <v/>
      </c>
    </row>
    <row r="308" hidden="1">
      <c r="A308" s="9" t="n">
        <v>46143</v>
      </c>
      <c r="B308" s="1" t="n">
        <v>2026</v>
      </c>
      <c r="C308" s="8" t="inlineStr">
        <is>
          <t>Yanara Power</t>
        </is>
      </c>
      <c r="D308" s="1" t="inlineStr">
        <is>
          <t>Utility and C&amp;I</t>
        </is>
      </c>
      <c r="E308" s="1" t="n"/>
      <c r="F308" s="1" t="inlineStr">
        <is>
          <t>Closed</t>
        </is>
      </c>
      <c r="G308" s="2" t="inlineStr">
        <is>
          <t xml:space="preserve">Ashish Jindal </t>
        </is>
      </c>
      <c r="H308" s="8" t="n">
        <v>9983975581</v>
      </c>
      <c r="I308" s="10" t="inlineStr">
        <is>
          <t>PE01052601</t>
        </is>
      </c>
      <c r="J308" s="8" t="inlineStr">
        <is>
          <t>Multiple Issues</t>
        </is>
      </c>
      <c r="K308" s="11" t="inlineStr">
        <is>
          <t>Holi</t>
        </is>
      </c>
      <c r="L308" s="11" t="inlineStr">
        <is>
          <t>Maharashtra</t>
        </is>
      </c>
      <c r="M308" s="2" t="inlineStr">
        <is>
          <t>PS</t>
        </is>
      </c>
      <c r="N308" s="1" t="inlineStr">
        <is>
          <t>Cold Soldering</t>
        </is>
      </c>
      <c r="O308" s="11" t="n">
        <v>575</v>
      </c>
      <c r="P308" s="2" t="inlineStr">
        <is>
          <t>NSMI24070188914</t>
        </is>
      </c>
      <c r="Q308" s="14">
        <f>MID(P308,5,2)</f>
        <v/>
      </c>
      <c r="R308" s="14">
        <f>MID(P308,7,2)</f>
        <v/>
      </c>
      <c r="S308" s="1" t="inlineStr">
        <is>
          <t>G2G</t>
        </is>
      </c>
      <c r="T308" s="1" t="inlineStr">
        <is>
          <t>P4 - PEIPL</t>
        </is>
      </c>
      <c r="U308" s="6" t="inlineStr">
        <is>
          <t>P JB Cold Soldering</t>
        </is>
      </c>
      <c r="V308" s="6" t="inlineStr">
        <is>
          <t>Soldering</t>
        </is>
      </c>
      <c r="W308" s="1" t="inlineStr">
        <is>
          <t>Repair</t>
        </is>
      </c>
      <c r="X308" s="5" t="n">
        <v>46175</v>
      </c>
      <c r="Y308" s="1">
        <f>IF(X308="","",X308-A308)</f>
        <v/>
      </c>
      <c r="Z308" s="5" t="n">
        <v>46175</v>
      </c>
      <c r="AA308" s="3" t="n"/>
      <c r="AB308" s="3" t="n"/>
      <c r="AE308" s="146">
        <f>IF(AND(F308="Closed",X308&gt;=DATE(2026,6,1),X308&lt;=DATE(2026,6,30)),"Closed in June","other")</f>
        <v/>
      </c>
    </row>
    <row r="309" hidden="1">
      <c r="A309" s="9" t="n">
        <v>46143</v>
      </c>
      <c r="B309" s="1" t="n">
        <v>2026</v>
      </c>
      <c r="C309" s="8" t="inlineStr">
        <is>
          <t>Yanara Power</t>
        </is>
      </c>
      <c r="D309" s="1" t="inlineStr">
        <is>
          <t>Utility and C&amp;I</t>
        </is>
      </c>
      <c r="E309" s="1" t="n"/>
      <c r="F309" s="1" t="inlineStr">
        <is>
          <t>Closed</t>
        </is>
      </c>
      <c r="G309" s="2" t="inlineStr">
        <is>
          <t xml:space="preserve">Ashish Jindal </t>
        </is>
      </c>
      <c r="H309" s="8" t="n">
        <v>9983975581</v>
      </c>
      <c r="I309" s="10" t="inlineStr">
        <is>
          <t>PE01052601</t>
        </is>
      </c>
      <c r="J309" s="8" t="inlineStr">
        <is>
          <t>Multiple Issues</t>
        </is>
      </c>
      <c r="K309" s="11" t="inlineStr">
        <is>
          <t>Holi</t>
        </is>
      </c>
      <c r="L309" s="11" t="inlineStr">
        <is>
          <t>Maharashtra</t>
        </is>
      </c>
      <c r="M309" s="2" t="inlineStr">
        <is>
          <t>PS</t>
        </is>
      </c>
      <c r="N309" s="1" t="inlineStr">
        <is>
          <t>Cold Soldering</t>
        </is>
      </c>
      <c r="O309" s="11" t="n">
        <v>575</v>
      </c>
      <c r="P309" s="2" t="inlineStr">
        <is>
          <t>NSMI24070189058</t>
        </is>
      </c>
      <c r="Q309" s="14">
        <f>MID(P309,5,2)</f>
        <v/>
      </c>
      <c r="R309" s="14">
        <f>MID(P309,7,2)</f>
        <v/>
      </c>
      <c r="S309" s="1" t="inlineStr">
        <is>
          <t>G2G</t>
        </is>
      </c>
      <c r="T309" s="1" t="inlineStr">
        <is>
          <t>P4 - PEIPL</t>
        </is>
      </c>
      <c r="U309" s="6" t="inlineStr">
        <is>
          <t>P JB Cold Soldering</t>
        </is>
      </c>
      <c r="V309" s="6" t="inlineStr">
        <is>
          <t>Soldering</t>
        </is>
      </c>
      <c r="W309" s="1" t="inlineStr">
        <is>
          <t>Repair</t>
        </is>
      </c>
      <c r="X309" s="5" t="n">
        <v>46175</v>
      </c>
      <c r="Y309" s="1">
        <f>IF(X309="","",X309-A309)</f>
        <v/>
      </c>
      <c r="Z309" s="5" t="n">
        <v>46175</v>
      </c>
      <c r="AA309" s="3" t="n"/>
      <c r="AB309" s="3" t="n"/>
      <c r="AE309" s="146">
        <f>IF(AND(F309="Closed",X309&gt;=DATE(2026,6,1),X309&lt;=DATE(2026,6,30)),"Closed in June","other")</f>
        <v/>
      </c>
    </row>
    <row r="310" hidden="1">
      <c r="A310" s="9" t="n">
        <v>46143</v>
      </c>
      <c r="B310" s="1" t="n">
        <v>2026</v>
      </c>
      <c r="C310" s="8" t="inlineStr">
        <is>
          <t>Yanara Power</t>
        </is>
      </c>
      <c r="D310" s="1" t="inlineStr">
        <is>
          <t>Utility and C&amp;I</t>
        </is>
      </c>
      <c r="E310" s="1" t="n"/>
      <c r="F310" s="1" t="inlineStr">
        <is>
          <t>Closed</t>
        </is>
      </c>
      <c r="G310" s="2" t="inlineStr">
        <is>
          <t xml:space="preserve">Ashish Jindal </t>
        </is>
      </c>
      <c r="H310" s="8" t="n">
        <v>9983975581</v>
      </c>
      <c r="I310" s="10" t="inlineStr">
        <is>
          <t>PE01052601</t>
        </is>
      </c>
      <c r="J310" s="8" t="inlineStr">
        <is>
          <t>Multiple Issues</t>
        </is>
      </c>
      <c r="K310" s="11" t="inlineStr">
        <is>
          <t>Holi</t>
        </is>
      </c>
      <c r="L310" s="11" t="inlineStr">
        <is>
          <t>Maharashtra</t>
        </is>
      </c>
      <c r="M310" s="2" t="inlineStr">
        <is>
          <t>PS</t>
        </is>
      </c>
      <c r="N310" s="1" t="inlineStr">
        <is>
          <t>Cold Soldering</t>
        </is>
      </c>
      <c r="O310" s="11" t="n">
        <v>575</v>
      </c>
      <c r="P310" s="2" t="inlineStr">
        <is>
          <t>NSMI24070196581</t>
        </is>
      </c>
      <c r="Q310" s="14">
        <f>MID(P310,5,2)</f>
        <v/>
      </c>
      <c r="R310" s="14">
        <f>MID(P310,7,2)</f>
        <v/>
      </c>
      <c r="S310" s="1" t="inlineStr">
        <is>
          <t>G2G</t>
        </is>
      </c>
      <c r="T310" s="1" t="inlineStr">
        <is>
          <t>P4 - PEIPL</t>
        </is>
      </c>
      <c r="U310" s="6" t="inlineStr">
        <is>
          <t>P JB Cold Soldering</t>
        </is>
      </c>
      <c r="V310" s="6" t="inlineStr">
        <is>
          <t>Soldering</t>
        </is>
      </c>
      <c r="W310" s="1" t="inlineStr">
        <is>
          <t>Repair</t>
        </is>
      </c>
      <c r="X310" s="5" t="n">
        <v>46175</v>
      </c>
      <c r="Y310" s="1">
        <f>IF(X310="","",X310-A310)</f>
        <v/>
      </c>
      <c r="Z310" s="5" t="n">
        <v>46175</v>
      </c>
      <c r="AA310" s="3" t="n"/>
      <c r="AB310" s="3" t="n"/>
      <c r="AE310" s="146">
        <f>IF(AND(F310="Closed",X310&gt;=DATE(2026,6,1),X310&lt;=DATE(2026,6,30)),"Closed in June","other")</f>
        <v/>
      </c>
    </row>
    <row r="311" hidden="1">
      <c r="A311" s="9" t="n">
        <v>46143</v>
      </c>
      <c r="B311" s="1" t="n">
        <v>2026</v>
      </c>
      <c r="C311" s="8" t="inlineStr">
        <is>
          <t>Yanara Power</t>
        </is>
      </c>
      <c r="D311" s="1" t="inlineStr">
        <is>
          <t>Utility and C&amp;I</t>
        </is>
      </c>
      <c r="E311" s="1" t="n"/>
      <c r="F311" s="1" t="inlineStr">
        <is>
          <t>Closed</t>
        </is>
      </c>
      <c r="G311" s="2" t="inlineStr">
        <is>
          <t xml:space="preserve">Ashish Jindal </t>
        </is>
      </c>
      <c r="H311" s="8" t="n">
        <v>9983975581</v>
      </c>
      <c r="I311" s="10" t="inlineStr">
        <is>
          <t>PE01052601</t>
        </is>
      </c>
      <c r="J311" s="8" t="inlineStr">
        <is>
          <t>Multiple Issues</t>
        </is>
      </c>
      <c r="K311" s="11" t="inlineStr">
        <is>
          <t>Holi</t>
        </is>
      </c>
      <c r="L311" s="11" t="inlineStr">
        <is>
          <t>Maharashtra</t>
        </is>
      </c>
      <c r="M311" s="2" t="inlineStr">
        <is>
          <t>PR</t>
        </is>
      </c>
      <c r="N311" s="1" t="inlineStr">
        <is>
          <t>JB Issue</t>
        </is>
      </c>
      <c r="O311" s="11" t="n">
        <v>575</v>
      </c>
      <c r="P311" s="2" t="inlineStr">
        <is>
          <t>NSMI24070196068</t>
        </is>
      </c>
      <c r="Q311" s="14">
        <f>MID(P311,5,2)</f>
        <v/>
      </c>
      <c r="R311" s="14">
        <f>MID(P311,7,2)</f>
        <v/>
      </c>
      <c r="S311" s="1" t="inlineStr">
        <is>
          <t>G2G</t>
        </is>
      </c>
      <c r="T311" s="1" t="inlineStr">
        <is>
          <t>P4 - PEIPL</t>
        </is>
      </c>
      <c r="U311" s="1" t="inlineStr">
        <is>
          <t>P JB Issue</t>
        </is>
      </c>
      <c r="V311" s="1" t="inlineStr">
        <is>
          <t>JB Changed</t>
        </is>
      </c>
      <c r="W311" s="1" t="inlineStr">
        <is>
          <t>Repair</t>
        </is>
      </c>
      <c r="X311" s="5" t="n">
        <v>46175</v>
      </c>
      <c r="Y311" s="1">
        <f>IF(X311="","",X311-A311)</f>
        <v/>
      </c>
      <c r="Z311" s="5" t="n">
        <v>46175</v>
      </c>
      <c r="AA311" s="3" t="n"/>
      <c r="AB311" s="3" t="n"/>
      <c r="AE311" s="146">
        <f>IF(AND(F311="Closed",X311&gt;=DATE(2026,6,1),X311&lt;=DATE(2026,6,30)),"Closed in June","other")</f>
        <v/>
      </c>
    </row>
    <row r="312" hidden="1">
      <c r="A312" s="9" t="n">
        <v>46143</v>
      </c>
      <c r="B312" s="1" t="n">
        <v>2026</v>
      </c>
      <c r="C312" s="8" t="inlineStr">
        <is>
          <t>Yanara Power</t>
        </is>
      </c>
      <c r="D312" s="1" t="inlineStr">
        <is>
          <t>Utility and C&amp;I</t>
        </is>
      </c>
      <c r="E312" s="1" t="n"/>
      <c r="F312" s="1" t="inlineStr">
        <is>
          <t>Closed</t>
        </is>
      </c>
      <c r="G312" s="2" t="inlineStr">
        <is>
          <t xml:space="preserve">Ashish Jindal </t>
        </is>
      </c>
      <c r="H312" s="8" t="n">
        <v>9983975581</v>
      </c>
      <c r="I312" s="10" t="inlineStr">
        <is>
          <t>PE01052601</t>
        </is>
      </c>
      <c r="J312" s="8" t="inlineStr">
        <is>
          <t>Multiple Issues</t>
        </is>
      </c>
      <c r="K312" s="11" t="inlineStr">
        <is>
          <t>Holi</t>
        </is>
      </c>
      <c r="L312" s="11" t="inlineStr">
        <is>
          <t>Maharashtra</t>
        </is>
      </c>
      <c r="M312" s="2" t="inlineStr">
        <is>
          <t>PS</t>
        </is>
      </c>
      <c r="N312" s="1" t="inlineStr">
        <is>
          <t>Cold Soldering</t>
        </is>
      </c>
      <c r="O312" s="11" t="n">
        <v>575</v>
      </c>
      <c r="P312" s="2" t="inlineStr">
        <is>
          <t>NSMI24070188150</t>
        </is>
      </c>
      <c r="Q312" s="14">
        <f>MID(P312,5,2)</f>
        <v/>
      </c>
      <c r="R312" s="14">
        <f>MID(P312,7,2)</f>
        <v/>
      </c>
      <c r="S312" s="1" t="inlineStr">
        <is>
          <t>G2G</t>
        </is>
      </c>
      <c r="T312" s="1" t="inlineStr">
        <is>
          <t>P4 - PEIPL</t>
        </is>
      </c>
      <c r="U312" s="6" t="inlineStr">
        <is>
          <t>P JB Cold Soldering</t>
        </is>
      </c>
      <c r="V312" s="6" t="inlineStr">
        <is>
          <t>Soldering</t>
        </is>
      </c>
      <c r="W312" s="1" t="inlineStr">
        <is>
          <t>Repair</t>
        </is>
      </c>
      <c r="X312" s="5" t="n">
        <v>46175</v>
      </c>
      <c r="Y312" s="1">
        <f>IF(X312="","",X312-A312)</f>
        <v/>
      </c>
      <c r="Z312" s="5" t="n">
        <v>46175</v>
      </c>
      <c r="AA312" s="3" t="n"/>
      <c r="AB312" s="3" t="n"/>
      <c r="AE312" s="146">
        <f>IF(AND(F312="Closed",X312&gt;=DATE(2026,6,1),X312&lt;=DATE(2026,6,30)),"Closed in June","other")</f>
        <v/>
      </c>
    </row>
    <row r="313" hidden="1">
      <c r="A313" s="9" t="n">
        <v>46143</v>
      </c>
      <c r="B313" s="1" t="n">
        <v>2026</v>
      </c>
      <c r="C313" s="8" t="inlineStr">
        <is>
          <t>Yanara Power</t>
        </is>
      </c>
      <c r="D313" s="1" t="inlineStr">
        <is>
          <t>Utility and C&amp;I</t>
        </is>
      </c>
      <c r="E313" s="1" t="n"/>
      <c r="F313" s="1" t="inlineStr">
        <is>
          <t>Closed</t>
        </is>
      </c>
      <c r="G313" s="2" t="inlineStr">
        <is>
          <t xml:space="preserve">Ashish Jindal </t>
        </is>
      </c>
      <c r="H313" s="8" t="n">
        <v>9983975581</v>
      </c>
      <c r="I313" s="10" t="inlineStr">
        <is>
          <t>PE01052601</t>
        </is>
      </c>
      <c r="J313" s="8" t="inlineStr">
        <is>
          <t>Multiple Issues</t>
        </is>
      </c>
      <c r="K313" s="11" t="inlineStr">
        <is>
          <t>Holi</t>
        </is>
      </c>
      <c r="L313" s="11" t="inlineStr">
        <is>
          <t>Maharashtra</t>
        </is>
      </c>
      <c r="M313" s="2" t="inlineStr">
        <is>
          <t>NS</t>
        </is>
      </c>
      <c r="N313" s="1" t="inlineStr">
        <is>
          <t>Cold Soldering</t>
        </is>
      </c>
      <c r="O313" s="11" t="n">
        <v>575</v>
      </c>
      <c r="P313" s="2" t="inlineStr">
        <is>
          <t>NSMI24070193799</t>
        </is>
      </c>
      <c r="Q313" s="14">
        <f>MID(P313,5,2)</f>
        <v/>
      </c>
      <c r="R313" s="14">
        <f>MID(P313,7,2)</f>
        <v/>
      </c>
      <c r="S313" s="1" t="inlineStr">
        <is>
          <t>G2G</t>
        </is>
      </c>
      <c r="T313" s="1" t="inlineStr">
        <is>
          <t>P4 - PEIPL</t>
        </is>
      </c>
      <c r="U313" s="1" t="inlineStr">
        <is>
          <t>N JB Cold Soldering</t>
        </is>
      </c>
      <c r="V313" s="1" t="inlineStr">
        <is>
          <t>Soldering</t>
        </is>
      </c>
      <c r="W313" s="1" t="inlineStr">
        <is>
          <t>Repair</t>
        </is>
      </c>
      <c r="X313" s="5" t="n">
        <v>46175</v>
      </c>
      <c r="Y313" s="1">
        <f>IF(X313="","",X313-A313)</f>
        <v/>
      </c>
      <c r="Z313" s="5" t="n">
        <v>46175</v>
      </c>
      <c r="AA313" s="3" t="n"/>
      <c r="AB313" s="3" t="n"/>
      <c r="AE313" s="146">
        <f>IF(AND(F313="Closed",X313&gt;=DATE(2026,6,1),X313&lt;=DATE(2026,6,30)),"Closed in June","other")</f>
        <v/>
      </c>
    </row>
    <row r="314" hidden="1">
      <c r="A314" s="9" t="n">
        <v>46143</v>
      </c>
      <c r="B314" s="1" t="n">
        <v>2026</v>
      </c>
      <c r="C314" s="8" t="inlineStr">
        <is>
          <t>Yanara Power</t>
        </is>
      </c>
      <c r="D314" s="1" t="inlineStr">
        <is>
          <t>Utility and C&amp;I</t>
        </is>
      </c>
      <c r="E314" s="1" t="n"/>
      <c r="F314" s="1" t="inlineStr">
        <is>
          <t>Closed</t>
        </is>
      </c>
      <c r="G314" s="2" t="inlineStr">
        <is>
          <t xml:space="preserve">Ashish Jindal </t>
        </is>
      </c>
      <c r="H314" s="8" t="n">
        <v>9983975581</v>
      </c>
      <c r="I314" s="10" t="inlineStr">
        <is>
          <t>PE01052601</t>
        </is>
      </c>
      <c r="J314" s="8" t="inlineStr">
        <is>
          <t>Multiple Issues</t>
        </is>
      </c>
      <c r="K314" s="11" t="inlineStr">
        <is>
          <t>Holi</t>
        </is>
      </c>
      <c r="L314" s="11" t="inlineStr">
        <is>
          <t>Maharashtra</t>
        </is>
      </c>
      <c r="M314" s="2" t="inlineStr">
        <is>
          <t>NS</t>
        </is>
      </c>
      <c r="N314" s="1" t="inlineStr">
        <is>
          <t>Cold Soldering</t>
        </is>
      </c>
      <c r="O314" s="11" t="n">
        <v>575</v>
      </c>
      <c r="P314" s="2" t="inlineStr">
        <is>
          <t>NSMI24070195562</t>
        </is>
      </c>
      <c r="Q314" s="14">
        <f>MID(P314,5,2)</f>
        <v/>
      </c>
      <c r="R314" s="14">
        <f>MID(P314,7,2)</f>
        <v/>
      </c>
      <c r="S314" s="1" t="inlineStr">
        <is>
          <t>G2G</t>
        </is>
      </c>
      <c r="T314" s="1" t="inlineStr">
        <is>
          <t>P4 - PEIPL</t>
        </is>
      </c>
      <c r="U314" s="1" t="inlineStr">
        <is>
          <t>N JB Cold Soldering</t>
        </is>
      </c>
      <c r="V314" s="1" t="inlineStr">
        <is>
          <t>Soldering</t>
        </is>
      </c>
      <c r="W314" s="1" t="inlineStr">
        <is>
          <t>Repair</t>
        </is>
      </c>
      <c r="X314" s="5" t="n">
        <v>46175</v>
      </c>
      <c r="Y314" s="1">
        <f>IF(X314="","",X314-A314)</f>
        <v/>
      </c>
      <c r="Z314" s="5" t="n">
        <v>46175</v>
      </c>
      <c r="AA314" s="3" t="n"/>
      <c r="AB314" s="3" t="n"/>
      <c r="AE314" s="146">
        <f>IF(AND(F314="Closed",X314&gt;=DATE(2026,6,1),X314&lt;=DATE(2026,6,30)),"Closed in June","other")</f>
        <v/>
      </c>
    </row>
    <row r="315" hidden="1">
      <c r="A315" s="9" t="n">
        <v>46143</v>
      </c>
      <c r="B315" s="1" t="n">
        <v>2026</v>
      </c>
      <c r="C315" s="8" t="inlineStr">
        <is>
          <t>Yanara Power</t>
        </is>
      </c>
      <c r="D315" s="1" t="inlineStr">
        <is>
          <t>Utility and C&amp;I</t>
        </is>
      </c>
      <c r="E315" s="1" t="n"/>
      <c r="F315" s="1" t="inlineStr">
        <is>
          <t>Closed</t>
        </is>
      </c>
      <c r="G315" s="2" t="inlineStr">
        <is>
          <t xml:space="preserve">Ashish Jindal </t>
        </is>
      </c>
      <c r="H315" s="8" t="n">
        <v>9983975581</v>
      </c>
      <c r="I315" s="10" t="inlineStr">
        <is>
          <t>PE01052601</t>
        </is>
      </c>
      <c r="J315" s="8" t="inlineStr">
        <is>
          <t>Multiple Issues</t>
        </is>
      </c>
      <c r="K315" s="11" t="inlineStr">
        <is>
          <t>Holi</t>
        </is>
      </c>
      <c r="L315" s="11" t="inlineStr">
        <is>
          <t>Maharashtra</t>
        </is>
      </c>
      <c r="M315" s="2" t="inlineStr">
        <is>
          <t>PS</t>
        </is>
      </c>
      <c r="N315" s="1" t="inlineStr">
        <is>
          <t>Cold Soldering</t>
        </is>
      </c>
      <c r="O315" s="11" t="n">
        <v>575</v>
      </c>
      <c r="P315" s="2" t="inlineStr">
        <is>
          <t>NSMI24070186911</t>
        </is>
      </c>
      <c r="Q315" s="14">
        <f>MID(P315,5,2)</f>
        <v/>
      </c>
      <c r="R315" s="14">
        <f>MID(P315,7,2)</f>
        <v/>
      </c>
      <c r="S315" s="1" t="inlineStr">
        <is>
          <t>G2G</t>
        </is>
      </c>
      <c r="T315" s="1" t="inlineStr">
        <is>
          <t>P4 - PEIPL</t>
        </is>
      </c>
      <c r="U315" s="6" t="inlineStr">
        <is>
          <t>P JB Cold Soldering</t>
        </is>
      </c>
      <c r="V315" s="6" t="inlineStr">
        <is>
          <t>Soldering</t>
        </is>
      </c>
      <c r="W315" s="1" t="inlineStr">
        <is>
          <t>Repair</t>
        </is>
      </c>
      <c r="X315" s="5" t="n">
        <v>46175</v>
      </c>
      <c r="Y315" s="1">
        <f>IF(X315="","",X315-A315)</f>
        <v/>
      </c>
      <c r="Z315" s="5" t="n">
        <v>46175</v>
      </c>
      <c r="AA315" s="3" t="n"/>
      <c r="AB315" s="3" t="n"/>
      <c r="AE315" s="146">
        <f>IF(AND(F315="Closed",X315&gt;=DATE(2026,6,1),X315&lt;=DATE(2026,6,30)),"Closed in June","other")</f>
        <v/>
      </c>
    </row>
    <row r="316" hidden="1">
      <c r="A316" s="9" t="n">
        <v>46143</v>
      </c>
      <c r="B316" s="1" t="n">
        <v>2026</v>
      </c>
      <c r="C316" s="8" t="inlineStr">
        <is>
          <t>Yanara Power</t>
        </is>
      </c>
      <c r="D316" s="1" t="inlineStr">
        <is>
          <t>Utility and C&amp;I</t>
        </is>
      </c>
      <c r="E316" s="1" t="n"/>
      <c r="F316" s="1" t="inlineStr">
        <is>
          <t>Closed</t>
        </is>
      </c>
      <c r="G316" s="2" t="inlineStr">
        <is>
          <t xml:space="preserve">Ashish Jindal </t>
        </is>
      </c>
      <c r="H316" s="8" t="n">
        <v>9983975581</v>
      </c>
      <c r="I316" s="10" t="inlineStr">
        <is>
          <t>PE01052601</t>
        </is>
      </c>
      <c r="J316" s="8" t="inlineStr">
        <is>
          <t>Multiple Issues</t>
        </is>
      </c>
      <c r="K316" s="11" t="inlineStr">
        <is>
          <t>Holi</t>
        </is>
      </c>
      <c r="L316" s="11" t="inlineStr">
        <is>
          <t>Maharashtra</t>
        </is>
      </c>
      <c r="M316" s="2" t="inlineStr">
        <is>
          <t>PS</t>
        </is>
      </c>
      <c r="N316" s="1" t="inlineStr">
        <is>
          <t>Cold Soldering</t>
        </is>
      </c>
      <c r="O316" s="11" t="n">
        <v>575</v>
      </c>
      <c r="P316" s="2" t="inlineStr">
        <is>
          <t>NSMI24070196321</t>
        </is>
      </c>
      <c r="Q316" s="14">
        <f>MID(P316,5,2)</f>
        <v/>
      </c>
      <c r="R316" s="14">
        <f>MID(P316,7,2)</f>
        <v/>
      </c>
      <c r="S316" s="1" t="inlineStr">
        <is>
          <t>G2G</t>
        </is>
      </c>
      <c r="T316" s="1" t="inlineStr">
        <is>
          <t>P4 - PEIPL</t>
        </is>
      </c>
      <c r="U316" s="6" t="inlineStr">
        <is>
          <t>P JB Cold Soldering</t>
        </is>
      </c>
      <c r="V316" s="6" t="inlineStr">
        <is>
          <t>Soldering</t>
        </is>
      </c>
      <c r="W316" s="1" t="inlineStr">
        <is>
          <t>Repair</t>
        </is>
      </c>
      <c r="X316" s="5" t="n">
        <v>46175</v>
      </c>
      <c r="Y316" s="1">
        <f>IF(X316="","",X316-A316)</f>
        <v/>
      </c>
      <c r="Z316" s="5" t="n">
        <v>46175</v>
      </c>
      <c r="AA316" s="3" t="n"/>
      <c r="AB316" s="3" t="n"/>
      <c r="AE316" s="146">
        <f>IF(AND(F316="Closed",X316&gt;=DATE(2026,6,1),X316&lt;=DATE(2026,6,30)),"Closed in June","other")</f>
        <v/>
      </c>
    </row>
    <row r="317" hidden="1">
      <c r="A317" s="9" t="n">
        <v>46143</v>
      </c>
      <c r="B317" s="1" t="n">
        <v>2026</v>
      </c>
      <c r="C317" s="8" t="inlineStr">
        <is>
          <t>Yanara Power</t>
        </is>
      </c>
      <c r="D317" s="1" t="inlineStr">
        <is>
          <t>Utility and C&amp;I</t>
        </is>
      </c>
      <c r="E317" s="1" t="n"/>
      <c r="F317" s="1" t="inlineStr">
        <is>
          <t>Closed</t>
        </is>
      </c>
      <c r="G317" s="2" t="inlineStr">
        <is>
          <t xml:space="preserve">Ashish Jindal </t>
        </is>
      </c>
      <c r="H317" s="8" t="n">
        <v>9983975581</v>
      </c>
      <c r="I317" s="10" t="inlineStr">
        <is>
          <t>PE01052601</t>
        </is>
      </c>
      <c r="J317" s="8" t="inlineStr">
        <is>
          <t>Multiple Issues</t>
        </is>
      </c>
      <c r="K317" s="11" t="inlineStr">
        <is>
          <t>Holi</t>
        </is>
      </c>
      <c r="L317" s="11" t="inlineStr">
        <is>
          <t>Maharashtra</t>
        </is>
      </c>
      <c r="M317" s="2" t="inlineStr">
        <is>
          <t>PS</t>
        </is>
      </c>
      <c r="N317" s="1" t="inlineStr">
        <is>
          <t>Cold Soldering</t>
        </is>
      </c>
      <c r="O317" s="11" t="n">
        <v>575</v>
      </c>
      <c r="P317" s="2" t="inlineStr">
        <is>
          <t>NSMI24070196317</t>
        </is>
      </c>
      <c r="Q317" s="14">
        <f>MID(P317,5,2)</f>
        <v/>
      </c>
      <c r="R317" s="14">
        <f>MID(P317,7,2)</f>
        <v/>
      </c>
      <c r="S317" s="1" t="inlineStr">
        <is>
          <t>G2G</t>
        </is>
      </c>
      <c r="T317" s="1" t="inlineStr">
        <is>
          <t>P4 - PEIPL</t>
        </is>
      </c>
      <c r="U317" s="6" t="inlineStr">
        <is>
          <t>P JB Cold Soldering</t>
        </is>
      </c>
      <c r="V317" s="6" t="inlineStr">
        <is>
          <t>Soldering</t>
        </is>
      </c>
      <c r="W317" s="1" t="inlineStr">
        <is>
          <t>Repair</t>
        </is>
      </c>
      <c r="X317" s="5" t="n">
        <v>46175</v>
      </c>
      <c r="Y317" s="1">
        <f>IF(X317="","",X317-A317)</f>
        <v/>
      </c>
      <c r="Z317" s="5" t="n">
        <v>46175</v>
      </c>
      <c r="AA317" s="3" t="n"/>
      <c r="AB317" s="3" t="n"/>
      <c r="AE317" s="146">
        <f>IF(AND(F317="Closed",X317&gt;=DATE(2026,6,1),X317&lt;=DATE(2026,6,30)),"Closed in June","other")</f>
        <v/>
      </c>
    </row>
    <row r="318" hidden="1">
      <c r="A318" s="9" t="n">
        <v>46143</v>
      </c>
      <c r="B318" s="1" t="n">
        <v>2026</v>
      </c>
      <c r="C318" s="8" t="inlineStr">
        <is>
          <t>Yanara Power</t>
        </is>
      </c>
      <c r="D318" s="1" t="inlineStr">
        <is>
          <t>Utility and C&amp;I</t>
        </is>
      </c>
      <c r="E318" s="1" t="n"/>
      <c r="F318" s="1" t="inlineStr">
        <is>
          <t>Closed</t>
        </is>
      </c>
      <c r="G318" s="2" t="inlineStr">
        <is>
          <t xml:space="preserve">Ashish Jindal </t>
        </is>
      </c>
      <c r="H318" s="8" t="n">
        <v>9983975581</v>
      </c>
      <c r="I318" s="10" t="inlineStr">
        <is>
          <t>PE01052601</t>
        </is>
      </c>
      <c r="J318" s="8" t="inlineStr">
        <is>
          <t>Multiple Issues</t>
        </is>
      </c>
      <c r="K318" s="11" t="inlineStr">
        <is>
          <t>Holi</t>
        </is>
      </c>
      <c r="L318" s="11" t="inlineStr">
        <is>
          <t>Maharashtra</t>
        </is>
      </c>
      <c r="M318" s="2" t="inlineStr">
        <is>
          <t>PS</t>
        </is>
      </c>
      <c r="N318" s="1" t="inlineStr">
        <is>
          <t>Cold Soldering</t>
        </is>
      </c>
      <c r="O318" s="11" t="n">
        <v>575</v>
      </c>
      <c r="P318" s="2" t="inlineStr">
        <is>
          <t>NSMI24070196318</t>
        </is>
      </c>
      <c r="Q318" s="14">
        <f>MID(P318,5,2)</f>
        <v/>
      </c>
      <c r="R318" s="14">
        <f>MID(P318,7,2)</f>
        <v/>
      </c>
      <c r="S318" s="1" t="inlineStr">
        <is>
          <t>G2G</t>
        </is>
      </c>
      <c r="T318" s="1" t="inlineStr">
        <is>
          <t>P4 - PEIPL</t>
        </is>
      </c>
      <c r="U318" s="6" t="inlineStr">
        <is>
          <t>P JB Cold Soldering</t>
        </is>
      </c>
      <c r="V318" s="6" t="inlineStr">
        <is>
          <t>Soldering</t>
        </is>
      </c>
      <c r="W318" s="1" t="inlineStr">
        <is>
          <t>Repair</t>
        </is>
      </c>
      <c r="X318" s="5" t="n">
        <v>46175</v>
      </c>
      <c r="Y318" s="1">
        <f>IF(X318="","",X318-A318)</f>
        <v/>
      </c>
      <c r="Z318" s="5" t="n">
        <v>46175</v>
      </c>
      <c r="AA318" s="3" t="n"/>
      <c r="AB318" s="3" t="n"/>
      <c r="AE318" s="146">
        <f>IF(AND(F318="Closed",X318&gt;=DATE(2026,6,1),X318&lt;=DATE(2026,6,30)),"Closed in June","other")</f>
        <v/>
      </c>
    </row>
    <row r="319" hidden="1">
      <c r="A319" s="9" t="n">
        <v>46143</v>
      </c>
      <c r="B319" s="1" t="n">
        <v>2026</v>
      </c>
      <c r="C319" s="8" t="inlineStr">
        <is>
          <t>Yanara Power</t>
        </is>
      </c>
      <c r="D319" s="1" t="inlineStr">
        <is>
          <t>Utility and C&amp;I</t>
        </is>
      </c>
      <c r="E319" s="1" t="n"/>
      <c r="F319" s="1" t="inlineStr">
        <is>
          <t>Closed</t>
        </is>
      </c>
      <c r="G319" s="2" t="inlineStr">
        <is>
          <t xml:space="preserve">Ashish Jindal </t>
        </is>
      </c>
      <c r="H319" s="8" t="n">
        <v>9983975581</v>
      </c>
      <c r="I319" s="10" t="inlineStr">
        <is>
          <t>PE01052601</t>
        </is>
      </c>
      <c r="J319" s="8" t="inlineStr">
        <is>
          <t>Multiple Issues</t>
        </is>
      </c>
      <c r="K319" s="11" t="inlineStr">
        <is>
          <t>Holi</t>
        </is>
      </c>
      <c r="L319" s="11" t="inlineStr">
        <is>
          <t>Maharashtra</t>
        </is>
      </c>
      <c r="M319" s="2" t="inlineStr">
        <is>
          <t>PS</t>
        </is>
      </c>
      <c r="N319" s="1" t="inlineStr">
        <is>
          <t>Cold Soldering</t>
        </is>
      </c>
      <c r="O319" s="11" t="n">
        <v>575</v>
      </c>
      <c r="P319" s="2" t="inlineStr">
        <is>
          <t>NSMI24070201377</t>
        </is>
      </c>
      <c r="Q319" s="14">
        <f>MID(P319,5,2)</f>
        <v/>
      </c>
      <c r="R319" s="14">
        <f>MID(P319,7,2)</f>
        <v/>
      </c>
      <c r="S319" s="1" t="inlineStr">
        <is>
          <t>G2G</t>
        </is>
      </c>
      <c r="T319" s="1" t="inlineStr">
        <is>
          <t>P4 - PEIPL</t>
        </is>
      </c>
      <c r="U319" s="6" t="inlineStr">
        <is>
          <t>P JB Cold Soldering</t>
        </is>
      </c>
      <c r="V319" s="6" t="inlineStr">
        <is>
          <t>Soldering</t>
        </is>
      </c>
      <c r="W319" s="1" t="inlineStr">
        <is>
          <t>Repair</t>
        </is>
      </c>
      <c r="X319" s="5" t="n">
        <v>46175</v>
      </c>
      <c r="Y319" s="1">
        <f>IF(X319="","",X319-A319)</f>
        <v/>
      </c>
      <c r="Z319" s="5" t="n">
        <v>46175</v>
      </c>
      <c r="AA319" s="3" t="n"/>
      <c r="AB319" s="3" t="n"/>
      <c r="AE319" s="146">
        <f>IF(AND(F319="Closed",X319&gt;=DATE(2026,6,1),X319&lt;=DATE(2026,6,30)),"Closed in June","other")</f>
        <v/>
      </c>
    </row>
    <row r="320" hidden="1">
      <c r="A320" s="9" t="n">
        <v>46143</v>
      </c>
      <c r="B320" s="1" t="n">
        <v>2026</v>
      </c>
      <c r="C320" s="8" t="inlineStr">
        <is>
          <t>Yanara Power</t>
        </is>
      </c>
      <c r="D320" s="1" t="inlineStr">
        <is>
          <t>Utility and C&amp;I</t>
        </is>
      </c>
      <c r="E320" s="1" t="n"/>
      <c r="F320" s="1" t="inlineStr">
        <is>
          <t>Closed</t>
        </is>
      </c>
      <c r="G320" s="2" t="inlineStr">
        <is>
          <t xml:space="preserve">Ashish Jindal </t>
        </is>
      </c>
      <c r="H320" s="8" t="n">
        <v>9983975581</v>
      </c>
      <c r="I320" s="10" t="inlineStr">
        <is>
          <t>PE01052601</t>
        </is>
      </c>
      <c r="J320" s="8" t="inlineStr">
        <is>
          <t>Multiple Issues</t>
        </is>
      </c>
      <c r="K320" s="11" t="inlineStr">
        <is>
          <t>Holi</t>
        </is>
      </c>
      <c r="L320" s="11" t="inlineStr">
        <is>
          <t>Maharashtra</t>
        </is>
      </c>
      <c r="M320" s="2" t="inlineStr">
        <is>
          <t>PS</t>
        </is>
      </c>
      <c r="N320" s="1" t="inlineStr">
        <is>
          <t>Cold Soldering</t>
        </is>
      </c>
      <c r="O320" s="11" t="n">
        <v>575</v>
      </c>
      <c r="P320" s="2" t="inlineStr">
        <is>
          <t>NSMI24070196401</t>
        </is>
      </c>
      <c r="Q320" s="14">
        <f>MID(P320,5,2)</f>
        <v/>
      </c>
      <c r="R320" s="14">
        <f>MID(P320,7,2)</f>
        <v/>
      </c>
      <c r="S320" s="1" t="inlineStr">
        <is>
          <t>G2G</t>
        </is>
      </c>
      <c r="T320" s="1" t="inlineStr">
        <is>
          <t>P4 - PEIPL</t>
        </is>
      </c>
      <c r="U320" s="6" t="inlineStr">
        <is>
          <t>P JB Cold Soldering</t>
        </is>
      </c>
      <c r="V320" s="6" t="inlineStr">
        <is>
          <t>Soldering</t>
        </is>
      </c>
      <c r="W320" s="1" t="inlineStr">
        <is>
          <t>Repair</t>
        </is>
      </c>
      <c r="X320" s="5" t="n">
        <v>46175</v>
      </c>
      <c r="Y320" s="1">
        <f>IF(X320="","",X320-A320)</f>
        <v/>
      </c>
      <c r="Z320" s="5" t="n">
        <v>46175</v>
      </c>
      <c r="AA320" s="3" t="n"/>
      <c r="AB320" s="3" t="n"/>
      <c r="AE320" s="146">
        <f>IF(AND(F320="Closed",X320&gt;=DATE(2026,6,1),X320&lt;=DATE(2026,6,30)),"Closed in June","other")</f>
        <v/>
      </c>
    </row>
    <row r="321" hidden="1">
      <c r="A321" s="9" t="n">
        <v>46143</v>
      </c>
      <c r="B321" s="1" t="n">
        <v>2026</v>
      </c>
      <c r="C321" s="8" t="inlineStr">
        <is>
          <t>Yanara Power</t>
        </is>
      </c>
      <c r="D321" s="1" t="inlineStr">
        <is>
          <t>Utility and C&amp;I</t>
        </is>
      </c>
      <c r="E321" s="1" t="n"/>
      <c r="F321" s="1" t="inlineStr">
        <is>
          <t>Closed</t>
        </is>
      </c>
      <c r="G321" s="2" t="inlineStr">
        <is>
          <t xml:space="preserve">Ashish Jindal </t>
        </is>
      </c>
      <c r="H321" s="8" t="n">
        <v>9983975581</v>
      </c>
      <c r="I321" s="10" t="inlineStr">
        <is>
          <t>PE01052601</t>
        </is>
      </c>
      <c r="J321" s="8" t="inlineStr">
        <is>
          <t>Multiple Issues</t>
        </is>
      </c>
      <c r="K321" s="11" t="inlineStr">
        <is>
          <t>Holi</t>
        </is>
      </c>
      <c r="L321" s="11" t="inlineStr">
        <is>
          <t>Maharashtra</t>
        </is>
      </c>
      <c r="M321" s="2" t="inlineStr">
        <is>
          <t>PS</t>
        </is>
      </c>
      <c r="N321" s="1" t="inlineStr">
        <is>
          <t>Cold Soldering</t>
        </is>
      </c>
      <c r="O321" s="11" t="n">
        <v>575</v>
      </c>
      <c r="P321" s="2" t="inlineStr">
        <is>
          <t>NSMI24070198742</t>
        </is>
      </c>
      <c r="Q321" s="14">
        <f>MID(P321,5,2)</f>
        <v/>
      </c>
      <c r="R321" s="14">
        <f>MID(P321,7,2)</f>
        <v/>
      </c>
      <c r="S321" s="1" t="inlineStr">
        <is>
          <t>G2G</t>
        </is>
      </c>
      <c r="T321" s="1" t="inlineStr">
        <is>
          <t>P4 - PEIPL</t>
        </is>
      </c>
      <c r="U321" s="6" t="inlineStr">
        <is>
          <t>P JB Cold Soldering</t>
        </is>
      </c>
      <c r="V321" s="6" t="inlineStr">
        <is>
          <t>Soldering</t>
        </is>
      </c>
      <c r="W321" s="1" t="inlineStr">
        <is>
          <t>Repair</t>
        </is>
      </c>
      <c r="X321" s="5" t="n">
        <v>46175</v>
      </c>
      <c r="Y321" s="1">
        <f>IF(X321="","",X321-A321)</f>
        <v/>
      </c>
      <c r="Z321" s="5" t="n">
        <v>46175</v>
      </c>
      <c r="AA321" s="3" t="n"/>
      <c r="AB321" s="3" t="n"/>
      <c r="AE321" s="146">
        <f>IF(AND(F321="Closed",X321&gt;=DATE(2026,6,1),X321&lt;=DATE(2026,6,30)),"Closed in June","other")</f>
        <v/>
      </c>
    </row>
    <row r="322" hidden="1">
      <c r="A322" s="9" t="n">
        <v>46143</v>
      </c>
      <c r="B322" s="1" t="n">
        <v>2026</v>
      </c>
      <c r="C322" s="8" t="inlineStr">
        <is>
          <t>Yanara Power</t>
        </is>
      </c>
      <c r="D322" s="1" t="inlineStr">
        <is>
          <t>Utility and C&amp;I</t>
        </is>
      </c>
      <c r="E322" s="1" t="n"/>
      <c r="F322" s="1" t="inlineStr">
        <is>
          <t>Closed</t>
        </is>
      </c>
      <c r="G322" s="2" t="inlineStr">
        <is>
          <t xml:space="preserve">Ashish Jindal </t>
        </is>
      </c>
      <c r="H322" s="8" t="n">
        <v>9983975581</v>
      </c>
      <c r="I322" s="10" t="inlineStr">
        <is>
          <t>PE01052601</t>
        </is>
      </c>
      <c r="J322" s="8" t="inlineStr">
        <is>
          <t>Multiple Issues</t>
        </is>
      </c>
      <c r="K322" s="11" t="inlineStr">
        <is>
          <t>Holi</t>
        </is>
      </c>
      <c r="L322" s="11" t="inlineStr">
        <is>
          <t>Maharashtra</t>
        </is>
      </c>
      <c r="M322" s="2" t="inlineStr">
        <is>
          <t>PS</t>
        </is>
      </c>
      <c r="N322" s="1" t="inlineStr">
        <is>
          <t>Cold Soldering</t>
        </is>
      </c>
      <c r="O322" s="11" t="n">
        <v>575</v>
      </c>
      <c r="P322" s="2" t="inlineStr">
        <is>
          <t>NSMI24070198669</t>
        </is>
      </c>
      <c r="Q322" s="14">
        <f>MID(P322,5,2)</f>
        <v/>
      </c>
      <c r="R322" s="14">
        <f>MID(P322,7,2)</f>
        <v/>
      </c>
      <c r="S322" s="1" t="inlineStr">
        <is>
          <t>G2G</t>
        </is>
      </c>
      <c r="T322" s="1" t="inlineStr">
        <is>
          <t>P4 - PEIPL</t>
        </is>
      </c>
      <c r="U322" s="6" t="inlineStr">
        <is>
          <t>P JB Cold Soldering</t>
        </is>
      </c>
      <c r="V322" s="6" t="inlineStr">
        <is>
          <t>Soldering</t>
        </is>
      </c>
      <c r="W322" s="1" t="inlineStr">
        <is>
          <t>Repair</t>
        </is>
      </c>
      <c r="X322" s="5" t="n">
        <v>46175</v>
      </c>
      <c r="Y322" s="1">
        <f>IF(X322="","",X322-A322)</f>
        <v/>
      </c>
      <c r="Z322" s="5" t="n">
        <v>46175</v>
      </c>
      <c r="AA322" s="3" t="n"/>
      <c r="AB322" s="3" t="n"/>
      <c r="AE322" s="146">
        <f>IF(AND(F322="Closed",X322&gt;=DATE(2026,6,1),X322&lt;=DATE(2026,6,30)),"Closed in June","other")</f>
        <v/>
      </c>
    </row>
    <row r="323" hidden="1">
      <c r="A323" s="9" t="n">
        <v>46143</v>
      </c>
      <c r="B323" s="1" t="n">
        <v>2026</v>
      </c>
      <c r="C323" s="8" t="inlineStr">
        <is>
          <t>Yanara Power</t>
        </is>
      </c>
      <c r="D323" s="1" t="inlineStr">
        <is>
          <t>Utility and C&amp;I</t>
        </is>
      </c>
      <c r="E323" s="1" t="n"/>
      <c r="F323" s="1" t="inlineStr">
        <is>
          <t>Closed</t>
        </is>
      </c>
      <c r="G323" s="2" t="inlineStr">
        <is>
          <t xml:space="preserve">Ashish Jindal </t>
        </is>
      </c>
      <c r="H323" s="8" t="n">
        <v>9983975581</v>
      </c>
      <c r="I323" s="10" t="inlineStr">
        <is>
          <t>PE01052601</t>
        </is>
      </c>
      <c r="J323" s="8" t="inlineStr">
        <is>
          <t>Multiple Issues</t>
        </is>
      </c>
      <c r="K323" s="11" t="inlineStr">
        <is>
          <t>Holi</t>
        </is>
      </c>
      <c r="L323" s="11" t="inlineStr">
        <is>
          <t>Maharashtra</t>
        </is>
      </c>
      <c r="M323" s="2" t="inlineStr">
        <is>
          <t>PNS</t>
        </is>
      </c>
      <c r="N323" s="1" t="inlineStr">
        <is>
          <t>Cold Soldering</t>
        </is>
      </c>
      <c r="O323" s="11" t="n">
        <v>575</v>
      </c>
      <c r="P323" s="2" t="inlineStr">
        <is>
          <t>NSMI24070192673</t>
        </is>
      </c>
      <c r="Q323" s="14">
        <f>MID(P323,5,2)</f>
        <v/>
      </c>
      <c r="R323" s="14">
        <f>MID(P323,7,2)</f>
        <v/>
      </c>
      <c r="S323" s="1" t="inlineStr">
        <is>
          <t>G2G</t>
        </is>
      </c>
      <c r="T323" s="1" t="inlineStr">
        <is>
          <t>P4 - PEIPL</t>
        </is>
      </c>
      <c r="U323" s="1" t="inlineStr">
        <is>
          <t>P &amp; N JB Cold Soldering</t>
        </is>
      </c>
      <c r="V323" s="1" t="inlineStr">
        <is>
          <t>Soldering</t>
        </is>
      </c>
      <c r="W323" s="1" t="inlineStr">
        <is>
          <t>Repair</t>
        </is>
      </c>
      <c r="X323" s="5" t="n">
        <v>46175</v>
      </c>
      <c r="Y323" s="1">
        <f>IF(X323="","",X323-A323)</f>
        <v/>
      </c>
      <c r="Z323" s="5" t="n">
        <v>46175</v>
      </c>
      <c r="AA323" s="3" t="n"/>
      <c r="AB323" s="3" t="n"/>
      <c r="AE323" s="146">
        <f>IF(AND(F323="Closed",X323&gt;=DATE(2026,6,1),X323&lt;=DATE(2026,6,30)),"Closed in June","other")</f>
        <v/>
      </c>
    </row>
    <row r="324" hidden="1">
      <c r="A324" s="9" t="n">
        <v>46143</v>
      </c>
      <c r="B324" s="1" t="n">
        <v>2026</v>
      </c>
      <c r="C324" s="8" t="inlineStr">
        <is>
          <t>Yanara Power</t>
        </is>
      </c>
      <c r="D324" s="1" t="inlineStr">
        <is>
          <t>Utility and C&amp;I</t>
        </is>
      </c>
      <c r="E324" s="1" t="n"/>
      <c r="F324" s="1" t="inlineStr">
        <is>
          <t>Closed</t>
        </is>
      </c>
      <c r="G324" s="2" t="inlineStr">
        <is>
          <t xml:space="preserve">Ashish Jindal </t>
        </is>
      </c>
      <c r="H324" s="8" t="n">
        <v>9983975581</v>
      </c>
      <c r="I324" s="10" t="inlineStr">
        <is>
          <t>PE01052601</t>
        </is>
      </c>
      <c r="J324" s="8" t="inlineStr">
        <is>
          <t>Multiple Issues</t>
        </is>
      </c>
      <c r="K324" s="11" t="inlineStr">
        <is>
          <t>Holi</t>
        </is>
      </c>
      <c r="L324" s="11" t="inlineStr">
        <is>
          <t>Maharashtra</t>
        </is>
      </c>
      <c r="M324" s="2" t="inlineStr">
        <is>
          <t>PS</t>
        </is>
      </c>
      <c r="N324" s="1" t="inlineStr">
        <is>
          <t>Cold Soldering</t>
        </is>
      </c>
      <c r="O324" s="11" t="n">
        <v>575</v>
      </c>
      <c r="P324" s="2" t="inlineStr">
        <is>
          <t>NSMI24070192516</t>
        </is>
      </c>
      <c r="Q324" s="14">
        <f>MID(P324,5,2)</f>
        <v/>
      </c>
      <c r="R324" s="14">
        <f>MID(P324,7,2)</f>
        <v/>
      </c>
      <c r="S324" s="1" t="inlineStr">
        <is>
          <t>G2G</t>
        </is>
      </c>
      <c r="T324" s="1" t="inlineStr">
        <is>
          <t>P4 - PEIPL</t>
        </is>
      </c>
      <c r="U324" s="6" t="inlineStr">
        <is>
          <t>P JB Cold Soldering</t>
        </is>
      </c>
      <c r="V324" s="6" t="inlineStr">
        <is>
          <t>Soldering</t>
        </is>
      </c>
      <c r="W324" s="1" t="inlineStr">
        <is>
          <t>Repair</t>
        </is>
      </c>
      <c r="X324" s="5" t="n">
        <v>46175</v>
      </c>
      <c r="Y324" s="1">
        <f>IF(X324="","",X324-A324)</f>
        <v/>
      </c>
      <c r="Z324" s="5" t="n">
        <v>46175</v>
      </c>
      <c r="AA324" s="3" t="n"/>
      <c r="AB324" s="3" t="n"/>
      <c r="AE324" s="146">
        <f>IF(AND(F324="Closed",X324&gt;=DATE(2026,6,1),X324&lt;=DATE(2026,6,30)),"Closed in June","other")</f>
        <v/>
      </c>
    </row>
    <row r="325" hidden="1">
      <c r="A325" s="9" t="n">
        <v>46143</v>
      </c>
      <c r="B325" s="1" t="n">
        <v>2026</v>
      </c>
      <c r="C325" s="8" t="inlineStr">
        <is>
          <t>Yanara Power</t>
        </is>
      </c>
      <c r="D325" s="1" t="inlineStr">
        <is>
          <t>Utility and C&amp;I</t>
        </is>
      </c>
      <c r="E325" s="1" t="n"/>
      <c r="F325" s="1" t="inlineStr">
        <is>
          <t>Closed</t>
        </is>
      </c>
      <c r="G325" s="2" t="inlineStr">
        <is>
          <t xml:space="preserve">Ashish Jindal </t>
        </is>
      </c>
      <c r="H325" s="8" t="n">
        <v>9983975581</v>
      </c>
      <c r="I325" s="10" t="inlineStr">
        <is>
          <t>PE01052601</t>
        </is>
      </c>
      <c r="J325" s="8" t="inlineStr">
        <is>
          <t>Multiple Issues</t>
        </is>
      </c>
      <c r="K325" s="11" t="inlineStr">
        <is>
          <t>Holi</t>
        </is>
      </c>
      <c r="L325" s="11" t="inlineStr">
        <is>
          <t>Maharashtra</t>
        </is>
      </c>
      <c r="M325" s="2" t="inlineStr">
        <is>
          <t>PS</t>
        </is>
      </c>
      <c r="N325" s="1" t="inlineStr">
        <is>
          <t>Cold Soldering</t>
        </is>
      </c>
      <c r="O325" s="11" t="n">
        <v>575</v>
      </c>
      <c r="P325" s="2" t="inlineStr">
        <is>
          <t>NSMI24070194581</t>
        </is>
      </c>
      <c r="Q325" s="14">
        <f>MID(P325,5,2)</f>
        <v/>
      </c>
      <c r="R325" s="14">
        <f>MID(P325,7,2)</f>
        <v/>
      </c>
      <c r="S325" s="1" t="inlineStr">
        <is>
          <t>G2G</t>
        </is>
      </c>
      <c r="T325" s="1" t="inlineStr">
        <is>
          <t>P4 - PEIPL</t>
        </is>
      </c>
      <c r="U325" s="6" t="inlineStr">
        <is>
          <t>P JB Cold Soldering</t>
        </is>
      </c>
      <c r="V325" s="6" t="inlineStr">
        <is>
          <t>Soldering</t>
        </is>
      </c>
      <c r="W325" s="1" t="inlineStr">
        <is>
          <t>Repair</t>
        </is>
      </c>
      <c r="X325" s="5" t="n">
        <v>46175</v>
      </c>
      <c r="Y325" s="1">
        <f>IF(X325="","",X325-A325)</f>
        <v/>
      </c>
      <c r="Z325" s="5" t="n">
        <v>46175</v>
      </c>
      <c r="AA325" s="3" t="n"/>
      <c r="AB325" s="3" t="n"/>
      <c r="AE325" s="146">
        <f>IF(AND(F325="Closed",X325&gt;=DATE(2026,6,1),X325&lt;=DATE(2026,6,30)),"Closed in June","other")</f>
        <v/>
      </c>
    </row>
    <row r="326" hidden="1">
      <c r="A326" s="9" t="n">
        <v>46143</v>
      </c>
      <c r="B326" s="1" t="n">
        <v>2026</v>
      </c>
      <c r="C326" s="8" t="inlineStr">
        <is>
          <t>Yanara Power</t>
        </is>
      </c>
      <c r="D326" s="1" t="inlineStr">
        <is>
          <t>Utility and C&amp;I</t>
        </is>
      </c>
      <c r="E326" s="1" t="n"/>
      <c r="F326" s="1" t="inlineStr">
        <is>
          <t>Closed</t>
        </is>
      </c>
      <c r="G326" s="2" t="inlineStr">
        <is>
          <t xml:space="preserve">Ashish Jindal </t>
        </is>
      </c>
      <c r="H326" s="8" t="n">
        <v>9983975581</v>
      </c>
      <c r="I326" s="10" t="inlineStr">
        <is>
          <t>PE01052601</t>
        </is>
      </c>
      <c r="J326" s="8" t="inlineStr">
        <is>
          <t>Multiple Issues</t>
        </is>
      </c>
      <c r="K326" s="11" t="inlineStr">
        <is>
          <t>Holi</t>
        </is>
      </c>
      <c r="L326" s="11" t="inlineStr">
        <is>
          <t>Maharashtra</t>
        </is>
      </c>
      <c r="M326" s="2" t="inlineStr">
        <is>
          <t>NS</t>
        </is>
      </c>
      <c r="N326" s="1" t="inlineStr">
        <is>
          <t>Cold Soldering</t>
        </is>
      </c>
      <c r="O326" s="11" t="n">
        <v>575</v>
      </c>
      <c r="P326" s="2" t="inlineStr">
        <is>
          <t>NSMI24070195523</t>
        </is>
      </c>
      <c r="Q326" s="14">
        <f>MID(P326,5,2)</f>
        <v/>
      </c>
      <c r="R326" s="14">
        <f>MID(P326,7,2)</f>
        <v/>
      </c>
      <c r="S326" s="1" t="inlineStr">
        <is>
          <t>G2G</t>
        </is>
      </c>
      <c r="T326" s="1" t="inlineStr">
        <is>
          <t>P4 - PEIPL</t>
        </is>
      </c>
      <c r="U326" s="1" t="inlineStr">
        <is>
          <t>N JB Cold Soldering</t>
        </is>
      </c>
      <c r="V326" s="1" t="inlineStr">
        <is>
          <t>Soldering</t>
        </is>
      </c>
      <c r="W326" s="1" t="inlineStr">
        <is>
          <t>Repair</t>
        </is>
      </c>
      <c r="X326" s="5" t="n">
        <v>46175</v>
      </c>
      <c r="Y326" s="1">
        <f>IF(X326="","",X326-A326)</f>
        <v/>
      </c>
      <c r="Z326" s="5" t="n">
        <v>46175</v>
      </c>
      <c r="AA326" s="3" t="n"/>
      <c r="AB326" s="3" t="n"/>
      <c r="AE326" s="146">
        <f>IF(AND(F326="Closed",X326&gt;=DATE(2026,6,1),X326&lt;=DATE(2026,6,30)),"Closed in June","other")</f>
        <v/>
      </c>
    </row>
    <row r="327" hidden="1">
      <c r="A327" s="9" t="n">
        <v>46143</v>
      </c>
      <c r="B327" s="1" t="n">
        <v>2026</v>
      </c>
      <c r="C327" s="8" t="inlineStr">
        <is>
          <t>Yanara Power</t>
        </is>
      </c>
      <c r="D327" s="1" t="inlineStr">
        <is>
          <t>Utility and C&amp;I</t>
        </is>
      </c>
      <c r="E327" s="1" t="n"/>
      <c r="F327" s="1" t="inlineStr">
        <is>
          <t>Closed</t>
        </is>
      </c>
      <c r="G327" s="2" t="inlineStr">
        <is>
          <t xml:space="preserve">Ashish Jindal </t>
        </is>
      </c>
      <c r="H327" s="8" t="n">
        <v>9983975581</v>
      </c>
      <c r="I327" s="10" t="inlineStr">
        <is>
          <t>PE01052601</t>
        </is>
      </c>
      <c r="J327" s="8" t="inlineStr">
        <is>
          <t>Multiple Issues</t>
        </is>
      </c>
      <c r="K327" s="11" t="inlineStr">
        <is>
          <t>Holi</t>
        </is>
      </c>
      <c r="L327" s="11" t="inlineStr">
        <is>
          <t>Maharashtra</t>
        </is>
      </c>
      <c r="M327" s="2" t="inlineStr">
        <is>
          <t>NS</t>
        </is>
      </c>
      <c r="N327" s="1" t="inlineStr">
        <is>
          <t>Cold Soldering</t>
        </is>
      </c>
      <c r="O327" s="11" t="n">
        <v>575</v>
      </c>
      <c r="P327" s="2" t="inlineStr">
        <is>
          <t>NSMI24070195510</t>
        </is>
      </c>
      <c r="Q327" s="14">
        <f>MID(P327,5,2)</f>
        <v/>
      </c>
      <c r="R327" s="14">
        <f>MID(P327,7,2)</f>
        <v/>
      </c>
      <c r="S327" s="1" t="inlineStr">
        <is>
          <t>G2G</t>
        </is>
      </c>
      <c r="T327" s="1" t="inlineStr">
        <is>
          <t>P4 - PEIPL</t>
        </is>
      </c>
      <c r="U327" s="1" t="inlineStr">
        <is>
          <t>N JB Cold Soldering</t>
        </is>
      </c>
      <c r="V327" s="1" t="inlineStr">
        <is>
          <t>Soldering</t>
        </is>
      </c>
      <c r="W327" s="1" t="inlineStr">
        <is>
          <t>Repair</t>
        </is>
      </c>
      <c r="X327" s="5" t="n">
        <v>46175</v>
      </c>
      <c r="Y327" s="1">
        <f>IF(X327="","",X327-A327)</f>
        <v/>
      </c>
      <c r="Z327" s="5" t="n">
        <v>46175</v>
      </c>
      <c r="AA327" s="3" t="n"/>
      <c r="AB327" s="3" t="n"/>
      <c r="AE327" s="146">
        <f>IF(AND(F327="Closed",X327&gt;=DATE(2026,6,1),X327&lt;=DATE(2026,6,30)),"Closed in June","other")</f>
        <v/>
      </c>
    </row>
    <row r="328" hidden="1">
      <c r="A328" s="9" t="n">
        <v>46143</v>
      </c>
      <c r="B328" s="1" t="n">
        <v>2026</v>
      </c>
      <c r="C328" s="8" t="inlineStr">
        <is>
          <t>Yanara Power</t>
        </is>
      </c>
      <c r="D328" s="1" t="inlineStr">
        <is>
          <t>Utility and C&amp;I</t>
        </is>
      </c>
      <c r="E328" s="1" t="n"/>
      <c r="F328" s="1" t="inlineStr">
        <is>
          <t>Closed</t>
        </is>
      </c>
      <c r="G328" s="2" t="inlineStr">
        <is>
          <t xml:space="preserve">Ashish Jindal </t>
        </is>
      </c>
      <c r="H328" s="8" t="n">
        <v>9983975581</v>
      </c>
      <c r="I328" s="10" t="inlineStr">
        <is>
          <t>PE01052601</t>
        </is>
      </c>
      <c r="J328" s="8" t="inlineStr">
        <is>
          <t>Multiple Issues</t>
        </is>
      </c>
      <c r="K328" s="11" t="inlineStr">
        <is>
          <t>Holi</t>
        </is>
      </c>
      <c r="L328" s="11" t="inlineStr">
        <is>
          <t>Maharashtra</t>
        </is>
      </c>
      <c r="M328" s="2" t="inlineStr">
        <is>
          <t>NR</t>
        </is>
      </c>
      <c r="N328" s="1" t="inlineStr">
        <is>
          <t>JB Issue</t>
        </is>
      </c>
      <c r="O328" s="11" t="n">
        <v>575</v>
      </c>
      <c r="P328" s="2" t="inlineStr">
        <is>
          <t>NSMI24070195806</t>
        </is>
      </c>
      <c r="Q328" s="14">
        <f>MID(P328,5,2)</f>
        <v/>
      </c>
      <c r="R328" s="14">
        <f>MID(P328,7,2)</f>
        <v/>
      </c>
      <c r="S328" s="1" t="inlineStr">
        <is>
          <t>G2G</t>
        </is>
      </c>
      <c r="T328" s="1" t="inlineStr">
        <is>
          <t>P4 - PEIPL</t>
        </is>
      </c>
      <c r="U328" s="1" t="inlineStr">
        <is>
          <t>N JB Issue &amp; JB Burn</t>
        </is>
      </c>
      <c r="V328" s="1" t="inlineStr">
        <is>
          <t>JB Changed</t>
        </is>
      </c>
      <c r="W328" s="1" t="inlineStr">
        <is>
          <t>Repair</t>
        </is>
      </c>
      <c r="X328" s="5" t="n">
        <v>46175</v>
      </c>
      <c r="Y328" s="1">
        <f>IF(X328="","",X328-A328)</f>
        <v/>
      </c>
      <c r="Z328" s="5" t="n">
        <v>46175</v>
      </c>
      <c r="AA328" s="3" t="n"/>
      <c r="AB328" s="3" t="n"/>
      <c r="AE328" s="146">
        <f>IF(AND(F328="Closed",X328&gt;=DATE(2026,6,1),X328&lt;=DATE(2026,6,30)),"Closed in June","other")</f>
        <v/>
      </c>
    </row>
    <row r="329" hidden="1">
      <c r="A329" s="9" t="n">
        <v>46143</v>
      </c>
      <c r="B329" s="1" t="n">
        <v>2026</v>
      </c>
      <c r="C329" s="8" t="inlineStr">
        <is>
          <t>Yanara Power</t>
        </is>
      </c>
      <c r="D329" s="1" t="inlineStr">
        <is>
          <t>Utility and C&amp;I</t>
        </is>
      </c>
      <c r="E329" s="1" t="n"/>
      <c r="F329" s="1" t="inlineStr">
        <is>
          <t>Closed</t>
        </is>
      </c>
      <c r="G329" s="2" t="inlineStr">
        <is>
          <t xml:space="preserve">Ashish Jindal </t>
        </is>
      </c>
      <c r="H329" s="8" t="n">
        <v>9983975581</v>
      </c>
      <c r="I329" s="10" t="inlineStr">
        <is>
          <t>PE01052601</t>
        </is>
      </c>
      <c r="J329" s="8" t="inlineStr">
        <is>
          <t>Multiple Issues</t>
        </is>
      </c>
      <c r="K329" s="11" t="inlineStr">
        <is>
          <t>Holi</t>
        </is>
      </c>
      <c r="L329" s="11" t="inlineStr">
        <is>
          <t>Maharashtra</t>
        </is>
      </c>
      <c r="M329" s="2" t="inlineStr">
        <is>
          <t>NS</t>
        </is>
      </c>
      <c r="N329" s="1" t="inlineStr">
        <is>
          <t>Cold Soldering</t>
        </is>
      </c>
      <c r="O329" s="11" t="n">
        <v>575</v>
      </c>
      <c r="P329" s="2" t="inlineStr">
        <is>
          <t>NSMI24070195862</t>
        </is>
      </c>
      <c r="Q329" s="14">
        <f>MID(P329,5,2)</f>
        <v/>
      </c>
      <c r="R329" s="14">
        <f>MID(P329,7,2)</f>
        <v/>
      </c>
      <c r="S329" s="1" t="inlineStr">
        <is>
          <t>G2G</t>
        </is>
      </c>
      <c r="T329" s="1" t="inlineStr">
        <is>
          <t>P4 - PEIPL</t>
        </is>
      </c>
      <c r="U329" s="1" t="inlineStr">
        <is>
          <t>N JB Cold Soldering</t>
        </is>
      </c>
      <c r="V329" s="1" t="inlineStr">
        <is>
          <t>Soldering</t>
        </is>
      </c>
      <c r="W329" s="1" t="inlineStr">
        <is>
          <t>Repair</t>
        </is>
      </c>
      <c r="X329" s="5" t="n">
        <v>46175</v>
      </c>
      <c r="Y329" s="1">
        <f>IF(X329="","",X329-A329)</f>
        <v/>
      </c>
      <c r="Z329" s="5" t="n">
        <v>46175</v>
      </c>
      <c r="AA329" s="3" t="n"/>
      <c r="AB329" s="3" t="n"/>
      <c r="AE329" s="146">
        <f>IF(AND(F329="Closed",X329&gt;=DATE(2026,6,1),X329&lt;=DATE(2026,6,30)),"Closed in June","other")</f>
        <v/>
      </c>
    </row>
    <row r="330" hidden="1">
      <c r="A330" s="9" t="n">
        <v>46143</v>
      </c>
      <c r="B330" s="1" t="n">
        <v>2026</v>
      </c>
      <c r="C330" s="8" t="inlineStr">
        <is>
          <t>Yanara Power</t>
        </is>
      </c>
      <c r="D330" s="1" t="inlineStr">
        <is>
          <t>Utility and C&amp;I</t>
        </is>
      </c>
      <c r="E330" s="1" t="n"/>
      <c r="F330" s="1" t="inlineStr">
        <is>
          <t>Closed</t>
        </is>
      </c>
      <c r="G330" s="2" t="inlineStr">
        <is>
          <t xml:space="preserve">Ashish Jindal </t>
        </is>
      </c>
      <c r="H330" s="8" t="n">
        <v>9983975581</v>
      </c>
      <c r="I330" s="10" t="inlineStr">
        <is>
          <t>PE01052601</t>
        </is>
      </c>
      <c r="J330" s="8" t="inlineStr">
        <is>
          <t>Multiple Issues</t>
        </is>
      </c>
      <c r="K330" s="11" t="inlineStr">
        <is>
          <t>Holi</t>
        </is>
      </c>
      <c r="L330" s="11" t="inlineStr">
        <is>
          <t>Maharashtra</t>
        </is>
      </c>
      <c r="M330" s="2" t="inlineStr">
        <is>
          <t>NS</t>
        </is>
      </c>
      <c r="N330" s="1" t="inlineStr">
        <is>
          <t>Cold Soldering</t>
        </is>
      </c>
      <c r="O330" s="11" t="n">
        <v>575</v>
      </c>
      <c r="P330" s="2" t="inlineStr">
        <is>
          <t>NSMI24070195771</t>
        </is>
      </c>
      <c r="Q330" s="14">
        <f>MID(P330,5,2)</f>
        <v/>
      </c>
      <c r="R330" s="14">
        <f>MID(P330,7,2)</f>
        <v/>
      </c>
      <c r="S330" s="1" t="inlineStr">
        <is>
          <t>G2G</t>
        </is>
      </c>
      <c r="T330" s="1" t="inlineStr">
        <is>
          <t>P4 - PEIPL</t>
        </is>
      </c>
      <c r="U330" s="1" t="inlineStr">
        <is>
          <t>N JB Cold Soldering</t>
        </is>
      </c>
      <c r="V330" s="1" t="inlineStr">
        <is>
          <t>Soldering</t>
        </is>
      </c>
      <c r="W330" s="1" t="inlineStr">
        <is>
          <t>Repair</t>
        </is>
      </c>
      <c r="X330" s="5" t="n">
        <v>46175</v>
      </c>
      <c r="Y330" s="1">
        <f>IF(X330="","",X330-A330)</f>
        <v/>
      </c>
      <c r="Z330" s="5" t="n">
        <v>46175</v>
      </c>
      <c r="AA330" s="3" t="n"/>
      <c r="AB330" s="3" t="n"/>
      <c r="AE330" s="146">
        <f>IF(AND(F330="Closed",X330&gt;=DATE(2026,6,1),X330&lt;=DATE(2026,6,30)),"Closed in June","other")</f>
        <v/>
      </c>
    </row>
    <row r="331" hidden="1">
      <c r="A331" s="9" t="n">
        <v>46143</v>
      </c>
      <c r="B331" s="1" t="n">
        <v>2026</v>
      </c>
      <c r="C331" s="8" t="inlineStr">
        <is>
          <t>Yanara Power</t>
        </is>
      </c>
      <c r="D331" s="1" t="inlineStr">
        <is>
          <t>Utility and C&amp;I</t>
        </is>
      </c>
      <c r="E331" s="1" t="n"/>
      <c r="F331" s="1" t="inlineStr">
        <is>
          <t>Closed</t>
        </is>
      </c>
      <c r="G331" s="2" t="inlineStr">
        <is>
          <t xml:space="preserve">Ashish Jindal </t>
        </is>
      </c>
      <c r="H331" s="8" t="n">
        <v>9983975581</v>
      </c>
      <c r="I331" s="10" t="inlineStr">
        <is>
          <t>PE01052601</t>
        </is>
      </c>
      <c r="J331" s="8" t="inlineStr">
        <is>
          <t>Multiple Issues</t>
        </is>
      </c>
      <c r="K331" s="11" t="inlineStr">
        <is>
          <t>Holi</t>
        </is>
      </c>
      <c r="L331" s="11" t="inlineStr">
        <is>
          <t>Maharashtra</t>
        </is>
      </c>
      <c r="M331" s="2" t="inlineStr">
        <is>
          <t>NS</t>
        </is>
      </c>
      <c r="N331" s="1" t="inlineStr">
        <is>
          <t>Cold Soldering</t>
        </is>
      </c>
      <c r="O331" s="11" t="n">
        <v>575</v>
      </c>
      <c r="P331" s="2" t="inlineStr">
        <is>
          <t>NSMI24070195843</t>
        </is>
      </c>
      <c r="Q331" s="14">
        <f>MID(P331,5,2)</f>
        <v/>
      </c>
      <c r="R331" s="14">
        <f>MID(P331,7,2)</f>
        <v/>
      </c>
      <c r="S331" s="1" t="inlineStr">
        <is>
          <t>G2G</t>
        </is>
      </c>
      <c r="T331" s="1" t="inlineStr">
        <is>
          <t>P4 - PEIPL</t>
        </is>
      </c>
      <c r="U331" s="1" t="inlineStr">
        <is>
          <t>N JB Cold Soldering</t>
        </is>
      </c>
      <c r="V331" s="1" t="inlineStr">
        <is>
          <t>Soldering</t>
        </is>
      </c>
      <c r="W331" s="1" t="inlineStr">
        <is>
          <t>Repair</t>
        </is>
      </c>
      <c r="X331" s="5" t="n">
        <v>46175</v>
      </c>
      <c r="Y331" s="1">
        <f>IF(X331="","",X331-A331)</f>
        <v/>
      </c>
      <c r="Z331" s="5" t="n">
        <v>46175</v>
      </c>
      <c r="AA331" s="3" t="n"/>
      <c r="AB331" s="3" t="n"/>
      <c r="AE331" s="146">
        <f>IF(AND(F331="Closed",X331&gt;=DATE(2026,6,1),X331&lt;=DATE(2026,6,30)),"Closed in June","other")</f>
        <v/>
      </c>
    </row>
    <row r="332" hidden="1">
      <c r="A332" s="9" t="n">
        <v>46148</v>
      </c>
      <c r="B332" s="1" t="n">
        <v>2026</v>
      </c>
      <c r="C332" s="8" t="inlineStr">
        <is>
          <t>Continuum</t>
        </is>
      </c>
      <c r="D332" s="1" t="inlineStr">
        <is>
          <t>Utility and C&amp;I</t>
        </is>
      </c>
      <c r="E332" s="1" t="n"/>
      <c r="F332" s="1" t="inlineStr">
        <is>
          <t>Closed</t>
        </is>
      </c>
      <c r="G332" s="8" t="inlineStr">
        <is>
          <t>Amiya Ranjan Behera</t>
        </is>
      </c>
      <c r="H332" s="8" t="n">
        <v>8917436223</v>
      </c>
      <c r="I332" s="10" t="inlineStr">
        <is>
          <t>PE06052602</t>
        </is>
      </c>
      <c r="J332" s="8" t="inlineStr">
        <is>
          <t>Diode Bypass Module Issue</t>
        </is>
      </c>
      <c r="K332" s="8" t="inlineStr">
        <is>
          <t>Bhavnagar</t>
        </is>
      </c>
      <c r="L332" s="8" t="inlineStr">
        <is>
          <t>Gujarat</t>
        </is>
      </c>
      <c r="M332" s="2" t="inlineStr">
        <is>
          <t>PR</t>
        </is>
      </c>
      <c r="N332" s="1" t="inlineStr">
        <is>
          <t>JB Issue</t>
        </is>
      </c>
      <c r="O332" s="11" t="n">
        <v>540</v>
      </c>
      <c r="P332" s="2" t="inlineStr">
        <is>
          <t>NSMP2305189299</t>
        </is>
      </c>
      <c r="Q332" s="14">
        <f>MID(P332,5,2)</f>
        <v/>
      </c>
      <c r="R332" s="14">
        <f>MID(P332,7,2)</f>
        <v/>
      </c>
      <c r="S332" s="1" t="inlineStr">
        <is>
          <t>G2B</t>
        </is>
      </c>
      <c r="T332" s="1" t="inlineStr">
        <is>
          <t>P2 - PEPPL</t>
        </is>
      </c>
      <c r="U332" s="1" t="inlineStr">
        <is>
          <t>P JB Issue</t>
        </is>
      </c>
      <c r="V332" s="3" t="inlineStr">
        <is>
          <t>JB Changed</t>
        </is>
      </c>
      <c r="W332" s="1" t="inlineStr">
        <is>
          <t>Repair</t>
        </is>
      </c>
      <c r="X332" s="5" t="n">
        <v>46176</v>
      </c>
      <c r="Y332" s="1">
        <f>IF(X332="","",X332-A332)</f>
        <v/>
      </c>
      <c r="Z332" s="5" t="n">
        <v>46176</v>
      </c>
      <c r="AA332" s="3" t="n"/>
      <c r="AB332" s="3" t="n"/>
      <c r="AE332" s="146">
        <f>IF(AND(F332="Closed",X332&gt;=DATE(2026,6,1),X332&lt;=DATE(2026,6,30)),"Closed in June","other")</f>
        <v/>
      </c>
    </row>
    <row r="333" hidden="1">
      <c r="A333" s="9" t="n">
        <v>46148</v>
      </c>
      <c r="B333" s="1" t="n">
        <v>2026</v>
      </c>
      <c r="C333" s="8" t="inlineStr">
        <is>
          <t>Continuum</t>
        </is>
      </c>
      <c r="D333" s="1" t="inlineStr">
        <is>
          <t>Utility and C&amp;I</t>
        </is>
      </c>
      <c r="E333" s="1" t="n"/>
      <c r="F333" s="1" t="inlineStr">
        <is>
          <t>Closed</t>
        </is>
      </c>
      <c r="G333" s="8" t="inlineStr">
        <is>
          <t>Amiya Ranjan Behera</t>
        </is>
      </c>
      <c r="H333" s="8" t="n">
        <v>8917436223</v>
      </c>
      <c r="I333" s="10" t="inlineStr">
        <is>
          <t>PE06052602</t>
        </is>
      </c>
      <c r="J333" s="8" t="inlineStr">
        <is>
          <t>Diode Bypass Module Issue</t>
        </is>
      </c>
      <c r="K333" s="8" t="inlineStr">
        <is>
          <t>Bhavnagar</t>
        </is>
      </c>
      <c r="L333" s="8" t="inlineStr">
        <is>
          <t>Gujarat</t>
        </is>
      </c>
      <c r="M333" s="2" t="inlineStr">
        <is>
          <t>PR</t>
        </is>
      </c>
      <c r="N333" s="1" t="inlineStr">
        <is>
          <t>JB Issue</t>
        </is>
      </c>
      <c r="O333" s="11" t="n">
        <v>540</v>
      </c>
      <c r="P333" s="2" t="inlineStr">
        <is>
          <t>NSMP2305189305</t>
        </is>
      </c>
      <c r="Q333" s="14">
        <f>MID(P333,5,2)</f>
        <v/>
      </c>
      <c r="R333" s="14">
        <f>MID(P333,7,2)</f>
        <v/>
      </c>
      <c r="S333" s="1" t="inlineStr">
        <is>
          <t>G2B</t>
        </is>
      </c>
      <c r="T333" s="1" t="inlineStr">
        <is>
          <t>P2 - PEPPL</t>
        </is>
      </c>
      <c r="U333" s="1" t="inlineStr">
        <is>
          <t>P JB Issue</t>
        </is>
      </c>
      <c r="V333" s="3" t="inlineStr">
        <is>
          <t>JB Changed</t>
        </is>
      </c>
      <c r="W333" s="1" t="inlineStr">
        <is>
          <t>Repair</t>
        </is>
      </c>
      <c r="X333" s="5" t="n">
        <v>46176</v>
      </c>
      <c r="Y333" s="1">
        <f>IF(X333="","",X333-A333)</f>
        <v/>
      </c>
      <c r="Z333" s="5" t="n">
        <v>46176</v>
      </c>
      <c r="AA333" s="3" t="n"/>
      <c r="AB333" s="3" t="n"/>
      <c r="AE333" s="146">
        <f>IF(AND(F333="Closed",X333&gt;=DATE(2026,6,1),X333&lt;=DATE(2026,6,30)),"Closed in June","other")</f>
        <v/>
      </c>
    </row>
    <row r="334" hidden="1">
      <c r="A334" s="9" t="n">
        <v>46148</v>
      </c>
      <c r="B334" s="1" t="n">
        <v>2026</v>
      </c>
      <c r="C334" s="8" t="inlineStr">
        <is>
          <t>Continuum</t>
        </is>
      </c>
      <c r="D334" s="1" t="inlineStr">
        <is>
          <t>Utility and C&amp;I</t>
        </is>
      </c>
      <c r="E334" s="1" t="n"/>
      <c r="F334" s="1" t="inlineStr">
        <is>
          <t>Closed</t>
        </is>
      </c>
      <c r="G334" s="8" t="inlineStr">
        <is>
          <t>Amiya Ranjan Behera</t>
        </is>
      </c>
      <c r="H334" s="8" t="n">
        <v>8917436223</v>
      </c>
      <c r="I334" s="10" t="inlineStr">
        <is>
          <t>PE06052602</t>
        </is>
      </c>
      <c r="J334" s="8" t="inlineStr">
        <is>
          <t>Diode Bypass Module Issue</t>
        </is>
      </c>
      <c r="K334" s="8" t="inlineStr">
        <is>
          <t>Bhavnagar</t>
        </is>
      </c>
      <c r="L334" s="8" t="inlineStr">
        <is>
          <t>Gujarat</t>
        </is>
      </c>
      <c r="M334" s="2" t="inlineStr">
        <is>
          <t>PR</t>
        </is>
      </c>
      <c r="N334" s="1" t="inlineStr">
        <is>
          <t>JB Issue</t>
        </is>
      </c>
      <c r="O334" s="11" t="n">
        <v>540</v>
      </c>
      <c r="P334" s="2" t="inlineStr">
        <is>
          <t>NSMP2305189297</t>
        </is>
      </c>
      <c r="Q334" s="14">
        <f>MID(P334,5,2)</f>
        <v/>
      </c>
      <c r="R334" s="14">
        <f>MID(P334,7,2)</f>
        <v/>
      </c>
      <c r="S334" s="1" t="inlineStr">
        <is>
          <t>G2B</t>
        </is>
      </c>
      <c r="T334" s="1" t="inlineStr">
        <is>
          <t>P2 - PEPPL</t>
        </is>
      </c>
      <c r="U334" s="1" t="inlineStr">
        <is>
          <t>P JB Issue</t>
        </is>
      </c>
      <c r="V334" s="3" t="inlineStr">
        <is>
          <t>JB Changed</t>
        </is>
      </c>
      <c r="W334" s="1" t="inlineStr">
        <is>
          <t>Repair</t>
        </is>
      </c>
      <c r="X334" s="5" t="n">
        <v>46176</v>
      </c>
      <c r="Y334" s="1">
        <f>IF(X334="","",X334-A334)</f>
        <v/>
      </c>
      <c r="Z334" s="5" t="n">
        <v>46176</v>
      </c>
      <c r="AA334" s="3" t="n"/>
      <c r="AB334" s="3" t="n"/>
      <c r="AE334" s="146">
        <f>IF(AND(F334="Closed",X334&gt;=DATE(2026,6,1),X334&lt;=DATE(2026,6,30)),"Closed in June","other")</f>
        <v/>
      </c>
    </row>
    <row r="335" hidden="1">
      <c r="A335" s="9" t="n">
        <v>46148</v>
      </c>
      <c r="B335" s="1" t="n">
        <v>2026</v>
      </c>
      <c r="C335" s="8" t="inlineStr">
        <is>
          <t>Continuum</t>
        </is>
      </c>
      <c r="D335" s="1" t="inlineStr">
        <is>
          <t>Utility and C&amp;I</t>
        </is>
      </c>
      <c r="E335" s="1" t="n"/>
      <c r="F335" s="1" t="inlineStr">
        <is>
          <t>Closed</t>
        </is>
      </c>
      <c r="G335" s="8" t="inlineStr">
        <is>
          <t>Amiya Ranjan Behera</t>
        </is>
      </c>
      <c r="H335" s="8" t="n">
        <v>8917436223</v>
      </c>
      <c r="I335" s="10" t="inlineStr">
        <is>
          <t>PE06052602</t>
        </is>
      </c>
      <c r="J335" s="8" t="inlineStr">
        <is>
          <t>Diode Bypass Module Issue</t>
        </is>
      </c>
      <c r="K335" s="8" t="inlineStr">
        <is>
          <t>Bhavnagar</t>
        </is>
      </c>
      <c r="L335" s="8" t="inlineStr">
        <is>
          <t>Gujarat</t>
        </is>
      </c>
      <c r="M335" s="2" t="inlineStr">
        <is>
          <t>PS</t>
        </is>
      </c>
      <c r="N335" s="1" t="inlineStr">
        <is>
          <t>Cold Soldering</t>
        </is>
      </c>
      <c r="O335" s="11" t="n">
        <v>540</v>
      </c>
      <c r="P335" s="2" t="inlineStr">
        <is>
          <t>NSMP2305189083</t>
        </is>
      </c>
      <c r="Q335" s="14">
        <f>MID(P335,5,2)</f>
        <v/>
      </c>
      <c r="R335" s="14">
        <f>MID(P335,7,2)</f>
        <v/>
      </c>
      <c r="S335" s="1" t="inlineStr">
        <is>
          <t>G2B</t>
        </is>
      </c>
      <c r="T335" s="1" t="inlineStr">
        <is>
          <t>P2 - PEPPL</t>
        </is>
      </c>
      <c r="U335" s="1" t="inlineStr">
        <is>
          <t>P JB Cold Soldering</t>
        </is>
      </c>
      <c r="V335" s="1" t="inlineStr">
        <is>
          <t>Soldering</t>
        </is>
      </c>
      <c r="W335" s="1" t="inlineStr">
        <is>
          <t>Repair</t>
        </is>
      </c>
      <c r="X335" s="5" t="n">
        <v>46176</v>
      </c>
      <c r="Y335" s="1">
        <f>IF(X335="","",X335-A335)</f>
        <v/>
      </c>
      <c r="Z335" s="5" t="n">
        <v>46176</v>
      </c>
      <c r="AA335" s="3" t="n"/>
      <c r="AB335" s="3" t="n"/>
      <c r="AE335" s="146">
        <f>IF(AND(F335="Closed",X335&gt;=DATE(2026,6,1),X335&lt;=DATE(2026,6,30)),"Closed in June","other")</f>
        <v/>
      </c>
    </row>
    <row r="336" hidden="1">
      <c r="A336" s="9" t="n">
        <v>46148</v>
      </c>
      <c r="B336" s="1" t="n">
        <v>2026</v>
      </c>
      <c r="C336" s="8" t="inlineStr">
        <is>
          <t>Continuum</t>
        </is>
      </c>
      <c r="D336" s="1" t="inlineStr">
        <is>
          <t>Utility and C&amp;I</t>
        </is>
      </c>
      <c r="E336" s="1" t="n"/>
      <c r="F336" s="1" t="inlineStr">
        <is>
          <t>Closed</t>
        </is>
      </c>
      <c r="G336" s="8" t="inlineStr">
        <is>
          <t>Amiya Ranjan Behera</t>
        </is>
      </c>
      <c r="H336" s="8" t="n">
        <v>8917436223</v>
      </c>
      <c r="I336" s="10" t="inlineStr">
        <is>
          <t>PE06052602</t>
        </is>
      </c>
      <c r="J336" s="8" t="inlineStr">
        <is>
          <t>Diode Bypass Module Issue</t>
        </is>
      </c>
      <c r="K336" s="8" t="inlineStr">
        <is>
          <t>Bhavnagar</t>
        </is>
      </c>
      <c r="L336" s="8" t="inlineStr">
        <is>
          <t>Gujarat</t>
        </is>
      </c>
      <c r="M336" s="2" t="inlineStr">
        <is>
          <t xml:space="preserve">OK </t>
        </is>
      </c>
      <c r="N336" s="2" t="inlineStr">
        <is>
          <t>No Issue Found</t>
        </is>
      </c>
      <c r="O336" s="11" t="n">
        <v>540</v>
      </c>
      <c r="P336" s="2" t="inlineStr">
        <is>
          <t>NSMP2305129834</t>
        </is>
      </c>
      <c r="Q336" s="14">
        <f>MID(P336,5,2)</f>
        <v/>
      </c>
      <c r="R336" s="14">
        <f>MID(P336,7,2)</f>
        <v/>
      </c>
      <c r="S336" s="1" t="inlineStr">
        <is>
          <t>G2B</t>
        </is>
      </c>
      <c r="T336" s="1" t="inlineStr">
        <is>
          <t>P2 - PEPPL</t>
        </is>
      </c>
      <c r="U336" s="6" t="inlineStr">
        <is>
          <t>No Issue Found</t>
        </is>
      </c>
      <c r="V336" s="6" t="inlineStr">
        <is>
          <t>Inspection</t>
        </is>
      </c>
      <c r="W336" s="1" t="inlineStr">
        <is>
          <t>Rejected</t>
        </is>
      </c>
      <c r="X336" s="5" t="n">
        <v>46176</v>
      </c>
      <c r="Y336" s="1">
        <f>IF(X336="","",X336-A336)</f>
        <v/>
      </c>
      <c r="Z336" s="5" t="n">
        <v>46176</v>
      </c>
      <c r="AA336" s="3" t="n"/>
      <c r="AB336" s="3" t="n"/>
      <c r="AE336" s="146">
        <f>IF(AND(F336="Closed",X336&gt;=DATE(2026,6,1),X336&lt;=DATE(2026,6,30)),"Closed in June","other")</f>
        <v/>
      </c>
    </row>
    <row r="337" hidden="1">
      <c r="A337" s="9" t="n">
        <v>46148</v>
      </c>
      <c r="B337" s="1" t="n">
        <v>2026</v>
      </c>
      <c r="C337" s="8" t="inlineStr">
        <is>
          <t>Continuum</t>
        </is>
      </c>
      <c r="D337" s="1" t="inlineStr">
        <is>
          <t>Utility and C&amp;I</t>
        </is>
      </c>
      <c r="E337" s="1" t="n"/>
      <c r="F337" s="1" t="inlineStr">
        <is>
          <t>Closed</t>
        </is>
      </c>
      <c r="G337" s="8" t="inlineStr">
        <is>
          <t>Amiya Ranjan Behera</t>
        </is>
      </c>
      <c r="H337" s="8" t="n">
        <v>8917436223</v>
      </c>
      <c r="I337" s="10" t="inlineStr">
        <is>
          <t>PE06052602</t>
        </is>
      </c>
      <c r="J337" s="8" t="inlineStr">
        <is>
          <t>Diode Bypass Module Issue</t>
        </is>
      </c>
      <c r="K337" s="8" t="inlineStr">
        <is>
          <t>Bhavnagar</t>
        </is>
      </c>
      <c r="L337" s="8" t="inlineStr">
        <is>
          <t>Gujarat</t>
        </is>
      </c>
      <c r="M337" s="2" t="inlineStr">
        <is>
          <t>PS</t>
        </is>
      </c>
      <c r="N337" s="1" t="inlineStr">
        <is>
          <t>Cold Soldering</t>
        </is>
      </c>
      <c r="O337" s="11" t="n">
        <v>540</v>
      </c>
      <c r="P337" s="2" t="inlineStr">
        <is>
          <t>NSMP2305129174</t>
        </is>
      </c>
      <c r="Q337" s="14">
        <f>MID(P337,5,2)</f>
        <v/>
      </c>
      <c r="R337" s="14">
        <f>MID(P337,7,2)</f>
        <v/>
      </c>
      <c r="S337" s="1" t="inlineStr">
        <is>
          <t>G2B</t>
        </is>
      </c>
      <c r="T337" s="1" t="inlineStr">
        <is>
          <t>P2 - PEPPL</t>
        </is>
      </c>
      <c r="U337" s="1" t="inlineStr">
        <is>
          <t>P JB Cold Soldering</t>
        </is>
      </c>
      <c r="V337" s="1" t="inlineStr">
        <is>
          <t>Soldering</t>
        </is>
      </c>
      <c r="W337" s="1" t="inlineStr">
        <is>
          <t>Repair</t>
        </is>
      </c>
      <c r="X337" s="5" t="n">
        <v>46176</v>
      </c>
      <c r="Y337" s="1">
        <f>IF(X337="","",X337-A337)</f>
        <v/>
      </c>
      <c r="Z337" s="5" t="n">
        <v>46176</v>
      </c>
      <c r="AA337" s="3" t="n"/>
      <c r="AB337" s="3" t="n"/>
      <c r="AE337" s="146">
        <f>IF(AND(F337="Closed",X337&gt;=DATE(2026,6,1),X337&lt;=DATE(2026,6,30)),"Closed in June","other")</f>
        <v/>
      </c>
    </row>
    <row r="338" hidden="1">
      <c r="A338" s="9" t="n">
        <v>46148</v>
      </c>
      <c r="B338" s="1" t="n">
        <v>2026</v>
      </c>
      <c r="C338" s="8" t="inlineStr">
        <is>
          <t>Continuum</t>
        </is>
      </c>
      <c r="D338" s="1" t="inlineStr">
        <is>
          <t>Utility and C&amp;I</t>
        </is>
      </c>
      <c r="E338" s="1" t="n"/>
      <c r="F338" s="1" t="inlineStr">
        <is>
          <t>Closed</t>
        </is>
      </c>
      <c r="G338" s="8" t="inlineStr">
        <is>
          <t>Amiya Ranjan Behera</t>
        </is>
      </c>
      <c r="H338" s="8" t="n">
        <v>8917436223</v>
      </c>
      <c r="I338" s="10" t="inlineStr">
        <is>
          <t>PE06052602</t>
        </is>
      </c>
      <c r="J338" s="8" t="inlineStr">
        <is>
          <t>Diode Bypass Module Issue</t>
        </is>
      </c>
      <c r="K338" s="8" t="inlineStr">
        <is>
          <t>Bhavnagar</t>
        </is>
      </c>
      <c r="L338" s="8" t="inlineStr">
        <is>
          <t>Gujarat</t>
        </is>
      </c>
      <c r="M338" s="2" t="inlineStr">
        <is>
          <t xml:space="preserve">OK </t>
        </is>
      </c>
      <c r="N338" s="2" t="inlineStr">
        <is>
          <t>No Issue Found</t>
        </is>
      </c>
      <c r="O338" s="11" t="n">
        <v>540</v>
      </c>
      <c r="P338" s="2" t="inlineStr">
        <is>
          <t>NSMP2305129233</t>
        </is>
      </c>
      <c r="Q338" s="14">
        <f>MID(P338,5,2)</f>
        <v/>
      </c>
      <c r="R338" s="14">
        <f>MID(P338,7,2)</f>
        <v/>
      </c>
      <c r="S338" s="1" t="inlineStr">
        <is>
          <t>G2B</t>
        </is>
      </c>
      <c r="T338" s="1" t="inlineStr">
        <is>
          <t>P2 - PEPPL</t>
        </is>
      </c>
      <c r="U338" s="6" t="inlineStr">
        <is>
          <t>No Issue Found</t>
        </is>
      </c>
      <c r="V338" s="6" t="inlineStr">
        <is>
          <t>Inspection</t>
        </is>
      </c>
      <c r="W338" s="1" t="inlineStr">
        <is>
          <t>Rejected</t>
        </is>
      </c>
      <c r="X338" s="5" t="n">
        <v>46176</v>
      </c>
      <c r="Y338" s="1">
        <f>IF(X338="","",X338-A338)</f>
        <v/>
      </c>
      <c r="Z338" s="5" t="n">
        <v>46176</v>
      </c>
      <c r="AA338" s="3" t="n"/>
      <c r="AB338" s="3" t="n"/>
      <c r="AE338" s="146">
        <f>IF(AND(F338="Closed",X338&gt;=DATE(2026,6,1),X338&lt;=DATE(2026,6,30)),"Closed in June","other")</f>
        <v/>
      </c>
    </row>
    <row r="339" hidden="1">
      <c r="A339" s="9" t="n">
        <v>46148</v>
      </c>
      <c r="B339" s="1" t="n">
        <v>2026</v>
      </c>
      <c r="C339" s="8" t="inlineStr">
        <is>
          <t>Continuum</t>
        </is>
      </c>
      <c r="D339" s="1" t="inlineStr">
        <is>
          <t>Utility and C&amp;I</t>
        </is>
      </c>
      <c r="E339" s="1" t="n"/>
      <c r="F339" s="1" t="inlineStr">
        <is>
          <t>Closed</t>
        </is>
      </c>
      <c r="G339" s="8" t="inlineStr">
        <is>
          <t>Amiya Ranjan Behera</t>
        </is>
      </c>
      <c r="H339" s="8" t="n">
        <v>8917436223</v>
      </c>
      <c r="I339" s="10" t="inlineStr">
        <is>
          <t>PE06052602</t>
        </is>
      </c>
      <c r="J339" s="8" t="inlineStr">
        <is>
          <t>Diode Bypass Module Issue</t>
        </is>
      </c>
      <c r="K339" s="8" t="inlineStr">
        <is>
          <t>Bhavnagar</t>
        </is>
      </c>
      <c r="L339" s="8" t="inlineStr">
        <is>
          <t>Gujarat</t>
        </is>
      </c>
      <c r="M339" s="2" t="inlineStr">
        <is>
          <t xml:space="preserve">OK </t>
        </is>
      </c>
      <c r="N339" s="2" t="inlineStr">
        <is>
          <t>No Issue Found</t>
        </is>
      </c>
      <c r="O339" s="11" t="n">
        <v>540</v>
      </c>
      <c r="P339" s="2" t="inlineStr">
        <is>
          <t>NSMP2305129852</t>
        </is>
      </c>
      <c r="Q339" s="14">
        <f>MID(P339,5,2)</f>
        <v/>
      </c>
      <c r="R339" s="14">
        <f>MID(P339,7,2)</f>
        <v/>
      </c>
      <c r="S339" s="1" t="inlineStr">
        <is>
          <t>G2B</t>
        </is>
      </c>
      <c r="T339" s="1" t="inlineStr">
        <is>
          <t>P2 - PEPPL</t>
        </is>
      </c>
      <c r="U339" s="6" t="inlineStr">
        <is>
          <t>No Issue Found</t>
        </is>
      </c>
      <c r="V339" s="6" t="inlineStr">
        <is>
          <t>Inspection</t>
        </is>
      </c>
      <c r="W339" s="1" t="inlineStr">
        <is>
          <t>Rejected</t>
        </is>
      </c>
      <c r="X339" s="5" t="n">
        <v>46176</v>
      </c>
      <c r="Y339" s="1">
        <f>IF(X339="","",X339-A339)</f>
        <v/>
      </c>
      <c r="Z339" s="5" t="n">
        <v>46176</v>
      </c>
      <c r="AA339" s="3" t="n"/>
      <c r="AB339" s="3" t="n"/>
      <c r="AE339" s="146">
        <f>IF(AND(F339="Closed",X339&gt;=DATE(2026,6,1),X339&lt;=DATE(2026,6,30)),"Closed in June","other")</f>
        <v/>
      </c>
    </row>
    <row r="340" hidden="1">
      <c r="A340" s="9" t="n">
        <v>46148</v>
      </c>
      <c r="B340" s="1" t="n">
        <v>2026</v>
      </c>
      <c r="C340" s="8" t="inlineStr">
        <is>
          <t>Continuum</t>
        </is>
      </c>
      <c r="D340" s="1" t="inlineStr">
        <is>
          <t>Utility and C&amp;I</t>
        </is>
      </c>
      <c r="E340" s="1" t="n"/>
      <c r="F340" s="1" t="inlineStr">
        <is>
          <t>Closed</t>
        </is>
      </c>
      <c r="G340" s="8" t="inlineStr">
        <is>
          <t>Amiya Ranjan Behera</t>
        </is>
      </c>
      <c r="H340" s="8" t="n">
        <v>8917436223</v>
      </c>
      <c r="I340" s="10" t="inlineStr">
        <is>
          <t>PE06052602</t>
        </is>
      </c>
      <c r="J340" s="8" t="inlineStr">
        <is>
          <t>Diode Bypass Module Issue</t>
        </is>
      </c>
      <c r="K340" s="8" t="inlineStr">
        <is>
          <t>Bhavnagar</t>
        </is>
      </c>
      <c r="L340" s="8" t="inlineStr">
        <is>
          <t>Gujarat</t>
        </is>
      </c>
      <c r="M340" s="2" t="inlineStr">
        <is>
          <t>PS</t>
        </is>
      </c>
      <c r="N340" s="1" t="inlineStr">
        <is>
          <t>Cold Soldering</t>
        </is>
      </c>
      <c r="O340" s="11" t="n">
        <v>540</v>
      </c>
      <c r="P340" s="2" t="inlineStr">
        <is>
          <t>NSMP2305188522</t>
        </is>
      </c>
      <c r="Q340" s="14">
        <f>MID(P340,5,2)</f>
        <v/>
      </c>
      <c r="R340" s="14">
        <f>MID(P340,7,2)</f>
        <v/>
      </c>
      <c r="S340" s="1" t="inlineStr">
        <is>
          <t>G2B</t>
        </is>
      </c>
      <c r="T340" s="1" t="inlineStr">
        <is>
          <t>P2 - PEPPL</t>
        </is>
      </c>
      <c r="U340" s="1" t="inlineStr">
        <is>
          <t>P JB Cold Soldering</t>
        </is>
      </c>
      <c r="V340" s="1" t="inlineStr">
        <is>
          <t>Soldering</t>
        </is>
      </c>
      <c r="W340" s="1" t="inlineStr">
        <is>
          <t>Repair</t>
        </is>
      </c>
      <c r="X340" s="5" t="n">
        <v>46176</v>
      </c>
      <c r="Y340" s="1">
        <f>IF(X340="","",X340-A340)</f>
        <v/>
      </c>
      <c r="Z340" s="5" t="n">
        <v>46176</v>
      </c>
      <c r="AA340" s="3" t="n"/>
      <c r="AB340" s="3" t="n"/>
      <c r="AE340" s="146">
        <f>IF(AND(F340="Closed",X340&gt;=DATE(2026,6,1),X340&lt;=DATE(2026,6,30)),"Closed in June","other")</f>
        <v/>
      </c>
    </row>
    <row r="341" hidden="1">
      <c r="A341" s="9" t="n">
        <v>46148</v>
      </c>
      <c r="B341" s="1" t="n">
        <v>2026</v>
      </c>
      <c r="C341" s="8" t="inlineStr">
        <is>
          <t>Continuum</t>
        </is>
      </c>
      <c r="D341" s="1" t="inlineStr">
        <is>
          <t>Utility and C&amp;I</t>
        </is>
      </c>
      <c r="E341" s="1" t="n"/>
      <c r="F341" s="1" t="inlineStr">
        <is>
          <t>Closed</t>
        </is>
      </c>
      <c r="G341" s="8" t="inlineStr">
        <is>
          <t>Amiya Ranjan Behera</t>
        </is>
      </c>
      <c r="H341" s="8" t="n">
        <v>8917436223</v>
      </c>
      <c r="I341" s="10" t="inlineStr">
        <is>
          <t>PE06052602</t>
        </is>
      </c>
      <c r="J341" s="8" t="inlineStr">
        <is>
          <t>Diode Bypass Module Issue</t>
        </is>
      </c>
      <c r="K341" s="8" t="inlineStr">
        <is>
          <t>Bhavnagar</t>
        </is>
      </c>
      <c r="L341" s="8" t="inlineStr">
        <is>
          <t>Gujarat</t>
        </is>
      </c>
      <c r="M341" s="2" t="inlineStr">
        <is>
          <t xml:space="preserve">OK </t>
        </is>
      </c>
      <c r="N341" s="2" t="inlineStr">
        <is>
          <t>No Issue Found</t>
        </is>
      </c>
      <c r="O341" s="11" t="n">
        <v>540</v>
      </c>
      <c r="P341" s="2" t="inlineStr">
        <is>
          <t>NSMP2305181348</t>
        </is>
      </c>
      <c r="Q341" s="14">
        <f>MID(P341,5,2)</f>
        <v/>
      </c>
      <c r="R341" s="14">
        <f>MID(P341,7,2)</f>
        <v/>
      </c>
      <c r="S341" s="1" t="inlineStr">
        <is>
          <t>G2B</t>
        </is>
      </c>
      <c r="T341" s="1" t="inlineStr">
        <is>
          <t>P2 - PEPPL</t>
        </is>
      </c>
      <c r="U341" s="6" t="inlineStr">
        <is>
          <t>No Issue Found</t>
        </is>
      </c>
      <c r="V341" s="6" t="inlineStr">
        <is>
          <t>Inspection</t>
        </is>
      </c>
      <c r="W341" s="1" t="inlineStr">
        <is>
          <t>Rejected</t>
        </is>
      </c>
      <c r="X341" s="5" t="n">
        <v>46176</v>
      </c>
      <c r="Y341" s="1">
        <f>IF(X341="","",X341-A341)</f>
        <v/>
      </c>
      <c r="Z341" s="5" t="n">
        <v>46176</v>
      </c>
      <c r="AA341" s="3" t="n"/>
      <c r="AB341" s="3" t="n"/>
      <c r="AE341" s="146">
        <f>IF(AND(F341="Closed",X341&gt;=DATE(2026,6,1),X341&lt;=DATE(2026,6,30)),"Closed in June","other")</f>
        <v/>
      </c>
    </row>
    <row r="342" hidden="1">
      <c r="A342" s="9" t="n">
        <v>46148</v>
      </c>
      <c r="B342" s="1" t="n">
        <v>2026</v>
      </c>
      <c r="C342" s="8" t="inlineStr">
        <is>
          <t>Continuum</t>
        </is>
      </c>
      <c r="D342" s="1" t="inlineStr">
        <is>
          <t>Utility and C&amp;I</t>
        </is>
      </c>
      <c r="E342" s="1" t="n"/>
      <c r="F342" s="1" t="inlineStr">
        <is>
          <t>Closed</t>
        </is>
      </c>
      <c r="G342" s="8" t="inlineStr">
        <is>
          <t>Amiya Ranjan Behera</t>
        </is>
      </c>
      <c r="H342" s="8" t="n">
        <v>8917436223</v>
      </c>
      <c r="I342" s="10" t="inlineStr">
        <is>
          <t>PE06052602</t>
        </is>
      </c>
      <c r="J342" s="8" t="inlineStr">
        <is>
          <t>Diode Bypass Module Issue</t>
        </is>
      </c>
      <c r="K342" s="8" t="inlineStr">
        <is>
          <t>Bhavnagar</t>
        </is>
      </c>
      <c r="L342" s="8" t="inlineStr">
        <is>
          <t>Gujarat</t>
        </is>
      </c>
      <c r="M342" s="2" t="inlineStr">
        <is>
          <t xml:space="preserve">OK </t>
        </is>
      </c>
      <c r="N342" s="2" t="inlineStr">
        <is>
          <t>No Issue Found</t>
        </is>
      </c>
      <c r="O342" s="11" t="n">
        <v>540</v>
      </c>
      <c r="P342" s="2" t="inlineStr">
        <is>
          <t>NSMP2305181350</t>
        </is>
      </c>
      <c r="Q342" s="14">
        <f>MID(P342,5,2)</f>
        <v/>
      </c>
      <c r="R342" s="14">
        <f>MID(P342,7,2)</f>
        <v/>
      </c>
      <c r="S342" s="1" t="inlineStr">
        <is>
          <t>G2B</t>
        </is>
      </c>
      <c r="T342" s="1" t="inlineStr">
        <is>
          <t>P2 - PEPPL</t>
        </is>
      </c>
      <c r="U342" s="6" t="inlineStr">
        <is>
          <t>No Issue Found</t>
        </is>
      </c>
      <c r="V342" s="6" t="inlineStr">
        <is>
          <t>Inspection</t>
        </is>
      </c>
      <c r="W342" s="1" t="inlineStr">
        <is>
          <t>Rejected</t>
        </is>
      </c>
      <c r="X342" s="5" t="n">
        <v>46176</v>
      </c>
      <c r="Y342" s="1">
        <f>IF(X342="","",X342-A342)</f>
        <v/>
      </c>
      <c r="Z342" s="5" t="n">
        <v>46176</v>
      </c>
      <c r="AA342" s="3" t="n"/>
      <c r="AB342" s="3" t="n"/>
      <c r="AE342" s="146">
        <f>IF(AND(F342="Closed",X342&gt;=DATE(2026,6,1),X342&lt;=DATE(2026,6,30)),"Closed in June","other")</f>
        <v/>
      </c>
    </row>
    <row r="343" hidden="1">
      <c r="A343" s="9" t="n">
        <v>46148</v>
      </c>
      <c r="B343" s="1" t="n">
        <v>2026</v>
      </c>
      <c r="C343" s="8" t="inlineStr">
        <is>
          <t>Continuum</t>
        </is>
      </c>
      <c r="D343" s="1" t="inlineStr">
        <is>
          <t>Utility and C&amp;I</t>
        </is>
      </c>
      <c r="E343" s="1" t="n"/>
      <c r="F343" s="1" t="inlineStr">
        <is>
          <t>Closed</t>
        </is>
      </c>
      <c r="G343" s="8" t="inlineStr">
        <is>
          <t>Amiya Ranjan Behera</t>
        </is>
      </c>
      <c r="H343" s="8" t="n">
        <v>8917436223</v>
      </c>
      <c r="I343" s="10" t="inlineStr">
        <is>
          <t>PE06052602</t>
        </is>
      </c>
      <c r="J343" s="8" t="inlineStr">
        <is>
          <t>Diode Bypass Module Issue</t>
        </is>
      </c>
      <c r="K343" s="8" t="inlineStr">
        <is>
          <t>Bhavnagar</t>
        </is>
      </c>
      <c r="L343" s="8" t="inlineStr">
        <is>
          <t>Gujarat</t>
        </is>
      </c>
      <c r="M343" s="2" t="inlineStr">
        <is>
          <t>PS</t>
        </is>
      </c>
      <c r="N343" s="1" t="inlineStr">
        <is>
          <t>Cold Soldering</t>
        </is>
      </c>
      <c r="O343" s="11" t="n">
        <v>540</v>
      </c>
      <c r="P343" s="2" t="inlineStr">
        <is>
          <t>NSMP2305179284</t>
        </is>
      </c>
      <c r="Q343" s="14">
        <f>MID(P343,5,2)</f>
        <v/>
      </c>
      <c r="R343" s="14">
        <f>MID(P343,7,2)</f>
        <v/>
      </c>
      <c r="S343" s="1" t="inlineStr">
        <is>
          <t>G2B</t>
        </is>
      </c>
      <c r="T343" s="1" t="inlineStr">
        <is>
          <t>P2 - PEPPL</t>
        </is>
      </c>
      <c r="U343" s="1" t="inlineStr">
        <is>
          <t>P JB Cold Soldering</t>
        </is>
      </c>
      <c r="V343" s="1" t="inlineStr">
        <is>
          <t>Soldering</t>
        </is>
      </c>
      <c r="W343" s="1" t="inlineStr">
        <is>
          <t>Repair</t>
        </is>
      </c>
      <c r="X343" s="5" t="n">
        <v>46176</v>
      </c>
      <c r="Y343" s="1">
        <f>IF(X343="","",X343-A343)</f>
        <v/>
      </c>
      <c r="Z343" s="5" t="n">
        <v>46176</v>
      </c>
      <c r="AA343" s="3" t="n"/>
      <c r="AB343" s="3" t="n"/>
      <c r="AE343" s="146">
        <f>IF(AND(F343="Closed",X343&gt;=DATE(2026,6,1),X343&lt;=DATE(2026,6,30)),"Closed in June","other")</f>
        <v/>
      </c>
    </row>
    <row r="344" hidden="1">
      <c r="A344" s="9" t="n">
        <v>46148</v>
      </c>
      <c r="B344" s="1" t="n">
        <v>2026</v>
      </c>
      <c r="C344" s="8" t="inlineStr">
        <is>
          <t>Continuum</t>
        </is>
      </c>
      <c r="D344" s="1" t="inlineStr">
        <is>
          <t>Utility and C&amp;I</t>
        </is>
      </c>
      <c r="E344" s="1" t="n"/>
      <c r="F344" s="1" t="inlineStr">
        <is>
          <t>Closed</t>
        </is>
      </c>
      <c r="G344" s="8" t="inlineStr">
        <is>
          <t>Amiya Ranjan Behera</t>
        </is>
      </c>
      <c r="H344" s="8" t="n">
        <v>8917436223</v>
      </c>
      <c r="I344" s="10" t="inlineStr">
        <is>
          <t>PE06052602</t>
        </is>
      </c>
      <c r="J344" s="8" t="inlineStr">
        <is>
          <t>Diode Bypass Module Issue</t>
        </is>
      </c>
      <c r="K344" s="8" t="inlineStr">
        <is>
          <t>Bhavnagar</t>
        </is>
      </c>
      <c r="L344" s="8" t="inlineStr">
        <is>
          <t>Gujarat</t>
        </is>
      </c>
      <c r="M344" s="2" t="inlineStr">
        <is>
          <t xml:space="preserve">OK </t>
        </is>
      </c>
      <c r="N344" s="2" t="inlineStr">
        <is>
          <t>No Issue Found</t>
        </is>
      </c>
      <c r="O344" s="11" t="n">
        <v>540</v>
      </c>
      <c r="P344" s="2" t="inlineStr">
        <is>
          <t>NSMP2305188621</t>
        </is>
      </c>
      <c r="Q344" s="14">
        <f>MID(P344,5,2)</f>
        <v/>
      </c>
      <c r="R344" s="14">
        <f>MID(P344,7,2)</f>
        <v/>
      </c>
      <c r="S344" s="1" t="inlineStr">
        <is>
          <t>G2B</t>
        </is>
      </c>
      <c r="T344" s="1" t="inlineStr">
        <is>
          <t>P2 - PEPPL</t>
        </is>
      </c>
      <c r="U344" s="6" t="inlineStr">
        <is>
          <t>No Issue Found</t>
        </is>
      </c>
      <c r="V344" s="6" t="inlineStr">
        <is>
          <t>Inspection</t>
        </is>
      </c>
      <c r="W344" s="1" t="inlineStr">
        <is>
          <t>Rejected</t>
        </is>
      </c>
      <c r="X344" s="5" t="n">
        <v>46176</v>
      </c>
      <c r="Y344" s="1">
        <f>IF(X344="","",X344-A344)</f>
        <v/>
      </c>
      <c r="Z344" s="5" t="n">
        <v>46176</v>
      </c>
      <c r="AA344" s="3" t="n"/>
      <c r="AB344" s="3" t="n"/>
      <c r="AE344" s="146">
        <f>IF(AND(F344="Closed",X344&gt;=DATE(2026,6,1),X344&lt;=DATE(2026,6,30)),"Closed in June","other")</f>
        <v/>
      </c>
    </row>
    <row r="345" hidden="1">
      <c r="A345" s="9" t="n">
        <v>46148</v>
      </c>
      <c r="B345" s="1" t="n">
        <v>2026</v>
      </c>
      <c r="C345" s="8" t="inlineStr">
        <is>
          <t>Continuum</t>
        </is>
      </c>
      <c r="D345" s="1" t="inlineStr">
        <is>
          <t>Utility and C&amp;I</t>
        </is>
      </c>
      <c r="E345" s="1" t="n"/>
      <c r="F345" s="1" t="inlineStr">
        <is>
          <t>Closed</t>
        </is>
      </c>
      <c r="G345" s="8" t="inlineStr">
        <is>
          <t>Amiya Ranjan Behera</t>
        </is>
      </c>
      <c r="H345" s="8" t="n">
        <v>8917436223</v>
      </c>
      <c r="I345" s="10" t="inlineStr">
        <is>
          <t>PE06052602</t>
        </is>
      </c>
      <c r="J345" s="8" t="inlineStr">
        <is>
          <t>Diode Bypass Module Issue</t>
        </is>
      </c>
      <c r="K345" s="8" t="inlineStr">
        <is>
          <t>Bhavnagar</t>
        </is>
      </c>
      <c r="L345" s="8" t="inlineStr">
        <is>
          <t>Gujarat</t>
        </is>
      </c>
      <c r="M345" s="2" t="inlineStr">
        <is>
          <t xml:space="preserve">OK </t>
        </is>
      </c>
      <c r="N345" s="2" t="inlineStr">
        <is>
          <t>No Issue Found</t>
        </is>
      </c>
      <c r="O345" s="11" t="n">
        <v>540</v>
      </c>
      <c r="P345" s="2" t="inlineStr">
        <is>
          <t>NSMP2305201073</t>
        </is>
      </c>
      <c r="Q345" s="14">
        <f>MID(P345,5,2)</f>
        <v/>
      </c>
      <c r="R345" s="14">
        <f>MID(P345,7,2)</f>
        <v/>
      </c>
      <c r="S345" s="1" t="inlineStr">
        <is>
          <t>G2B</t>
        </is>
      </c>
      <c r="T345" s="1" t="inlineStr">
        <is>
          <t>P2 - PEPPL</t>
        </is>
      </c>
      <c r="U345" s="6" t="inlineStr">
        <is>
          <t>No Issue Found</t>
        </is>
      </c>
      <c r="V345" s="6" t="inlineStr">
        <is>
          <t>Inspection</t>
        </is>
      </c>
      <c r="W345" s="1" t="inlineStr">
        <is>
          <t>Rejected</t>
        </is>
      </c>
      <c r="X345" s="5" t="n">
        <v>46176</v>
      </c>
      <c r="Y345" s="1">
        <f>IF(X345="","",X345-A345)</f>
        <v/>
      </c>
      <c r="Z345" s="5" t="n">
        <v>46176</v>
      </c>
      <c r="AA345" s="3" t="n"/>
      <c r="AB345" s="3" t="n"/>
      <c r="AE345" s="146">
        <f>IF(AND(F345="Closed",X345&gt;=DATE(2026,6,1),X345&lt;=DATE(2026,6,30)),"Closed in June","other")</f>
        <v/>
      </c>
    </row>
    <row r="346" hidden="1">
      <c r="A346" s="9" t="n">
        <v>46148</v>
      </c>
      <c r="B346" s="1" t="n">
        <v>2026</v>
      </c>
      <c r="C346" s="8" t="inlineStr">
        <is>
          <t>Continuum</t>
        </is>
      </c>
      <c r="D346" s="1" t="inlineStr">
        <is>
          <t>Utility and C&amp;I</t>
        </is>
      </c>
      <c r="E346" s="1" t="n"/>
      <c r="F346" s="1" t="inlineStr">
        <is>
          <t>Closed</t>
        </is>
      </c>
      <c r="G346" s="8" t="inlineStr">
        <is>
          <t>Amiya Ranjan Behera</t>
        </is>
      </c>
      <c r="H346" s="8" t="n">
        <v>8917436223</v>
      </c>
      <c r="I346" s="10" t="inlineStr">
        <is>
          <t>PE06052602</t>
        </is>
      </c>
      <c r="J346" s="8" t="inlineStr">
        <is>
          <t>Diode Bypass Module Issue</t>
        </is>
      </c>
      <c r="K346" s="8" t="inlineStr">
        <is>
          <t>Bhavnagar</t>
        </is>
      </c>
      <c r="L346" s="8" t="inlineStr">
        <is>
          <t>Gujarat</t>
        </is>
      </c>
      <c r="M346" s="2" t="inlineStr">
        <is>
          <t>PS</t>
        </is>
      </c>
      <c r="N346" s="1" t="inlineStr">
        <is>
          <t>Cold Soldering</t>
        </is>
      </c>
      <c r="O346" s="11" t="n">
        <v>540</v>
      </c>
      <c r="P346" s="2" t="inlineStr">
        <is>
          <t>NSMP2305200231</t>
        </is>
      </c>
      <c r="Q346" s="14">
        <f>MID(P346,5,2)</f>
        <v/>
      </c>
      <c r="R346" s="14">
        <f>MID(P346,7,2)</f>
        <v/>
      </c>
      <c r="S346" s="1" t="inlineStr">
        <is>
          <t>G2B</t>
        </is>
      </c>
      <c r="T346" s="1" t="inlineStr">
        <is>
          <t>P2 - PEPPL</t>
        </is>
      </c>
      <c r="U346" s="1" t="inlineStr">
        <is>
          <t>P JB Cold Soldering</t>
        </is>
      </c>
      <c r="V346" s="1" t="inlineStr">
        <is>
          <t>Soldering</t>
        </is>
      </c>
      <c r="W346" s="1" t="inlineStr">
        <is>
          <t>Repair</t>
        </is>
      </c>
      <c r="X346" s="5" t="n">
        <v>46176</v>
      </c>
      <c r="Y346" s="1">
        <f>IF(X346="","",X346-A346)</f>
        <v/>
      </c>
      <c r="Z346" s="5" t="n">
        <v>46176</v>
      </c>
      <c r="AA346" s="3" t="n"/>
      <c r="AB346" s="3" t="n"/>
      <c r="AE346" s="146">
        <f>IF(AND(F346="Closed",X346&gt;=DATE(2026,6,1),X346&lt;=DATE(2026,6,30)),"Closed in June","other")</f>
        <v/>
      </c>
    </row>
    <row r="347" hidden="1">
      <c r="A347" s="9" t="n">
        <v>46148</v>
      </c>
      <c r="B347" s="1" t="n">
        <v>2026</v>
      </c>
      <c r="C347" s="8" t="inlineStr">
        <is>
          <t>Continuum</t>
        </is>
      </c>
      <c r="D347" s="1" t="inlineStr">
        <is>
          <t>Utility and C&amp;I</t>
        </is>
      </c>
      <c r="E347" s="1" t="n"/>
      <c r="F347" s="1" t="inlineStr">
        <is>
          <t>Closed</t>
        </is>
      </c>
      <c r="G347" s="8" t="inlineStr">
        <is>
          <t>Amiya Ranjan Behera</t>
        </is>
      </c>
      <c r="H347" s="8" t="n">
        <v>8917436223</v>
      </c>
      <c r="I347" s="10" t="inlineStr">
        <is>
          <t>PE06052602</t>
        </is>
      </c>
      <c r="J347" s="8" t="inlineStr">
        <is>
          <t>Diode Bypass Module Issue</t>
        </is>
      </c>
      <c r="K347" s="8" t="inlineStr">
        <is>
          <t>Bhavnagar</t>
        </is>
      </c>
      <c r="L347" s="8" t="inlineStr">
        <is>
          <t>Gujarat</t>
        </is>
      </c>
      <c r="M347" s="2" t="inlineStr">
        <is>
          <t xml:space="preserve">OK </t>
        </is>
      </c>
      <c r="N347" s="2" t="inlineStr">
        <is>
          <t>No Issue Found</t>
        </is>
      </c>
      <c r="O347" s="11" t="n">
        <v>540</v>
      </c>
      <c r="P347" s="2" t="inlineStr">
        <is>
          <t>NSMP2305190952</t>
        </is>
      </c>
      <c r="Q347" s="14">
        <f>MID(P347,5,2)</f>
        <v/>
      </c>
      <c r="R347" s="14">
        <f>MID(P347,7,2)</f>
        <v/>
      </c>
      <c r="S347" s="1" t="inlineStr">
        <is>
          <t>G2B</t>
        </is>
      </c>
      <c r="T347" s="1" t="inlineStr">
        <is>
          <t>P2 - PEPPL</t>
        </is>
      </c>
      <c r="U347" s="6" t="inlineStr">
        <is>
          <t>No Issue Found</t>
        </is>
      </c>
      <c r="V347" s="6" t="inlineStr">
        <is>
          <t>Inspection</t>
        </is>
      </c>
      <c r="W347" s="1" t="inlineStr">
        <is>
          <t>Rejected</t>
        </is>
      </c>
      <c r="X347" s="5" t="n">
        <v>46176</v>
      </c>
      <c r="Y347" s="1">
        <f>IF(X347="","",X347-A347)</f>
        <v/>
      </c>
      <c r="Z347" s="5" t="n">
        <v>46176</v>
      </c>
      <c r="AA347" s="3" t="n"/>
      <c r="AB347" s="3" t="n"/>
      <c r="AE347" s="146">
        <f>IF(AND(F347="Closed",X347&gt;=DATE(2026,6,1),X347&lt;=DATE(2026,6,30)),"Closed in June","other")</f>
        <v/>
      </c>
    </row>
    <row r="348" hidden="1">
      <c r="A348" s="9" t="n">
        <v>46148</v>
      </c>
      <c r="B348" s="1" t="n">
        <v>2026</v>
      </c>
      <c r="C348" s="8" t="inlineStr">
        <is>
          <t>Continuum</t>
        </is>
      </c>
      <c r="D348" s="1" t="inlineStr">
        <is>
          <t>Utility and C&amp;I</t>
        </is>
      </c>
      <c r="E348" s="1" t="n"/>
      <c r="F348" s="1" t="inlineStr">
        <is>
          <t>Closed</t>
        </is>
      </c>
      <c r="G348" s="8" t="inlineStr">
        <is>
          <t>Amiya Ranjan Behera</t>
        </is>
      </c>
      <c r="H348" s="8" t="n">
        <v>8917436223</v>
      </c>
      <c r="I348" s="10" t="inlineStr">
        <is>
          <t>PE06052602</t>
        </is>
      </c>
      <c r="J348" s="8" t="inlineStr">
        <is>
          <t>Diode Bypass Module Issue</t>
        </is>
      </c>
      <c r="K348" s="8" t="inlineStr">
        <is>
          <t>Bhavnagar</t>
        </is>
      </c>
      <c r="L348" s="8" t="inlineStr">
        <is>
          <t>Gujarat</t>
        </is>
      </c>
      <c r="M348" s="2" t="inlineStr">
        <is>
          <t xml:space="preserve">OK </t>
        </is>
      </c>
      <c r="N348" s="2" t="inlineStr">
        <is>
          <t>No Issue Found</t>
        </is>
      </c>
      <c r="O348" s="11" t="n">
        <v>540</v>
      </c>
      <c r="P348" s="2" t="inlineStr">
        <is>
          <t>NSMP2305190969</t>
        </is>
      </c>
      <c r="Q348" s="14">
        <f>MID(P348,5,2)</f>
        <v/>
      </c>
      <c r="R348" s="14">
        <f>MID(P348,7,2)</f>
        <v/>
      </c>
      <c r="S348" s="1" t="inlineStr">
        <is>
          <t>G2B</t>
        </is>
      </c>
      <c r="T348" s="1" t="inlineStr">
        <is>
          <t>P2 - PEPPL</t>
        </is>
      </c>
      <c r="U348" s="6" t="inlineStr">
        <is>
          <t>No Issue Found</t>
        </is>
      </c>
      <c r="V348" s="6" t="inlineStr">
        <is>
          <t>Inspection</t>
        </is>
      </c>
      <c r="W348" s="1" t="inlineStr">
        <is>
          <t>Rejected</t>
        </is>
      </c>
      <c r="X348" s="5" t="n">
        <v>46176</v>
      </c>
      <c r="Y348" s="1">
        <f>IF(X348="","",X348-A348)</f>
        <v/>
      </c>
      <c r="Z348" s="5" t="n">
        <v>46176</v>
      </c>
      <c r="AA348" s="3" t="n"/>
      <c r="AB348" s="3" t="n"/>
      <c r="AE348" s="146">
        <f>IF(AND(F348="Closed",X348&gt;=DATE(2026,6,1),X348&lt;=DATE(2026,6,30)),"Closed in June","other")</f>
        <v/>
      </c>
    </row>
    <row r="349" hidden="1">
      <c r="A349" s="9" t="n">
        <v>46148</v>
      </c>
      <c r="B349" s="1" t="n">
        <v>2026</v>
      </c>
      <c r="C349" s="8" t="inlineStr">
        <is>
          <t>Continuum</t>
        </is>
      </c>
      <c r="D349" s="1" t="inlineStr">
        <is>
          <t>Utility and C&amp;I</t>
        </is>
      </c>
      <c r="E349" s="1" t="n"/>
      <c r="F349" s="1" t="inlineStr">
        <is>
          <t>Closed</t>
        </is>
      </c>
      <c r="G349" s="8" t="inlineStr">
        <is>
          <t>Amiya Ranjan Behera</t>
        </is>
      </c>
      <c r="H349" s="8" t="n">
        <v>8917436223</v>
      </c>
      <c r="I349" s="10" t="inlineStr">
        <is>
          <t>PE06052602</t>
        </is>
      </c>
      <c r="J349" s="8" t="inlineStr">
        <is>
          <t>Diode Bypass Module Issue</t>
        </is>
      </c>
      <c r="K349" s="8" t="inlineStr">
        <is>
          <t>Bhavnagar</t>
        </is>
      </c>
      <c r="L349" s="8" t="inlineStr">
        <is>
          <t>Gujarat</t>
        </is>
      </c>
      <c r="M349" s="2" t="inlineStr">
        <is>
          <t>PS</t>
        </is>
      </c>
      <c r="N349" s="1" t="inlineStr">
        <is>
          <t>Cold Soldering</t>
        </is>
      </c>
      <c r="O349" s="11" t="n">
        <v>540</v>
      </c>
      <c r="P349" s="2" t="inlineStr">
        <is>
          <t>NSMP2305190802</t>
        </is>
      </c>
      <c r="Q349" s="14">
        <f>MID(P349,5,2)</f>
        <v/>
      </c>
      <c r="R349" s="14">
        <f>MID(P349,7,2)</f>
        <v/>
      </c>
      <c r="S349" s="1" t="inlineStr">
        <is>
          <t>G2B</t>
        </is>
      </c>
      <c r="T349" s="1" t="inlineStr">
        <is>
          <t>P2 - PEPPL</t>
        </is>
      </c>
      <c r="U349" s="1" t="inlineStr">
        <is>
          <t>P JB Cold Soldering</t>
        </is>
      </c>
      <c r="V349" s="1" t="inlineStr">
        <is>
          <t>Soldering</t>
        </is>
      </c>
      <c r="W349" s="1" t="inlineStr">
        <is>
          <t>Repair</t>
        </is>
      </c>
      <c r="X349" s="5" t="n">
        <v>46176</v>
      </c>
      <c r="Y349" s="1">
        <f>IF(X349="","",X349-A349)</f>
        <v/>
      </c>
      <c r="Z349" s="5" t="n">
        <v>46176</v>
      </c>
      <c r="AA349" s="3" t="n"/>
      <c r="AB349" s="3" t="n"/>
      <c r="AE349" s="146">
        <f>IF(AND(F349="Closed",X349&gt;=DATE(2026,6,1),X349&lt;=DATE(2026,6,30)),"Closed in June","other")</f>
        <v/>
      </c>
    </row>
    <row r="350" hidden="1">
      <c r="A350" s="9" t="n">
        <v>46148</v>
      </c>
      <c r="B350" s="1" t="n">
        <v>2026</v>
      </c>
      <c r="C350" s="8" t="inlineStr">
        <is>
          <t>Continuum</t>
        </is>
      </c>
      <c r="D350" s="1" t="inlineStr">
        <is>
          <t>Utility and C&amp;I</t>
        </is>
      </c>
      <c r="E350" s="1" t="n"/>
      <c r="F350" s="1" t="inlineStr">
        <is>
          <t>Closed</t>
        </is>
      </c>
      <c r="G350" s="8" t="inlineStr">
        <is>
          <t>Amiya Ranjan Behera</t>
        </is>
      </c>
      <c r="H350" s="8" t="n">
        <v>8917436223</v>
      </c>
      <c r="I350" s="10" t="inlineStr">
        <is>
          <t>PE06052602</t>
        </is>
      </c>
      <c r="J350" s="8" t="inlineStr">
        <is>
          <t>Diode Bypass Module Issue</t>
        </is>
      </c>
      <c r="K350" s="8" t="inlineStr">
        <is>
          <t>Bhavnagar</t>
        </is>
      </c>
      <c r="L350" s="8" t="inlineStr">
        <is>
          <t>Gujarat</t>
        </is>
      </c>
      <c r="M350" s="2" t="inlineStr">
        <is>
          <t xml:space="preserve">OK </t>
        </is>
      </c>
      <c r="N350" s="2" t="inlineStr">
        <is>
          <t>No Issue Found</t>
        </is>
      </c>
      <c r="O350" s="11" t="n">
        <v>540</v>
      </c>
      <c r="P350" s="2" t="inlineStr">
        <is>
          <t>NSMP2305190681</t>
        </is>
      </c>
      <c r="Q350" s="14">
        <f>MID(P350,5,2)</f>
        <v/>
      </c>
      <c r="R350" s="14">
        <f>MID(P350,7,2)</f>
        <v/>
      </c>
      <c r="S350" s="1" t="inlineStr">
        <is>
          <t>G2B</t>
        </is>
      </c>
      <c r="T350" s="1" t="inlineStr">
        <is>
          <t>P2 - PEPPL</t>
        </is>
      </c>
      <c r="U350" s="6" t="inlineStr">
        <is>
          <t>No Issue Found</t>
        </is>
      </c>
      <c r="V350" s="6" t="inlineStr">
        <is>
          <t>Inspection</t>
        </is>
      </c>
      <c r="W350" s="1" t="inlineStr">
        <is>
          <t>Rejected</t>
        </is>
      </c>
      <c r="X350" s="5" t="n">
        <v>46176</v>
      </c>
      <c r="Y350" s="1">
        <f>IF(X350="","",X350-A350)</f>
        <v/>
      </c>
      <c r="Z350" s="5" t="n">
        <v>46176</v>
      </c>
      <c r="AA350" s="3" t="n"/>
      <c r="AB350" s="3" t="n"/>
      <c r="AE350" s="146">
        <f>IF(AND(F350="Closed",X350&gt;=DATE(2026,6,1),X350&lt;=DATE(2026,6,30)),"Closed in June","other")</f>
        <v/>
      </c>
    </row>
    <row r="351" hidden="1">
      <c r="A351" s="9" t="n">
        <v>46148</v>
      </c>
      <c r="B351" s="1" t="n">
        <v>2026</v>
      </c>
      <c r="C351" s="8" t="inlineStr">
        <is>
          <t>Continuum</t>
        </is>
      </c>
      <c r="D351" s="1" t="inlineStr">
        <is>
          <t>Utility and C&amp;I</t>
        </is>
      </c>
      <c r="E351" s="1" t="n"/>
      <c r="F351" s="1" t="inlineStr">
        <is>
          <t>Closed</t>
        </is>
      </c>
      <c r="G351" s="8" t="inlineStr">
        <is>
          <t>Amiya Ranjan Behera</t>
        </is>
      </c>
      <c r="H351" s="8" t="n">
        <v>8917436223</v>
      </c>
      <c r="I351" s="10" t="inlineStr">
        <is>
          <t>PE06052602</t>
        </is>
      </c>
      <c r="J351" s="8" t="inlineStr">
        <is>
          <t>Diode Bypass Module Issue</t>
        </is>
      </c>
      <c r="K351" s="8" t="inlineStr">
        <is>
          <t>Bhavnagar</t>
        </is>
      </c>
      <c r="L351" s="8" t="inlineStr">
        <is>
          <t>Gujarat</t>
        </is>
      </c>
      <c r="M351" s="2" t="inlineStr">
        <is>
          <t xml:space="preserve">OK </t>
        </is>
      </c>
      <c r="N351" s="2" t="inlineStr">
        <is>
          <t>No Issue Found</t>
        </is>
      </c>
      <c r="O351" s="11" t="n">
        <v>540</v>
      </c>
      <c r="P351" s="2" t="inlineStr">
        <is>
          <t>NSMP2305205487</t>
        </is>
      </c>
      <c r="Q351" s="14">
        <f>MID(P351,5,2)</f>
        <v/>
      </c>
      <c r="R351" s="14">
        <f>MID(P351,7,2)</f>
        <v/>
      </c>
      <c r="S351" s="1" t="inlineStr">
        <is>
          <t>G2B</t>
        </is>
      </c>
      <c r="T351" s="1" t="inlineStr">
        <is>
          <t>P2 - PEPPL</t>
        </is>
      </c>
      <c r="U351" s="6" t="inlineStr">
        <is>
          <t>No Issue Found</t>
        </is>
      </c>
      <c r="V351" s="6" t="inlineStr">
        <is>
          <t>Inspection</t>
        </is>
      </c>
      <c r="W351" s="1" t="inlineStr">
        <is>
          <t>Rejected</t>
        </is>
      </c>
      <c r="X351" s="5" t="n">
        <v>46176</v>
      </c>
      <c r="Y351" s="1">
        <f>IF(X351="","",X351-A351)</f>
        <v/>
      </c>
      <c r="Z351" s="5" t="n">
        <v>46176</v>
      </c>
      <c r="AA351" s="3" t="n"/>
      <c r="AB351" s="3" t="n"/>
      <c r="AE351" s="146">
        <f>IF(AND(F351="Closed",X351&gt;=DATE(2026,6,1),X351&lt;=DATE(2026,6,30)),"Closed in June","other")</f>
        <v/>
      </c>
    </row>
    <row r="352" hidden="1">
      <c r="A352" s="9" t="n">
        <v>46148</v>
      </c>
      <c r="B352" s="1" t="n">
        <v>2026</v>
      </c>
      <c r="C352" s="8" t="inlineStr">
        <is>
          <t>Continuum</t>
        </is>
      </c>
      <c r="D352" s="1" t="inlineStr">
        <is>
          <t>Utility and C&amp;I</t>
        </is>
      </c>
      <c r="E352" s="1" t="n"/>
      <c r="F352" s="1" t="inlineStr">
        <is>
          <t>Closed</t>
        </is>
      </c>
      <c r="G352" s="8" t="inlineStr">
        <is>
          <t>Amiya Ranjan Behera</t>
        </is>
      </c>
      <c r="H352" s="8" t="n">
        <v>8917436223</v>
      </c>
      <c r="I352" s="10" t="inlineStr">
        <is>
          <t>PE06052602</t>
        </is>
      </c>
      <c r="J352" s="8" t="inlineStr">
        <is>
          <t>Diode Bypass Module Issue</t>
        </is>
      </c>
      <c r="K352" s="8" t="inlineStr">
        <is>
          <t>Bhavnagar</t>
        </is>
      </c>
      <c r="L352" s="8" t="inlineStr">
        <is>
          <t>Gujarat</t>
        </is>
      </c>
      <c r="M352" s="2" t="inlineStr">
        <is>
          <t xml:space="preserve">OK </t>
        </is>
      </c>
      <c r="N352" s="2" t="inlineStr">
        <is>
          <t>No Issue Found</t>
        </is>
      </c>
      <c r="O352" s="11" t="n">
        <v>540</v>
      </c>
      <c r="P352" s="2" t="inlineStr">
        <is>
          <t>NSMP2305130470</t>
        </is>
      </c>
      <c r="Q352" s="14">
        <f>MID(P352,5,2)</f>
        <v/>
      </c>
      <c r="R352" s="14">
        <f>MID(P352,7,2)</f>
        <v/>
      </c>
      <c r="S352" s="1" t="inlineStr">
        <is>
          <t>G2B</t>
        </is>
      </c>
      <c r="T352" s="1" t="inlineStr">
        <is>
          <t>P2 - PEPPL</t>
        </is>
      </c>
      <c r="U352" s="6" t="inlineStr">
        <is>
          <t>No Issue Found</t>
        </is>
      </c>
      <c r="V352" s="6" t="inlineStr">
        <is>
          <t>Inspection</t>
        </is>
      </c>
      <c r="W352" s="1" t="inlineStr">
        <is>
          <t>Rejected</t>
        </is>
      </c>
      <c r="X352" s="5" t="n">
        <v>46176</v>
      </c>
      <c r="Y352" s="1">
        <f>IF(X352="","",X352-A352)</f>
        <v/>
      </c>
      <c r="Z352" s="5" t="n">
        <v>46176</v>
      </c>
      <c r="AA352" s="3" t="n"/>
      <c r="AB352" s="3" t="n"/>
      <c r="AE352" s="146">
        <f>IF(AND(F352="Closed",X352&gt;=DATE(2026,6,1),X352&lt;=DATE(2026,6,30)),"Closed in June","other")</f>
        <v/>
      </c>
    </row>
    <row r="353" hidden="1">
      <c r="A353" s="9" t="n">
        <v>46148</v>
      </c>
      <c r="B353" s="1" t="n">
        <v>2026</v>
      </c>
      <c r="C353" s="8" t="inlineStr">
        <is>
          <t>Continuum</t>
        </is>
      </c>
      <c r="D353" s="1" t="inlineStr">
        <is>
          <t>Utility and C&amp;I</t>
        </is>
      </c>
      <c r="E353" s="1" t="n"/>
      <c r="F353" s="1" t="inlineStr">
        <is>
          <t>Closed</t>
        </is>
      </c>
      <c r="G353" s="8" t="inlineStr">
        <is>
          <t>Amiya Ranjan Behera</t>
        </is>
      </c>
      <c r="H353" s="8" t="n">
        <v>8917436223</v>
      </c>
      <c r="I353" s="10" t="inlineStr">
        <is>
          <t>PE06052602</t>
        </is>
      </c>
      <c r="J353" s="8" t="inlineStr">
        <is>
          <t>Diode Bypass Module Issue</t>
        </is>
      </c>
      <c r="K353" s="8" t="inlineStr">
        <is>
          <t>Bhavnagar</t>
        </is>
      </c>
      <c r="L353" s="8" t="inlineStr">
        <is>
          <t>Gujarat</t>
        </is>
      </c>
      <c r="M353" s="2" t="inlineStr">
        <is>
          <t>PS</t>
        </is>
      </c>
      <c r="N353" s="1" t="inlineStr">
        <is>
          <t>Cold Soldering</t>
        </is>
      </c>
      <c r="O353" s="11" t="n">
        <v>540</v>
      </c>
      <c r="P353" s="2" t="inlineStr">
        <is>
          <t>NSMP2305199983</t>
        </is>
      </c>
      <c r="Q353" s="14">
        <f>MID(P353,5,2)</f>
        <v/>
      </c>
      <c r="R353" s="14">
        <f>MID(P353,7,2)</f>
        <v/>
      </c>
      <c r="S353" s="1" t="inlineStr">
        <is>
          <t>G2B</t>
        </is>
      </c>
      <c r="T353" s="1" t="inlineStr">
        <is>
          <t>P2 - PEPPL</t>
        </is>
      </c>
      <c r="U353" s="1" t="inlineStr">
        <is>
          <t>P JB Cold Soldering</t>
        </is>
      </c>
      <c r="V353" s="1" t="inlineStr">
        <is>
          <t>Soldering</t>
        </is>
      </c>
      <c r="W353" s="1" t="inlineStr">
        <is>
          <t>Repair</t>
        </is>
      </c>
      <c r="X353" s="5" t="n">
        <v>46176</v>
      </c>
      <c r="Y353" s="1">
        <f>IF(X353="","",X353-A353)</f>
        <v/>
      </c>
      <c r="Z353" s="5" t="n">
        <v>46176</v>
      </c>
      <c r="AA353" s="3" t="n"/>
      <c r="AB353" s="3" t="n"/>
      <c r="AE353" s="146">
        <f>IF(AND(F353="Closed",X353&gt;=DATE(2026,6,1),X353&lt;=DATE(2026,6,30)),"Closed in June","other")</f>
        <v/>
      </c>
    </row>
    <row r="354" hidden="1">
      <c r="A354" s="9" t="n">
        <v>46148</v>
      </c>
      <c r="B354" s="1" t="n">
        <v>2026</v>
      </c>
      <c r="C354" s="8" t="inlineStr">
        <is>
          <t>Continuum</t>
        </is>
      </c>
      <c r="D354" s="1" t="inlineStr">
        <is>
          <t>Utility and C&amp;I</t>
        </is>
      </c>
      <c r="E354" s="1" t="n"/>
      <c r="F354" s="1" t="inlineStr">
        <is>
          <t>Closed</t>
        </is>
      </c>
      <c r="G354" s="8" t="inlineStr">
        <is>
          <t>Amiya Ranjan Behera</t>
        </is>
      </c>
      <c r="H354" s="8" t="n">
        <v>8917436223</v>
      </c>
      <c r="I354" s="10" t="inlineStr">
        <is>
          <t>PE06052602</t>
        </is>
      </c>
      <c r="J354" s="8" t="inlineStr">
        <is>
          <t>Diode Bypass Module Issue</t>
        </is>
      </c>
      <c r="K354" s="8" t="inlineStr">
        <is>
          <t>Bhavnagar</t>
        </is>
      </c>
      <c r="L354" s="8" t="inlineStr">
        <is>
          <t>Gujarat</t>
        </is>
      </c>
      <c r="M354" s="2" t="inlineStr">
        <is>
          <t>NR</t>
        </is>
      </c>
      <c r="N354" s="8" t="inlineStr">
        <is>
          <t>JB Issue</t>
        </is>
      </c>
      <c r="O354" s="11" t="n">
        <v>540</v>
      </c>
      <c r="P354" s="2" t="inlineStr">
        <is>
          <t>NSMP2305182858</t>
        </is>
      </c>
      <c r="Q354" s="14">
        <f>MID(P354,5,2)</f>
        <v/>
      </c>
      <c r="R354" s="14">
        <f>MID(P354,7,2)</f>
        <v/>
      </c>
      <c r="S354" s="1" t="inlineStr">
        <is>
          <t>G2B</t>
        </is>
      </c>
      <c r="T354" s="1" t="inlineStr">
        <is>
          <t>P2 - PEPPL</t>
        </is>
      </c>
      <c r="U354" s="6" t="inlineStr">
        <is>
          <t>N JB Issue</t>
        </is>
      </c>
      <c r="V354" s="6" t="inlineStr">
        <is>
          <t>JB Changed</t>
        </is>
      </c>
      <c r="W354" s="1" t="inlineStr">
        <is>
          <t>Repair</t>
        </is>
      </c>
      <c r="X354" s="5" t="n">
        <v>46176</v>
      </c>
      <c r="Y354" s="1">
        <f>IF(X354="","",X354-A354)</f>
        <v/>
      </c>
      <c r="Z354" s="5" t="n">
        <v>46176</v>
      </c>
      <c r="AA354" s="3" t="n"/>
      <c r="AB354" s="3" t="n"/>
      <c r="AE354" s="146">
        <f>IF(AND(F354="Closed",X354&gt;=DATE(2026,6,1),X354&lt;=DATE(2026,6,30)),"Closed in June","other")</f>
        <v/>
      </c>
    </row>
    <row r="355" hidden="1">
      <c r="A355" s="9" t="n">
        <v>46148</v>
      </c>
      <c r="B355" s="1" t="n">
        <v>2026</v>
      </c>
      <c r="C355" s="8" t="inlineStr">
        <is>
          <t>Continuum</t>
        </is>
      </c>
      <c r="D355" s="1" t="inlineStr">
        <is>
          <t>Utility and C&amp;I</t>
        </is>
      </c>
      <c r="E355" s="1" t="n"/>
      <c r="F355" s="1" t="inlineStr">
        <is>
          <t>Closed</t>
        </is>
      </c>
      <c r="G355" s="8" t="inlineStr">
        <is>
          <t>Amiya Ranjan Behera</t>
        </is>
      </c>
      <c r="H355" s="8" t="n">
        <v>8917436223</v>
      </c>
      <c r="I355" s="10" t="inlineStr">
        <is>
          <t>PE06052602</t>
        </is>
      </c>
      <c r="J355" s="8" t="inlineStr">
        <is>
          <t>Diode Bypass Module Issue</t>
        </is>
      </c>
      <c r="K355" s="8" t="inlineStr">
        <is>
          <t>Bhavnagar</t>
        </is>
      </c>
      <c r="L355" s="8" t="inlineStr">
        <is>
          <t>Gujarat</t>
        </is>
      </c>
      <c r="M355" s="2" t="inlineStr">
        <is>
          <t>PR</t>
        </is>
      </c>
      <c r="N355" s="1" t="inlineStr">
        <is>
          <t>JB Issue</t>
        </is>
      </c>
      <c r="O355" s="11" t="n">
        <v>540</v>
      </c>
      <c r="P355" s="2" t="inlineStr">
        <is>
          <t>NSMP2305191988</t>
        </is>
      </c>
      <c r="Q355" s="14">
        <f>MID(P355,5,2)</f>
        <v/>
      </c>
      <c r="R355" s="14">
        <f>MID(P355,7,2)</f>
        <v/>
      </c>
      <c r="S355" s="1" t="inlineStr">
        <is>
          <t>G2B</t>
        </is>
      </c>
      <c r="T355" s="1" t="inlineStr">
        <is>
          <t>P2 - PEPPL</t>
        </is>
      </c>
      <c r="U355" s="1" t="inlineStr">
        <is>
          <t>P JB Issue</t>
        </is>
      </c>
      <c r="V355" s="3" t="inlineStr">
        <is>
          <t>JB Changed</t>
        </is>
      </c>
      <c r="W355" s="1" t="inlineStr">
        <is>
          <t>Repair</t>
        </is>
      </c>
      <c r="X355" s="5" t="n">
        <v>46176</v>
      </c>
      <c r="Y355" s="1">
        <f>IF(X355="","",X355-A355)</f>
        <v/>
      </c>
      <c r="Z355" s="5" t="n">
        <v>46176</v>
      </c>
      <c r="AA355" s="3" t="n"/>
      <c r="AB355" s="3" t="n"/>
      <c r="AE355" s="146">
        <f>IF(AND(F355="Closed",X355&gt;=DATE(2026,6,1),X355&lt;=DATE(2026,6,30)),"Closed in June","other")</f>
        <v/>
      </c>
    </row>
    <row r="356" hidden="1">
      <c r="A356" s="9" t="n">
        <v>46148</v>
      </c>
      <c r="B356" s="1" t="n">
        <v>2026</v>
      </c>
      <c r="C356" s="8" t="inlineStr">
        <is>
          <t>Continuum</t>
        </is>
      </c>
      <c r="D356" s="1" t="inlineStr">
        <is>
          <t>Utility and C&amp;I</t>
        </is>
      </c>
      <c r="E356" s="1" t="n"/>
      <c r="F356" s="1" t="inlineStr">
        <is>
          <t>Closed</t>
        </is>
      </c>
      <c r="G356" s="8" t="inlineStr">
        <is>
          <t>Amiya Ranjan Behera</t>
        </is>
      </c>
      <c r="H356" s="8" t="n">
        <v>8917436223</v>
      </c>
      <c r="I356" s="10" t="inlineStr">
        <is>
          <t>PE06052602</t>
        </is>
      </c>
      <c r="J356" s="8" t="inlineStr">
        <is>
          <t>Diode Bypass Module Issue</t>
        </is>
      </c>
      <c r="K356" s="8" t="inlineStr">
        <is>
          <t>Bhavnagar</t>
        </is>
      </c>
      <c r="L356" s="8" t="inlineStr">
        <is>
          <t>Gujarat</t>
        </is>
      </c>
      <c r="M356" s="2" t="inlineStr">
        <is>
          <t>PR</t>
        </is>
      </c>
      <c r="N356" s="1" t="inlineStr">
        <is>
          <t>JB Issue</t>
        </is>
      </c>
      <c r="O356" s="11" t="n">
        <v>540</v>
      </c>
      <c r="P356" s="2" t="inlineStr">
        <is>
          <t>NSMP2305191976</t>
        </is>
      </c>
      <c r="Q356" s="14">
        <f>MID(P356,5,2)</f>
        <v/>
      </c>
      <c r="R356" s="14">
        <f>MID(P356,7,2)</f>
        <v/>
      </c>
      <c r="S356" s="1" t="inlineStr">
        <is>
          <t>G2B</t>
        </is>
      </c>
      <c r="T356" s="1" t="inlineStr">
        <is>
          <t>P2 - PEPPL</t>
        </is>
      </c>
      <c r="U356" s="1" t="inlineStr">
        <is>
          <t>P JB Issue</t>
        </is>
      </c>
      <c r="V356" s="3" t="inlineStr">
        <is>
          <t>JB Changed</t>
        </is>
      </c>
      <c r="W356" s="1" t="inlineStr">
        <is>
          <t>Repair</t>
        </is>
      </c>
      <c r="X356" s="5" t="n">
        <v>46176</v>
      </c>
      <c r="Y356" s="1">
        <f>IF(X356="","",X356-A356)</f>
        <v/>
      </c>
      <c r="Z356" s="5" t="n">
        <v>46176</v>
      </c>
      <c r="AA356" s="3" t="n"/>
      <c r="AB356" s="3" t="n"/>
      <c r="AE356" s="146">
        <f>IF(AND(F356="Closed",X356&gt;=DATE(2026,6,1),X356&lt;=DATE(2026,6,30)),"Closed in June","other")</f>
        <v/>
      </c>
    </row>
    <row r="357" hidden="1">
      <c r="A357" s="9" t="n">
        <v>46148</v>
      </c>
      <c r="B357" s="1" t="n">
        <v>2026</v>
      </c>
      <c r="C357" s="8" t="inlineStr">
        <is>
          <t>Continuum</t>
        </is>
      </c>
      <c r="D357" s="1" t="inlineStr">
        <is>
          <t>Utility and C&amp;I</t>
        </is>
      </c>
      <c r="E357" s="1" t="n"/>
      <c r="F357" s="1" t="inlineStr">
        <is>
          <t>Closed</t>
        </is>
      </c>
      <c r="G357" s="8" t="inlineStr">
        <is>
          <t>Amiya Ranjan Behera</t>
        </is>
      </c>
      <c r="H357" s="8" t="n">
        <v>8917436223</v>
      </c>
      <c r="I357" s="10" t="inlineStr">
        <is>
          <t>PE06052602</t>
        </is>
      </c>
      <c r="J357" s="8" t="inlineStr">
        <is>
          <t>Diode Bypass Module Issue</t>
        </is>
      </c>
      <c r="K357" s="8" t="inlineStr">
        <is>
          <t>Bhavnagar</t>
        </is>
      </c>
      <c r="L357" s="8" t="inlineStr">
        <is>
          <t>Gujarat</t>
        </is>
      </c>
      <c r="M357" s="2" t="inlineStr">
        <is>
          <t xml:space="preserve">OK </t>
        </is>
      </c>
      <c r="N357" s="2" t="inlineStr">
        <is>
          <t>No Issue Found</t>
        </is>
      </c>
      <c r="O357" s="11" t="n">
        <v>540</v>
      </c>
      <c r="P357" s="2" t="inlineStr">
        <is>
          <t>NSMP2305125586</t>
        </is>
      </c>
      <c r="Q357" s="14">
        <f>MID(P357,5,2)</f>
        <v/>
      </c>
      <c r="R357" s="14">
        <f>MID(P357,7,2)</f>
        <v/>
      </c>
      <c r="S357" s="1" t="inlineStr">
        <is>
          <t>G2B</t>
        </is>
      </c>
      <c r="T357" s="1" t="inlineStr">
        <is>
          <t>P2 - PEPPL</t>
        </is>
      </c>
      <c r="U357" s="6" t="inlineStr">
        <is>
          <t>No Issue Found</t>
        </is>
      </c>
      <c r="V357" s="6" t="inlineStr">
        <is>
          <t>Inspection</t>
        </is>
      </c>
      <c r="W357" s="1" t="inlineStr">
        <is>
          <t>Rejected</t>
        </is>
      </c>
      <c r="X357" s="5" t="n">
        <v>46176</v>
      </c>
      <c r="Y357" s="1">
        <f>IF(X357="","",X357-A357)</f>
        <v/>
      </c>
      <c r="Z357" s="5" t="n">
        <v>46176</v>
      </c>
      <c r="AA357" s="3" t="n"/>
      <c r="AB357" s="3" t="n"/>
      <c r="AE357" s="146">
        <f>IF(AND(F357="Closed",X357&gt;=DATE(2026,6,1),X357&lt;=DATE(2026,6,30)),"Closed in June","other")</f>
        <v/>
      </c>
    </row>
    <row r="358" hidden="1">
      <c r="A358" s="9" t="n">
        <v>46148</v>
      </c>
      <c r="B358" s="1" t="n">
        <v>2026</v>
      </c>
      <c r="C358" s="8" t="inlineStr">
        <is>
          <t>Continuum</t>
        </is>
      </c>
      <c r="D358" s="1" t="inlineStr">
        <is>
          <t>Utility and C&amp;I</t>
        </is>
      </c>
      <c r="E358" s="1" t="n"/>
      <c r="F358" s="1" t="inlineStr">
        <is>
          <t>Closed</t>
        </is>
      </c>
      <c r="G358" s="8" t="inlineStr">
        <is>
          <t>Amiya Ranjan Behera</t>
        </is>
      </c>
      <c r="H358" s="8" t="n">
        <v>8917436223</v>
      </c>
      <c r="I358" s="10" t="inlineStr">
        <is>
          <t>PE06052602</t>
        </is>
      </c>
      <c r="J358" s="8" t="inlineStr">
        <is>
          <t>Diode Bypass Module Issue</t>
        </is>
      </c>
      <c r="K358" s="8" t="inlineStr">
        <is>
          <t>Bhavnagar</t>
        </is>
      </c>
      <c r="L358" s="8" t="inlineStr">
        <is>
          <t>Gujarat</t>
        </is>
      </c>
      <c r="M358" s="2" t="inlineStr">
        <is>
          <t xml:space="preserve">OK </t>
        </is>
      </c>
      <c r="N358" s="2" t="inlineStr">
        <is>
          <t>No Issue Found</t>
        </is>
      </c>
      <c r="O358" s="11" t="n">
        <v>540</v>
      </c>
      <c r="P358" s="2" t="inlineStr">
        <is>
          <t>NSMP2305129731</t>
        </is>
      </c>
      <c r="Q358" s="14">
        <f>MID(P358,5,2)</f>
        <v/>
      </c>
      <c r="R358" s="14">
        <f>MID(P358,7,2)</f>
        <v/>
      </c>
      <c r="S358" s="1" t="inlineStr">
        <is>
          <t>G2B</t>
        </is>
      </c>
      <c r="T358" s="1" t="inlineStr">
        <is>
          <t>P2 - PEPPL</t>
        </is>
      </c>
      <c r="U358" s="6" t="inlineStr">
        <is>
          <t>No Issue Found</t>
        </is>
      </c>
      <c r="V358" s="6" t="inlineStr">
        <is>
          <t>Inspection</t>
        </is>
      </c>
      <c r="W358" s="1" t="inlineStr">
        <is>
          <t>Rejected</t>
        </is>
      </c>
      <c r="X358" s="5" t="n">
        <v>46176</v>
      </c>
      <c r="Y358" s="1">
        <f>IF(X358="","",X358-A358)</f>
        <v/>
      </c>
      <c r="Z358" s="5" t="n">
        <v>46176</v>
      </c>
      <c r="AA358" s="3" t="n"/>
      <c r="AB358" s="3" t="n"/>
      <c r="AE358" s="146">
        <f>IF(AND(F358="Closed",X358&gt;=DATE(2026,6,1),X358&lt;=DATE(2026,6,30)),"Closed in June","other")</f>
        <v/>
      </c>
    </row>
    <row r="359" hidden="1">
      <c r="A359" s="9" t="n">
        <v>46148</v>
      </c>
      <c r="B359" s="1" t="n">
        <v>2026</v>
      </c>
      <c r="C359" s="8" t="inlineStr">
        <is>
          <t>Continuum</t>
        </is>
      </c>
      <c r="D359" s="1" t="inlineStr">
        <is>
          <t>Utility and C&amp;I</t>
        </is>
      </c>
      <c r="E359" s="1" t="n"/>
      <c r="F359" s="1" t="inlineStr">
        <is>
          <t>Closed</t>
        </is>
      </c>
      <c r="G359" s="8" t="inlineStr">
        <is>
          <t>Amiya Ranjan Behera</t>
        </is>
      </c>
      <c r="H359" s="8" t="n">
        <v>8917436223</v>
      </c>
      <c r="I359" s="10" t="inlineStr">
        <is>
          <t>PE06052602</t>
        </is>
      </c>
      <c r="J359" s="8" t="inlineStr">
        <is>
          <t>Diode Bypass Module Issue</t>
        </is>
      </c>
      <c r="K359" s="8" t="inlineStr">
        <is>
          <t>Bhavnagar</t>
        </is>
      </c>
      <c r="L359" s="8" t="inlineStr">
        <is>
          <t>Gujarat</t>
        </is>
      </c>
      <c r="M359" s="2" t="inlineStr">
        <is>
          <t>PS</t>
        </is>
      </c>
      <c r="N359" s="1" t="inlineStr">
        <is>
          <t>Cold Soldering</t>
        </is>
      </c>
      <c r="O359" s="11" t="n">
        <v>540</v>
      </c>
      <c r="P359" s="2" t="inlineStr">
        <is>
          <t>NSMP2305183539</t>
        </is>
      </c>
      <c r="Q359" s="14">
        <f>MID(P359,5,2)</f>
        <v/>
      </c>
      <c r="R359" s="14">
        <f>MID(P359,7,2)</f>
        <v/>
      </c>
      <c r="S359" s="1" t="inlineStr">
        <is>
          <t>G2B</t>
        </is>
      </c>
      <c r="T359" s="1" t="inlineStr">
        <is>
          <t>P2 - PEPPL</t>
        </is>
      </c>
      <c r="U359" s="1" t="inlineStr">
        <is>
          <t>P JB Cold Soldering</t>
        </is>
      </c>
      <c r="V359" s="1" t="inlineStr">
        <is>
          <t>Soldering</t>
        </is>
      </c>
      <c r="W359" s="1" t="inlineStr">
        <is>
          <t>Repair</t>
        </is>
      </c>
      <c r="X359" s="5" t="n">
        <v>46176</v>
      </c>
      <c r="Y359" s="1">
        <f>IF(X359="","",X359-A359)</f>
        <v/>
      </c>
      <c r="Z359" s="5" t="n">
        <v>46176</v>
      </c>
      <c r="AA359" s="3" t="n"/>
      <c r="AB359" s="3" t="n"/>
      <c r="AE359" s="146">
        <f>IF(AND(F359="Closed",X359&gt;=DATE(2026,6,1),X359&lt;=DATE(2026,6,30)),"Closed in June","other")</f>
        <v/>
      </c>
    </row>
    <row r="360" hidden="1">
      <c r="A360" s="9" t="n">
        <v>46148</v>
      </c>
      <c r="B360" s="1" t="n">
        <v>2026</v>
      </c>
      <c r="C360" s="8" t="inlineStr">
        <is>
          <t>Continuum</t>
        </is>
      </c>
      <c r="D360" s="1" t="inlineStr">
        <is>
          <t>Utility and C&amp;I</t>
        </is>
      </c>
      <c r="E360" s="1" t="n"/>
      <c r="F360" s="1" t="inlineStr">
        <is>
          <t>Closed</t>
        </is>
      </c>
      <c r="G360" s="8" t="inlineStr">
        <is>
          <t>Amiya Ranjan Behera</t>
        </is>
      </c>
      <c r="H360" s="8" t="n">
        <v>8917436223</v>
      </c>
      <c r="I360" s="10" t="inlineStr">
        <is>
          <t>PE06052602</t>
        </is>
      </c>
      <c r="J360" s="8" t="inlineStr">
        <is>
          <t>Diode Bypass Module Issue</t>
        </is>
      </c>
      <c r="K360" s="8" t="inlineStr">
        <is>
          <t>Bhavnagar</t>
        </is>
      </c>
      <c r="L360" s="8" t="inlineStr">
        <is>
          <t>Gujarat</t>
        </is>
      </c>
      <c r="M360" s="2" t="inlineStr">
        <is>
          <t xml:space="preserve">OK </t>
        </is>
      </c>
      <c r="N360" s="2" t="inlineStr">
        <is>
          <t>No Issue Found</t>
        </is>
      </c>
      <c r="O360" s="11" t="n">
        <v>540</v>
      </c>
      <c r="P360" s="2" t="inlineStr">
        <is>
          <t>NSMP2305183588</t>
        </is>
      </c>
      <c r="Q360" s="14">
        <f>MID(P360,5,2)</f>
        <v/>
      </c>
      <c r="R360" s="14">
        <f>MID(P360,7,2)</f>
        <v/>
      </c>
      <c r="S360" s="1" t="inlineStr">
        <is>
          <t>G2B</t>
        </is>
      </c>
      <c r="T360" s="1" t="inlineStr">
        <is>
          <t>P2 - PEPPL</t>
        </is>
      </c>
      <c r="U360" s="6" t="inlineStr">
        <is>
          <t>No Issue Found</t>
        </is>
      </c>
      <c r="V360" s="6" t="inlineStr">
        <is>
          <t>Inspection</t>
        </is>
      </c>
      <c r="W360" s="1" t="inlineStr">
        <is>
          <t>Rejected</t>
        </is>
      </c>
      <c r="X360" s="5" t="n">
        <v>46176</v>
      </c>
      <c r="Y360" s="1">
        <f>IF(X360="","",X360-A360)</f>
        <v/>
      </c>
      <c r="Z360" s="5" t="n">
        <v>46176</v>
      </c>
      <c r="AA360" s="3" t="n"/>
      <c r="AB360" s="3" t="n"/>
      <c r="AE360" s="146">
        <f>IF(AND(F360="Closed",X360&gt;=DATE(2026,6,1),X360&lt;=DATE(2026,6,30)),"Closed in June","other")</f>
        <v/>
      </c>
    </row>
    <row r="361" hidden="1">
      <c r="A361" s="9" t="n">
        <v>46148</v>
      </c>
      <c r="B361" s="1" t="n">
        <v>2026</v>
      </c>
      <c r="C361" s="8" t="inlineStr">
        <is>
          <t>Continuum</t>
        </is>
      </c>
      <c r="D361" s="1" t="inlineStr">
        <is>
          <t>Utility and C&amp;I</t>
        </is>
      </c>
      <c r="E361" s="1" t="n"/>
      <c r="F361" s="1" t="inlineStr">
        <is>
          <t>Closed</t>
        </is>
      </c>
      <c r="G361" s="8" t="inlineStr">
        <is>
          <t>Amiya Ranjan Behera</t>
        </is>
      </c>
      <c r="H361" s="8" t="n">
        <v>8917436223</v>
      </c>
      <c r="I361" s="10" t="inlineStr">
        <is>
          <t>PE06052602</t>
        </is>
      </c>
      <c r="J361" s="8" t="inlineStr">
        <is>
          <t>Diode Bypass Module Issue</t>
        </is>
      </c>
      <c r="K361" s="8" t="inlineStr">
        <is>
          <t>Bhavnagar</t>
        </is>
      </c>
      <c r="L361" s="8" t="inlineStr">
        <is>
          <t>Gujarat</t>
        </is>
      </c>
      <c r="M361" s="2" t="inlineStr">
        <is>
          <t xml:space="preserve">OK </t>
        </is>
      </c>
      <c r="N361" s="2" t="inlineStr">
        <is>
          <t>No Issue Found</t>
        </is>
      </c>
      <c r="O361" s="11" t="n">
        <v>540</v>
      </c>
      <c r="P361" s="2" t="inlineStr">
        <is>
          <t>NSMP2305183602</t>
        </is>
      </c>
      <c r="Q361" s="14">
        <f>MID(P361,5,2)</f>
        <v/>
      </c>
      <c r="R361" s="14">
        <f>MID(P361,7,2)</f>
        <v/>
      </c>
      <c r="S361" s="1" t="inlineStr">
        <is>
          <t>G2B</t>
        </is>
      </c>
      <c r="T361" s="1" t="inlineStr">
        <is>
          <t>P2 - PEPPL</t>
        </is>
      </c>
      <c r="U361" s="6" t="inlineStr">
        <is>
          <t>No Issue Found</t>
        </is>
      </c>
      <c r="V361" s="6" t="inlineStr">
        <is>
          <t>Inspection</t>
        </is>
      </c>
      <c r="W361" s="1" t="inlineStr">
        <is>
          <t>Rejected</t>
        </is>
      </c>
      <c r="X361" s="5" t="n">
        <v>46176</v>
      </c>
      <c r="Y361" s="1">
        <f>IF(X361="","",X361-A361)</f>
        <v/>
      </c>
      <c r="Z361" s="5" t="n">
        <v>46176</v>
      </c>
      <c r="AA361" s="3" t="n"/>
      <c r="AB361" s="3" t="n"/>
      <c r="AE361" s="146">
        <f>IF(AND(F361="Closed",X361&gt;=DATE(2026,6,1),X361&lt;=DATE(2026,6,30)),"Closed in June","other")</f>
        <v/>
      </c>
    </row>
    <row r="362" hidden="1">
      <c r="A362" s="9" t="n">
        <v>46148</v>
      </c>
      <c r="B362" s="1" t="n">
        <v>2026</v>
      </c>
      <c r="C362" s="8" t="inlineStr">
        <is>
          <t>Continuum</t>
        </is>
      </c>
      <c r="D362" s="1" t="inlineStr">
        <is>
          <t>Utility and C&amp;I</t>
        </is>
      </c>
      <c r="E362" s="1" t="n"/>
      <c r="F362" s="1" t="inlineStr">
        <is>
          <t>Closed</t>
        </is>
      </c>
      <c r="G362" s="8" t="inlineStr">
        <is>
          <t>Amiya Ranjan Behera</t>
        </is>
      </c>
      <c r="H362" s="8" t="n">
        <v>8917436223</v>
      </c>
      <c r="I362" s="10" t="inlineStr">
        <is>
          <t>PE06052602</t>
        </is>
      </c>
      <c r="J362" s="8" t="inlineStr">
        <is>
          <t>Diode Bypass Module Issue</t>
        </is>
      </c>
      <c r="K362" s="8" t="inlineStr">
        <is>
          <t>Bhavnagar</t>
        </is>
      </c>
      <c r="L362" s="8" t="inlineStr">
        <is>
          <t>Gujarat</t>
        </is>
      </c>
      <c r="M362" s="2" t="inlineStr">
        <is>
          <t>NS</t>
        </is>
      </c>
      <c r="N362" s="8" t="inlineStr">
        <is>
          <t>Cold Soldering</t>
        </is>
      </c>
      <c r="O362" s="11" t="n">
        <v>540</v>
      </c>
      <c r="P362" s="2" t="inlineStr">
        <is>
          <t>NSMP2305128064</t>
        </is>
      </c>
      <c r="Q362" s="14">
        <f>MID(P362,5,2)</f>
        <v/>
      </c>
      <c r="R362" s="14">
        <f>MID(P362,7,2)</f>
        <v/>
      </c>
      <c r="S362" s="1" t="inlineStr">
        <is>
          <t>G2B</t>
        </is>
      </c>
      <c r="T362" s="1" t="inlineStr">
        <is>
          <t>P2 - PEPPL</t>
        </is>
      </c>
      <c r="U362" s="6" t="inlineStr">
        <is>
          <t>N JB Cold Soldering</t>
        </is>
      </c>
      <c r="V362" s="6" t="inlineStr">
        <is>
          <t>Soldering</t>
        </is>
      </c>
      <c r="W362" s="1" t="inlineStr">
        <is>
          <t>Repair</t>
        </is>
      </c>
      <c r="X362" s="5" t="n">
        <v>46176</v>
      </c>
      <c r="Y362" s="1">
        <f>IF(X362="","",X362-A362)</f>
        <v/>
      </c>
      <c r="Z362" s="5" t="n">
        <v>46176</v>
      </c>
      <c r="AA362" s="3" t="n"/>
      <c r="AB362" s="3" t="n"/>
      <c r="AE362" s="146">
        <f>IF(AND(F362="Closed",X362&gt;=DATE(2026,6,1),X362&lt;=DATE(2026,6,30)),"Closed in June","other")</f>
        <v/>
      </c>
    </row>
    <row r="363" hidden="1">
      <c r="A363" s="9" t="n">
        <v>46148</v>
      </c>
      <c r="B363" s="1" t="n">
        <v>2026</v>
      </c>
      <c r="C363" s="8" t="inlineStr">
        <is>
          <t>Continuum</t>
        </is>
      </c>
      <c r="D363" s="1" t="inlineStr">
        <is>
          <t>Utility and C&amp;I</t>
        </is>
      </c>
      <c r="E363" s="1" t="n"/>
      <c r="F363" s="1" t="inlineStr">
        <is>
          <t>Closed</t>
        </is>
      </c>
      <c r="G363" s="8" t="inlineStr">
        <is>
          <t>Amiya Ranjan Behera</t>
        </is>
      </c>
      <c r="H363" s="8" t="n">
        <v>8917436223</v>
      </c>
      <c r="I363" s="10" t="inlineStr">
        <is>
          <t>PE06052602</t>
        </is>
      </c>
      <c r="J363" s="8" t="inlineStr">
        <is>
          <t>Diode Bypass Module Issue</t>
        </is>
      </c>
      <c r="K363" s="8" t="inlineStr">
        <is>
          <t>Bhavnagar</t>
        </is>
      </c>
      <c r="L363" s="8" t="inlineStr">
        <is>
          <t>Gujarat</t>
        </is>
      </c>
      <c r="M363" s="2" t="inlineStr">
        <is>
          <t xml:space="preserve">OK </t>
        </is>
      </c>
      <c r="N363" s="2" t="inlineStr">
        <is>
          <t>No Issue Found</t>
        </is>
      </c>
      <c r="O363" s="11" t="n">
        <v>540</v>
      </c>
      <c r="P363" s="2" t="inlineStr">
        <is>
          <t>NSMP2305128084</t>
        </is>
      </c>
      <c r="Q363" s="14">
        <f>MID(P363,5,2)</f>
        <v/>
      </c>
      <c r="R363" s="14">
        <f>MID(P363,7,2)</f>
        <v/>
      </c>
      <c r="S363" s="1" t="inlineStr">
        <is>
          <t>G2B</t>
        </is>
      </c>
      <c r="T363" s="1" t="inlineStr">
        <is>
          <t>P2 - PEPPL</t>
        </is>
      </c>
      <c r="U363" s="6" t="inlineStr">
        <is>
          <t>No Issue Found</t>
        </is>
      </c>
      <c r="V363" s="6" t="inlineStr">
        <is>
          <t>Inspection</t>
        </is>
      </c>
      <c r="W363" s="1" t="inlineStr">
        <is>
          <t>Rejected</t>
        </is>
      </c>
      <c r="X363" s="5" t="n">
        <v>46176</v>
      </c>
      <c r="Y363" s="1">
        <f>IF(X363="","",X363-A363)</f>
        <v/>
      </c>
      <c r="Z363" s="5" t="n">
        <v>46176</v>
      </c>
      <c r="AA363" s="3" t="n"/>
      <c r="AB363" s="3" t="n"/>
      <c r="AE363" s="146">
        <f>IF(AND(F363="Closed",X363&gt;=DATE(2026,6,1),X363&lt;=DATE(2026,6,30)),"Closed in June","other")</f>
        <v/>
      </c>
    </row>
    <row r="364" hidden="1">
      <c r="A364" s="9" t="n">
        <v>46148</v>
      </c>
      <c r="B364" s="1" t="n">
        <v>2026</v>
      </c>
      <c r="C364" s="8" t="inlineStr">
        <is>
          <t>Continuum</t>
        </is>
      </c>
      <c r="D364" s="1" t="inlineStr">
        <is>
          <t>Utility and C&amp;I</t>
        </is>
      </c>
      <c r="E364" s="1" t="n"/>
      <c r="F364" s="1" t="inlineStr">
        <is>
          <t>Closed</t>
        </is>
      </c>
      <c r="G364" s="8" t="inlineStr">
        <is>
          <t>Amiya Ranjan Behera</t>
        </is>
      </c>
      <c r="H364" s="8" t="n">
        <v>8917436223</v>
      </c>
      <c r="I364" s="10" t="inlineStr">
        <is>
          <t>PE06052602</t>
        </is>
      </c>
      <c r="J364" s="8" t="inlineStr">
        <is>
          <t>Diode Bypass Module Issue</t>
        </is>
      </c>
      <c r="K364" s="8" t="inlineStr">
        <is>
          <t>Bhavnagar</t>
        </is>
      </c>
      <c r="L364" s="8" t="inlineStr">
        <is>
          <t>Gujarat</t>
        </is>
      </c>
      <c r="M364" s="2" t="inlineStr">
        <is>
          <t>NS</t>
        </is>
      </c>
      <c r="N364" s="8" t="inlineStr">
        <is>
          <t>Cold Soldering</t>
        </is>
      </c>
      <c r="O364" s="11" t="n">
        <v>540</v>
      </c>
      <c r="P364" s="2" t="inlineStr">
        <is>
          <t>NSMP2305127554</t>
        </is>
      </c>
      <c r="Q364" s="14">
        <f>MID(P364,5,2)</f>
        <v/>
      </c>
      <c r="R364" s="14">
        <f>MID(P364,7,2)</f>
        <v/>
      </c>
      <c r="S364" s="1" t="inlineStr">
        <is>
          <t>G2B</t>
        </is>
      </c>
      <c r="T364" s="1" t="inlineStr">
        <is>
          <t>P2 - PEPPL</t>
        </is>
      </c>
      <c r="U364" s="6" t="inlineStr">
        <is>
          <t>N JB Cold Soldering</t>
        </is>
      </c>
      <c r="V364" s="6" t="inlineStr">
        <is>
          <t>Soldering</t>
        </is>
      </c>
      <c r="W364" s="1" t="inlineStr">
        <is>
          <t>Repair</t>
        </is>
      </c>
      <c r="X364" s="5" t="n">
        <v>46176</v>
      </c>
      <c r="Y364" s="1">
        <f>IF(X364="","",X364-A364)</f>
        <v/>
      </c>
      <c r="Z364" s="5" t="n">
        <v>46176</v>
      </c>
      <c r="AA364" s="3" t="n"/>
      <c r="AB364" s="3" t="n"/>
      <c r="AE364" s="146">
        <f>IF(AND(F364="Closed",X364&gt;=DATE(2026,6,1),X364&lt;=DATE(2026,6,30)),"Closed in June","other")</f>
        <v/>
      </c>
    </row>
    <row r="365" hidden="1">
      <c r="A365" s="9" t="n">
        <v>46148</v>
      </c>
      <c r="B365" s="1" t="n">
        <v>2026</v>
      </c>
      <c r="C365" s="8" t="inlineStr">
        <is>
          <t>Continuum</t>
        </is>
      </c>
      <c r="D365" s="1" t="inlineStr">
        <is>
          <t>Utility and C&amp;I</t>
        </is>
      </c>
      <c r="E365" s="1" t="n"/>
      <c r="F365" s="1" t="inlineStr">
        <is>
          <t>Closed</t>
        </is>
      </c>
      <c r="G365" s="8" t="inlineStr">
        <is>
          <t>Amiya Ranjan Behera</t>
        </is>
      </c>
      <c r="H365" s="8" t="n">
        <v>8917436223</v>
      </c>
      <c r="I365" s="10" t="inlineStr">
        <is>
          <t>PE06052602</t>
        </is>
      </c>
      <c r="J365" s="8" t="inlineStr">
        <is>
          <t>Diode Bypass Module Issue</t>
        </is>
      </c>
      <c r="K365" s="8" t="inlineStr">
        <is>
          <t>Bhavnagar</t>
        </is>
      </c>
      <c r="L365" s="8" t="inlineStr">
        <is>
          <t>Gujarat</t>
        </is>
      </c>
      <c r="M365" s="2" t="inlineStr">
        <is>
          <t xml:space="preserve">OK </t>
        </is>
      </c>
      <c r="N365" s="2" t="inlineStr">
        <is>
          <t>No Issue Found</t>
        </is>
      </c>
      <c r="O365" s="11" t="n">
        <v>540</v>
      </c>
      <c r="P365" s="2" t="inlineStr">
        <is>
          <t>NSMP2305190010</t>
        </is>
      </c>
      <c r="Q365" s="14">
        <f>MID(P365,5,2)</f>
        <v/>
      </c>
      <c r="R365" s="14">
        <f>MID(P365,7,2)</f>
        <v/>
      </c>
      <c r="S365" s="1" t="inlineStr">
        <is>
          <t>G2B</t>
        </is>
      </c>
      <c r="T365" s="1" t="inlineStr">
        <is>
          <t>P2 - PEPPL</t>
        </is>
      </c>
      <c r="U365" s="6" t="inlineStr">
        <is>
          <t>No Issue Found</t>
        </is>
      </c>
      <c r="V365" s="6" t="inlineStr">
        <is>
          <t>Inspection</t>
        </is>
      </c>
      <c r="W365" s="1" t="inlineStr">
        <is>
          <t>Rejected</t>
        </is>
      </c>
      <c r="X365" s="5" t="n">
        <v>46176</v>
      </c>
      <c r="Y365" s="1">
        <f>IF(X365="","",X365-A365)</f>
        <v/>
      </c>
      <c r="Z365" s="5" t="n">
        <v>46176</v>
      </c>
      <c r="AA365" s="3" t="n"/>
      <c r="AB365" s="3" t="n"/>
      <c r="AE365" s="146">
        <f>IF(AND(F365="Closed",X365&gt;=DATE(2026,6,1),X365&lt;=DATE(2026,6,30)),"Closed in June","other")</f>
        <v/>
      </c>
    </row>
    <row r="366" hidden="1">
      <c r="A366" s="9" t="n">
        <v>46148</v>
      </c>
      <c r="B366" s="1" t="n">
        <v>2026</v>
      </c>
      <c r="C366" s="8" t="inlineStr">
        <is>
          <t>Continuum</t>
        </is>
      </c>
      <c r="D366" s="1" t="inlineStr">
        <is>
          <t>Utility and C&amp;I</t>
        </is>
      </c>
      <c r="E366" s="1" t="n"/>
      <c r="F366" s="1" t="inlineStr">
        <is>
          <t>Closed</t>
        </is>
      </c>
      <c r="G366" s="8" t="inlineStr">
        <is>
          <t>Amiya Ranjan Behera</t>
        </is>
      </c>
      <c r="H366" s="8" t="n">
        <v>8917436223</v>
      </c>
      <c r="I366" s="10" t="inlineStr">
        <is>
          <t>PE06052602</t>
        </is>
      </c>
      <c r="J366" s="8" t="inlineStr">
        <is>
          <t>Diode Bypass Module Issue</t>
        </is>
      </c>
      <c r="K366" s="8" t="inlineStr">
        <is>
          <t>Bhavnagar</t>
        </is>
      </c>
      <c r="L366" s="8" t="inlineStr">
        <is>
          <t>Gujarat</t>
        </is>
      </c>
      <c r="M366" s="2" t="inlineStr">
        <is>
          <t>NS</t>
        </is>
      </c>
      <c r="N366" s="8" t="inlineStr">
        <is>
          <t>Cold Soldering</t>
        </is>
      </c>
      <c r="O366" s="11" t="n">
        <v>540</v>
      </c>
      <c r="P366" s="2" t="inlineStr">
        <is>
          <t>NSMP2305179107</t>
        </is>
      </c>
      <c r="Q366" s="14">
        <f>MID(P366,5,2)</f>
        <v/>
      </c>
      <c r="R366" s="14">
        <f>MID(P366,7,2)</f>
        <v/>
      </c>
      <c r="S366" s="1" t="inlineStr">
        <is>
          <t>G2B</t>
        </is>
      </c>
      <c r="T366" s="1" t="inlineStr">
        <is>
          <t>P2 - PEPPL</t>
        </is>
      </c>
      <c r="U366" s="6" t="inlineStr">
        <is>
          <t>N JB Cold Soldering</t>
        </is>
      </c>
      <c r="V366" s="6" t="inlineStr">
        <is>
          <t>Soldering</t>
        </is>
      </c>
      <c r="W366" s="1" t="inlineStr">
        <is>
          <t>Repair</t>
        </is>
      </c>
      <c r="X366" s="5" t="n">
        <v>46176</v>
      </c>
      <c r="Y366" s="1">
        <f>IF(X366="","",X366-A366)</f>
        <v/>
      </c>
      <c r="Z366" s="5" t="n">
        <v>46176</v>
      </c>
      <c r="AA366" s="3" t="n"/>
      <c r="AB366" s="3" t="n"/>
      <c r="AE366" s="146">
        <f>IF(AND(F366="Closed",X366&gt;=DATE(2026,6,1),X366&lt;=DATE(2026,6,30)),"Closed in June","other")</f>
        <v/>
      </c>
    </row>
    <row r="367" hidden="1">
      <c r="A367" s="9" t="n">
        <v>46148</v>
      </c>
      <c r="B367" s="1" t="n">
        <v>2026</v>
      </c>
      <c r="C367" s="8" t="inlineStr">
        <is>
          <t>Continuum</t>
        </is>
      </c>
      <c r="D367" s="1" t="inlineStr">
        <is>
          <t>Utility and C&amp;I</t>
        </is>
      </c>
      <c r="E367" s="1" t="n"/>
      <c r="F367" s="1" t="inlineStr">
        <is>
          <t>Closed</t>
        </is>
      </c>
      <c r="G367" s="8" t="inlineStr">
        <is>
          <t>Amiya Ranjan Behera</t>
        </is>
      </c>
      <c r="H367" s="8" t="n">
        <v>8917436223</v>
      </c>
      <c r="I367" s="10" t="inlineStr">
        <is>
          <t>PE06052602</t>
        </is>
      </c>
      <c r="J367" s="8" t="inlineStr">
        <is>
          <t>Diode Bypass Module Issue</t>
        </is>
      </c>
      <c r="K367" s="8" t="inlineStr">
        <is>
          <t>Bhavnagar</t>
        </is>
      </c>
      <c r="L367" s="8" t="inlineStr">
        <is>
          <t>Gujarat</t>
        </is>
      </c>
      <c r="M367" s="2" t="inlineStr">
        <is>
          <t xml:space="preserve">OK </t>
        </is>
      </c>
      <c r="N367" s="2" t="inlineStr">
        <is>
          <t>No Issue Found</t>
        </is>
      </c>
      <c r="O367" s="11" t="n">
        <v>540</v>
      </c>
      <c r="P367" s="2" t="inlineStr">
        <is>
          <t>NSMP2305182987</t>
        </is>
      </c>
      <c r="Q367" s="14">
        <f>MID(P367,5,2)</f>
        <v/>
      </c>
      <c r="R367" s="14">
        <f>MID(P367,7,2)</f>
        <v/>
      </c>
      <c r="S367" s="1" t="inlineStr">
        <is>
          <t>G2B</t>
        </is>
      </c>
      <c r="T367" s="1" t="inlineStr">
        <is>
          <t>P2 - PEPPL</t>
        </is>
      </c>
      <c r="U367" s="6" t="inlineStr">
        <is>
          <t>No Issue Found</t>
        </is>
      </c>
      <c r="V367" s="6" t="inlineStr">
        <is>
          <t>Inspection</t>
        </is>
      </c>
      <c r="W367" s="1" t="inlineStr">
        <is>
          <t>Rejected</t>
        </is>
      </c>
      <c r="X367" s="5" t="n">
        <v>46176</v>
      </c>
      <c r="Y367" s="1">
        <f>IF(X367="","",X367-A367)</f>
        <v/>
      </c>
      <c r="Z367" s="5" t="n">
        <v>46176</v>
      </c>
      <c r="AA367" s="3" t="n"/>
      <c r="AB367" s="3" t="n"/>
      <c r="AE367" s="146">
        <f>IF(AND(F367="Closed",X367&gt;=DATE(2026,6,1),X367&lt;=DATE(2026,6,30)),"Closed in June","other")</f>
        <v/>
      </c>
    </row>
    <row r="368" hidden="1">
      <c r="A368" s="9" t="n">
        <v>46148</v>
      </c>
      <c r="B368" s="1" t="n">
        <v>2026</v>
      </c>
      <c r="C368" s="8" t="inlineStr">
        <is>
          <t>Continuum</t>
        </is>
      </c>
      <c r="D368" s="1" t="inlineStr">
        <is>
          <t>Utility and C&amp;I</t>
        </is>
      </c>
      <c r="E368" s="1" t="n"/>
      <c r="F368" s="1" t="inlineStr">
        <is>
          <t>Closed</t>
        </is>
      </c>
      <c r="G368" s="8" t="inlineStr">
        <is>
          <t>Amiya Ranjan Behera</t>
        </is>
      </c>
      <c r="H368" s="8" t="n">
        <v>8917436223</v>
      </c>
      <c r="I368" s="10" t="inlineStr">
        <is>
          <t>PE06052602</t>
        </is>
      </c>
      <c r="J368" s="8" t="inlineStr">
        <is>
          <t>Diode Bypass Module Issue</t>
        </is>
      </c>
      <c r="K368" s="8" t="inlineStr">
        <is>
          <t>Bhavnagar</t>
        </is>
      </c>
      <c r="L368" s="8" t="inlineStr">
        <is>
          <t>Gujarat</t>
        </is>
      </c>
      <c r="M368" s="2" t="inlineStr">
        <is>
          <t>PS</t>
        </is>
      </c>
      <c r="N368" s="1" t="inlineStr">
        <is>
          <t>Cold Soldering</t>
        </is>
      </c>
      <c r="O368" s="11" t="n">
        <v>540</v>
      </c>
      <c r="P368" s="2" t="inlineStr">
        <is>
          <t>NSMP2305204938</t>
        </is>
      </c>
      <c r="Q368" s="14">
        <f>MID(P368,5,2)</f>
        <v/>
      </c>
      <c r="R368" s="14">
        <f>MID(P368,7,2)</f>
        <v/>
      </c>
      <c r="S368" s="1" t="inlineStr">
        <is>
          <t>G2B</t>
        </is>
      </c>
      <c r="T368" s="1" t="inlineStr">
        <is>
          <t>P2 - PEPPL</t>
        </is>
      </c>
      <c r="U368" s="1" t="inlineStr">
        <is>
          <t>P JB Cold Soldering</t>
        </is>
      </c>
      <c r="V368" s="1" t="inlineStr">
        <is>
          <t>Soldering</t>
        </is>
      </c>
      <c r="W368" s="1" t="inlineStr">
        <is>
          <t>Repair</t>
        </is>
      </c>
      <c r="X368" s="5" t="n">
        <v>46176</v>
      </c>
      <c r="Y368" s="1">
        <f>IF(X368="","",X368-A368)</f>
        <v/>
      </c>
      <c r="Z368" s="5" t="n">
        <v>46176</v>
      </c>
      <c r="AA368" s="3" t="n"/>
      <c r="AB368" s="3" t="n"/>
      <c r="AE368" s="146">
        <f>IF(AND(F368="Closed",X368&gt;=DATE(2026,6,1),X368&lt;=DATE(2026,6,30)),"Closed in June","other")</f>
        <v/>
      </c>
    </row>
    <row r="369" hidden="1">
      <c r="A369" s="9" t="n">
        <v>46148</v>
      </c>
      <c r="B369" s="1" t="n">
        <v>2026</v>
      </c>
      <c r="C369" s="8" t="inlineStr">
        <is>
          <t>Continuum</t>
        </is>
      </c>
      <c r="D369" s="1" t="inlineStr">
        <is>
          <t>Utility and C&amp;I</t>
        </is>
      </c>
      <c r="E369" s="1" t="n"/>
      <c r="F369" s="1" t="inlineStr">
        <is>
          <t>Closed</t>
        </is>
      </c>
      <c r="G369" s="8" t="inlineStr">
        <is>
          <t>Amiya Ranjan Behera</t>
        </is>
      </c>
      <c r="H369" s="8" t="n">
        <v>8917436223</v>
      </c>
      <c r="I369" s="10" t="inlineStr">
        <is>
          <t>PE06052602</t>
        </is>
      </c>
      <c r="J369" s="8" t="inlineStr">
        <is>
          <t>Diode Bypass Module Issue</t>
        </is>
      </c>
      <c r="K369" s="8" t="inlineStr">
        <is>
          <t>Bhavnagar</t>
        </is>
      </c>
      <c r="L369" s="8" t="inlineStr">
        <is>
          <t>Gujarat</t>
        </is>
      </c>
      <c r="M369" s="2" t="inlineStr">
        <is>
          <t>PS</t>
        </is>
      </c>
      <c r="N369" s="1" t="inlineStr">
        <is>
          <t>Cold Soldering</t>
        </is>
      </c>
      <c r="O369" s="11" t="n">
        <v>540</v>
      </c>
      <c r="P369" s="2" t="inlineStr">
        <is>
          <t>NSMP2305188907</t>
        </is>
      </c>
      <c r="Q369" s="14">
        <f>MID(P369,5,2)</f>
        <v/>
      </c>
      <c r="R369" s="14">
        <f>MID(P369,7,2)</f>
        <v/>
      </c>
      <c r="S369" s="1" t="inlineStr">
        <is>
          <t>G2B</t>
        </is>
      </c>
      <c r="T369" s="1" t="inlineStr">
        <is>
          <t>P2 - PEPPL</t>
        </is>
      </c>
      <c r="U369" s="1" t="inlineStr">
        <is>
          <t>P JB Cold Soldering</t>
        </is>
      </c>
      <c r="V369" s="1" t="inlineStr">
        <is>
          <t>Soldering</t>
        </is>
      </c>
      <c r="W369" s="1" t="inlineStr">
        <is>
          <t>Repair</t>
        </is>
      </c>
      <c r="X369" s="5" t="n">
        <v>46176</v>
      </c>
      <c r="Y369" s="1">
        <f>IF(X369="","",X369-A369)</f>
        <v/>
      </c>
      <c r="Z369" s="5" t="n">
        <v>46176</v>
      </c>
      <c r="AA369" s="3" t="n"/>
      <c r="AB369" s="3" t="n"/>
      <c r="AE369" s="146">
        <f>IF(AND(F369="Closed",X369&gt;=DATE(2026,6,1),X369&lt;=DATE(2026,6,30)),"Closed in June","other")</f>
        <v/>
      </c>
    </row>
    <row r="370" hidden="1">
      <c r="A370" s="9" t="n">
        <v>46148</v>
      </c>
      <c r="B370" s="1" t="n">
        <v>2026</v>
      </c>
      <c r="C370" s="8" t="inlineStr">
        <is>
          <t>Continuum</t>
        </is>
      </c>
      <c r="D370" s="1" t="inlineStr">
        <is>
          <t>Utility and C&amp;I</t>
        </is>
      </c>
      <c r="E370" s="1" t="n"/>
      <c r="F370" s="1" t="inlineStr">
        <is>
          <t>Closed</t>
        </is>
      </c>
      <c r="G370" s="8" t="inlineStr">
        <is>
          <t>Amiya Ranjan Behera</t>
        </is>
      </c>
      <c r="H370" s="8" t="n">
        <v>8917436223</v>
      </c>
      <c r="I370" s="10" t="inlineStr">
        <is>
          <t>PE06052602</t>
        </is>
      </c>
      <c r="J370" s="8" t="inlineStr">
        <is>
          <t>Diode Bypass Module Issue</t>
        </is>
      </c>
      <c r="K370" s="8" t="inlineStr">
        <is>
          <t>Bhavnagar</t>
        </is>
      </c>
      <c r="L370" s="8" t="inlineStr">
        <is>
          <t>Gujarat</t>
        </is>
      </c>
      <c r="M370" s="2" t="inlineStr">
        <is>
          <t>PR</t>
        </is>
      </c>
      <c r="N370" s="1" t="inlineStr">
        <is>
          <t>JB Issue</t>
        </is>
      </c>
      <c r="O370" s="11" t="n">
        <v>540</v>
      </c>
      <c r="P370" s="2" t="inlineStr">
        <is>
          <t>NSMP2305188863</t>
        </is>
      </c>
      <c r="Q370" s="14">
        <f>MID(P370,5,2)</f>
        <v/>
      </c>
      <c r="R370" s="14">
        <f>MID(P370,7,2)</f>
        <v/>
      </c>
      <c r="S370" s="1" t="inlineStr">
        <is>
          <t>G2B</t>
        </is>
      </c>
      <c r="T370" s="1" t="inlineStr">
        <is>
          <t>P2 - PEPPL</t>
        </is>
      </c>
      <c r="U370" s="1" t="inlineStr">
        <is>
          <t>P JB Issue</t>
        </is>
      </c>
      <c r="V370" s="3" t="inlineStr">
        <is>
          <t>JB Changed</t>
        </is>
      </c>
      <c r="W370" s="1" t="inlineStr">
        <is>
          <t>Repair</t>
        </is>
      </c>
      <c r="X370" s="5" t="n">
        <v>46176</v>
      </c>
      <c r="Y370" s="1">
        <f>IF(X370="","",X370-A370)</f>
        <v/>
      </c>
      <c r="Z370" s="5" t="n">
        <v>46176</v>
      </c>
      <c r="AA370" s="3" t="n"/>
      <c r="AB370" s="3" t="n"/>
      <c r="AE370" s="146">
        <f>IF(AND(F370="Closed",X370&gt;=DATE(2026,6,1),X370&lt;=DATE(2026,6,30)),"Closed in June","other")</f>
        <v/>
      </c>
    </row>
    <row r="371" hidden="1">
      <c r="A371" s="9" t="n">
        <v>46148</v>
      </c>
      <c r="B371" s="1" t="n">
        <v>2026</v>
      </c>
      <c r="C371" s="8" t="inlineStr">
        <is>
          <t>Continuum</t>
        </is>
      </c>
      <c r="D371" s="1" t="inlineStr">
        <is>
          <t>Utility and C&amp;I</t>
        </is>
      </c>
      <c r="E371" s="1" t="n"/>
      <c r="F371" s="1" t="inlineStr">
        <is>
          <t>Closed</t>
        </is>
      </c>
      <c r="G371" s="8" t="inlineStr">
        <is>
          <t>Amiya Ranjan Behera</t>
        </is>
      </c>
      <c r="H371" s="8" t="n">
        <v>8917436223</v>
      </c>
      <c r="I371" s="10" t="inlineStr">
        <is>
          <t>PE06052602</t>
        </is>
      </c>
      <c r="J371" s="8" t="inlineStr">
        <is>
          <t>Diode Bypass Module Issue</t>
        </is>
      </c>
      <c r="K371" s="8" t="inlineStr">
        <is>
          <t>Bhavnagar</t>
        </is>
      </c>
      <c r="L371" s="8" t="inlineStr">
        <is>
          <t>Gujarat</t>
        </is>
      </c>
      <c r="M371" s="2" t="inlineStr">
        <is>
          <t>PR</t>
        </is>
      </c>
      <c r="N371" s="1" t="inlineStr">
        <is>
          <t>JB Issue</t>
        </is>
      </c>
      <c r="O371" s="11" t="n">
        <v>540</v>
      </c>
      <c r="P371" s="2" t="inlineStr">
        <is>
          <t>NSMP2305188933</t>
        </is>
      </c>
      <c r="Q371" s="14">
        <f>MID(P371,5,2)</f>
        <v/>
      </c>
      <c r="R371" s="14">
        <f>MID(P371,7,2)</f>
        <v/>
      </c>
      <c r="S371" s="1" t="inlineStr">
        <is>
          <t>G2B</t>
        </is>
      </c>
      <c r="T371" s="1" t="inlineStr">
        <is>
          <t>P2 - PEPPL</t>
        </is>
      </c>
      <c r="U371" s="1" t="inlineStr">
        <is>
          <t>P JB Issue</t>
        </is>
      </c>
      <c r="V371" s="3" t="inlineStr">
        <is>
          <t>JB Changed</t>
        </is>
      </c>
      <c r="W371" s="1" t="inlineStr">
        <is>
          <t>Repair</t>
        </is>
      </c>
      <c r="X371" s="5" t="n">
        <v>46176</v>
      </c>
      <c r="Y371" s="1">
        <f>IF(X371="","",X371-A371)</f>
        <v/>
      </c>
      <c r="Z371" s="5" t="n">
        <v>46176</v>
      </c>
      <c r="AA371" s="3" t="n"/>
      <c r="AB371" s="3" t="n"/>
      <c r="AE371" s="146">
        <f>IF(AND(F371="Closed",X371&gt;=DATE(2026,6,1),X371&lt;=DATE(2026,6,30)),"Closed in June","other")</f>
        <v/>
      </c>
    </row>
    <row r="372" hidden="1">
      <c r="A372" s="9" t="n">
        <v>46148</v>
      </c>
      <c r="B372" s="1" t="n">
        <v>2026</v>
      </c>
      <c r="C372" s="8" t="inlineStr">
        <is>
          <t>Continuum</t>
        </is>
      </c>
      <c r="D372" s="1" t="inlineStr">
        <is>
          <t>Utility and C&amp;I</t>
        </is>
      </c>
      <c r="E372" s="1" t="n"/>
      <c r="F372" s="1" t="inlineStr">
        <is>
          <t>Closed</t>
        </is>
      </c>
      <c r="G372" s="8" t="inlineStr">
        <is>
          <t>Amiya Ranjan Behera</t>
        </is>
      </c>
      <c r="H372" s="8" t="n">
        <v>8917436223</v>
      </c>
      <c r="I372" s="10" t="inlineStr">
        <is>
          <t>PE06052602</t>
        </is>
      </c>
      <c r="J372" s="8" t="inlineStr">
        <is>
          <t>Diode Bypass Module Issue</t>
        </is>
      </c>
      <c r="K372" s="8" t="inlineStr">
        <is>
          <t>Bhavnagar</t>
        </is>
      </c>
      <c r="L372" s="8" t="inlineStr">
        <is>
          <t>Gujarat</t>
        </is>
      </c>
      <c r="M372" s="2" t="inlineStr">
        <is>
          <t>NS</t>
        </is>
      </c>
      <c r="N372" s="8" t="inlineStr">
        <is>
          <t>Cold Soldering</t>
        </is>
      </c>
      <c r="O372" s="11" t="n">
        <v>540</v>
      </c>
      <c r="P372" s="2" t="inlineStr">
        <is>
          <t>NSMP2305193208</t>
        </is>
      </c>
      <c r="Q372" s="14">
        <f>MID(P372,5,2)</f>
        <v/>
      </c>
      <c r="R372" s="14">
        <f>MID(P372,7,2)</f>
        <v/>
      </c>
      <c r="S372" s="1" t="inlineStr">
        <is>
          <t>G2B</t>
        </is>
      </c>
      <c r="T372" s="1" t="inlineStr">
        <is>
          <t>P2 - PEPPL</t>
        </is>
      </c>
      <c r="U372" s="6" t="inlineStr">
        <is>
          <t>N JB Cold Soldering</t>
        </is>
      </c>
      <c r="V372" s="6" t="inlineStr">
        <is>
          <t>Soldering</t>
        </is>
      </c>
      <c r="W372" s="1" t="inlineStr">
        <is>
          <t>Repair</t>
        </is>
      </c>
      <c r="X372" s="5" t="n">
        <v>46176</v>
      </c>
      <c r="Y372" s="1">
        <f>IF(X372="","",X372-A372)</f>
        <v/>
      </c>
      <c r="Z372" s="5" t="n">
        <v>46176</v>
      </c>
      <c r="AA372" s="3" t="n"/>
      <c r="AB372" s="3" t="n"/>
      <c r="AE372" s="146">
        <f>IF(AND(F372="Closed",X372&gt;=DATE(2026,6,1),X372&lt;=DATE(2026,6,30)),"Closed in June","other")</f>
        <v/>
      </c>
    </row>
    <row r="373" hidden="1">
      <c r="A373" s="9" t="n">
        <v>46148</v>
      </c>
      <c r="B373" s="1" t="n">
        <v>2026</v>
      </c>
      <c r="C373" s="8" t="inlineStr">
        <is>
          <t>Continuum</t>
        </is>
      </c>
      <c r="D373" s="1" t="inlineStr">
        <is>
          <t>Utility and C&amp;I</t>
        </is>
      </c>
      <c r="E373" s="1" t="n"/>
      <c r="F373" s="1" t="inlineStr">
        <is>
          <t>Closed</t>
        </is>
      </c>
      <c r="G373" s="8" t="inlineStr">
        <is>
          <t>Amiya Ranjan Behera</t>
        </is>
      </c>
      <c r="H373" s="8" t="n">
        <v>8917436223</v>
      </c>
      <c r="I373" s="10" t="inlineStr">
        <is>
          <t>PE06052602</t>
        </is>
      </c>
      <c r="J373" s="8" t="inlineStr">
        <is>
          <t>Diode Bypass Module Issue</t>
        </is>
      </c>
      <c r="K373" s="8" t="inlineStr">
        <is>
          <t>Bhavnagar</t>
        </is>
      </c>
      <c r="L373" s="8" t="inlineStr">
        <is>
          <t>Gujarat</t>
        </is>
      </c>
      <c r="M373" s="2" t="inlineStr">
        <is>
          <t>PS</t>
        </is>
      </c>
      <c r="N373" s="1" t="inlineStr">
        <is>
          <t>Cold Soldering</t>
        </is>
      </c>
      <c r="O373" s="11" t="n">
        <v>540</v>
      </c>
      <c r="P373" s="2" t="inlineStr">
        <is>
          <t>NSMP2305193760</t>
        </is>
      </c>
      <c r="Q373" s="14">
        <f>MID(P373,5,2)</f>
        <v/>
      </c>
      <c r="R373" s="14">
        <f>MID(P373,7,2)</f>
        <v/>
      </c>
      <c r="S373" s="1" t="inlineStr">
        <is>
          <t>G2B</t>
        </is>
      </c>
      <c r="T373" s="1" t="inlineStr">
        <is>
          <t>P2 - PEPPL</t>
        </is>
      </c>
      <c r="U373" s="1" t="inlineStr">
        <is>
          <t>P JB Cold Soldering</t>
        </is>
      </c>
      <c r="V373" s="1" t="inlineStr">
        <is>
          <t>Soldering</t>
        </is>
      </c>
      <c r="W373" s="1" t="inlineStr">
        <is>
          <t>Repair</t>
        </is>
      </c>
      <c r="X373" s="5" t="n">
        <v>46176</v>
      </c>
      <c r="Y373" s="1">
        <f>IF(X373="","",X373-A373)</f>
        <v/>
      </c>
      <c r="Z373" s="5" t="n">
        <v>46176</v>
      </c>
      <c r="AA373" s="3" t="n"/>
      <c r="AB373" s="3" t="n"/>
      <c r="AE373" s="146">
        <f>IF(AND(F373="Closed",X373&gt;=DATE(2026,6,1),X373&lt;=DATE(2026,6,30)),"Closed in June","other")</f>
        <v/>
      </c>
    </row>
    <row r="374" hidden="1">
      <c r="A374" s="9" t="n">
        <v>46148</v>
      </c>
      <c r="B374" s="1" t="n">
        <v>2026</v>
      </c>
      <c r="C374" s="8" t="inlineStr">
        <is>
          <t>Continuum</t>
        </is>
      </c>
      <c r="D374" s="1" t="inlineStr">
        <is>
          <t>Utility and C&amp;I</t>
        </is>
      </c>
      <c r="E374" s="1" t="n"/>
      <c r="F374" s="1" t="inlineStr">
        <is>
          <t>Closed</t>
        </is>
      </c>
      <c r="G374" s="8" t="inlineStr">
        <is>
          <t>Amiya Ranjan Behera</t>
        </is>
      </c>
      <c r="H374" s="8" t="n">
        <v>8917436223</v>
      </c>
      <c r="I374" s="10" t="inlineStr">
        <is>
          <t>PE06052602</t>
        </is>
      </c>
      <c r="J374" s="8" t="inlineStr">
        <is>
          <t>Diode Bypass Module Issue</t>
        </is>
      </c>
      <c r="K374" s="8" t="inlineStr">
        <is>
          <t>Bhavnagar</t>
        </is>
      </c>
      <c r="L374" s="8" t="inlineStr">
        <is>
          <t>Gujarat</t>
        </is>
      </c>
      <c r="M374" s="2" t="inlineStr">
        <is>
          <t>PS</t>
        </is>
      </c>
      <c r="N374" s="1" t="inlineStr">
        <is>
          <t>Cold Soldering</t>
        </is>
      </c>
      <c r="O374" s="11" t="n">
        <v>540</v>
      </c>
      <c r="P374" s="2" t="inlineStr">
        <is>
          <t>NSMP2305188937</t>
        </is>
      </c>
      <c r="Q374" s="14">
        <f>MID(P374,5,2)</f>
        <v/>
      </c>
      <c r="R374" s="14">
        <f>MID(P374,7,2)</f>
        <v/>
      </c>
      <c r="S374" s="1" t="inlineStr">
        <is>
          <t>G2B</t>
        </is>
      </c>
      <c r="T374" s="1" t="inlineStr">
        <is>
          <t>P2 - PEPPL</t>
        </is>
      </c>
      <c r="U374" s="1" t="inlineStr">
        <is>
          <t>P JB Cold Soldering</t>
        </is>
      </c>
      <c r="V374" s="1" t="inlineStr">
        <is>
          <t>Soldering</t>
        </is>
      </c>
      <c r="W374" s="1" t="inlineStr">
        <is>
          <t>Repair</t>
        </is>
      </c>
      <c r="X374" s="5" t="n">
        <v>46176</v>
      </c>
      <c r="Y374" s="1">
        <f>IF(X374="","",X374-A374)</f>
        <v/>
      </c>
      <c r="Z374" s="5" t="n">
        <v>46176</v>
      </c>
      <c r="AA374" s="3" t="n"/>
      <c r="AB374" s="3" t="n"/>
      <c r="AE374" s="146">
        <f>IF(AND(F374="Closed",X374&gt;=DATE(2026,6,1),X374&lt;=DATE(2026,6,30)),"Closed in June","other")</f>
        <v/>
      </c>
    </row>
    <row r="375" hidden="1">
      <c r="A375" s="9" t="n">
        <v>46148</v>
      </c>
      <c r="B375" s="1" t="n">
        <v>2026</v>
      </c>
      <c r="C375" s="8" t="inlineStr">
        <is>
          <t>Continuum</t>
        </is>
      </c>
      <c r="D375" s="1" t="inlineStr">
        <is>
          <t>Utility and C&amp;I</t>
        </is>
      </c>
      <c r="E375" s="1" t="n"/>
      <c r="F375" s="1" t="inlineStr">
        <is>
          <t>Closed</t>
        </is>
      </c>
      <c r="G375" s="8" t="inlineStr">
        <is>
          <t>Amiya Ranjan Behera</t>
        </is>
      </c>
      <c r="H375" s="8" t="n">
        <v>8917436223</v>
      </c>
      <c r="I375" s="10" t="inlineStr">
        <is>
          <t>PE06052602</t>
        </is>
      </c>
      <c r="J375" s="8" t="inlineStr">
        <is>
          <t>Diode Bypass Module Issue</t>
        </is>
      </c>
      <c r="K375" s="8" t="inlineStr">
        <is>
          <t>Bhavnagar</t>
        </is>
      </c>
      <c r="L375" s="8" t="inlineStr">
        <is>
          <t>Gujarat</t>
        </is>
      </c>
      <c r="M375" s="2" t="inlineStr">
        <is>
          <t>PS</t>
        </is>
      </c>
      <c r="N375" s="1" t="inlineStr">
        <is>
          <t>Cold Soldering</t>
        </is>
      </c>
      <c r="O375" s="11" t="n">
        <v>540</v>
      </c>
      <c r="P375" s="2" t="inlineStr">
        <is>
          <t>NSMP2305188925</t>
        </is>
      </c>
      <c r="Q375" s="14">
        <f>MID(P375,5,2)</f>
        <v/>
      </c>
      <c r="R375" s="14">
        <f>MID(P375,7,2)</f>
        <v/>
      </c>
      <c r="S375" s="1" t="inlineStr">
        <is>
          <t>G2B</t>
        </is>
      </c>
      <c r="T375" s="1" t="inlineStr">
        <is>
          <t>P2 - PEPPL</t>
        </is>
      </c>
      <c r="U375" s="1" t="inlineStr">
        <is>
          <t>P JB Cold Soldering</t>
        </is>
      </c>
      <c r="V375" s="1" t="inlineStr">
        <is>
          <t>Soldering</t>
        </is>
      </c>
      <c r="W375" s="1" t="inlineStr">
        <is>
          <t>Repair</t>
        </is>
      </c>
      <c r="X375" s="5" t="n">
        <v>46176</v>
      </c>
      <c r="Y375" s="1">
        <f>IF(X375="","",X375-A375)</f>
        <v/>
      </c>
      <c r="Z375" s="5" t="n">
        <v>46176</v>
      </c>
      <c r="AA375" s="3" t="n"/>
      <c r="AB375" s="3" t="n"/>
      <c r="AE375" s="146">
        <f>IF(AND(F375="Closed",X375&gt;=DATE(2026,6,1),X375&lt;=DATE(2026,6,30)),"Closed in June","other")</f>
        <v/>
      </c>
    </row>
    <row r="376" hidden="1">
      <c r="A376" s="9" t="n">
        <v>46148</v>
      </c>
      <c r="B376" s="1" t="n">
        <v>2026</v>
      </c>
      <c r="C376" s="8" t="inlineStr">
        <is>
          <t>Continuum</t>
        </is>
      </c>
      <c r="D376" s="1" t="inlineStr">
        <is>
          <t>Utility and C&amp;I</t>
        </is>
      </c>
      <c r="E376" s="1" t="n"/>
      <c r="F376" s="1" t="inlineStr">
        <is>
          <t>Closed</t>
        </is>
      </c>
      <c r="G376" s="8" t="inlineStr">
        <is>
          <t>Amiya Ranjan Behera</t>
        </is>
      </c>
      <c r="H376" s="8" t="n">
        <v>8917436223</v>
      </c>
      <c r="I376" s="10" t="inlineStr">
        <is>
          <t>PE06052602</t>
        </is>
      </c>
      <c r="J376" s="8" t="inlineStr">
        <is>
          <t>Diode Bypass Module Issue</t>
        </is>
      </c>
      <c r="K376" s="8" t="inlineStr">
        <is>
          <t>Bhavnagar</t>
        </is>
      </c>
      <c r="L376" s="8" t="inlineStr">
        <is>
          <t>Gujarat</t>
        </is>
      </c>
      <c r="M376" s="2" t="inlineStr">
        <is>
          <t>PS</t>
        </is>
      </c>
      <c r="N376" s="1" t="inlineStr">
        <is>
          <t>Cold Soldering</t>
        </is>
      </c>
      <c r="O376" s="11" t="n">
        <v>540</v>
      </c>
      <c r="P376" s="2" t="inlineStr">
        <is>
          <t>NSMP2305188749</t>
        </is>
      </c>
      <c r="Q376" s="14">
        <f>MID(P376,5,2)</f>
        <v/>
      </c>
      <c r="R376" s="14">
        <f>MID(P376,7,2)</f>
        <v/>
      </c>
      <c r="S376" s="1" t="inlineStr">
        <is>
          <t>G2B</t>
        </is>
      </c>
      <c r="T376" s="1" t="inlineStr">
        <is>
          <t>P2 - PEPPL</t>
        </is>
      </c>
      <c r="U376" s="1" t="inlineStr">
        <is>
          <t>P JB Cold Soldering</t>
        </is>
      </c>
      <c r="V376" s="1" t="inlineStr">
        <is>
          <t>Soldering</t>
        </is>
      </c>
      <c r="W376" s="1" t="inlineStr">
        <is>
          <t>Repair</t>
        </is>
      </c>
      <c r="X376" s="5" t="n">
        <v>46176</v>
      </c>
      <c r="Y376" s="1">
        <f>IF(X376="","",X376-A376)</f>
        <v/>
      </c>
      <c r="Z376" s="5" t="n">
        <v>46176</v>
      </c>
      <c r="AA376" s="3" t="n"/>
      <c r="AB376" s="3" t="n"/>
      <c r="AE376" s="146">
        <f>IF(AND(F376="Closed",X376&gt;=DATE(2026,6,1),X376&lt;=DATE(2026,6,30)),"Closed in June","other")</f>
        <v/>
      </c>
    </row>
    <row r="377" hidden="1">
      <c r="A377" s="9" t="n">
        <v>46148</v>
      </c>
      <c r="B377" s="1" t="n">
        <v>2026</v>
      </c>
      <c r="C377" s="8" t="inlineStr">
        <is>
          <t>Continuum</t>
        </is>
      </c>
      <c r="D377" s="1" t="inlineStr">
        <is>
          <t>Utility and C&amp;I</t>
        </is>
      </c>
      <c r="E377" s="1" t="n"/>
      <c r="F377" s="1" t="inlineStr">
        <is>
          <t>Closed</t>
        </is>
      </c>
      <c r="G377" s="8" t="inlineStr">
        <is>
          <t>Amiya Ranjan Behera</t>
        </is>
      </c>
      <c r="H377" s="8" t="n">
        <v>8917436223</v>
      </c>
      <c r="I377" s="10" t="inlineStr">
        <is>
          <t>PE06052602</t>
        </is>
      </c>
      <c r="J377" s="8" t="inlineStr">
        <is>
          <t>Diode Bypass Module Issue</t>
        </is>
      </c>
      <c r="K377" s="8" t="inlineStr">
        <is>
          <t>Bhavnagar</t>
        </is>
      </c>
      <c r="L377" s="8" t="inlineStr">
        <is>
          <t>Gujarat</t>
        </is>
      </c>
      <c r="M377" s="2" t="inlineStr">
        <is>
          <t>PS</t>
        </is>
      </c>
      <c r="N377" s="1" t="inlineStr">
        <is>
          <t>Cold Soldering</t>
        </is>
      </c>
      <c r="O377" s="11" t="n">
        <v>540</v>
      </c>
      <c r="P377" s="2" t="inlineStr">
        <is>
          <t>NSMP2305188938</t>
        </is>
      </c>
      <c r="Q377" s="14">
        <f>MID(P377,5,2)</f>
        <v/>
      </c>
      <c r="R377" s="14">
        <f>MID(P377,7,2)</f>
        <v/>
      </c>
      <c r="S377" s="1" t="inlineStr">
        <is>
          <t>G2B</t>
        </is>
      </c>
      <c r="T377" s="1" t="inlineStr">
        <is>
          <t>P2 - PEPPL</t>
        </is>
      </c>
      <c r="U377" s="1" t="inlineStr">
        <is>
          <t>P JB Cold Soldering</t>
        </is>
      </c>
      <c r="V377" s="1" t="inlineStr">
        <is>
          <t>Soldering</t>
        </is>
      </c>
      <c r="W377" s="1" t="inlineStr">
        <is>
          <t>Repair</t>
        </is>
      </c>
      <c r="X377" s="5" t="n">
        <v>46176</v>
      </c>
      <c r="Y377" s="1">
        <f>IF(X377="","",X377-A377)</f>
        <v/>
      </c>
      <c r="Z377" s="5" t="n">
        <v>46176</v>
      </c>
      <c r="AA377" s="3" t="n"/>
      <c r="AB377" s="3" t="n"/>
      <c r="AE377" s="146">
        <f>IF(AND(F377="Closed",X377&gt;=DATE(2026,6,1),X377&lt;=DATE(2026,6,30)),"Closed in June","other")</f>
        <v/>
      </c>
    </row>
    <row r="378" hidden="1">
      <c r="A378" s="9" t="n">
        <v>46148</v>
      </c>
      <c r="B378" s="1" t="n">
        <v>2026</v>
      </c>
      <c r="C378" s="8" t="inlineStr">
        <is>
          <t>Continuum</t>
        </is>
      </c>
      <c r="D378" s="1" t="inlineStr">
        <is>
          <t>Utility and C&amp;I</t>
        </is>
      </c>
      <c r="E378" s="1" t="n"/>
      <c r="F378" s="1" t="inlineStr">
        <is>
          <t>Closed</t>
        </is>
      </c>
      <c r="G378" s="8" t="inlineStr">
        <is>
          <t>Amiya Ranjan Behera</t>
        </is>
      </c>
      <c r="H378" s="8" t="n">
        <v>8917436223</v>
      </c>
      <c r="I378" s="10" t="inlineStr">
        <is>
          <t>PE06052602</t>
        </is>
      </c>
      <c r="J378" s="8" t="inlineStr">
        <is>
          <t>Diode Bypass Module Issue</t>
        </is>
      </c>
      <c r="K378" s="8" t="inlineStr">
        <is>
          <t>Bhavnagar</t>
        </is>
      </c>
      <c r="L378" s="8" t="inlineStr">
        <is>
          <t>Gujarat</t>
        </is>
      </c>
      <c r="M378" s="2" t="inlineStr">
        <is>
          <t>PS</t>
        </is>
      </c>
      <c r="N378" s="1" t="inlineStr">
        <is>
          <t>Cold Soldering</t>
        </is>
      </c>
      <c r="O378" s="11" t="n">
        <v>540</v>
      </c>
      <c r="P378" s="2" t="inlineStr">
        <is>
          <t>NSMP2305189829</t>
        </is>
      </c>
      <c r="Q378" s="14">
        <f>MID(P378,5,2)</f>
        <v/>
      </c>
      <c r="R378" s="14">
        <f>MID(P378,7,2)</f>
        <v/>
      </c>
      <c r="S378" s="1" t="inlineStr">
        <is>
          <t>G2B</t>
        </is>
      </c>
      <c r="T378" s="1" t="inlineStr">
        <is>
          <t>P2 - PEPPL</t>
        </is>
      </c>
      <c r="U378" s="1" t="inlineStr">
        <is>
          <t>P JB Cold Soldering</t>
        </is>
      </c>
      <c r="V378" s="1" t="inlineStr">
        <is>
          <t>Soldering</t>
        </is>
      </c>
      <c r="W378" s="1" t="inlineStr">
        <is>
          <t>Repair</t>
        </is>
      </c>
      <c r="X378" s="5" t="n">
        <v>46176</v>
      </c>
      <c r="Y378" s="1">
        <f>IF(X378="","",X378-A378)</f>
        <v/>
      </c>
      <c r="Z378" s="5" t="n">
        <v>46176</v>
      </c>
      <c r="AA378" s="3" t="n"/>
      <c r="AB378" s="3" t="n"/>
      <c r="AE378" s="146">
        <f>IF(AND(F378="Closed",X378&gt;=DATE(2026,6,1),X378&lt;=DATE(2026,6,30)),"Closed in June","other")</f>
        <v/>
      </c>
    </row>
    <row r="379" hidden="1">
      <c r="A379" s="9" t="n">
        <v>46148</v>
      </c>
      <c r="B379" s="1" t="n">
        <v>2026</v>
      </c>
      <c r="C379" s="8" t="inlineStr">
        <is>
          <t>Continuum</t>
        </is>
      </c>
      <c r="D379" s="1" t="inlineStr">
        <is>
          <t>Utility and C&amp;I</t>
        </is>
      </c>
      <c r="E379" s="1" t="n"/>
      <c r="F379" s="1" t="inlineStr">
        <is>
          <t>Closed</t>
        </is>
      </c>
      <c r="G379" s="8" t="inlineStr">
        <is>
          <t>Amiya Ranjan Behera</t>
        </is>
      </c>
      <c r="H379" s="8" t="n">
        <v>8917436223</v>
      </c>
      <c r="I379" s="10" t="inlineStr">
        <is>
          <t>PE06052602</t>
        </is>
      </c>
      <c r="J379" s="8" t="inlineStr">
        <is>
          <t>Diode Bypass Module Issue</t>
        </is>
      </c>
      <c r="K379" s="8" t="inlineStr">
        <is>
          <t>Bhavnagar</t>
        </is>
      </c>
      <c r="L379" s="8" t="inlineStr">
        <is>
          <t>Gujarat</t>
        </is>
      </c>
      <c r="M379" s="2" t="inlineStr">
        <is>
          <t>PS</t>
        </is>
      </c>
      <c r="N379" s="1" t="inlineStr">
        <is>
          <t>Cold Soldering</t>
        </is>
      </c>
      <c r="O379" s="11" t="n">
        <v>540</v>
      </c>
      <c r="P379" s="2" t="inlineStr">
        <is>
          <t>NSMP2305199137</t>
        </is>
      </c>
      <c r="Q379" s="14">
        <f>MID(P379,5,2)</f>
        <v/>
      </c>
      <c r="R379" s="14">
        <f>MID(P379,7,2)</f>
        <v/>
      </c>
      <c r="S379" s="1" t="inlineStr">
        <is>
          <t>G2B</t>
        </is>
      </c>
      <c r="T379" s="1" t="inlineStr">
        <is>
          <t>P2 - PEPPL</t>
        </is>
      </c>
      <c r="U379" s="1" t="inlineStr">
        <is>
          <t>P JB Cold Soldering</t>
        </is>
      </c>
      <c r="V379" s="1" t="inlineStr">
        <is>
          <t>Soldering</t>
        </is>
      </c>
      <c r="W379" s="1" t="inlineStr">
        <is>
          <t>Repair</t>
        </is>
      </c>
      <c r="X379" s="5" t="n">
        <v>46176</v>
      </c>
      <c r="Y379" s="1">
        <f>IF(X379="","",X379-A379)</f>
        <v/>
      </c>
      <c r="Z379" s="5" t="n">
        <v>46176</v>
      </c>
      <c r="AA379" s="3" t="n"/>
      <c r="AB379" s="3" t="n"/>
      <c r="AE379" s="146">
        <f>IF(AND(F379="Closed",X379&gt;=DATE(2026,6,1),X379&lt;=DATE(2026,6,30)),"Closed in June","other")</f>
        <v/>
      </c>
    </row>
    <row r="380" hidden="1">
      <c r="A380" s="9" t="n">
        <v>46148</v>
      </c>
      <c r="B380" s="1" t="n">
        <v>2026</v>
      </c>
      <c r="C380" s="8" t="inlineStr">
        <is>
          <t>Continuum</t>
        </is>
      </c>
      <c r="D380" s="1" t="inlineStr">
        <is>
          <t>Utility and C&amp;I</t>
        </is>
      </c>
      <c r="E380" s="1" t="n"/>
      <c r="F380" s="1" t="inlineStr">
        <is>
          <t>Closed</t>
        </is>
      </c>
      <c r="G380" s="8" t="inlineStr">
        <is>
          <t>Amiya Ranjan Behera</t>
        </is>
      </c>
      <c r="H380" s="8" t="n">
        <v>8917436223</v>
      </c>
      <c r="I380" s="10" t="inlineStr">
        <is>
          <t>PE06052602</t>
        </is>
      </c>
      <c r="J380" s="8" t="inlineStr">
        <is>
          <t>Diode Bypass Module Issue</t>
        </is>
      </c>
      <c r="K380" s="8" t="inlineStr">
        <is>
          <t>Bhavnagar</t>
        </is>
      </c>
      <c r="L380" s="8" t="inlineStr">
        <is>
          <t>Gujarat</t>
        </is>
      </c>
      <c r="M380" s="2" t="inlineStr">
        <is>
          <t>PR</t>
        </is>
      </c>
      <c r="N380" s="1" t="inlineStr">
        <is>
          <t>JB Issue</t>
        </is>
      </c>
      <c r="O380" s="11" t="n">
        <v>540</v>
      </c>
      <c r="P380" s="2" t="inlineStr">
        <is>
          <t>NSMP2305189593</t>
        </is>
      </c>
      <c r="Q380" s="14">
        <f>MID(P380,5,2)</f>
        <v/>
      </c>
      <c r="R380" s="14">
        <f>MID(P380,7,2)</f>
        <v/>
      </c>
      <c r="S380" s="1" t="inlineStr">
        <is>
          <t>G2B</t>
        </is>
      </c>
      <c r="T380" s="1" t="inlineStr">
        <is>
          <t>P2 - PEPPL</t>
        </is>
      </c>
      <c r="U380" s="1" t="inlineStr">
        <is>
          <t>P JB Issue</t>
        </is>
      </c>
      <c r="V380" s="3" t="inlineStr">
        <is>
          <t>JB Changed</t>
        </is>
      </c>
      <c r="W380" s="1" t="inlineStr">
        <is>
          <t>Repair</t>
        </is>
      </c>
      <c r="X380" s="5" t="n">
        <v>46176</v>
      </c>
      <c r="Y380" s="1">
        <f>IF(X380="","",X380-A380)</f>
        <v/>
      </c>
      <c r="Z380" s="5" t="n">
        <v>46176</v>
      </c>
      <c r="AA380" s="3" t="n"/>
      <c r="AB380" s="3" t="n"/>
      <c r="AE380" s="146">
        <f>IF(AND(F380="Closed",X380&gt;=DATE(2026,6,1),X380&lt;=DATE(2026,6,30)),"Closed in June","other")</f>
        <v/>
      </c>
    </row>
    <row r="381" hidden="1">
      <c r="A381" s="9" t="n">
        <v>46148</v>
      </c>
      <c r="B381" s="1" t="n">
        <v>2026</v>
      </c>
      <c r="C381" s="8" t="inlineStr">
        <is>
          <t>Continuum</t>
        </is>
      </c>
      <c r="D381" s="1" t="inlineStr">
        <is>
          <t>Utility and C&amp;I</t>
        </is>
      </c>
      <c r="E381" s="1" t="n"/>
      <c r="F381" s="1" t="inlineStr">
        <is>
          <t>Closed</t>
        </is>
      </c>
      <c r="G381" s="8" t="inlineStr">
        <is>
          <t>Amiya Ranjan Behera</t>
        </is>
      </c>
      <c r="H381" s="8" t="n">
        <v>8917436223</v>
      </c>
      <c r="I381" s="10" t="inlineStr">
        <is>
          <t>PE06052602</t>
        </is>
      </c>
      <c r="J381" s="8" t="inlineStr">
        <is>
          <t>Diode Bypass Module Issue</t>
        </is>
      </c>
      <c r="K381" s="8" t="inlineStr">
        <is>
          <t>Bhavnagar</t>
        </is>
      </c>
      <c r="L381" s="8" t="inlineStr">
        <is>
          <t>Gujarat</t>
        </is>
      </c>
      <c r="M381" s="2" t="inlineStr">
        <is>
          <t>PR</t>
        </is>
      </c>
      <c r="N381" s="1" t="inlineStr">
        <is>
          <t>JB Issue</t>
        </is>
      </c>
      <c r="O381" s="11" t="n">
        <v>540</v>
      </c>
      <c r="P381" s="2" t="inlineStr">
        <is>
          <t>NSMP2305188526</t>
        </is>
      </c>
      <c r="Q381" s="14">
        <f>MID(P381,5,2)</f>
        <v/>
      </c>
      <c r="R381" s="14">
        <f>MID(P381,7,2)</f>
        <v/>
      </c>
      <c r="S381" s="1" t="inlineStr">
        <is>
          <t>G2B</t>
        </is>
      </c>
      <c r="T381" s="1" t="inlineStr">
        <is>
          <t>P2 - PEPPL</t>
        </is>
      </c>
      <c r="U381" s="1" t="inlineStr">
        <is>
          <t>P JB Issue</t>
        </is>
      </c>
      <c r="V381" s="3" t="inlineStr">
        <is>
          <t>JB Changed</t>
        </is>
      </c>
      <c r="W381" s="1" t="inlineStr">
        <is>
          <t>Repair</t>
        </is>
      </c>
      <c r="X381" s="5" t="n">
        <v>46176</v>
      </c>
      <c r="Y381" s="1">
        <f>IF(X381="","",X381-A381)</f>
        <v/>
      </c>
      <c r="Z381" s="5" t="n">
        <v>46176</v>
      </c>
      <c r="AA381" s="3" t="n"/>
      <c r="AB381" s="3" t="n"/>
      <c r="AE381" s="146">
        <f>IF(AND(F381="Closed",X381&gt;=DATE(2026,6,1),X381&lt;=DATE(2026,6,30)),"Closed in June","other")</f>
        <v/>
      </c>
    </row>
    <row r="382" hidden="1">
      <c r="A382" s="9" t="n">
        <v>46148</v>
      </c>
      <c r="B382" s="1" t="n">
        <v>2026</v>
      </c>
      <c r="C382" s="8" t="inlineStr">
        <is>
          <t>Continuum</t>
        </is>
      </c>
      <c r="D382" s="1" t="inlineStr">
        <is>
          <t>Utility and C&amp;I</t>
        </is>
      </c>
      <c r="E382" s="1" t="n"/>
      <c r="F382" s="1" t="inlineStr">
        <is>
          <t>Closed</t>
        </is>
      </c>
      <c r="G382" s="8" t="inlineStr">
        <is>
          <t>Amiya Ranjan Behera</t>
        </is>
      </c>
      <c r="H382" s="8" t="n">
        <v>8917436223</v>
      </c>
      <c r="I382" s="10" t="inlineStr">
        <is>
          <t>PE06052602</t>
        </is>
      </c>
      <c r="J382" s="8" t="inlineStr">
        <is>
          <t>Diode Bypass Module Issue</t>
        </is>
      </c>
      <c r="K382" s="8" t="inlineStr">
        <is>
          <t>Bhavnagar</t>
        </is>
      </c>
      <c r="L382" s="8" t="inlineStr">
        <is>
          <t>Gujarat</t>
        </is>
      </c>
      <c r="M382" s="2" t="inlineStr">
        <is>
          <t>PR</t>
        </is>
      </c>
      <c r="N382" s="1" t="inlineStr">
        <is>
          <t>JB Issue</t>
        </is>
      </c>
      <c r="O382" s="11" t="n">
        <v>540</v>
      </c>
      <c r="P382" s="2" t="inlineStr">
        <is>
          <t>NSMP2305189941</t>
        </is>
      </c>
      <c r="Q382" s="14">
        <f>MID(P382,5,2)</f>
        <v/>
      </c>
      <c r="R382" s="14">
        <f>MID(P382,7,2)</f>
        <v/>
      </c>
      <c r="S382" s="1" t="inlineStr">
        <is>
          <t>G2B</t>
        </is>
      </c>
      <c r="T382" s="1" t="inlineStr">
        <is>
          <t>P2 - PEPPL</t>
        </is>
      </c>
      <c r="U382" s="1" t="inlineStr">
        <is>
          <t>P JB Issue</t>
        </is>
      </c>
      <c r="V382" s="3" t="inlineStr">
        <is>
          <t>JB Changed</t>
        </is>
      </c>
      <c r="W382" s="1" t="inlineStr">
        <is>
          <t>Repair</t>
        </is>
      </c>
      <c r="X382" s="5" t="n">
        <v>46176</v>
      </c>
      <c r="Y382" s="1">
        <f>IF(X382="","",X382-A382)</f>
        <v/>
      </c>
      <c r="Z382" s="5" t="n">
        <v>46176</v>
      </c>
      <c r="AA382" s="3" t="n"/>
      <c r="AB382" s="3" t="n"/>
      <c r="AE382" s="146">
        <f>IF(AND(F382="Closed",X382&gt;=DATE(2026,6,1),X382&lt;=DATE(2026,6,30)),"Closed in June","other")</f>
        <v/>
      </c>
    </row>
    <row r="383" hidden="1">
      <c r="A383" s="9" t="n">
        <v>46148</v>
      </c>
      <c r="B383" s="1" t="n">
        <v>2026</v>
      </c>
      <c r="C383" s="8" t="inlineStr">
        <is>
          <t>Continuum</t>
        </is>
      </c>
      <c r="D383" s="1" t="inlineStr">
        <is>
          <t>Utility and C&amp;I</t>
        </is>
      </c>
      <c r="E383" s="1" t="n"/>
      <c r="F383" s="1" t="inlineStr">
        <is>
          <t>Closed</t>
        </is>
      </c>
      <c r="G383" s="8" t="inlineStr">
        <is>
          <t>Amiya Ranjan Behera</t>
        </is>
      </c>
      <c r="H383" s="8" t="n">
        <v>8917436223</v>
      </c>
      <c r="I383" s="10" t="inlineStr">
        <is>
          <t>PE06052602</t>
        </is>
      </c>
      <c r="J383" s="8" t="inlineStr">
        <is>
          <t>Diode Bypass Module Issue</t>
        </is>
      </c>
      <c r="K383" s="8" t="inlineStr">
        <is>
          <t>Bhavnagar</t>
        </is>
      </c>
      <c r="L383" s="8" t="inlineStr">
        <is>
          <t>Gujarat</t>
        </is>
      </c>
      <c r="M383" s="2" t="inlineStr">
        <is>
          <t>PR</t>
        </is>
      </c>
      <c r="N383" s="1" t="inlineStr">
        <is>
          <t>JB Issue</t>
        </is>
      </c>
      <c r="O383" s="11" t="n">
        <v>540</v>
      </c>
      <c r="P383" s="2" t="inlineStr">
        <is>
          <t>NSMP2305190320</t>
        </is>
      </c>
      <c r="Q383" s="14">
        <f>MID(P383,5,2)</f>
        <v/>
      </c>
      <c r="R383" s="14">
        <f>MID(P383,7,2)</f>
        <v/>
      </c>
      <c r="S383" s="1" t="inlineStr">
        <is>
          <t>G2B</t>
        </is>
      </c>
      <c r="T383" s="1" t="inlineStr">
        <is>
          <t>P2 - PEPPL</t>
        </is>
      </c>
      <c r="U383" s="1" t="inlineStr">
        <is>
          <t>P JB Issue</t>
        </is>
      </c>
      <c r="V383" s="3" t="inlineStr">
        <is>
          <t>JB Changed</t>
        </is>
      </c>
      <c r="W383" s="1" t="inlineStr">
        <is>
          <t>Repair</t>
        </is>
      </c>
      <c r="X383" s="5" t="n">
        <v>46176</v>
      </c>
      <c r="Y383" s="1">
        <f>IF(X383="","",X383-A383)</f>
        <v/>
      </c>
      <c r="Z383" s="5" t="n">
        <v>46176</v>
      </c>
      <c r="AA383" s="3" t="n"/>
      <c r="AB383" s="3" t="n"/>
      <c r="AE383" s="146">
        <f>IF(AND(F383="Closed",X383&gt;=DATE(2026,6,1),X383&lt;=DATE(2026,6,30)),"Closed in June","other")</f>
        <v/>
      </c>
    </row>
    <row r="384" hidden="1">
      <c r="A384" s="9" t="n">
        <v>46148</v>
      </c>
      <c r="B384" s="1" t="n">
        <v>2026</v>
      </c>
      <c r="C384" s="8" t="inlineStr">
        <is>
          <t>Continuum</t>
        </is>
      </c>
      <c r="D384" s="1" t="inlineStr">
        <is>
          <t>Utility and C&amp;I</t>
        </is>
      </c>
      <c r="E384" s="1" t="n"/>
      <c r="F384" s="1" t="inlineStr">
        <is>
          <t>Closed</t>
        </is>
      </c>
      <c r="G384" s="8" t="inlineStr">
        <is>
          <t>Amiya Ranjan Behera</t>
        </is>
      </c>
      <c r="H384" s="8" t="n">
        <v>8917436223</v>
      </c>
      <c r="I384" s="10" t="inlineStr">
        <is>
          <t>PE06052602</t>
        </is>
      </c>
      <c r="J384" s="8" t="inlineStr">
        <is>
          <t>Diode Bypass Module Issue</t>
        </is>
      </c>
      <c r="K384" s="8" t="inlineStr">
        <is>
          <t>Bhavnagar</t>
        </is>
      </c>
      <c r="L384" s="8" t="inlineStr">
        <is>
          <t>Gujarat</t>
        </is>
      </c>
      <c r="M384" s="2" t="inlineStr">
        <is>
          <t>PS</t>
        </is>
      </c>
      <c r="N384" s="1" t="inlineStr">
        <is>
          <t>Cold Soldering</t>
        </is>
      </c>
      <c r="O384" s="11" t="n">
        <v>540</v>
      </c>
      <c r="P384" s="2" t="inlineStr">
        <is>
          <t>NSMP2305189826</t>
        </is>
      </c>
      <c r="Q384" s="14">
        <f>MID(P384,5,2)</f>
        <v/>
      </c>
      <c r="R384" s="14">
        <f>MID(P384,7,2)</f>
        <v/>
      </c>
      <c r="S384" s="1" t="inlineStr">
        <is>
          <t>G2B</t>
        </is>
      </c>
      <c r="T384" s="1" t="inlineStr">
        <is>
          <t>P2 - PEPPL</t>
        </is>
      </c>
      <c r="U384" s="1" t="inlineStr">
        <is>
          <t>P JB Cold Soldering</t>
        </is>
      </c>
      <c r="V384" s="1" t="inlineStr">
        <is>
          <t>Soldering</t>
        </is>
      </c>
      <c r="W384" s="1" t="inlineStr">
        <is>
          <t>Repair</t>
        </is>
      </c>
      <c r="X384" s="5" t="n">
        <v>46176</v>
      </c>
      <c r="Y384" s="1">
        <f>IF(X384="","",X384-A384)</f>
        <v/>
      </c>
      <c r="Z384" s="5" t="n">
        <v>46176</v>
      </c>
      <c r="AA384" s="3" t="n"/>
      <c r="AB384" s="3" t="n"/>
      <c r="AE384" s="146">
        <f>IF(AND(F384="Closed",X384&gt;=DATE(2026,6,1),X384&lt;=DATE(2026,6,30)),"Closed in June","other")</f>
        <v/>
      </c>
    </row>
    <row r="385" hidden="1">
      <c r="A385" s="9" t="n">
        <v>46148</v>
      </c>
      <c r="B385" s="1" t="n">
        <v>2026</v>
      </c>
      <c r="C385" s="8" t="inlineStr">
        <is>
          <t>Continuum</t>
        </is>
      </c>
      <c r="D385" s="1" t="inlineStr">
        <is>
          <t>Utility and C&amp;I</t>
        </is>
      </c>
      <c r="E385" s="1" t="n"/>
      <c r="F385" s="1" t="inlineStr">
        <is>
          <t>Closed</t>
        </is>
      </c>
      <c r="G385" s="8" t="inlineStr">
        <is>
          <t>Amiya Ranjan Behera</t>
        </is>
      </c>
      <c r="H385" s="8" t="n">
        <v>8917436223</v>
      </c>
      <c r="I385" s="10" t="inlineStr">
        <is>
          <t>PE06052602</t>
        </is>
      </c>
      <c r="J385" s="8" t="inlineStr">
        <is>
          <t>Diode Bypass Module Issue</t>
        </is>
      </c>
      <c r="K385" s="8" t="inlineStr">
        <is>
          <t>Bhavnagar</t>
        </is>
      </c>
      <c r="L385" s="8" t="inlineStr">
        <is>
          <t>Gujarat</t>
        </is>
      </c>
      <c r="M385" s="2" t="inlineStr">
        <is>
          <t>PS</t>
        </is>
      </c>
      <c r="N385" s="1" t="inlineStr">
        <is>
          <t>Cold Soldering</t>
        </is>
      </c>
      <c r="O385" s="11" t="n">
        <v>540</v>
      </c>
      <c r="P385" s="2" t="inlineStr">
        <is>
          <t>NSMP2305129385</t>
        </is>
      </c>
      <c r="Q385" s="14">
        <f>MID(P385,5,2)</f>
        <v/>
      </c>
      <c r="R385" s="14">
        <f>MID(P385,7,2)</f>
        <v/>
      </c>
      <c r="S385" s="1" t="inlineStr">
        <is>
          <t>G2B</t>
        </is>
      </c>
      <c r="T385" s="1" t="inlineStr">
        <is>
          <t>P2 - PEPPL</t>
        </is>
      </c>
      <c r="U385" s="1" t="inlineStr">
        <is>
          <t>P JB Cold Soldering</t>
        </is>
      </c>
      <c r="V385" s="1" t="inlineStr">
        <is>
          <t>Soldering</t>
        </is>
      </c>
      <c r="W385" s="1" t="inlineStr">
        <is>
          <t>Repair</t>
        </is>
      </c>
      <c r="X385" s="5" t="n">
        <v>46176</v>
      </c>
      <c r="Y385" s="1">
        <f>IF(X385="","",X385-A385)</f>
        <v/>
      </c>
      <c r="Z385" s="5" t="n">
        <v>46176</v>
      </c>
      <c r="AA385" s="3" t="n"/>
      <c r="AB385" s="3" t="n"/>
      <c r="AE385" s="146">
        <f>IF(AND(F385="Closed",X385&gt;=DATE(2026,6,1),X385&lt;=DATE(2026,6,30)),"Closed in June","other")</f>
        <v/>
      </c>
    </row>
    <row r="386" hidden="1">
      <c r="A386" s="9" t="n">
        <v>46148</v>
      </c>
      <c r="B386" s="1" t="n">
        <v>2026</v>
      </c>
      <c r="C386" s="8" t="inlineStr">
        <is>
          <t>Continuum</t>
        </is>
      </c>
      <c r="D386" s="1" t="inlineStr">
        <is>
          <t>Utility and C&amp;I</t>
        </is>
      </c>
      <c r="E386" s="1" t="n"/>
      <c r="F386" s="1" t="inlineStr">
        <is>
          <t>Closed</t>
        </is>
      </c>
      <c r="G386" s="8" t="inlineStr">
        <is>
          <t>Amiya Ranjan Behera</t>
        </is>
      </c>
      <c r="H386" s="8" t="n">
        <v>8917436223</v>
      </c>
      <c r="I386" s="10" t="inlineStr">
        <is>
          <t>PE06052602</t>
        </is>
      </c>
      <c r="J386" s="8" t="inlineStr">
        <is>
          <t>Diode Bypass Module Issue</t>
        </is>
      </c>
      <c r="K386" s="8" t="inlineStr">
        <is>
          <t>Bhavnagar</t>
        </is>
      </c>
      <c r="L386" s="8" t="inlineStr">
        <is>
          <t>Gujarat</t>
        </is>
      </c>
      <c r="M386" s="2" t="inlineStr">
        <is>
          <t>PS</t>
        </is>
      </c>
      <c r="N386" s="1" t="inlineStr">
        <is>
          <t>Cold Soldering</t>
        </is>
      </c>
      <c r="O386" s="11" t="n">
        <v>540</v>
      </c>
      <c r="P386" s="2" t="inlineStr">
        <is>
          <t>NSMP2305129421</t>
        </is>
      </c>
      <c r="Q386" s="14">
        <f>MID(P386,5,2)</f>
        <v/>
      </c>
      <c r="R386" s="14">
        <f>MID(P386,7,2)</f>
        <v/>
      </c>
      <c r="S386" s="1" t="inlineStr">
        <is>
          <t>G2B</t>
        </is>
      </c>
      <c r="T386" s="1" t="inlineStr">
        <is>
          <t>P2 - PEPPL</t>
        </is>
      </c>
      <c r="U386" s="1" t="inlineStr">
        <is>
          <t>P JB Cold Soldering</t>
        </is>
      </c>
      <c r="V386" s="1" t="inlineStr">
        <is>
          <t>Soldering</t>
        </is>
      </c>
      <c r="W386" s="1" t="inlineStr">
        <is>
          <t>Repair</t>
        </is>
      </c>
      <c r="X386" s="5" t="n">
        <v>46176</v>
      </c>
      <c r="Y386" s="1">
        <f>IF(X386="","",X386-A386)</f>
        <v/>
      </c>
      <c r="Z386" s="5" t="n">
        <v>46176</v>
      </c>
      <c r="AA386" s="3" t="n"/>
      <c r="AB386" s="3" t="n"/>
      <c r="AE386" s="146">
        <f>IF(AND(F386="Closed",X386&gt;=DATE(2026,6,1),X386&lt;=DATE(2026,6,30)),"Closed in June","other")</f>
        <v/>
      </c>
    </row>
    <row r="387" hidden="1">
      <c r="A387" s="9" t="n">
        <v>46148</v>
      </c>
      <c r="B387" s="1" t="n">
        <v>2026</v>
      </c>
      <c r="C387" s="8" t="inlineStr">
        <is>
          <t>Continuum</t>
        </is>
      </c>
      <c r="D387" s="1" t="inlineStr">
        <is>
          <t>Utility and C&amp;I</t>
        </is>
      </c>
      <c r="E387" s="1" t="n"/>
      <c r="F387" s="1" t="inlineStr">
        <is>
          <t>Closed</t>
        </is>
      </c>
      <c r="G387" s="8" t="inlineStr">
        <is>
          <t>Amiya Ranjan Behera</t>
        </is>
      </c>
      <c r="H387" s="8" t="n">
        <v>8917436223</v>
      </c>
      <c r="I387" s="10" t="inlineStr">
        <is>
          <t>PE06052602</t>
        </is>
      </c>
      <c r="J387" s="8" t="inlineStr">
        <is>
          <t>Diode Bypass Module Issue</t>
        </is>
      </c>
      <c r="K387" s="8" t="inlineStr">
        <is>
          <t>Bhavnagar</t>
        </is>
      </c>
      <c r="L387" s="8" t="inlineStr">
        <is>
          <t>Gujarat</t>
        </is>
      </c>
      <c r="M387" s="2" t="inlineStr">
        <is>
          <t>PS</t>
        </is>
      </c>
      <c r="N387" s="1" t="inlineStr">
        <is>
          <t>Cold Soldering</t>
        </is>
      </c>
      <c r="O387" s="11" t="n">
        <v>540</v>
      </c>
      <c r="P387" s="2" t="inlineStr">
        <is>
          <t>NSMP2305129469</t>
        </is>
      </c>
      <c r="Q387" s="14">
        <f>MID(P387,5,2)</f>
        <v/>
      </c>
      <c r="R387" s="14">
        <f>MID(P387,7,2)</f>
        <v/>
      </c>
      <c r="S387" s="1" t="inlineStr">
        <is>
          <t>G2B</t>
        </is>
      </c>
      <c r="T387" s="1" t="inlineStr">
        <is>
          <t>P2 - PEPPL</t>
        </is>
      </c>
      <c r="U387" s="1" t="inlineStr">
        <is>
          <t>P JB Cold Soldering</t>
        </is>
      </c>
      <c r="V387" s="1" t="inlineStr">
        <is>
          <t>Soldering</t>
        </is>
      </c>
      <c r="W387" s="1" t="inlineStr">
        <is>
          <t>Repair</t>
        </is>
      </c>
      <c r="X387" s="5" t="n">
        <v>46176</v>
      </c>
      <c r="Y387" s="1">
        <f>IF(X387="","",X387-A387)</f>
        <v/>
      </c>
      <c r="Z387" s="5" t="n">
        <v>46176</v>
      </c>
      <c r="AA387" s="3" t="n"/>
      <c r="AB387" s="3" t="n"/>
      <c r="AE387" s="146">
        <f>IF(AND(F387="Closed",X387&gt;=DATE(2026,6,1),X387&lt;=DATE(2026,6,30)),"Closed in June","other")</f>
        <v/>
      </c>
    </row>
    <row r="388" hidden="1">
      <c r="A388" s="9" t="n">
        <v>46148</v>
      </c>
      <c r="B388" s="1" t="n">
        <v>2026</v>
      </c>
      <c r="C388" s="8" t="inlineStr">
        <is>
          <t>Continuum</t>
        </is>
      </c>
      <c r="D388" s="1" t="inlineStr">
        <is>
          <t>Utility and C&amp;I</t>
        </is>
      </c>
      <c r="E388" s="1" t="n"/>
      <c r="F388" s="1" t="inlineStr">
        <is>
          <t>Closed</t>
        </is>
      </c>
      <c r="G388" s="8" t="inlineStr">
        <is>
          <t>Amiya Ranjan Behera</t>
        </is>
      </c>
      <c r="H388" s="8" t="n">
        <v>8917436223</v>
      </c>
      <c r="I388" s="10" t="inlineStr">
        <is>
          <t>PE06052602</t>
        </is>
      </c>
      <c r="J388" s="8" t="inlineStr">
        <is>
          <t>Diode Bypass Module Issue</t>
        </is>
      </c>
      <c r="K388" s="8" t="inlineStr">
        <is>
          <t>Bhavnagar</t>
        </is>
      </c>
      <c r="L388" s="8" t="inlineStr">
        <is>
          <t>Gujarat</t>
        </is>
      </c>
      <c r="M388" s="2" t="inlineStr">
        <is>
          <t>PS</t>
        </is>
      </c>
      <c r="N388" s="1" t="inlineStr">
        <is>
          <t>Cold Soldering</t>
        </is>
      </c>
      <c r="O388" s="11" t="n">
        <v>540</v>
      </c>
      <c r="P388" s="2" t="inlineStr">
        <is>
          <t>NSMP2305129478</t>
        </is>
      </c>
      <c r="Q388" s="14">
        <f>MID(P388,5,2)</f>
        <v/>
      </c>
      <c r="R388" s="14">
        <f>MID(P388,7,2)</f>
        <v/>
      </c>
      <c r="S388" s="1" t="inlineStr">
        <is>
          <t>G2B</t>
        </is>
      </c>
      <c r="T388" s="1" t="inlineStr">
        <is>
          <t>P2 - PEPPL</t>
        </is>
      </c>
      <c r="U388" s="1" t="inlineStr">
        <is>
          <t>P JB Cold Soldering</t>
        </is>
      </c>
      <c r="V388" s="1" t="inlineStr">
        <is>
          <t>Soldering</t>
        </is>
      </c>
      <c r="W388" s="1" t="inlineStr">
        <is>
          <t>Repair</t>
        </is>
      </c>
      <c r="X388" s="5" t="n">
        <v>46176</v>
      </c>
      <c r="Y388" s="1">
        <f>IF(X388="","",X388-A388)</f>
        <v/>
      </c>
      <c r="Z388" s="5" t="n">
        <v>46176</v>
      </c>
      <c r="AA388" s="3" t="n"/>
      <c r="AB388" s="3" t="n"/>
      <c r="AE388" s="146">
        <f>IF(AND(F388="Closed",X388&gt;=DATE(2026,6,1),X388&lt;=DATE(2026,6,30)),"Closed in June","other")</f>
        <v/>
      </c>
    </row>
    <row r="389" hidden="1">
      <c r="A389" s="9" t="n">
        <v>46148</v>
      </c>
      <c r="B389" s="1" t="n">
        <v>2026</v>
      </c>
      <c r="C389" s="8" t="inlineStr">
        <is>
          <t>Continuum</t>
        </is>
      </c>
      <c r="D389" s="1" t="inlineStr">
        <is>
          <t>Utility and C&amp;I</t>
        </is>
      </c>
      <c r="E389" s="1" t="n"/>
      <c r="F389" s="1" t="inlineStr">
        <is>
          <t>Closed</t>
        </is>
      </c>
      <c r="G389" s="8" t="inlineStr">
        <is>
          <t>Amiya Ranjan Behera</t>
        </is>
      </c>
      <c r="H389" s="8" t="n">
        <v>8917436223</v>
      </c>
      <c r="I389" s="10" t="inlineStr">
        <is>
          <t>PE06052602</t>
        </is>
      </c>
      <c r="J389" s="8" t="inlineStr">
        <is>
          <t>Diode Bypass Module Issue</t>
        </is>
      </c>
      <c r="K389" s="8" t="inlineStr">
        <is>
          <t>Bhavnagar</t>
        </is>
      </c>
      <c r="L389" s="8" t="inlineStr">
        <is>
          <t>Gujarat</t>
        </is>
      </c>
      <c r="M389" s="2" t="inlineStr">
        <is>
          <t>PS</t>
        </is>
      </c>
      <c r="N389" s="1" t="inlineStr">
        <is>
          <t>Cold Soldering</t>
        </is>
      </c>
      <c r="O389" s="11" t="n">
        <v>540</v>
      </c>
      <c r="P389" s="2" t="inlineStr">
        <is>
          <t>NSMP2305129482</t>
        </is>
      </c>
      <c r="Q389" s="14">
        <f>MID(P389,5,2)</f>
        <v/>
      </c>
      <c r="R389" s="14">
        <f>MID(P389,7,2)</f>
        <v/>
      </c>
      <c r="S389" s="1" t="inlineStr">
        <is>
          <t>G2B</t>
        </is>
      </c>
      <c r="T389" s="1" t="inlineStr">
        <is>
          <t>P2 - PEPPL</t>
        </is>
      </c>
      <c r="U389" s="1" t="inlineStr">
        <is>
          <t>P JB Cold Soldering</t>
        </is>
      </c>
      <c r="V389" s="1" t="inlineStr">
        <is>
          <t>Soldering</t>
        </is>
      </c>
      <c r="W389" s="1" t="inlineStr">
        <is>
          <t>Repair</t>
        </is>
      </c>
      <c r="X389" s="5" t="n">
        <v>46176</v>
      </c>
      <c r="Y389" s="1">
        <f>IF(X389="","",X389-A389)</f>
        <v/>
      </c>
      <c r="Z389" s="5" t="n">
        <v>46176</v>
      </c>
      <c r="AA389" s="3" t="n"/>
      <c r="AB389" s="3" t="n"/>
      <c r="AE389" s="146">
        <f>IF(AND(F389="Closed",X389&gt;=DATE(2026,6,1),X389&lt;=DATE(2026,6,30)),"Closed in June","other")</f>
        <v/>
      </c>
    </row>
    <row r="390" hidden="1">
      <c r="A390" s="9" t="n">
        <v>46148</v>
      </c>
      <c r="B390" s="1" t="n">
        <v>2026</v>
      </c>
      <c r="C390" s="8" t="inlineStr">
        <is>
          <t>Continuum</t>
        </is>
      </c>
      <c r="D390" s="1" t="inlineStr">
        <is>
          <t>Utility and C&amp;I</t>
        </is>
      </c>
      <c r="E390" s="1" t="n"/>
      <c r="F390" s="1" t="inlineStr">
        <is>
          <t>Closed</t>
        </is>
      </c>
      <c r="G390" s="8" t="inlineStr">
        <is>
          <t>Amiya Ranjan Behera</t>
        </is>
      </c>
      <c r="H390" s="8" t="n">
        <v>8917436223</v>
      </c>
      <c r="I390" s="10" t="inlineStr">
        <is>
          <t>PE06052602</t>
        </is>
      </c>
      <c r="J390" s="8" t="inlineStr">
        <is>
          <t>Diode Bypass Module Issue</t>
        </is>
      </c>
      <c r="K390" s="8" t="inlineStr">
        <is>
          <t>Bhavnagar</t>
        </is>
      </c>
      <c r="L390" s="8" t="inlineStr">
        <is>
          <t>Gujarat</t>
        </is>
      </c>
      <c r="M390" s="2" t="inlineStr">
        <is>
          <t>PR</t>
        </is>
      </c>
      <c r="N390" s="1" t="inlineStr">
        <is>
          <t>JB Issue</t>
        </is>
      </c>
      <c r="O390" s="11" t="n">
        <v>540</v>
      </c>
      <c r="P390" s="2" t="inlineStr">
        <is>
          <t>NSMP2305129512</t>
        </is>
      </c>
      <c r="Q390" s="14">
        <f>MID(P390,5,2)</f>
        <v/>
      </c>
      <c r="R390" s="14">
        <f>MID(P390,7,2)</f>
        <v/>
      </c>
      <c r="S390" s="1" t="inlineStr">
        <is>
          <t>G2B</t>
        </is>
      </c>
      <c r="T390" s="1" t="inlineStr">
        <is>
          <t>P2 - PEPPL</t>
        </is>
      </c>
      <c r="U390" s="1" t="inlineStr">
        <is>
          <t>P JB Issue</t>
        </is>
      </c>
      <c r="V390" s="3" t="inlineStr">
        <is>
          <t>JB Changed</t>
        </is>
      </c>
      <c r="W390" s="1" t="inlineStr">
        <is>
          <t>Repair</t>
        </is>
      </c>
      <c r="X390" s="5" t="n">
        <v>46176</v>
      </c>
      <c r="Y390" s="1">
        <f>IF(X390="","",X390-A390)</f>
        <v/>
      </c>
      <c r="Z390" s="5" t="n">
        <v>46176</v>
      </c>
      <c r="AA390" s="3" t="n"/>
      <c r="AB390" s="3" t="n"/>
      <c r="AE390" s="146">
        <f>IF(AND(F390="Closed",X390&gt;=DATE(2026,6,1),X390&lt;=DATE(2026,6,30)),"Closed in June","other")</f>
        <v/>
      </c>
    </row>
    <row r="391" hidden="1">
      <c r="A391" s="9" t="n">
        <v>46148</v>
      </c>
      <c r="B391" s="1" t="n">
        <v>2026</v>
      </c>
      <c r="C391" s="8" t="inlineStr">
        <is>
          <t>Continuum</t>
        </is>
      </c>
      <c r="D391" s="1" t="inlineStr">
        <is>
          <t>Utility and C&amp;I</t>
        </is>
      </c>
      <c r="E391" s="1" t="n"/>
      <c r="F391" s="1" t="inlineStr">
        <is>
          <t>Closed</t>
        </is>
      </c>
      <c r="G391" s="8" t="inlineStr">
        <is>
          <t>Amiya Ranjan Behera</t>
        </is>
      </c>
      <c r="H391" s="8" t="n">
        <v>8917436223</v>
      </c>
      <c r="I391" s="10" t="inlineStr">
        <is>
          <t>PE06052602</t>
        </is>
      </c>
      <c r="J391" s="8" t="inlineStr">
        <is>
          <t>Diode Bypass Module Issue</t>
        </is>
      </c>
      <c r="K391" s="8" t="inlineStr">
        <is>
          <t>Bhavnagar</t>
        </is>
      </c>
      <c r="L391" s="8" t="inlineStr">
        <is>
          <t>Gujarat</t>
        </is>
      </c>
      <c r="M391" s="2" t="inlineStr">
        <is>
          <t>PS</t>
        </is>
      </c>
      <c r="N391" s="1" t="inlineStr">
        <is>
          <t>Cold Soldering</t>
        </is>
      </c>
      <c r="O391" s="11" t="n">
        <v>540</v>
      </c>
      <c r="P391" s="2" t="inlineStr">
        <is>
          <t>NSMP2305129408</t>
        </is>
      </c>
      <c r="Q391" s="14">
        <f>MID(P391,5,2)</f>
        <v/>
      </c>
      <c r="R391" s="14">
        <f>MID(P391,7,2)</f>
        <v/>
      </c>
      <c r="S391" s="1" t="inlineStr">
        <is>
          <t>G2B</t>
        </is>
      </c>
      <c r="T391" s="1" t="inlineStr">
        <is>
          <t>P2 - PEPPL</t>
        </is>
      </c>
      <c r="U391" s="1" t="inlineStr">
        <is>
          <t>P JB Cold Soldering</t>
        </is>
      </c>
      <c r="V391" s="1" t="inlineStr">
        <is>
          <t>Soldering</t>
        </is>
      </c>
      <c r="W391" s="1" t="inlineStr">
        <is>
          <t>Repair</t>
        </is>
      </c>
      <c r="X391" s="5" t="n">
        <v>46176</v>
      </c>
      <c r="Y391" s="1">
        <f>IF(X391="","",X391-A391)</f>
        <v/>
      </c>
      <c r="Z391" s="5" t="n">
        <v>46176</v>
      </c>
      <c r="AA391" s="3" t="n"/>
      <c r="AB391" s="3" t="n"/>
      <c r="AE391" s="146">
        <f>IF(AND(F391="Closed",X391&gt;=DATE(2026,6,1),X391&lt;=DATE(2026,6,30)),"Closed in June","other")</f>
        <v/>
      </c>
    </row>
    <row r="392" hidden="1">
      <c r="A392" s="9" t="n">
        <v>46148</v>
      </c>
      <c r="B392" s="1" t="n">
        <v>2026</v>
      </c>
      <c r="C392" s="8" t="inlineStr">
        <is>
          <t>Continuum</t>
        </is>
      </c>
      <c r="D392" s="1" t="inlineStr">
        <is>
          <t>Utility and C&amp;I</t>
        </is>
      </c>
      <c r="E392" s="1" t="n"/>
      <c r="F392" s="1" t="inlineStr">
        <is>
          <t>Closed</t>
        </is>
      </c>
      <c r="G392" s="8" t="inlineStr">
        <is>
          <t>Amiya Ranjan Behera</t>
        </is>
      </c>
      <c r="H392" s="8" t="n">
        <v>8917436223</v>
      </c>
      <c r="I392" s="10" t="inlineStr">
        <is>
          <t>PE06052602</t>
        </is>
      </c>
      <c r="J392" s="8" t="inlineStr">
        <is>
          <t>Diode Bypass Module Issue</t>
        </is>
      </c>
      <c r="K392" s="8" t="inlineStr">
        <is>
          <t>Bhavnagar</t>
        </is>
      </c>
      <c r="L392" s="8" t="inlineStr">
        <is>
          <t>Gujarat</t>
        </is>
      </c>
      <c r="M392" s="2" t="inlineStr">
        <is>
          <t>PS</t>
        </is>
      </c>
      <c r="N392" s="1" t="inlineStr">
        <is>
          <t>Cold Soldering</t>
        </is>
      </c>
      <c r="O392" s="11" t="n">
        <v>540</v>
      </c>
      <c r="P392" s="2" t="inlineStr">
        <is>
          <t>NSMP2305129389</t>
        </is>
      </c>
      <c r="Q392" s="14">
        <f>MID(P392,5,2)</f>
        <v/>
      </c>
      <c r="R392" s="14">
        <f>MID(P392,7,2)</f>
        <v/>
      </c>
      <c r="S392" s="1" t="inlineStr">
        <is>
          <t>G2B</t>
        </is>
      </c>
      <c r="T392" s="1" t="inlineStr">
        <is>
          <t>P2 - PEPPL</t>
        </is>
      </c>
      <c r="U392" s="1" t="inlineStr">
        <is>
          <t>P JB Cold Soldering</t>
        </is>
      </c>
      <c r="V392" s="1" t="inlineStr">
        <is>
          <t>Soldering</t>
        </is>
      </c>
      <c r="W392" s="1" t="inlineStr">
        <is>
          <t>Repair</t>
        </is>
      </c>
      <c r="X392" s="5" t="n">
        <v>46176</v>
      </c>
      <c r="Y392" s="1">
        <f>IF(X392="","",X392-A392)</f>
        <v/>
      </c>
      <c r="Z392" s="5" t="n">
        <v>46176</v>
      </c>
      <c r="AA392" s="3" t="n"/>
      <c r="AB392" s="3" t="n"/>
      <c r="AE392" s="146">
        <f>IF(AND(F392="Closed",X392&gt;=DATE(2026,6,1),X392&lt;=DATE(2026,6,30)),"Closed in June","other")</f>
        <v/>
      </c>
    </row>
    <row r="393" hidden="1">
      <c r="A393" s="9" t="n">
        <v>46148</v>
      </c>
      <c r="B393" s="1" t="n">
        <v>2026</v>
      </c>
      <c r="C393" s="8" t="inlineStr">
        <is>
          <t>Continuum</t>
        </is>
      </c>
      <c r="D393" s="1" t="inlineStr">
        <is>
          <t>Utility and C&amp;I</t>
        </is>
      </c>
      <c r="E393" s="1" t="n"/>
      <c r="F393" s="1" t="inlineStr">
        <is>
          <t>Closed</t>
        </is>
      </c>
      <c r="G393" s="8" t="inlineStr">
        <is>
          <t>Amiya Ranjan Behera</t>
        </is>
      </c>
      <c r="H393" s="8" t="n">
        <v>8917436223</v>
      </c>
      <c r="I393" s="10" t="inlineStr">
        <is>
          <t>PE06052602</t>
        </is>
      </c>
      <c r="J393" s="8" t="inlineStr">
        <is>
          <t>Diode Bypass Module Issue</t>
        </is>
      </c>
      <c r="K393" s="8" t="inlineStr">
        <is>
          <t>Bhavnagar</t>
        </is>
      </c>
      <c r="L393" s="8" t="inlineStr">
        <is>
          <t>Gujarat</t>
        </is>
      </c>
      <c r="M393" s="2" t="inlineStr">
        <is>
          <t>PS</t>
        </is>
      </c>
      <c r="N393" s="1" t="inlineStr">
        <is>
          <t>Cold Soldering</t>
        </is>
      </c>
      <c r="O393" s="11" t="n">
        <v>540</v>
      </c>
      <c r="P393" s="2" t="inlineStr">
        <is>
          <t>NSMP2305193761</t>
        </is>
      </c>
      <c r="Q393" s="14">
        <f>MID(P393,5,2)</f>
        <v/>
      </c>
      <c r="R393" s="14">
        <f>MID(P393,7,2)</f>
        <v/>
      </c>
      <c r="S393" s="1" t="inlineStr">
        <is>
          <t>G2B</t>
        </is>
      </c>
      <c r="T393" s="1" t="inlineStr">
        <is>
          <t>P2 - PEPPL</t>
        </is>
      </c>
      <c r="U393" s="1" t="inlineStr">
        <is>
          <t>P JB Cold Soldering</t>
        </is>
      </c>
      <c r="V393" s="1" t="inlineStr">
        <is>
          <t>Soldering</t>
        </is>
      </c>
      <c r="W393" s="1" t="inlineStr">
        <is>
          <t>Repair</t>
        </is>
      </c>
      <c r="X393" s="5" t="n">
        <v>46176</v>
      </c>
      <c r="Y393" s="1">
        <f>IF(X393="","",X393-A393)</f>
        <v/>
      </c>
      <c r="Z393" s="5" t="n">
        <v>46176</v>
      </c>
      <c r="AA393" s="3" t="n"/>
      <c r="AB393" s="3" t="n"/>
      <c r="AE393" s="146">
        <f>IF(AND(F393="Closed",X393&gt;=DATE(2026,6,1),X393&lt;=DATE(2026,6,30)),"Closed in June","other")</f>
        <v/>
      </c>
    </row>
    <row r="394" hidden="1">
      <c r="A394" s="9" t="n">
        <v>46148</v>
      </c>
      <c r="B394" s="1" t="n">
        <v>2026</v>
      </c>
      <c r="C394" s="8" t="inlineStr">
        <is>
          <t>Continuum</t>
        </is>
      </c>
      <c r="D394" s="1" t="inlineStr">
        <is>
          <t>Utility and C&amp;I</t>
        </is>
      </c>
      <c r="E394" s="1" t="n"/>
      <c r="F394" s="1" t="inlineStr">
        <is>
          <t>Closed</t>
        </is>
      </c>
      <c r="G394" s="8" t="inlineStr">
        <is>
          <t>Amiya Ranjan Behera</t>
        </is>
      </c>
      <c r="H394" s="8" t="n">
        <v>8917436223</v>
      </c>
      <c r="I394" s="10" t="inlineStr">
        <is>
          <t>PE06052602</t>
        </is>
      </c>
      <c r="J394" s="8" t="inlineStr">
        <is>
          <t>Diode Bypass Module Issue</t>
        </is>
      </c>
      <c r="K394" s="8" t="inlineStr">
        <is>
          <t>Bhavnagar</t>
        </is>
      </c>
      <c r="L394" s="8" t="inlineStr">
        <is>
          <t>Gujarat</t>
        </is>
      </c>
      <c r="M394" s="2" t="inlineStr">
        <is>
          <t>PS</t>
        </is>
      </c>
      <c r="N394" s="1" t="inlineStr">
        <is>
          <t>Cold Soldering</t>
        </is>
      </c>
      <c r="O394" s="11" t="n">
        <v>540</v>
      </c>
      <c r="P394" s="2" t="inlineStr">
        <is>
          <t>NSMP2305190954</t>
        </is>
      </c>
      <c r="Q394" s="14">
        <f>MID(P394,5,2)</f>
        <v/>
      </c>
      <c r="R394" s="14">
        <f>MID(P394,7,2)</f>
        <v/>
      </c>
      <c r="S394" s="1" t="inlineStr">
        <is>
          <t>G2B</t>
        </is>
      </c>
      <c r="T394" s="1" t="inlineStr">
        <is>
          <t>P2 - PEPPL</t>
        </is>
      </c>
      <c r="U394" s="1" t="inlineStr">
        <is>
          <t>P JB Cold Soldering</t>
        </is>
      </c>
      <c r="V394" s="1" t="inlineStr">
        <is>
          <t>Soldering</t>
        </is>
      </c>
      <c r="W394" s="1" t="inlineStr">
        <is>
          <t>Repair</t>
        </is>
      </c>
      <c r="X394" s="5" t="n">
        <v>46176</v>
      </c>
      <c r="Y394" s="1">
        <f>IF(X394="","",X394-A394)</f>
        <v/>
      </c>
      <c r="Z394" s="5" t="n">
        <v>46176</v>
      </c>
      <c r="AA394" s="3" t="n"/>
      <c r="AB394" s="3" t="n"/>
      <c r="AE394" s="146">
        <f>IF(AND(F394="Closed",X394&gt;=DATE(2026,6,1),X394&lt;=DATE(2026,6,30)),"Closed in June","other")</f>
        <v/>
      </c>
    </row>
    <row r="395" hidden="1">
      <c r="A395" s="9" t="n">
        <v>46148</v>
      </c>
      <c r="B395" s="1" t="n">
        <v>2026</v>
      </c>
      <c r="C395" s="8" t="inlineStr">
        <is>
          <t>Continuum</t>
        </is>
      </c>
      <c r="D395" s="1" t="inlineStr">
        <is>
          <t>Utility and C&amp;I</t>
        </is>
      </c>
      <c r="E395" s="1" t="n"/>
      <c r="F395" s="1" t="inlineStr">
        <is>
          <t>Closed</t>
        </is>
      </c>
      <c r="G395" s="8" t="inlineStr">
        <is>
          <t>Amiya Ranjan Behera</t>
        </is>
      </c>
      <c r="H395" s="8" t="n">
        <v>8917436223</v>
      </c>
      <c r="I395" s="10" t="inlineStr">
        <is>
          <t>PE06052602</t>
        </is>
      </c>
      <c r="J395" s="8" t="inlineStr">
        <is>
          <t>Diode Bypass Module Issue</t>
        </is>
      </c>
      <c r="K395" s="8" t="inlineStr">
        <is>
          <t>Bhavnagar</t>
        </is>
      </c>
      <c r="L395" s="8" t="inlineStr">
        <is>
          <t>Gujarat</t>
        </is>
      </c>
      <c r="M395" s="2" t="inlineStr">
        <is>
          <t>PS</t>
        </is>
      </c>
      <c r="N395" s="1" t="inlineStr">
        <is>
          <t>Cold Soldering</t>
        </is>
      </c>
      <c r="O395" s="11" t="n">
        <v>540</v>
      </c>
      <c r="P395" s="2" t="inlineStr">
        <is>
          <t>NSMP2305190834</t>
        </is>
      </c>
      <c r="Q395" s="14">
        <f>MID(P395,5,2)</f>
        <v/>
      </c>
      <c r="R395" s="14">
        <f>MID(P395,7,2)</f>
        <v/>
      </c>
      <c r="S395" s="1" t="inlineStr">
        <is>
          <t>G2B</t>
        </is>
      </c>
      <c r="T395" s="1" t="inlineStr">
        <is>
          <t>P2 - PEPPL</t>
        </is>
      </c>
      <c r="U395" s="1" t="inlineStr">
        <is>
          <t>P JB Cold Soldering</t>
        </is>
      </c>
      <c r="V395" s="1" t="inlineStr">
        <is>
          <t>Soldering</t>
        </is>
      </c>
      <c r="W395" s="1" t="inlineStr">
        <is>
          <t>Repair</t>
        </is>
      </c>
      <c r="X395" s="5" t="n">
        <v>46176</v>
      </c>
      <c r="Y395" s="1">
        <f>IF(X395="","",X395-A395)</f>
        <v/>
      </c>
      <c r="Z395" s="5" t="n">
        <v>46176</v>
      </c>
      <c r="AA395" s="3" t="n"/>
      <c r="AB395" s="3" t="n"/>
      <c r="AE395" s="146">
        <f>IF(AND(F395="Closed",X395&gt;=DATE(2026,6,1),X395&lt;=DATE(2026,6,30)),"Closed in June","other")</f>
        <v/>
      </c>
    </row>
    <row r="396" hidden="1">
      <c r="A396" s="9" t="n">
        <v>46148</v>
      </c>
      <c r="B396" s="1" t="n">
        <v>2026</v>
      </c>
      <c r="C396" s="8" t="inlineStr">
        <is>
          <t>Continuum</t>
        </is>
      </c>
      <c r="D396" s="1" t="inlineStr">
        <is>
          <t>Utility and C&amp;I</t>
        </is>
      </c>
      <c r="E396" s="1" t="n"/>
      <c r="F396" s="1" t="inlineStr">
        <is>
          <t>Closed</t>
        </is>
      </c>
      <c r="G396" s="8" t="inlineStr">
        <is>
          <t>Amiya Ranjan Behera</t>
        </is>
      </c>
      <c r="H396" s="8" t="n">
        <v>8917436223</v>
      </c>
      <c r="I396" s="10" t="inlineStr">
        <is>
          <t>PE06052602</t>
        </is>
      </c>
      <c r="J396" s="8" t="inlineStr">
        <is>
          <t>Diode Bypass Module Issue</t>
        </is>
      </c>
      <c r="K396" s="8" t="inlineStr">
        <is>
          <t>Bhavnagar</t>
        </is>
      </c>
      <c r="L396" s="8" t="inlineStr">
        <is>
          <t>Gujarat</t>
        </is>
      </c>
      <c r="M396" s="2" t="inlineStr">
        <is>
          <t xml:space="preserve">OK </t>
        </is>
      </c>
      <c r="N396" s="2" t="inlineStr">
        <is>
          <t>No Issue Found</t>
        </is>
      </c>
      <c r="O396" s="11" t="n">
        <v>540</v>
      </c>
      <c r="P396" s="2" t="inlineStr">
        <is>
          <t>NSMP2305189784</t>
        </is>
      </c>
      <c r="Q396" s="14">
        <f>MID(P396,5,2)</f>
        <v/>
      </c>
      <c r="R396" s="14">
        <f>MID(P396,7,2)</f>
        <v/>
      </c>
      <c r="S396" s="1" t="inlineStr">
        <is>
          <t>G2B</t>
        </is>
      </c>
      <c r="T396" s="1" t="inlineStr">
        <is>
          <t>P2 - PEPPL</t>
        </is>
      </c>
      <c r="U396" s="6" t="inlineStr">
        <is>
          <t>No Issue Found</t>
        </is>
      </c>
      <c r="V396" s="6" t="inlineStr">
        <is>
          <t>Inspection</t>
        </is>
      </c>
      <c r="W396" s="1" t="inlineStr">
        <is>
          <t>Rejected</t>
        </is>
      </c>
      <c r="X396" s="5" t="n">
        <v>46176</v>
      </c>
      <c r="Y396" s="1">
        <f>IF(X396="","",X396-A396)</f>
        <v/>
      </c>
      <c r="Z396" s="5" t="n">
        <v>46176</v>
      </c>
      <c r="AA396" s="3" t="n"/>
      <c r="AB396" s="3" t="n"/>
      <c r="AE396" s="146">
        <f>IF(AND(F396="Closed",X396&gt;=DATE(2026,6,1),X396&lt;=DATE(2026,6,30)),"Closed in June","other")</f>
        <v/>
      </c>
    </row>
    <row r="397" hidden="1">
      <c r="A397" s="9" t="n">
        <v>46148</v>
      </c>
      <c r="B397" s="1" t="n">
        <v>2026</v>
      </c>
      <c r="C397" s="8" t="inlineStr">
        <is>
          <t>Continuum</t>
        </is>
      </c>
      <c r="D397" s="1" t="inlineStr">
        <is>
          <t>Utility and C&amp;I</t>
        </is>
      </c>
      <c r="E397" s="1" t="n"/>
      <c r="F397" s="1" t="inlineStr">
        <is>
          <t>Closed</t>
        </is>
      </c>
      <c r="G397" s="8" t="inlineStr">
        <is>
          <t>Amiya Ranjan Behera</t>
        </is>
      </c>
      <c r="H397" s="8" t="n">
        <v>8917436223</v>
      </c>
      <c r="I397" s="10" t="inlineStr">
        <is>
          <t>PE06052602</t>
        </is>
      </c>
      <c r="J397" s="8" t="inlineStr">
        <is>
          <t>Diode Bypass Module Issue</t>
        </is>
      </c>
      <c r="K397" s="8" t="inlineStr">
        <is>
          <t>Bhavnagar</t>
        </is>
      </c>
      <c r="L397" s="8" t="inlineStr">
        <is>
          <t>Gujarat</t>
        </is>
      </c>
      <c r="M397" s="2" t="inlineStr">
        <is>
          <t xml:space="preserve">OK </t>
        </is>
      </c>
      <c r="N397" s="2" t="inlineStr">
        <is>
          <t>No Issue Found</t>
        </is>
      </c>
      <c r="O397" s="11" t="n">
        <v>540</v>
      </c>
      <c r="P397" s="2" t="inlineStr">
        <is>
          <t>NSMP2305191581</t>
        </is>
      </c>
      <c r="Q397" s="14">
        <f>MID(P397,5,2)</f>
        <v/>
      </c>
      <c r="R397" s="14">
        <f>MID(P397,7,2)</f>
        <v/>
      </c>
      <c r="S397" s="1" t="inlineStr">
        <is>
          <t>G2B</t>
        </is>
      </c>
      <c r="T397" s="1" t="inlineStr">
        <is>
          <t>P2 - PEPPL</t>
        </is>
      </c>
      <c r="U397" s="6" t="inlineStr">
        <is>
          <t>No Issue Found</t>
        </is>
      </c>
      <c r="V397" s="6" t="inlineStr">
        <is>
          <t>Inspection</t>
        </is>
      </c>
      <c r="W397" s="1" t="inlineStr">
        <is>
          <t>Rejected</t>
        </is>
      </c>
      <c r="X397" s="5" t="n">
        <v>46176</v>
      </c>
      <c r="Y397" s="1">
        <f>IF(X397="","",X397-A397)</f>
        <v/>
      </c>
      <c r="Z397" s="5" t="n">
        <v>46176</v>
      </c>
      <c r="AA397" s="3" t="n"/>
      <c r="AB397" s="3" t="n"/>
      <c r="AE397" s="146">
        <f>IF(AND(F397="Closed",X397&gt;=DATE(2026,6,1),X397&lt;=DATE(2026,6,30)),"Closed in June","other")</f>
        <v/>
      </c>
    </row>
    <row r="398" hidden="1">
      <c r="A398" s="9" t="n">
        <v>46148</v>
      </c>
      <c r="B398" s="1" t="n">
        <v>2026</v>
      </c>
      <c r="C398" s="8" t="inlineStr">
        <is>
          <t>Continuum</t>
        </is>
      </c>
      <c r="D398" s="1" t="inlineStr">
        <is>
          <t>Utility and C&amp;I</t>
        </is>
      </c>
      <c r="E398" s="1" t="n"/>
      <c r="F398" s="1" t="inlineStr">
        <is>
          <t>Closed</t>
        </is>
      </c>
      <c r="G398" s="8" t="inlineStr">
        <is>
          <t>Amiya Ranjan Behera</t>
        </is>
      </c>
      <c r="H398" s="8" t="n">
        <v>8917436223</v>
      </c>
      <c r="I398" s="10" t="inlineStr">
        <is>
          <t>PE06052602</t>
        </is>
      </c>
      <c r="J398" s="8" t="inlineStr">
        <is>
          <t>Diode Bypass Module Issue</t>
        </is>
      </c>
      <c r="K398" s="8" t="inlineStr">
        <is>
          <t>Bhavnagar</t>
        </is>
      </c>
      <c r="L398" s="8" t="inlineStr">
        <is>
          <t>Gujarat</t>
        </is>
      </c>
      <c r="M398" s="2" t="inlineStr">
        <is>
          <t>PS</t>
        </is>
      </c>
      <c r="N398" s="1" t="inlineStr">
        <is>
          <t>Cold Soldering</t>
        </is>
      </c>
      <c r="O398" s="11" t="n">
        <v>540</v>
      </c>
      <c r="P398" s="2" t="inlineStr">
        <is>
          <t>NSMP2305191740</t>
        </is>
      </c>
      <c r="Q398" s="14">
        <f>MID(P398,5,2)</f>
        <v/>
      </c>
      <c r="R398" s="14">
        <f>MID(P398,7,2)</f>
        <v/>
      </c>
      <c r="S398" s="1" t="inlineStr">
        <is>
          <t>G2B</t>
        </is>
      </c>
      <c r="T398" s="1" t="inlineStr">
        <is>
          <t>P2 - PEPPL</t>
        </is>
      </c>
      <c r="U398" s="1" t="inlineStr">
        <is>
          <t>P JB Cold Soldering</t>
        </is>
      </c>
      <c r="V398" s="1" t="inlineStr">
        <is>
          <t>Soldering</t>
        </is>
      </c>
      <c r="W398" s="1" t="inlineStr">
        <is>
          <t>Repair</t>
        </is>
      </c>
      <c r="X398" s="5" t="n">
        <v>46176</v>
      </c>
      <c r="Y398" s="1">
        <f>IF(X398="","",X398-A398)</f>
        <v/>
      </c>
      <c r="Z398" s="5" t="n">
        <v>46176</v>
      </c>
      <c r="AA398" s="3" t="n"/>
      <c r="AB398" s="3" t="n"/>
      <c r="AE398" s="146">
        <f>IF(AND(F398="Closed",X398&gt;=DATE(2026,6,1),X398&lt;=DATE(2026,6,30)),"Closed in June","other")</f>
        <v/>
      </c>
    </row>
    <row r="399" hidden="1">
      <c r="A399" s="9" t="n">
        <v>46148</v>
      </c>
      <c r="B399" s="1" t="n">
        <v>2026</v>
      </c>
      <c r="C399" s="8" t="inlineStr">
        <is>
          <t>Continuum</t>
        </is>
      </c>
      <c r="D399" s="1" t="inlineStr">
        <is>
          <t>Utility and C&amp;I</t>
        </is>
      </c>
      <c r="E399" s="1" t="n"/>
      <c r="F399" s="1" t="inlineStr">
        <is>
          <t>Closed</t>
        </is>
      </c>
      <c r="G399" s="8" t="inlineStr">
        <is>
          <t>Amiya Ranjan Behera</t>
        </is>
      </c>
      <c r="H399" s="8" t="n">
        <v>8917436223</v>
      </c>
      <c r="I399" s="10" t="inlineStr">
        <is>
          <t>PE06052602</t>
        </is>
      </c>
      <c r="J399" s="8" t="inlineStr">
        <is>
          <t>Diode Bypass Module Issue</t>
        </is>
      </c>
      <c r="K399" s="8" t="inlineStr">
        <is>
          <t>Bhavnagar</t>
        </is>
      </c>
      <c r="L399" s="8" t="inlineStr">
        <is>
          <t>Gujarat</t>
        </is>
      </c>
      <c r="M399" s="2" t="inlineStr">
        <is>
          <t>PS</t>
        </is>
      </c>
      <c r="N399" s="1" t="inlineStr">
        <is>
          <t>Cold Soldering</t>
        </is>
      </c>
      <c r="O399" s="11" t="n">
        <v>540</v>
      </c>
      <c r="P399" s="2" t="inlineStr">
        <is>
          <t>NSMP2305191408</t>
        </is>
      </c>
      <c r="Q399" s="14">
        <f>MID(P399,5,2)</f>
        <v/>
      </c>
      <c r="R399" s="14">
        <f>MID(P399,7,2)</f>
        <v/>
      </c>
      <c r="S399" s="1" t="inlineStr">
        <is>
          <t>G2B</t>
        </is>
      </c>
      <c r="T399" s="1" t="inlineStr">
        <is>
          <t>P2 - PEPPL</t>
        </is>
      </c>
      <c r="U399" s="1" t="inlineStr">
        <is>
          <t>P JB Cold Soldering</t>
        </is>
      </c>
      <c r="V399" s="1" t="inlineStr">
        <is>
          <t>Soldering</t>
        </is>
      </c>
      <c r="W399" s="1" t="inlineStr">
        <is>
          <t>Repair</t>
        </is>
      </c>
      <c r="X399" s="5" t="n">
        <v>46176</v>
      </c>
      <c r="Y399" s="1">
        <f>IF(X399="","",X399-A399)</f>
        <v/>
      </c>
      <c r="Z399" s="5" t="n">
        <v>46176</v>
      </c>
      <c r="AA399" s="3" t="n"/>
      <c r="AB399" s="3" t="n"/>
      <c r="AE399" s="146">
        <f>IF(AND(F399="Closed",X399&gt;=DATE(2026,6,1),X399&lt;=DATE(2026,6,30)),"Closed in June","other")</f>
        <v/>
      </c>
    </row>
    <row r="400" hidden="1">
      <c r="A400" s="9" t="n">
        <v>46148</v>
      </c>
      <c r="B400" s="1" t="n">
        <v>2026</v>
      </c>
      <c r="C400" s="8" t="inlineStr">
        <is>
          <t>Continuum</t>
        </is>
      </c>
      <c r="D400" s="1" t="inlineStr">
        <is>
          <t>Utility and C&amp;I</t>
        </is>
      </c>
      <c r="E400" s="1" t="n"/>
      <c r="F400" s="1" t="inlineStr">
        <is>
          <t>Closed</t>
        </is>
      </c>
      <c r="G400" s="8" t="inlineStr">
        <is>
          <t>Amiya Ranjan Behera</t>
        </is>
      </c>
      <c r="H400" s="8" t="n">
        <v>8917436223</v>
      </c>
      <c r="I400" s="10" t="inlineStr">
        <is>
          <t>PE06052602</t>
        </is>
      </c>
      <c r="J400" s="8" t="inlineStr">
        <is>
          <t>Diode Bypass Module Issue</t>
        </is>
      </c>
      <c r="K400" s="8" t="inlineStr">
        <is>
          <t>Bhavnagar</t>
        </is>
      </c>
      <c r="L400" s="8" t="inlineStr">
        <is>
          <t>Gujarat</t>
        </is>
      </c>
      <c r="M400" s="2" t="inlineStr">
        <is>
          <t>PS</t>
        </is>
      </c>
      <c r="N400" s="1" t="inlineStr">
        <is>
          <t>Cold Soldering</t>
        </is>
      </c>
      <c r="O400" s="11" t="n">
        <v>540</v>
      </c>
      <c r="P400" s="2" t="inlineStr">
        <is>
          <t>NSMP2305191757</t>
        </is>
      </c>
      <c r="Q400" s="14">
        <f>MID(P400,5,2)</f>
        <v/>
      </c>
      <c r="R400" s="14">
        <f>MID(P400,7,2)</f>
        <v/>
      </c>
      <c r="S400" s="1" t="inlineStr">
        <is>
          <t>G2B</t>
        </is>
      </c>
      <c r="T400" s="1" t="inlineStr">
        <is>
          <t>P2 - PEPPL</t>
        </is>
      </c>
      <c r="U400" s="1" t="inlineStr">
        <is>
          <t>P JB Cold Soldering</t>
        </is>
      </c>
      <c r="V400" s="1" t="inlineStr">
        <is>
          <t>Soldering</t>
        </is>
      </c>
      <c r="W400" s="1" t="inlineStr">
        <is>
          <t>Repair</t>
        </is>
      </c>
      <c r="X400" s="5" t="n">
        <v>46176</v>
      </c>
      <c r="Y400" s="1">
        <f>IF(X400="","",X400-A400)</f>
        <v/>
      </c>
      <c r="Z400" s="5" t="n">
        <v>46176</v>
      </c>
      <c r="AA400" s="3" t="n"/>
      <c r="AB400" s="3" t="n"/>
      <c r="AE400" s="146">
        <f>IF(AND(F400="Closed",X400&gt;=DATE(2026,6,1),X400&lt;=DATE(2026,6,30)),"Closed in June","other")</f>
        <v/>
      </c>
    </row>
    <row r="401" hidden="1">
      <c r="A401" s="9" t="n">
        <v>46148</v>
      </c>
      <c r="B401" s="1" t="n">
        <v>2026</v>
      </c>
      <c r="C401" s="8" t="inlineStr">
        <is>
          <t>Continuum</t>
        </is>
      </c>
      <c r="D401" s="1" t="inlineStr">
        <is>
          <t>Utility and C&amp;I</t>
        </is>
      </c>
      <c r="E401" s="1" t="n"/>
      <c r="F401" s="1" t="inlineStr">
        <is>
          <t>Closed</t>
        </is>
      </c>
      <c r="G401" s="8" t="inlineStr">
        <is>
          <t>Amiya Ranjan Behera</t>
        </is>
      </c>
      <c r="H401" s="8" t="n">
        <v>8917436223</v>
      </c>
      <c r="I401" s="10" t="inlineStr">
        <is>
          <t>PE06052602</t>
        </is>
      </c>
      <c r="J401" s="8" t="inlineStr">
        <is>
          <t>Diode Bypass Module Issue</t>
        </is>
      </c>
      <c r="K401" s="8" t="inlineStr">
        <is>
          <t>Bhavnagar</t>
        </is>
      </c>
      <c r="L401" s="8" t="inlineStr">
        <is>
          <t>Gujarat</t>
        </is>
      </c>
      <c r="M401" s="2" t="inlineStr">
        <is>
          <t>PS</t>
        </is>
      </c>
      <c r="N401" s="1" t="inlineStr">
        <is>
          <t>Cold Soldering</t>
        </is>
      </c>
      <c r="O401" s="11" t="n">
        <v>540</v>
      </c>
      <c r="P401" s="2" t="inlineStr">
        <is>
          <t>NSMP2305191732</t>
        </is>
      </c>
      <c r="Q401" s="14">
        <f>MID(P401,5,2)</f>
        <v/>
      </c>
      <c r="R401" s="14">
        <f>MID(P401,7,2)</f>
        <v/>
      </c>
      <c r="S401" s="1" t="inlineStr">
        <is>
          <t>G2B</t>
        </is>
      </c>
      <c r="T401" s="1" t="inlineStr">
        <is>
          <t>P2 - PEPPL</t>
        </is>
      </c>
      <c r="U401" s="1" t="inlineStr">
        <is>
          <t>P JB Cold Soldering</t>
        </is>
      </c>
      <c r="V401" s="1" t="inlineStr">
        <is>
          <t>Soldering</t>
        </is>
      </c>
      <c r="W401" s="1" t="inlineStr">
        <is>
          <t>Repair</t>
        </is>
      </c>
      <c r="X401" s="5" t="n">
        <v>46176</v>
      </c>
      <c r="Y401" s="1">
        <f>IF(X401="","",X401-A401)</f>
        <v/>
      </c>
      <c r="Z401" s="5" t="n">
        <v>46176</v>
      </c>
      <c r="AA401" s="3" t="n"/>
      <c r="AB401" s="3" t="n"/>
      <c r="AE401" s="146">
        <f>IF(AND(F401="Closed",X401&gt;=DATE(2026,6,1),X401&lt;=DATE(2026,6,30)),"Closed in June","other")</f>
        <v/>
      </c>
    </row>
    <row r="402" hidden="1">
      <c r="A402" s="9" t="n">
        <v>46148</v>
      </c>
      <c r="B402" s="1" t="n">
        <v>2026</v>
      </c>
      <c r="C402" s="8" t="inlineStr">
        <is>
          <t>Continuum</t>
        </is>
      </c>
      <c r="D402" s="1" t="inlineStr">
        <is>
          <t>Utility and C&amp;I</t>
        </is>
      </c>
      <c r="E402" s="1" t="n"/>
      <c r="F402" s="1" t="inlineStr">
        <is>
          <t>Closed</t>
        </is>
      </c>
      <c r="G402" s="8" t="inlineStr">
        <is>
          <t>Amiya Ranjan Behera</t>
        </is>
      </c>
      <c r="H402" s="8" t="n">
        <v>8917436223</v>
      </c>
      <c r="I402" s="10" t="inlineStr">
        <is>
          <t>PE06052602</t>
        </is>
      </c>
      <c r="J402" s="8" t="inlineStr">
        <is>
          <t>Diode Bypass Module Issue</t>
        </is>
      </c>
      <c r="K402" s="8" t="inlineStr">
        <is>
          <t>Bhavnagar</t>
        </is>
      </c>
      <c r="L402" s="8" t="inlineStr">
        <is>
          <t>Gujarat</t>
        </is>
      </c>
      <c r="M402" s="2" t="inlineStr">
        <is>
          <t>PS</t>
        </is>
      </c>
      <c r="N402" s="1" t="inlineStr">
        <is>
          <t>Cold Soldering</t>
        </is>
      </c>
      <c r="O402" s="11" t="n">
        <v>540</v>
      </c>
      <c r="P402" s="2" t="inlineStr">
        <is>
          <t>NSMP2305191748</t>
        </is>
      </c>
      <c r="Q402" s="14">
        <f>MID(P402,5,2)</f>
        <v/>
      </c>
      <c r="R402" s="14">
        <f>MID(P402,7,2)</f>
        <v/>
      </c>
      <c r="S402" s="1" t="inlineStr">
        <is>
          <t>G2B</t>
        </is>
      </c>
      <c r="T402" s="1" t="inlineStr">
        <is>
          <t>P2 - PEPPL</t>
        </is>
      </c>
      <c r="U402" s="1" t="inlineStr">
        <is>
          <t>P JB Cold Soldering</t>
        </is>
      </c>
      <c r="V402" s="1" t="inlineStr">
        <is>
          <t>Soldering</t>
        </is>
      </c>
      <c r="W402" s="1" t="inlineStr">
        <is>
          <t>Repair</t>
        </is>
      </c>
      <c r="X402" s="5" t="n">
        <v>46176</v>
      </c>
      <c r="Y402" s="1">
        <f>IF(X402="","",X402-A402)</f>
        <v/>
      </c>
      <c r="Z402" s="5" t="n">
        <v>46176</v>
      </c>
      <c r="AA402" s="3" t="n"/>
      <c r="AB402" s="3" t="n"/>
      <c r="AE402" s="146">
        <f>IF(AND(F402="Closed",X402&gt;=DATE(2026,6,1),X402&lt;=DATE(2026,6,30)),"Closed in June","other")</f>
        <v/>
      </c>
    </row>
    <row r="403" hidden="1">
      <c r="A403" s="9" t="n">
        <v>46148</v>
      </c>
      <c r="B403" s="1" t="n">
        <v>2026</v>
      </c>
      <c r="C403" s="8" t="inlineStr">
        <is>
          <t>Continuum</t>
        </is>
      </c>
      <c r="D403" s="1" t="inlineStr">
        <is>
          <t>Utility and C&amp;I</t>
        </is>
      </c>
      <c r="E403" s="1" t="n"/>
      <c r="F403" s="1" t="inlineStr">
        <is>
          <t>Closed</t>
        </is>
      </c>
      <c r="G403" s="8" t="inlineStr">
        <is>
          <t>Amiya Ranjan Behera</t>
        </is>
      </c>
      <c r="H403" s="8" t="n">
        <v>8917436223</v>
      </c>
      <c r="I403" s="10" t="inlineStr">
        <is>
          <t>PE06052602</t>
        </is>
      </c>
      <c r="J403" s="8" t="inlineStr">
        <is>
          <t>Diode Bypass Module Issue</t>
        </is>
      </c>
      <c r="K403" s="8" t="inlineStr">
        <is>
          <t>Bhavnagar</t>
        </is>
      </c>
      <c r="L403" s="8" t="inlineStr">
        <is>
          <t>Gujarat</t>
        </is>
      </c>
      <c r="M403" s="2" t="inlineStr">
        <is>
          <t>PS</t>
        </is>
      </c>
      <c r="N403" s="1" t="inlineStr">
        <is>
          <t>Cold Soldering</t>
        </is>
      </c>
      <c r="O403" s="11" t="n">
        <v>540</v>
      </c>
      <c r="P403" s="2" t="inlineStr">
        <is>
          <t>NSMP2305191733</t>
        </is>
      </c>
      <c r="Q403" s="14">
        <f>MID(P403,5,2)</f>
        <v/>
      </c>
      <c r="R403" s="14">
        <f>MID(P403,7,2)</f>
        <v/>
      </c>
      <c r="S403" s="1" t="inlineStr">
        <is>
          <t>G2B</t>
        </is>
      </c>
      <c r="T403" s="1" t="inlineStr">
        <is>
          <t>P2 - PEPPL</t>
        </is>
      </c>
      <c r="U403" s="1" t="inlineStr">
        <is>
          <t>P JB Cold Soldering</t>
        </is>
      </c>
      <c r="V403" s="1" t="inlineStr">
        <is>
          <t>Soldering</t>
        </is>
      </c>
      <c r="W403" s="1" t="inlineStr">
        <is>
          <t>Repair</t>
        </is>
      </c>
      <c r="X403" s="5" t="n">
        <v>46176</v>
      </c>
      <c r="Y403" s="1">
        <f>IF(X403="","",X403-A403)</f>
        <v/>
      </c>
      <c r="Z403" s="5" t="n">
        <v>46176</v>
      </c>
      <c r="AA403" s="3" t="n"/>
      <c r="AB403" s="3" t="n"/>
      <c r="AE403" s="146">
        <f>IF(AND(F403="Closed",X403&gt;=DATE(2026,6,1),X403&lt;=DATE(2026,6,30)),"Closed in June","other")</f>
        <v/>
      </c>
    </row>
    <row r="404" hidden="1">
      <c r="A404" s="9" t="n">
        <v>46148</v>
      </c>
      <c r="B404" s="1" t="n">
        <v>2026</v>
      </c>
      <c r="C404" s="8" t="inlineStr">
        <is>
          <t>Continuum</t>
        </is>
      </c>
      <c r="D404" s="1" t="inlineStr">
        <is>
          <t>Utility and C&amp;I</t>
        </is>
      </c>
      <c r="E404" s="1" t="n"/>
      <c r="F404" s="1" t="inlineStr">
        <is>
          <t>Closed</t>
        </is>
      </c>
      <c r="G404" s="8" t="inlineStr">
        <is>
          <t>Amiya Ranjan Behera</t>
        </is>
      </c>
      <c r="H404" s="8" t="n">
        <v>8917436223</v>
      </c>
      <c r="I404" s="10" t="inlineStr">
        <is>
          <t>PE06052602</t>
        </is>
      </c>
      <c r="J404" s="8" t="inlineStr">
        <is>
          <t>Diode Bypass Module Issue</t>
        </is>
      </c>
      <c r="K404" s="8" t="inlineStr">
        <is>
          <t>Bhavnagar</t>
        </is>
      </c>
      <c r="L404" s="8" t="inlineStr">
        <is>
          <t>Gujarat</t>
        </is>
      </c>
      <c r="M404" s="2" t="inlineStr">
        <is>
          <t>PS</t>
        </is>
      </c>
      <c r="N404" s="1" t="inlineStr">
        <is>
          <t>Cold Soldering</t>
        </is>
      </c>
      <c r="O404" s="11" t="n">
        <v>540</v>
      </c>
      <c r="P404" s="2" t="inlineStr">
        <is>
          <t>NSMP2305191734</t>
        </is>
      </c>
      <c r="Q404" s="14">
        <f>MID(P404,5,2)</f>
        <v/>
      </c>
      <c r="R404" s="14">
        <f>MID(P404,7,2)</f>
        <v/>
      </c>
      <c r="S404" s="1" t="inlineStr">
        <is>
          <t>G2B</t>
        </is>
      </c>
      <c r="T404" s="1" t="inlineStr">
        <is>
          <t>P2 - PEPPL</t>
        </is>
      </c>
      <c r="U404" s="1" t="inlineStr">
        <is>
          <t>P JB Cold Soldering</t>
        </is>
      </c>
      <c r="V404" s="1" t="inlineStr">
        <is>
          <t>Soldering</t>
        </is>
      </c>
      <c r="W404" s="1" t="inlineStr">
        <is>
          <t>Repair</t>
        </is>
      </c>
      <c r="X404" s="5" t="n">
        <v>46176</v>
      </c>
      <c r="Y404" s="1">
        <f>IF(X404="","",X404-A404)</f>
        <v/>
      </c>
      <c r="Z404" s="5" t="n">
        <v>46176</v>
      </c>
      <c r="AA404" s="3" t="n"/>
      <c r="AB404" s="3" t="n"/>
      <c r="AE404" s="146">
        <f>IF(AND(F404="Closed",X404&gt;=DATE(2026,6,1),X404&lt;=DATE(2026,6,30)),"Closed in June","other")</f>
        <v/>
      </c>
    </row>
    <row r="405" hidden="1">
      <c r="A405" s="9" t="n">
        <v>46148</v>
      </c>
      <c r="B405" s="1" t="n">
        <v>2026</v>
      </c>
      <c r="C405" s="8" t="inlineStr">
        <is>
          <t>Continuum</t>
        </is>
      </c>
      <c r="D405" s="1" t="inlineStr">
        <is>
          <t>Utility and C&amp;I</t>
        </is>
      </c>
      <c r="E405" s="1" t="n"/>
      <c r="F405" s="1" t="inlineStr">
        <is>
          <t>Closed</t>
        </is>
      </c>
      <c r="G405" s="8" t="inlineStr">
        <is>
          <t>Amiya Ranjan Behera</t>
        </is>
      </c>
      <c r="H405" s="8" t="n">
        <v>8917436223</v>
      </c>
      <c r="I405" s="10" t="inlineStr">
        <is>
          <t>PE06052602</t>
        </is>
      </c>
      <c r="J405" s="8" t="inlineStr">
        <is>
          <t>Diode Bypass Module Issue</t>
        </is>
      </c>
      <c r="K405" s="8" t="inlineStr">
        <is>
          <t>Bhavnagar</t>
        </is>
      </c>
      <c r="L405" s="8" t="inlineStr">
        <is>
          <t>Gujarat</t>
        </is>
      </c>
      <c r="M405" s="2" t="inlineStr">
        <is>
          <t>PS</t>
        </is>
      </c>
      <c r="N405" s="1" t="inlineStr">
        <is>
          <t>Cold Soldering</t>
        </is>
      </c>
      <c r="O405" s="11" t="n">
        <v>540</v>
      </c>
      <c r="P405" s="2" t="inlineStr">
        <is>
          <t>NSMP2305191530</t>
        </is>
      </c>
      <c r="Q405" s="14">
        <f>MID(P405,5,2)</f>
        <v/>
      </c>
      <c r="R405" s="14">
        <f>MID(P405,7,2)</f>
        <v/>
      </c>
      <c r="S405" s="1" t="inlineStr">
        <is>
          <t>G2B</t>
        </is>
      </c>
      <c r="T405" s="1" t="inlineStr">
        <is>
          <t>P2 - PEPPL</t>
        </is>
      </c>
      <c r="U405" s="1" t="inlineStr">
        <is>
          <t>P JB Cold Soldering</t>
        </is>
      </c>
      <c r="V405" s="1" t="inlineStr">
        <is>
          <t>Soldering</t>
        </is>
      </c>
      <c r="W405" s="1" t="inlineStr">
        <is>
          <t>Repair</t>
        </is>
      </c>
      <c r="X405" s="5" t="n">
        <v>46176</v>
      </c>
      <c r="Y405" s="1">
        <f>IF(X405="","",X405-A405)</f>
        <v/>
      </c>
      <c r="Z405" s="5" t="n">
        <v>46176</v>
      </c>
      <c r="AA405" s="3" t="n"/>
      <c r="AB405" s="3" t="n"/>
      <c r="AE405" s="146">
        <f>IF(AND(F405="Closed",X405&gt;=DATE(2026,6,1),X405&lt;=DATE(2026,6,30)),"Closed in June","other")</f>
        <v/>
      </c>
    </row>
    <row r="406" hidden="1">
      <c r="A406" s="9" t="n">
        <v>46148</v>
      </c>
      <c r="B406" s="1" t="n">
        <v>2026</v>
      </c>
      <c r="C406" s="8" t="inlineStr">
        <is>
          <t>Continuum</t>
        </is>
      </c>
      <c r="D406" s="1" t="inlineStr">
        <is>
          <t>Utility and C&amp;I</t>
        </is>
      </c>
      <c r="E406" s="1" t="n"/>
      <c r="F406" s="1" t="inlineStr">
        <is>
          <t>Closed</t>
        </is>
      </c>
      <c r="G406" s="8" t="inlineStr">
        <is>
          <t>Amiya Ranjan Behera</t>
        </is>
      </c>
      <c r="H406" s="8" t="n">
        <v>8917436223</v>
      </c>
      <c r="I406" s="10" t="inlineStr">
        <is>
          <t>PE06052602</t>
        </is>
      </c>
      <c r="J406" s="8" t="inlineStr">
        <is>
          <t>Diode Bypass Module Issue</t>
        </is>
      </c>
      <c r="K406" s="8" t="inlineStr">
        <is>
          <t>Bhavnagar</t>
        </is>
      </c>
      <c r="L406" s="8" t="inlineStr">
        <is>
          <t>Gujarat</t>
        </is>
      </c>
      <c r="M406" s="2" t="inlineStr">
        <is>
          <t>PS</t>
        </is>
      </c>
      <c r="N406" s="1" t="inlineStr">
        <is>
          <t>Cold Soldering</t>
        </is>
      </c>
      <c r="O406" s="11" t="n">
        <v>540</v>
      </c>
      <c r="P406" s="2" t="inlineStr">
        <is>
          <t>NSMP2305193766</t>
        </is>
      </c>
      <c r="Q406" s="14">
        <f>MID(P406,5,2)</f>
        <v/>
      </c>
      <c r="R406" s="14">
        <f>MID(P406,7,2)</f>
        <v/>
      </c>
      <c r="S406" s="1" t="inlineStr">
        <is>
          <t>G2B</t>
        </is>
      </c>
      <c r="T406" s="1" t="inlineStr">
        <is>
          <t>P2 - PEPPL</t>
        </is>
      </c>
      <c r="U406" s="1" t="inlineStr">
        <is>
          <t>P JB Cold Soldering</t>
        </is>
      </c>
      <c r="V406" s="1" t="inlineStr">
        <is>
          <t>Soldering</t>
        </is>
      </c>
      <c r="W406" s="1" t="inlineStr">
        <is>
          <t>Repair</t>
        </is>
      </c>
      <c r="X406" s="5" t="n">
        <v>46176</v>
      </c>
      <c r="Y406" s="1">
        <f>IF(X406="","",X406-A406)</f>
        <v/>
      </c>
      <c r="Z406" s="5" t="n">
        <v>46176</v>
      </c>
      <c r="AA406" s="3" t="n"/>
      <c r="AB406" s="3" t="n"/>
      <c r="AE406" s="146">
        <f>IF(AND(F406="Closed",X406&gt;=DATE(2026,6,1),X406&lt;=DATE(2026,6,30)),"Closed in June","other")</f>
        <v/>
      </c>
    </row>
    <row r="407" hidden="1">
      <c r="A407" s="9" t="n">
        <v>46148</v>
      </c>
      <c r="B407" s="1" t="n">
        <v>2026</v>
      </c>
      <c r="C407" s="8" t="inlineStr">
        <is>
          <t>Continuum</t>
        </is>
      </c>
      <c r="D407" s="1" t="inlineStr">
        <is>
          <t>Utility and C&amp;I</t>
        </is>
      </c>
      <c r="E407" s="1" t="n"/>
      <c r="F407" s="1" t="inlineStr">
        <is>
          <t>Closed</t>
        </is>
      </c>
      <c r="G407" s="8" t="inlineStr">
        <is>
          <t>Amiya Ranjan Behera</t>
        </is>
      </c>
      <c r="H407" s="8" t="n">
        <v>8917436223</v>
      </c>
      <c r="I407" s="10" t="inlineStr">
        <is>
          <t>PE06052602</t>
        </is>
      </c>
      <c r="J407" s="8" t="inlineStr">
        <is>
          <t>Diode Bypass Module Issue</t>
        </is>
      </c>
      <c r="K407" s="8" t="inlineStr">
        <is>
          <t>Bhavnagar</t>
        </is>
      </c>
      <c r="L407" s="8" t="inlineStr">
        <is>
          <t>Gujarat</t>
        </is>
      </c>
      <c r="M407" s="2" t="inlineStr">
        <is>
          <t>PS</t>
        </is>
      </c>
      <c r="N407" s="1" t="inlineStr">
        <is>
          <t>Cold Soldering</t>
        </is>
      </c>
      <c r="O407" s="11" t="n">
        <v>540</v>
      </c>
      <c r="P407" s="2" t="inlineStr">
        <is>
          <t>NSMP2305189799</t>
        </is>
      </c>
      <c r="Q407" s="14">
        <f>MID(P407,5,2)</f>
        <v/>
      </c>
      <c r="R407" s="14">
        <f>MID(P407,7,2)</f>
        <v/>
      </c>
      <c r="S407" s="1" t="inlineStr">
        <is>
          <t>G2B</t>
        </is>
      </c>
      <c r="T407" s="1" t="inlineStr">
        <is>
          <t>P2 - PEPPL</t>
        </is>
      </c>
      <c r="U407" s="1" t="inlineStr">
        <is>
          <t>P JB Cold Soldering</t>
        </is>
      </c>
      <c r="V407" s="1" t="inlineStr">
        <is>
          <t>Soldering</t>
        </is>
      </c>
      <c r="W407" s="1" t="inlineStr">
        <is>
          <t>Repair</t>
        </is>
      </c>
      <c r="X407" s="5" t="n">
        <v>46176</v>
      </c>
      <c r="Y407" s="1">
        <f>IF(X407="","",X407-A407)</f>
        <v/>
      </c>
      <c r="Z407" s="5" t="n">
        <v>46176</v>
      </c>
      <c r="AA407" s="3" t="n"/>
      <c r="AB407" s="3" t="n"/>
      <c r="AE407" s="146">
        <f>IF(AND(F407="Closed",X407&gt;=DATE(2026,6,1),X407&lt;=DATE(2026,6,30)),"Closed in June","other")</f>
        <v/>
      </c>
    </row>
    <row r="408" hidden="1">
      <c r="A408" s="9" t="n">
        <v>46148</v>
      </c>
      <c r="B408" s="1" t="n">
        <v>2026</v>
      </c>
      <c r="C408" s="8" t="inlineStr">
        <is>
          <t>Continuum</t>
        </is>
      </c>
      <c r="D408" s="1" t="inlineStr">
        <is>
          <t>Utility and C&amp;I</t>
        </is>
      </c>
      <c r="E408" s="1" t="n"/>
      <c r="F408" s="1" t="inlineStr">
        <is>
          <t>Closed</t>
        </is>
      </c>
      <c r="G408" s="8" t="inlineStr">
        <is>
          <t>Amiya Ranjan Behera</t>
        </is>
      </c>
      <c r="H408" s="8" t="n">
        <v>8917436223</v>
      </c>
      <c r="I408" s="10" t="inlineStr">
        <is>
          <t>PE06052602</t>
        </is>
      </c>
      <c r="J408" s="8" t="inlineStr">
        <is>
          <t>Diode Bypass Module Issue</t>
        </is>
      </c>
      <c r="K408" s="8" t="inlineStr">
        <is>
          <t>Bhavnagar</t>
        </is>
      </c>
      <c r="L408" s="8" t="inlineStr">
        <is>
          <t>Gujarat</t>
        </is>
      </c>
      <c r="M408" s="2" t="inlineStr">
        <is>
          <t>PR</t>
        </is>
      </c>
      <c r="N408" s="1" t="inlineStr">
        <is>
          <t>JB Issue</t>
        </is>
      </c>
      <c r="O408" s="11" t="n">
        <v>540</v>
      </c>
      <c r="P408" s="2" t="inlineStr">
        <is>
          <t>NSMP2304068799</t>
        </is>
      </c>
      <c r="Q408" s="14">
        <f>MID(P408,5,2)</f>
        <v/>
      </c>
      <c r="R408" s="14">
        <f>MID(P408,7,2)</f>
        <v/>
      </c>
      <c r="S408" s="1" t="inlineStr">
        <is>
          <t>G2B</t>
        </is>
      </c>
      <c r="T408" s="1" t="inlineStr">
        <is>
          <t>P2 - PEPPL</t>
        </is>
      </c>
      <c r="U408" s="1" t="inlineStr">
        <is>
          <t>P JB Issue</t>
        </is>
      </c>
      <c r="V408" s="3" t="inlineStr">
        <is>
          <t>JB Changed</t>
        </is>
      </c>
      <c r="W408" s="1" t="inlineStr">
        <is>
          <t>Repair</t>
        </is>
      </c>
      <c r="X408" s="5" t="n">
        <v>46176</v>
      </c>
      <c r="Y408" s="1">
        <f>IF(X408="","",X408-A408)</f>
        <v/>
      </c>
      <c r="Z408" s="5" t="n">
        <v>46176</v>
      </c>
      <c r="AA408" s="3" t="n"/>
      <c r="AB408" s="3" t="n"/>
      <c r="AE408" s="146">
        <f>IF(AND(F408="Closed",X408&gt;=DATE(2026,6,1),X408&lt;=DATE(2026,6,30)),"Closed in June","other")</f>
        <v/>
      </c>
    </row>
    <row r="409" hidden="1">
      <c r="A409" s="9" t="n">
        <v>46148</v>
      </c>
      <c r="B409" s="1" t="n">
        <v>2026</v>
      </c>
      <c r="C409" s="8" t="inlineStr">
        <is>
          <t>Continuum</t>
        </is>
      </c>
      <c r="D409" s="1" t="inlineStr">
        <is>
          <t>Utility and C&amp;I</t>
        </is>
      </c>
      <c r="E409" s="1" t="n"/>
      <c r="F409" s="1" t="inlineStr">
        <is>
          <t>Closed</t>
        </is>
      </c>
      <c r="G409" s="8" t="inlineStr">
        <is>
          <t>Amiya Ranjan Behera</t>
        </is>
      </c>
      <c r="H409" s="8" t="n">
        <v>8917436223</v>
      </c>
      <c r="I409" s="10" t="inlineStr">
        <is>
          <t>PE06052602</t>
        </is>
      </c>
      <c r="J409" s="8" t="inlineStr">
        <is>
          <t>Diode Bypass Module Issue</t>
        </is>
      </c>
      <c r="K409" s="8" t="inlineStr">
        <is>
          <t>Bhavnagar</t>
        </is>
      </c>
      <c r="L409" s="8" t="inlineStr">
        <is>
          <t>Gujarat</t>
        </is>
      </c>
      <c r="M409" s="2" t="inlineStr">
        <is>
          <t>NR</t>
        </is>
      </c>
      <c r="N409" s="8" t="inlineStr">
        <is>
          <t>JB Issue</t>
        </is>
      </c>
      <c r="O409" s="11" t="n">
        <v>540</v>
      </c>
      <c r="P409" s="2" t="inlineStr">
        <is>
          <t>NSMP2305179768</t>
        </is>
      </c>
      <c r="Q409" s="14">
        <f>MID(P409,5,2)</f>
        <v/>
      </c>
      <c r="R409" s="14">
        <f>MID(P409,7,2)</f>
        <v/>
      </c>
      <c r="S409" s="1" t="inlineStr">
        <is>
          <t>G2B</t>
        </is>
      </c>
      <c r="T409" s="1" t="inlineStr">
        <is>
          <t>P2 - PEPPL</t>
        </is>
      </c>
      <c r="U409" s="6" t="inlineStr">
        <is>
          <t>N JB Issue</t>
        </is>
      </c>
      <c r="V409" s="6" t="inlineStr">
        <is>
          <t>JB Changed</t>
        </is>
      </c>
      <c r="W409" s="1" t="inlineStr">
        <is>
          <t>Repair</t>
        </is>
      </c>
      <c r="X409" s="5" t="n">
        <v>46176</v>
      </c>
      <c r="Y409" s="1">
        <f>IF(X409="","",X409-A409)</f>
        <v/>
      </c>
      <c r="Z409" s="5" t="n">
        <v>46176</v>
      </c>
      <c r="AA409" s="3" t="n"/>
      <c r="AB409" s="3" t="n"/>
      <c r="AE409" s="146">
        <f>IF(AND(F409="Closed",X409&gt;=DATE(2026,6,1),X409&lt;=DATE(2026,6,30)),"Closed in June","other")</f>
        <v/>
      </c>
    </row>
    <row r="410" hidden="1">
      <c r="A410" s="9" t="n">
        <v>46148</v>
      </c>
      <c r="B410" s="1" t="n">
        <v>2026</v>
      </c>
      <c r="C410" s="8" t="inlineStr">
        <is>
          <t>Continuum</t>
        </is>
      </c>
      <c r="D410" s="1" t="inlineStr">
        <is>
          <t>Utility and C&amp;I</t>
        </is>
      </c>
      <c r="E410" s="1" t="n"/>
      <c r="F410" s="1" t="inlineStr">
        <is>
          <t>Closed</t>
        </is>
      </c>
      <c r="G410" s="8" t="inlineStr">
        <is>
          <t>Amiya Ranjan Behera</t>
        </is>
      </c>
      <c r="H410" s="8" t="n">
        <v>8917436223</v>
      </c>
      <c r="I410" s="10" t="inlineStr">
        <is>
          <t>PE06052602</t>
        </is>
      </c>
      <c r="J410" s="8" t="inlineStr">
        <is>
          <t>Diode Bypass Module Issue</t>
        </is>
      </c>
      <c r="K410" s="8" t="inlineStr">
        <is>
          <t>Bhavnagar</t>
        </is>
      </c>
      <c r="L410" s="8" t="inlineStr">
        <is>
          <t>Gujarat</t>
        </is>
      </c>
      <c r="M410" s="2" t="inlineStr">
        <is>
          <t>PS</t>
        </is>
      </c>
      <c r="N410" s="1" t="inlineStr">
        <is>
          <t>Cold Soldering</t>
        </is>
      </c>
      <c r="O410" s="11" t="n">
        <v>540</v>
      </c>
      <c r="P410" s="2" t="inlineStr">
        <is>
          <t>NSMP2305195037</t>
        </is>
      </c>
      <c r="Q410" s="14">
        <f>MID(P410,5,2)</f>
        <v/>
      </c>
      <c r="R410" s="14">
        <f>MID(P410,7,2)</f>
        <v/>
      </c>
      <c r="S410" s="1" t="inlineStr">
        <is>
          <t>G2B</t>
        </is>
      </c>
      <c r="T410" s="1" t="inlineStr">
        <is>
          <t>P2 - PEPPL</t>
        </is>
      </c>
      <c r="U410" s="1" t="inlineStr">
        <is>
          <t>P JB Cold Soldering</t>
        </is>
      </c>
      <c r="V410" s="1" t="inlineStr">
        <is>
          <t>Soldering</t>
        </is>
      </c>
      <c r="W410" s="1" t="inlineStr">
        <is>
          <t>Repair</t>
        </is>
      </c>
      <c r="X410" s="5" t="n">
        <v>46176</v>
      </c>
      <c r="Y410" s="1">
        <f>IF(X410="","",X410-A410)</f>
        <v/>
      </c>
      <c r="Z410" s="5" t="n">
        <v>46176</v>
      </c>
      <c r="AA410" s="3" t="n"/>
      <c r="AB410" s="3" t="n"/>
      <c r="AE410" s="146">
        <f>IF(AND(F410="Closed",X410&gt;=DATE(2026,6,1),X410&lt;=DATE(2026,6,30)),"Closed in June","other")</f>
        <v/>
      </c>
    </row>
    <row r="411" hidden="1">
      <c r="A411" s="9" t="n">
        <v>46148</v>
      </c>
      <c r="B411" s="1" t="n">
        <v>2026</v>
      </c>
      <c r="C411" s="8" t="inlineStr">
        <is>
          <t>Continuum</t>
        </is>
      </c>
      <c r="D411" s="1" t="inlineStr">
        <is>
          <t>Utility and C&amp;I</t>
        </is>
      </c>
      <c r="E411" s="1" t="n"/>
      <c r="F411" s="1" t="inlineStr">
        <is>
          <t>Closed</t>
        </is>
      </c>
      <c r="G411" s="8" t="inlineStr">
        <is>
          <t>Amiya Ranjan Behera</t>
        </is>
      </c>
      <c r="H411" s="8" t="n">
        <v>8917436223</v>
      </c>
      <c r="I411" s="10" t="inlineStr">
        <is>
          <t>PE06052602</t>
        </is>
      </c>
      <c r="J411" s="8" t="inlineStr">
        <is>
          <t>Diode Bypass Module Issue</t>
        </is>
      </c>
      <c r="K411" s="8" t="inlineStr">
        <is>
          <t>Bhavnagar</t>
        </is>
      </c>
      <c r="L411" s="8" t="inlineStr">
        <is>
          <t>Gujarat</t>
        </is>
      </c>
      <c r="M411" s="2" t="inlineStr">
        <is>
          <t>PS</t>
        </is>
      </c>
      <c r="N411" s="1" t="inlineStr">
        <is>
          <t>Cold Soldering</t>
        </is>
      </c>
      <c r="O411" s="11" t="n">
        <v>540</v>
      </c>
      <c r="P411" s="2" t="inlineStr">
        <is>
          <t>NSMP2305189931</t>
        </is>
      </c>
      <c r="Q411" s="14">
        <f>MID(P411,5,2)</f>
        <v/>
      </c>
      <c r="R411" s="14">
        <f>MID(P411,7,2)</f>
        <v/>
      </c>
      <c r="S411" s="1" t="inlineStr">
        <is>
          <t>G2B</t>
        </is>
      </c>
      <c r="T411" s="1" t="inlineStr">
        <is>
          <t>P2 - PEPPL</t>
        </is>
      </c>
      <c r="U411" s="1" t="inlineStr">
        <is>
          <t>P JB Cold Soldering</t>
        </is>
      </c>
      <c r="V411" s="1" t="inlineStr">
        <is>
          <t>Soldering</t>
        </is>
      </c>
      <c r="W411" s="1" t="inlineStr">
        <is>
          <t>Repair</t>
        </is>
      </c>
      <c r="X411" s="5" t="n">
        <v>46176</v>
      </c>
      <c r="Y411" s="1">
        <f>IF(X411="","",X411-A411)</f>
        <v/>
      </c>
      <c r="Z411" s="5" t="n">
        <v>46176</v>
      </c>
      <c r="AA411" s="3" t="n"/>
      <c r="AB411" s="3" t="n"/>
      <c r="AE411" s="146">
        <f>IF(AND(F411="Closed",X411&gt;=DATE(2026,6,1),X411&lt;=DATE(2026,6,30)),"Closed in June","other")</f>
        <v/>
      </c>
    </row>
    <row r="412" hidden="1">
      <c r="A412" s="9" t="n">
        <v>46148</v>
      </c>
      <c r="B412" s="1" t="n">
        <v>2026</v>
      </c>
      <c r="C412" s="8" t="inlineStr">
        <is>
          <t>Continuum</t>
        </is>
      </c>
      <c r="D412" s="1" t="inlineStr">
        <is>
          <t>Utility and C&amp;I</t>
        </is>
      </c>
      <c r="E412" s="1" t="n"/>
      <c r="F412" s="1" t="inlineStr">
        <is>
          <t>Closed</t>
        </is>
      </c>
      <c r="G412" s="8" t="inlineStr">
        <is>
          <t>Amiya Ranjan Behera</t>
        </is>
      </c>
      <c r="H412" s="8" t="n">
        <v>8917436223</v>
      </c>
      <c r="I412" s="10" t="inlineStr">
        <is>
          <t>PE06052602</t>
        </is>
      </c>
      <c r="J412" s="8" t="inlineStr">
        <is>
          <t>Diode Bypass Module Issue</t>
        </is>
      </c>
      <c r="K412" s="8" t="inlineStr">
        <is>
          <t>Bhavnagar</t>
        </is>
      </c>
      <c r="L412" s="8" t="inlineStr">
        <is>
          <t>Gujarat</t>
        </is>
      </c>
      <c r="M412" s="2" t="inlineStr">
        <is>
          <t>PS</t>
        </is>
      </c>
      <c r="N412" s="1" t="inlineStr">
        <is>
          <t>Cold Soldering</t>
        </is>
      </c>
      <c r="O412" s="11" t="n">
        <v>540</v>
      </c>
      <c r="P412" s="2" t="inlineStr">
        <is>
          <t>NSMP2305190662</t>
        </is>
      </c>
      <c r="Q412" s="14">
        <f>MID(P412,5,2)</f>
        <v/>
      </c>
      <c r="R412" s="14">
        <f>MID(P412,7,2)</f>
        <v/>
      </c>
      <c r="S412" s="1" t="inlineStr">
        <is>
          <t>G2B</t>
        </is>
      </c>
      <c r="T412" s="1" t="inlineStr">
        <is>
          <t>P2 - PEPPL</t>
        </is>
      </c>
      <c r="U412" s="1" t="inlineStr">
        <is>
          <t>P JB Cold Soldering</t>
        </is>
      </c>
      <c r="V412" s="1" t="inlineStr">
        <is>
          <t>Soldering</t>
        </is>
      </c>
      <c r="W412" s="1" t="inlineStr">
        <is>
          <t>Repair</t>
        </is>
      </c>
      <c r="X412" s="5" t="n">
        <v>46176</v>
      </c>
      <c r="Y412" s="1">
        <f>IF(X412="","",X412-A412)</f>
        <v/>
      </c>
      <c r="Z412" s="5" t="n">
        <v>46176</v>
      </c>
      <c r="AA412" s="3" t="n"/>
      <c r="AB412" s="3" t="n"/>
      <c r="AE412" s="146">
        <f>IF(AND(F412="Closed",X412&gt;=DATE(2026,6,1),X412&lt;=DATE(2026,6,30)),"Closed in June","other")</f>
        <v/>
      </c>
    </row>
    <row r="413" hidden="1">
      <c r="A413" s="9" t="n">
        <v>46148</v>
      </c>
      <c r="B413" s="1" t="n">
        <v>2026</v>
      </c>
      <c r="C413" s="8" t="inlineStr">
        <is>
          <t>Continuum</t>
        </is>
      </c>
      <c r="D413" s="1" t="inlineStr">
        <is>
          <t>Utility and C&amp;I</t>
        </is>
      </c>
      <c r="E413" s="1" t="n"/>
      <c r="F413" s="1" t="inlineStr">
        <is>
          <t>Closed</t>
        </is>
      </c>
      <c r="G413" s="8" t="inlineStr">
        <is>
          <t>Amiya Ranjan Behera</t>
        </is>
      </c>
      <c r="H413" s="8" t="n">
        <v>8917436223</v>
      </c>
      <c r="I413" s="10" t="inlineStr">
        <is>
          <t>PE06052602</t>
        </is>
      </c>
      <c r="J413" s="8" t="inlineStr">
        <is>
          <t>Diode Bypass Module Issue</t>
        </is>
      </c>
      <c r="K413" s="8" t="inlineStr">
        <is>
          <t>Bhavnagar</t>
        </is>
      </c>
      <c r="L413" s="8" t="inlineStr">
        <is>
          <t>Gujarat</t>
        </is>
      </c>
      <c r="M413" s="2" t="inlineStr">
        <is>
          <t>PS</t>
        </is>
      </c>
      <c r="N413" s="1" t="inlineStr">
        <is>
          <t>Cold Soldering</t>
        </is>
      </c>
      <c r="O413" s="11" t="n">
        <v>540</v>
      </c>
      <c r="P413" s="2" t="inlineStr">
        <is>
          <t>NSMP2305190714</t>
        </is>
      </c>
      <c r="Q413" s="14">
        <f>MID(P413,5,2)</f>
        <v/>
      </c>
      <c r="R413" s="14">
        <f>MID(P413,7,2)</f>
        <v/>
      </c>
      <c r="S413" s="1" t="inlineStr">
        <is>
          <t>G2B</t>
        </is>
      </c>
      <c r="T413" s="1" t="inlineStr">
        <is>
          <t>P2 - PEPPL</t>
        </is>
      </c>
      <c r="U413" s="1" t="inlineStr">
        <is>
          <t>P JB Cold Soldering</t>
        </is>
      </c>
      <c r="V413" s="1" t="inlineStr">
        <is>
          <t>Soldering</t>
        </is>
      </c>
      <c r="W413" s="1" t="inlineStr">
        <is>
          <t>Repair</t>
        </is>
      </c>
      <c r="X413" s="5" t="n">
        <v>46176</v>
      </c>
      <c r="Y413" s="1">
        <f>IF(X413="","",X413-A413)</f>
        <v/>
      </c>
      <c r="Z413" s="5" t="n">
        <v>46176</v>
      </c>
      <c r="AA413" s="3" t="n"/>
      <c r="AB413" s="3" t="n"/>
      <c r="AE413" s="146">
        <f>IF(AND(F413="Closed",X413&gt;=DATE(2026,6,1),X413&lt;=DATE(2026,6,30)),"Closed in June","other")</f>
        <v/>
      </c>
    </row>
    <row r="414" hidden="1">
      <c r="A414" s="9" t="n">
        <v>46148</v>
      </c>
      <c r="B414" s="1" t="n">
        <v>2026</v>
      </c>
      <c r="C414" s="8" t="inlineStr">
        <is>
          <t>Continuum</t>
        </is>
      </c>
      <c r="D414" s="1" t="inlineStr">
        <is>
          <t>Utility and C&amp;I</t>
        </is>
      </c>
      <c r="E414" s="1" t="n"/>
      <c r="F414" s="1" t="inlineStr">
        <is>
          <t>Closed</t>
        </is>
      </c>
      <c r="G414" s="8" t="inlineStr">
        <is>
          <t>Amiya Ranjan Behera</t>
        </is>
      </c>
      <c r="H414" s="8" t="n">
        <v>8917436223</v>
      </c>
      <c r="I414" s="10" t="inlineStr">
        <is>
          <t>PE06052602</t>
        </is>
      </c>
      <c r="J414" s="8" t="inlineStr">
        <is>
          <t>Diode Bypass Module Issue</t>
        </is>
      </c>
      <c r="K414" s="8" t="inlineStr">
        <is>
          <t>Bhavnagar</t>
        </is>
      </c>
      <c r="L414" s="8" t="inlineStr">
        <is>
          <t>Gujarat</t>
        </is>
      </c>
      <c r="M414" s="2" t="inlineStr">
        <is>
          <t>PS</t>
        </is>
      </c>
      <c r="N414" s="1" t="inlineStr">
        <is>
          <t>Cold Soldering</t>
        </is>
      </c>
      <c r="O414" s="11" t="n">
        <v>540</v>
      </c>
      <c r="P414" s="2" t="inlineStr">
        <is>
          <t>NSMP2305199272</t>
        </is>
      </c>
      <c r="Q414" s="14">
        <f>MID(P414,5,2)</f>
        <v/>
      </c>
      <c r="R414" s="14">
        <f>MID(P414,7,2)</f>
        <v/>
      </c>
      <c r="S414" s="1" t="inlineStr">
        <is>
          <t>G2B</t>
        </is>
      </c>
      <c r="T414" s="1" t="inlineStr">
        <is>
          <t>P2 - PEPPL</t>
        </is>
      </c>
      <c r="U414" s="1" t="inlineStr">
        <is>
          <t>P JB Cold Soldering</t>
        </is>
      </c>
      <c r="V414" s="1" t="inlineStr">
        <is>
          <t>Soldering</t>
        </is>
      </c>
      <c r="W414" s="1" t="inlineStr">
        <is>
          <t>Repair</t>
        </is>
      </c>
      <c r="X414" s="5" t="n">
        <v>46176</v>
      </c>
      <c r="Y414" s="1">
        <f>IF(X414="","",X414-A414)</f>
        <v/>
      </c>
      <c r="Z414" s="5" t="n">
        <v>46176</v>
      </c>
      <c r="AA414" s="3" t="n"/>
      <c r="AB414" s="3" t="n"/>
      <c r="AE414" s="146">
        <f>IF(AND(F414="Closed",X414&gt;=DATE(2026,6,1),X414&lt;=DATE(2026,6,30)),"Closed in June","other")</f>
        <v/>
      </c>
    </row>
    <row r="415" hidden="1">
      <c r="A415" s="9" t="n">
        <v>46148</v>
      </c>
      <c r="B415" s="1" t="n">
        <v>2026</v>
      </c>
      <c r="C415" s="8" t="inlineStr">
        <is>
          <t>Continuum</t>
        </is>
      </c>
      <c r="D415" s="1" t="inlineStr">
        <is>
          <t>Utility and C&amp;I</t>
        </is>
      </c>
      <c r="E415" s="1" t="n"/>
      <c r="F415" s="1" t="inlineStr">
        <is>
          <t>Closed</t>
        </is>
      </c>
      <c r="G415" s="8" t="inlineStr">
        <is>
          <t>Amiya Ranjan Behera</t>
        </is>
      </c>
      <c r="H415" s="8" t="n">
        <v>8917436223</v>
      </c>
      <c r="I415" s="10" t="inlineStr">
        <is>
          <t>PE06052602</t>
        </is>
      </c>
      <c r="J415" s="8" t="inlineStr">
        <is>
          <t>Diode Bypass Module Issue</t>
        </is>
      </c>
      <c r="K415" s="8" t="inlineStr">
        <is>
          <t>Bhavnagar</t>
        </is>
      </c>
      <c r="L415" s="8" t="inlineStr">
        <is>
          <t>Gujarat</t>
        </is>
      </c>
      <c r="M415" s="2" t="inlineStr">
        <is>
          <t>NS</t>
        </is>
      </c>
      <c r="N415" s="8" t="inlineStr">
        <is>
          <t>Cold Soldering</t>
        </is>
      </c>
      <c r="O415" s="11" t="n">
        <v>540</v>
      </c>
      <c r="P415" s="2" t="inlineStr">
        <is>
          <t>NSMP2305190121</t>
        </is>
      </c>
      <c r="Q415" s="14">
        <f>MID(P415,5,2)</f>
        <v/>
      </c>
      <c r="R415" s="14">
        <f>MID(P415,7,2)</f>
        <v/>
      </c>
      <c r="S415" s="1" t="inlineStr">
        <is>
          <t>G2B</t>
        </is>
      </c>
      <c r="T415" s="1" t="inlineStr">
        <is>
          <t>P2 - PEPPL</t>
        </is>
      </c>
      <c r="U415" s="6" t="inlineStr">
        <is>
          <t>N JB Cold Soldering</t>
        </is>
      </c>
      <c r="V415" s="6" t="inlineStr">
        <is>
          <t>Soldering</t>
        </is>
      </c>
      <c r="W415" s="1" t="inlineStr">
        <is>
          <t>Repair</t>
        </is>
      </c>
      <c r="X415" s="5" t="n">
        <v>46176</v>
      </c>
      <c r="Y415" s="1">
        <f>IF(X415="","",X415-A415)</f>
        <v/>
      </c>
      <c r="Z415" s="5" t="n">
        <v>46176</v>
      </c>
      <c r="AA415" s="3" t="n"/>
      <c r="AB415" s="3" t="n"/>
      <c r="AE415" s="146">
        <f>IF(AND(F415="Closed",X415&gt;=DATE(2026,6,1),X415&lt;=DATE(2026,6,30)),"Closed in June","other")</f>
        <v/>
      </c>
    </row>
    <row r="416" hidden="1">
      <c r="A416" s="9" t="n">
        <v>46148</v>
      </c>
      <c r="B416" s="1" t="n">
        <v>2026</v>
      </c>
      <c r="C416" s="8" t="inlineStr">
        <is>
          <t>Continuum</t>
        </is>
      </c>
      <c r="D416" s="1" t="inlineStr">
        <is>
          <t>Utility and C&amp;I</t>
        </is>
      </c>
      <c r="E416" s="1" t="n"/>
      <c r="F416" s="1" t="inlineStr">
        <is>
          <t>Closed</t>
        </is>
      </c>
      <c r="G416" s="8" t="inlineStr">
        <is>
          <t>Amiya Ranjan Behera</t>
        </is>
      </c>
      <c r="H416" s="8" t="n">
        <v>8917436223</v>
      </c>
      <c r="I416" s="10" t="inlineStr">
        <is>
          <t>PE06052602</t>
        </is>
      </c>
      <c r="J416" s="8" t="inlineStr">
        <is>
          <t>Diode Bypass Module Issue</t>
        </is>
      </c>
      <c r="K416" s="8" t="inlineStr">
        <is>
          <t>Bhavnagar</t>
        </is>
      </c>
      <c r="L416" s="8" t="inlineStr">
        <is>
          <t>Gujarat</t>
        </is>
      </c>
      <c r="M416" s="2" t="inlineStr">
        <is>
          <t>PS</t>
        </is>
      </c>
      <c r="N416" s="1" t="inlineStr">
        <is>
          <t>Cold Soldering</t>
        </is>
      </c>
      <c r="O416" s="11" t="n">
        <v>540</v>
      </c>
      <c r="P416" s="2" t="inlineStr">
        <is>
          <t>NSMP2305190520</t>
        </is>
      </c>
      <c r="Q416" s="14">
        <f>MID(P416,5,2)</f>
        <v/>
      </c>
      <c r="R416" s="14">
        <f>MID(P416,7,2)</f>
        <v/>
      </c>
      <c r="S416" s="1" t="inlineStr">
        <is>
          <t>G2B</t>
        </is>
      </c>
      <c r="T416" s="1" t="inlineStr">
        <is>
          <t>P2 - PEPPL</t>
        </is>
      </c>
      <c r="U416" s="1" t="inlineStr">
        <is>
          <t>P JB Cold Soldering</t>
        </is>
      </c>
      <c r="V416" s="1" t="inlineStr">
        <is>
          <t>Soldering</t>
        </is>
      </c>
      <c r="W416" s="1" t="inlineStr">
        <is>
          <t>Repair</t>
        </is>
      </c>
      <c r="X416" s="5" t="n">
        <v>46176</v>
      </c>
      <c r="Y416" s="1">
        <f>IF(X416="","",X416-A416)</f>
        <v/>
      </c>
      <c r="Z416" s="5" t="n">
        <v>46176</v>
      </c>
      <c r="AA416" s="3" t="n"/>
      <c r="AB416" s="3" t="n"/>
      <c r="AE416" s="146">
        <f>IF(AND(F416="Closed",X416&gt;=DATE(2026,6,1),X416&lt;=DATE(2026,6,30)),"Closed in June","other")</f>
        <v/>
      </c>
    </row>
    <row r="417" hidden="1">
      <c r="A417" s="9" t="n">
        <v>46148</v>
      </c>
      <c r="B417" s="1" t="n">
        <v>2026</v>
      </c>
      <c r="C417" s="8" t="inlineStr">
        <is>
          <t>Continuum</t>
        </is>
      </c>
      <c r="D417" s="1" t="inlineStr">
        <is>
          <t>Utility and C&amp;I</t>
        </is>
      </c>
      <c r="E417" s="1" t="n"/>
      <c r="F417" s="1" t="inlineStr">
        <is>
          <t>Closed</t>
        </is>
      </c>
      <c r="G417" s="8" t="inlineStr">
        <is>
          <t>Amiya Ranjan Behera</t>
        </is>
      </c>
      <c r="H417" s="8" t="n">
        <v>8917436223</v>
      </c>
      <c r="I417" s="10" t="inlineStr">
        <is>
          <t>PE06052602</t>
        </is>
      </c>
      <c r="J417" s="8" t="inlineStr">
        <is>
          <t>Diode Bypass Module Issue</t>
        </is>
      </c>
      <c r="K417" s="8" t="inlineStr">
        <is>
          <t>Bhavnagar</t>
        </is>
      </c>
      <c r="L417" s="8" t="inlineStr">
        <is>
          <t>Gujarat</t>
        </is>
      </c>
      <c r="M417" s="2" t="inlineStr">
        <is>
          <t>PS</t>
        </is>
      </c>
      <c r="N417" s="1" t="inlineStr">
        <is>
          <t>Cold Soldering</t>
        </is>
      </c>
      <c r="O417" s="11" t="n">
        <v>540</v>
      </c>
      <c r="P417" s="2" t="inlineStr">
        <is>
          <t>NSMP2305190930</t>
        </is>
      </c>
      <c r="Q417" s="14">
        <f>MID(P417,5,2)</f>
        <v/>
      </c>
      <c r="R417" s="14">
        <f>MID(P417,7,2)</f>
        <v/>
      </c>
      <c r="S417" s="1" t="inlineStr">
        <is>
          <t>G2B</t>
        </is>
      </c>
      <c r="T417" s="1" t="inlineStr">
        <is>
          <t>P2 - PEPPL</t>
        </is>
      </c>
      <c r="U417" s="1" t="inlineStr">
        <is>
          <t>P JB Cold Soldering</t>
        </is>
      </c>
      <c r="V417" s="1" t="inlineStr">
        <is>
          <t>Soldering</t>
        </is>
      </c>
      <c r="W417" s="1" t="inlineStr">
        <is>
          <t>Repair</t>
        </is>
      </c>
      <c r="X417" s="5" t="n">
        <v>46176</v>
      </c>
      <c r="Y417" s="1">
        <f>IF(X417="","",X417-A417)</f>
        <v/>
      </c>
      <c r="Z417" s="5" t="n">
        <v>46176</v>
      </c>
      <c r="AA417" s="3" t="n"/>
      <c r="AB417" s="3" t="n"/>
      <c r="AE417" s="146">
        <f>IF(AND(F417="Closed",X417&gt;=DATE(2026,6,1),X417&lt;=DATE(2026,6,30)),"Closed in June","other")</f>
        <v/>
      </c>
    </row>
    <row r="418" hidden="1">
      <c r="A418" s="9" t="n">
        <v>46148</v>
      </c>
      <c r="B418" s="1" t="n">
        <v>2026</v>
      </c>
      <c r="C418" s="8" t="inlineStr">
        <is>
          <t>Continuum</t>
        </is>
      </c>
      <c r="D418" s="1" t="inlineStr">
        <is>
          <t>Utility and C&amp;I</t>
        </is>
      </c>
      <c r="E418" s="1" t="n"/>
      <c r="F418" s="1" t="inlineStr">
        <is>
          <t>Closed</t>
        </is>
      </c>
      <c r="G418" s="8" t="inlineStr">
        <is>
          <t>Amiya Ranjan Behera</t>
        </is>
      </c>
      <c r="H418" s="8" t="n">
        <v>8917436223</v>
      </c>
      <c r="I418" s="10" t="inlineStr">
        <is>
          <t>PE06052602</t>
        </is>
      </c>
      <c r="J418" s="8" t="inlineStr">
        <is>
          <t>Diode Bypass Module Issue</t>
        </is>
      </c>
      <c r="K418" s="8" t="inlineStr">
        <is>
          <t>Bhavnagar</t>
        </is>
      </c>
      <c r="L418" s="8" t="inlineStr">
        <is>
          <t>Gujarat</t>
        </is>
      </c>
      <c r="M418" s="2" t="inlineStr">
        <is>
          <t>PS</t>
        </is>
      </c>
      <c r="N418" s="1" t="inlineStr">
        <is>
          <t>Cold Soldering</t>
        </is>
      </c>
      <c r="O418" s="11" t="n">
        <v>540</v>
      </c>
      <c r="P418" s="2" t="inlineStr">
        <is>
          <t>NSMP2305188563</t>
        </is>
      </c>
      <c r="Q418" s="14">
        <f>MID(P418,5,2)</f>
        <v/>
      </c>
      <c r="R418" s="14">
        <f>MID(P418,7,2)</f>
        <v/>
      </c>
      <c r="S418" s="1" t="inlineStr">
        <is>
          <t>G2B</t>
        </is>
      </c>
      <c r="T418" s="1" t="inlineStr">
        <is>
          <t>P2 - PEPPL</t>
        </is>
      </c>
      <c r="U418" s="1" t="inlineStr">
        <is>
          <t>P JB Cold Soldering</t>
        </is>
      </c>
      <c r="V418" s="1" t="inlineStr">
        <is>
          <t>Soldering</t>
        </is>
      </c>
      <c r="W418" s="1" t="inlineStr">
        <is>
          <t>Repair</t>
        </is>
      </c>
      <c r="X418" s="5" t="n">
        <v>46176</v>
      </c>
      <c r="Y418" s="1">
        <f>IF(X418="","",X418-A418)</f>
        <v/>
      </c>
      <c r="Z418" s="5" t="n">
        <v>46176</v>
      </c>
      <c r="AA418" s="3" t="n"/>
      <c r="AB418" s="3" t="n"/>
      <c r="AE418" s="146">
        <f>IF(AND(F418="Closed",X418&gt;=DATE(2026,6,1),X418&lt;=DATE(2026,6,30)),"Closed in June","other")</f>
        <v/>
      </c>
    </row>
    <row r="419" hidden="1">
      <c r="A419" s="9" t="n">
        <v>46148</v>
      </c>
      <c r="B419" s="1" t="n">
        <v>2026</v>
      </c>
      <c r="C419" s="8" t="inlineStr">
        <is>
          <t>Continuum</t>
        </is>
      </c>
      <c r="D419" s="1" t="inlineStr">
        <is>
          <t>Utility and C&amp;I</t>
        </is>
      </c>
      <c r="E419" s="1" t="n"/>
      <c r="F419" s="1" t="inlineStr">
        <is>
          <t>Closed</t>
        </is>
      </c>
      <c r="G419" s="8" t="inlineStr">
        <is>
          <t>Amiya Ranjan Behera</t>
        </is>
      </c>
      <c r="H419" s="8" t="n">
        <v>8917436223</v>
      </c>
      <c r="I419" s="10" t="inlineStr">
        <is>
          <t>PE06052602</t>
        </is>
      </c>
      <c r="J419" s="8" t="inlineStr">
        <is>
          <t>Diode Bypass Module Issue</t>
        </is>
      </c>
      <c r="K419" s="8" t="inlineStr">
        <is>
          <t>Bhavnagar</t>
        </is>
      </c>
      <c r="L419" s="8" t="inlineStr">
        <is>
          <t>Gujarat</t>
        </is>
      </c>
      <c r="M419" s="2" t="inlineStr">
        <is>
          <t>PR</t>
        </is>
      </c>
      <c r="N419" s="1" t="inlineStr">
        <is>
          <t>JB Issue</t>
        </is>
      </c>
      <c r="O419" s="11" t="n">
        <v>540</v>
      </c>
      <c r="P419" s="2" t="inlineStr">
        <is>
          <t>NSMP2305188657</t>
        </is>
      </c>
      <c r="Q419" s="14">
        <f>MID(P419,5,2)</f>
        <v/>
      </c>
      <c r="R419" s="14">
        <f>MID(P419,7,2)</f>
        <v/>
      </c>
      <c r="S419" s="1" t="inlineStr">
        <is>
          <t>G2B</t>
        </is>
      </c>
      <c r="T419" s="1" t="inlineStr">
        <is>
          <t>P2 - PEPPL</t>
        </is>
      </c>
      <c r="U419" s="1" t="inlineStr">
        <is>
          <t>P JB Issue</t>
        </is>
      </c>
      <c r="V419" s="3" t="inlineStr">
        <is>
          <t>JB Changed</t>
        </is>
      </c>
      <c r="W419" s="1" t="inlineStr">
        <is>
          <t>Repair</t>
        </is>
      </c>
      <c r="X419" s="5" t="n">
        <v>46176</v>
      </c>
      <c r="Y419" s="1">
        <f>IF(X419="","",X419-A419)</f>
        <v/>
      </c>
      <c r="Z419" s="5" t="n">
        <v>46176</v>
      </c>
      <c r="AA419" s="3" t="n"/>
      <c r="AB419" s="3" t="n"/>
      <c r="AE419" s="146">
        <f>IF(AND(F419="Closed",X419&gt;=DATE(2026,6,1),X419&lt;=DATE(2026,6,30)),"Closed in June","other")</f>
        <v/>
      </c>
    </row>
    <row r="420" hidden="1">
      <c r="A420" s="9" t="n">
        <v>46148</v>
      </c>
      <c r="B420" s="1" t="n">
        <v>2026</v>
      </c>
      <c r="C420" s="8" t="inlineStr">
        <is>
          <t>Continuum</t>
        </is>
      </c>
      <c r="D420" s="1" t="inlineStr">
        <is>
          <t>Utility and C&amp;I</t>
        </is>
      </c>
      <c r="E420" s="1" t="n"/>
      <c r="F420" s="1" t="inlineStr">
        <is>
          <t>Closed</t>
        </is>
      </c>
      <c r="G420" s="8" t="inlineStr">
        <is>
          <t>Amiya Ranjan Behera</t>
        </is>
      </c>
      <c r="H420" s="8" t="n">
        <v>8917436223</v>
      </c>
      <c r="I420" s="10" t="inlineStr">
        <is>
          <t>PE06052602</t>
        </is>
      </c>
      <c r="J420" s="8" t="inlineStr">
        <is>
          <t>Diode Bypass Module Issue</t>
        </is>
      </c>
      <c r="K420" s="8" t="inlineStr">
        <is>
          <t>Bhavnagar</t>
        </is>
      </c>
      <c r="L420" s="8" t="inlineStr">
        <is>
          <t>Gujarat</t>
        </is>
      </c>
      <c r="M420" s="2" t="inlineStr">
        <is>
          <t>PS</t>
        </is>
      </c>
      <c r="N420" s="1" t="inlineStr">
        <is>
          <t>Cold Soldering</t>
        </is>
      </c>
      <c r="O420" s="11" t="n">
        <v>540</v>
      </c>
      <c r="P420" s="2" t="inlineStr">
        <is>
          <t>NSMP2305190905</t>
        </is>
      </c>
      <c r="Q420" s="14">
        <f>MID(P420,5,2)</f>
        <v/>
      </c>
      <c r="R420" s="14">
        <f>MID(P420,7,2)</f>
        <v/>
      </c>
      <c r="S420" s="1" t="inlineStr">
        <is>
          <t>G2B</t>
        </is>
      </c>
      <c r="T420" s="1" t="inlineStr">
        <is>
          <t>P2 - PEPPL</t>
        </is>
      </c>
      <c r="U420" s="1" t="inlineStr">
        <is>
          <t>P JB Cold Soldering</t>
        </is>
      </c>
      <c r="V420" s="1" t="inlineStr">
        <is>
          <t>Soldering</t>
        </is>
      </c>
      <c r="W420" s="1" t="inlineStr">
        <is>
          <t>Repair</t>
        </is>
      </c>
      <c r="X420" s="5" t="n">
        <v>46176</v>
      </c>
      <c r="Y420" s="1">
        <f>IF(X420="","",X420-A420)</f>
        <v/>
      </c>
      <c r="Z420" s="5" t="n">
        <v>46176</v>
      </c>
      <c r="AA420" s="3" t="n"/>
      <c r="AB420" s="3" t="n"/>
      <c r="AE420" s="146">
        <f>IF(AND(F420="Closed",X420&gt;=DATE(2026,6,1),X420&lt;=DATE(2026,6,30)),"Closed in June","other")</f>
        <v/>
      </c>
    </row>
    <row r="421" hidden="1">
      <c r="A421" s="9" t="n">
        <v>46148</v>
      </c>
      <c r="B421" s="1" t="n">
        <v>2026</v>
      </c>
      <c r="C421" s="8" t="inlineStr">
        <is>
          <t>Continuum</t>
        </is>
      </c>
      <c r="D421" s="1" t="inlineStr">
        <is>
          <t>Utility and C&amp;I</t>
        </is>
      </c>
      <c r="E421" s="1" t="n"/>
      <c r="F421" s="1" t="inlineStr">
        <is>
          <t>Closed</t>
        </is>
      </c>
      <c r="G421" s="8" t="inlineStr">
        <is>
          <t>Amiya Ranjan Behera</t>
        </is>
      </c>
      <c r="H421" s="8" t="n">
        <v>8917436223</v>
      </c>
      <c r="I421" s="10" t="inlineStr">
        <is>
          <t>PE06052602</t>
        </is>
      </c>
      <c r="J421" s="8" t="inlineStr">
        <is>
          <t>Diode Bypass Module Issue</t>
        </is>
      </c>
      <c r="K421" s="8" t="inlineStr">
        <is>
          <t>Bhavnagar</t>
        </is>
      </c>
      <c r="L421" s="8" t="inlineStr">
        <is>
          <t>Gujarat</t>
        </is>
      </c>
      <c r="M421" s="2" t="inlineStr">
        <is>
          <t>PR</t>
        </is>
      </c>
      <c r="N421" s="1" t="inlineStr">
        <is>
          <t>JB Issue</t>
        </is>
      </c>
      <c r="O421" s="11" t="n">
        <v>540</v>
      </c>
      <c r="P421" s="2" t="inlineStr">
        <is>
          <t>NSMP2305190915</t>
        </is>
      </c>
      <c r="Q421" s="14">
        <f>MID(P421,5,2)</f>
        <v/>
      </c>
      <c r="R421" s="14">
        <f>MID(P421,7,2)</f>
        <v/>
      </c>
      <c r="S421" s="1" t="inlineStr">
        <is>
          <t>G2B</t>
        </is>
      </c>
      <c r="T421" s="1" t="inlineStr">
        <is>
          <t>P2 - PEPPL</t>
        </is>
      </c>
      <c r="U421" s="1" t="inlineStr">
        <is>
          <t>P JB Issue</t>
        </is>
      </c>
      <c r="V421" s="3" t="inlineStr">
        <is>
          <t>JB Changed</t>
        </is>
      </c>
      <c r="W421" s="1" t="inlineStr">
        <is>
          <t>Repair</t>
        </is>
      </c>
      <c r="X421" s="5" t="n">
        <v>46176</v>
      </c>
      <c r="Y421" s="1">
        <f>IF(X421="","",X421-A421)</f>
        <v/>
      </c>
      <c r="Z421" s="5" t="n">
        <v>46176</v>
      </c>
      <c r="AA421" s="3" t="n"/>
      <c r="AB421" s="3" t="n"/>
      <c r="AE421" s="146">
        <f>IF(AND(F421="Closed",X421&gt;=DATE(2026,6,1),X421&lt;=DATE(2026,6,30)),"Closed in June","other")</f>
        <v/>
      </c>
    </row>
    <row r="422" hidden="1">
      <c r="A422" s="9" t="n">
        <v>46148</v>
      </c>
      <c r="B422" s="1" t="n">
        <v>2026</v>
      </c>
      <c r="C422" s="8" t="inlineStr">
        <is>
          <t>Continuum</t>
        </is>
      </c>
      <c r="D422" s="1" t="inlineStr">
        <is>
          <t>Utility and C&amp;I</t>
        </is>
      </c>
      <c r="E422" s="1" t="n"/>
      <c r="F422" s="1" t="inlineStr">
        <is>
          <t>Closed</t>
        </is>
      </c>
      <c r="G422" s="8" t="inlineStr">
        <is>
          <t>Amiya Ranjan Behera</t>
        </is>
      </c>
      <c r="H422" s="8" t="n">
        <v>8917436223</v>
      </c>
      <c r="I422" s="10" t="inlineStr">
        <is>
          <t>PE06052602</t>
        </is>
      </c>
      <c r="J422" s="8" t="inlineStr">
        <is>
          <t>Diode Bypass Module Issue</t>
        </is>
      </c>
      <c r="K422" s="8" t="inlineStr">
        <is>
          <t>Bhavnagar</t>
        </is>
      </c>
      <c r="L422" s="8" t="inlineStr">
        <is>
          <t>Gujarat</t>
        </is>
      </c>
      <c r="M422" s="2" t="inlineStr">
        <is>
          <t>PS</t>
        </is>
      </c>
      <c r="N422" s="1" t="inlineStr">
        <is>
          <t>Cold Soldering</t>
        </is>
      </c>
      <c r="O422" s="11" t="n">
        <v>540</v>
      </c>
      <c r="P422" s="2" t="inlineStr">
        <is>
          <t>NSMP2305188507</t>
        </is>
      </c>
      <c r="Q422" s="14">
        <f>MID(P422,5,2)</f>
        <v/>
      </c>
      <c r="R422" s="14">
        <f>MID(P422,7,2)</f>
        <v/>
      </c>
      <c r="S422" s="1" t="inlineStr">
        <is>
          <t>G2B</t>
        </is>
      </c>
      <c r="T422" s="1" t="inlineStr">
        <is>
          <t>P2 - PEPPL</t>
        </is>
      </c>
      <c r="U422" s="1" t="inlineStr">
        <is>
          <t>P JB Cold Soldering</t>
        </is>
      </c>
      <c r="V422" s="1" t="inlineStr">
        <is>
          <t>Soldering</t>
        </is>
      </c>
      <c r="W422" s="1" t="inlineStr">
        <is>
          <t>Repair</t>
        </is>
      </c>
      <c r="X422" s="5" t="n">
        <v>46176</v>
      </c>
      <c r="Y422" s="1">
        <f>IF(X422="","",X422-A422)</f>
        <v/>
      </c>
      <c r="Z422" s="5" t="n">
        <v>46176</v>
      </c>
      <c r="AA422" s="3" t="n"/>
      <c r="AB422" s="3" t="n"/>
      <c r="AE422" s="146">
        <f>IF(AND(F422="Closed",X422&gt;=DATE(2026,6,1),X422&lt;=DATE(2026,6,30)),"Closed in June","other")</f>
        <v/>
      </c>
    </row>
    <row r="423" hidden="1">
      <c r="A423" s="9" t="n">
        <v>46148</v>
      </c>
      <c r="B423" s="1" t="n">
        <v>2026</v>
      </c>
      <c r="C423" s="8" t="inlineStr">
        <is>
          <t>Continuum</t>
        </is>
      </c>
      <c r="D423" s="1" t="inlineStr">
        <is>
          <t>Utility and C&amp;I</t>
        </is>
      </c>
      <c r="E423" s="1" t="n"/>
      <c r="F423" s="1" t="inlineStr">
        <is>
          <t>Closed</t>
        </is>
      </c>
      <c r="G423" s="8" t="inlineStr">
        <is>
          <t>Amiya Ranjan Behera</t>
        </is>
      </c>
      <c r="H423" s="8" t="n">
        <v>8917436223</v>
      </c>
      <c r="I423" s="10" t="inlineStr">
        <is>
          <t>PE06052602</t>
        </is>
      </c>
      <c r="J423" s="8" t="inlineStr">
        <is>
          <t>Diode Bypass Module Issue</t>
        </is>
      </c>
      <c r="K423" s="8" t="inlineStr">
        <is>
          <t>Bhavnagar</t>
        </is>
      </c>
      <c r="L423" s="8" t="inlineStr">
        <is>
          <t>Gujarat</t>
        </is>
      </c>
      <c r="M423" s="2" t="inlineStr">
        <is>
          <t>OK</t>
        </is>
      </c>
      <c r="N423" s="2" t="inlineStr">
        <is>
          <t>No Issue Found</t>
        </is>
      </c>
      <c r="O423" s="11" t="n">
        <v>540</v>
      </c>
      <c r="P423" s="2" t="inlineStr">
        <is>
          <t>NSMP2305127385</t>
        </is>
      </c>
      <c r="Q423" s="14">
        <f>MID(P423,5,2)</f>
        <v/>
      </c>
      <c r="R423" s="14">
        <f>MID(P423,7,2)</f>
        <v/>
      </c>
      <c r="S423" s="1" t="inlineStr">
        <is>
          <t>G2B</t>
        </is>
      </c>
      <c r="T423" s="1" t="inlineStr">
        <is>
          <t>P2 - PEPPL</t>
        </is>
      </c>
      <c r="U423" s="6" t="inlineStr">
        <is>
          <t>No Issue Found</t>
        </is>
      </c>
      <c r="V423" s="6" t="inlineStr">
        <is>
          <t>Inspection</t>
        </is>
      </c>
      <c r="W423" s="1" t="inlineStr">
        <is>
          <t>Rejected</t>
        </is>
      </c>
      <c r="X423" s="5" t="n">
        <v>46176</v>
      </c>
      <c r="Y423" s="1">
        <f>IF(X423="","",X423-A423)</f>
        <v/>
      </c>
      <c r="Z423" s="5" t="n">
        <v>46176</v>
      </c>
      <c r="AA423" s="3" t="n"/>
      <c r="AB423" s="3" t="n"/>
      <c r="AE423" s="146">
        <f>IF(AND(F423="Closed",X423&gt;=DATE(2026,6,1),X423&lt;=DATE(2026,6,30)),"Closed in June","other")</f>
        <v/>
      </c>
    </row>
    <row r="424" hidden="1">
      <c r="A424" s="9" t="n">
        <v>46148</v>
      </c>
      <c r="B424" s="1" t="n">
        <v>2026</v>
      </c>
      <c r="C424" s="8" t="inlineStr">
        <is>
          <t>Continuum</t>
        </is>
      </c>
      <c r="D424" s="1" t="inlineStr">
        <is>
          <t>Utility and C&amp;I</t>
        </is>
      </c>
      <c r="E424" s="1" t="n"/>
      <c r="F424" s="1" t="inlineStr">
        <is>
          <t>Closed</t>
        </is>
      </c>
      <c r="G424" s="8" t="inlineStr">
        <is>
          <t>Amiya Ranjan Behera</t>
        </is>
      </c>
      <c r="H424" s="8" t="n">
        <v>8917436223</v>
      </c>
      <c r="I424" s="10" t="inlineStr">
        <is>
          <t>PE06052602</t>
        </is>
      </c>
      <c r="J424" s="8" t="inlineStr">
        <is>
          <t>Diode Bypass Module Issue</t>
        </is>
      </c>
      <c r="K424" s="8" t="inlineStr">
        <is>
          <t>Bhavnagar</t>
        </is>
      </c>
      <c r="L424" s="8" t="inlineStr">
        <is>
          <t>Gujarat</t>
        </is>
      </c>
      <c r="M424" s="2" t="inlineStr">
        <is>
          <t>NR</t>
        </is>
      </c>
      <c r="N424" s="8" t="inlineStr">
        <is>
          <t>JB Issue</t>
        </is>
      </c>
      <c r="O424" s="11" t="n">
        <v>540</v>
      </c>
      <c r="P424" s="2" t="inlineStr">
        <is>
          <t>NSMP2305177093</t>
        </is>
      </c>
      <c r="Q424" s="14">
        <f>MID(P424,5,2)</f>
        <v/>
      </c>
      <c r="R424" s="14">
        <f>MID(P424,7,2)</f>
        <v/>
      </c>
      <c r="S424" s="1" t="inlineStr">
        <is>
          <t>G2B</t>
        </is>
      </c>
      <c r="T424" s="1" t="inlineStr">
        <is>
          <t>P2 - PEPPL</t>
        </is>
      </c>
      <c r="U424" s="6" t="inlineStr">
        <is>
          <t>N JB Issue</t>
        </is>
      </c>
      <c r="V424" s="6" t="inlineStr">
        <is>
          <t>JB Changed</t>
        </is>
      </c>
      <c r="W424" s="1" t="inlineStr">
        <is>
          <t>Repair</t>
        </is>
      </c>
      <c r="X424" s="5" t="n">
        <v>46176</v>
      </c>
      <c r="Y424" s="1">
        <f>IF(X424="","",X424-A424)</f>
        <v/>
      </c>
      <c r="Z424" s="5" t="n">
        <v>46176</v>
      </c>
      <c r="AA424" s="3" t="n"/>
      <c r="AB424" s="3" t="n"/>
      <c r="AE424" s="146">
        <f>IF(AND(F424="Closed",X424&gt;=DATE(2026,6,1),X424&lt;=DATE(2026,6,30)),"Closed in June","other")</f>
        <v/>
      </c>
    </row>
    <row r="425" hidden="1">
      <c r="A425" s="9" t="n">
        <v>46148</v>
      </c>
      <c r="B425" s="1" t="n">
        <v>2026</v>
      </c>
      <c r="C425" s="8" t="inlineStr">
        <is>
          <t>Continuum</t>
        </is>
      </c>
      <c r="D425" s="1" t="inlineStr">
        <is>
          <t>Utility and C&amp;I</t>
        </is>
      </c>
      <c r="E425" s="1" t="n"/>
      <c r="F425" s="1" t="inlineStr">
        <is>
          <t>Closed</t>
        </is>
      </c>
      <c r="G425" s="8" t="inlineStr">
        <is>
          <t>Amiya Ranjan Behera</t>
        </is>
      </c>
      <c r="H425" s="8" t="n">
        <v>8917436223</v>
      </c>
      <c r="I425" s="10" t="inlineStr">
        <is>
          <t>PE06052602</t>
        </is>
      </c>
      <c r="J425" s="8" t="inlineStr">
        <is>
          <t>Diode Bypass Module Issue</t>
        </is>
      </c>
      <c r="K425" s="8" t="inlineStr">
        <is>
          <t>Bhavnagar</t>
        </is>
      </c>
      <c r="L425" s="8" t="inlineStr">
        <is>
          <t>Gujarat</t>
        </is>
      </c>
      <c r="M425" s="2" t="inlineStr">
        <is>
          <t>PR</t>
        </is>
      </c>
      <c r="N425" s="1" t="inlineStr">
        <is>
          <t>JB Issue</t>
        </is>
      </c>
      <c r="O425" s="11" t="n">
        <v>540</v>
      </c>
      <c r="P425" s="2" t="inlineStr">
        <is>
          <t>NSMP2304068953</t>
        </is>
      </c>
      <c r="Q425" s="14">
        <f>MID(P425,5,2)</f>
        <v/>
      </c>
      <c r="R425" s="14">
        <f>MID(P425,7,2)</f>
        <v/>
      </c>
      <c r="S425" s="1" t="inlineStr">
        <is>
          <t>G2B</t>
        </is>
      </c>
      <c r="T425" s="1" t="inlineStr">
        <is>
          <t>P2 - PEPPL</t>
        </is>
      </c>
      <c r="U425" s="1" t="inlineStr">
        <is>
          <t>P JB Issue</t>
        </is>
      </c>
      <c r="V425" s="3" t="inlineStr">
        <is>
          <t>JB Changed</t>
        </is>
      </c>
      <c r="W425" s="1" t="inlineStr">
        <is>
          <t>Repair</t>
        </is>
      </c>
      <c r="X425" s="5" t="n">
        <v>46176</v>
      </c>
      <c r="Y425" s="1">
        <f>IF(X425="","",X425-A425)</f>
        <v/>
      </c>
      <c r="Z425" s="5" t="n">
        <v>46176</v>
      </c>
      <c r="AA425" s="3" t="n"/>
      <c r="AB425" s="3" t="n"/>
      <c r="AE425" s="146">
        <f>IF(AND(F425="Closed",X425&gt;=DATE(2026,6,1),X425&lt;=DATE(2026,6,30)),"Closed in June","other")</f>
        <v/>
      </c>
    </row>
    <row r="426" hidden="1">
      <c r="A426" s="9" t="n">
        <v>46148</v>
      </c>
      <c r="B426" s="1" t="n">
        <v>2026</v>
      </c>
      <c r="C426" s="8" t="inlineStr">
        <is>
          <t>Continuum</t>
        </is>
      </c>
      <c r="D426" s="1" t="inlineStr">
        <is>
          <t>Utility and C&amp;I</t>
        </is>
      </c>
      <c r="E426" s="1" t="n"/>
      <c r="F426" s="1" t="inlineStr">
        <is>
          <t>Closed</t>
        </is>
      </c>
      <c r="G426" s="8" t="inlineStr">
        <is>
          <t>Amiya Ranjan Behera</t>
        </is>
      </c>
      <c r="H426" s="8" t="n">
        <v>8917436223</v>
      </c>
      <c r="I426" s="10" t="inlineStr">
        <is>
          <t>PE06052602</t>
        </is>
      </c>
      <c r="J426" s="8" t="inlineStr">
        <is>
          <t>Diode Bypass Module Issue</t>
        </is>
      </c>
      <c r="K426" s="8" t="inlineStr">
        <is>
          <t>Bhavnagar</t>
        </is>
      </c>
      <c r="L426" s="8" t="inlineStr">
        <is>
          <t>Gujarat</t>
        </is>
      </c>
      <c r="M426" s="2" t="inlineStr">
        <is>
          <t>PR</t>
        </is>
      </c>
      <c r="N426" s="1" t="inlineStr">
        <is>
          <t>JB Issue</t>
        </is>
      </c>
      <c r="O426" s="11" t="n">
        <v>540</v>
      </c>
      <c r="P426" s="2" t="inlineStr">
        <is>
          <t>NSMP2305190733</t>
        </is>
      </c>
      <c r="Q426" s="14">
        <f>MID(P426,5,2)</f>
        <v/>
      </c>
      <c r="R426" s="14">
        <f>MID(P426,7,2)</f>
        <v/>
      </c>
      <c r="S426" s="1" t="inlineStr">
        <is>
          <t>G2B</t>
        </is>
      </c>
      <c r="T426" s="1" t="inlineStr">
        <is>
          <t>P2 - PEPPL</t>
        </is>
      </c>
      <c r="U426" s="1" t="inlineStr">
        <is>
          <t>P JB Issue</t>
        </is>
      </c>
      <c r="V426" s="3" t="inlineStr">
        <is>
          <t>JB Changed</t>
        </is>
      </c>
      <c r="W426" s="1" t="inlineStr">
        <is>
          <t>Repair</t>
        </is>
      </c>
      <c r="X426" s="5" t="n">
        <v>46176</v>
      </c>
      <c r="Y426" s="1">
        <f>IF(X426="","",X426-A426)</f>
        <v/>
      </c>
      <c r="Z426" s="5" t="n">
        <v>46176</v>
      </c>
      <c r="AA426" s="3" t="n"/>
      <c r="AB426" s="3" t="n"/>
      <c r="AE426" s="146">
        <f>IF(AND(F426="Closed",X426&gt;=DATE(2026,6,1),X426&lt;=DATE(2026,6,30)),"Closed in June","other")</f>
        <v/>
      </c>
    </row>
    <row r="427" hidden="1">
      <c r="A427" s="9" t="n">
        <v>46148</v>
      </c>
      <c r="B427" s="1" t="n">
        <v>2026</v>
      </c>
      <c r="C427" s="8" t="inlineStr">
        <is>
          <t>Continuum</t>
        </is>
      </c>
      <c r="D427" s="1" t="inlineStr">
        <is>
          <t>Utility and C&amp;I</t>
        </is>
      </c>
      <c r="E427" s="1" t="n"/>
      <c r="F427" s="1" t="inlineStr">
        <is>
          <t>Closed</t>
        </is>
      </c>
      <c r="G427" s="8" t="inlineStr">
        <is>
          <t>Amiya Ranjan Behera</t>
        </is>
      </c>
      <c r="H427" s="8" t="n">
        <v>8917436223</v>
      </c>
      <c r="I427" s="10" t="inlineStr">
        <is>
          <t>PE06052602</t>
        </is>
      </c>
      <c r="J427" s="8" t="inlineStr">
        <is>
          <t>Diode Bypass Module Issue</t>
        </is>
      </c>
      <c r="K427" s="8" t="inlineStr">
        <is>
          <t>Bhavnagar</t>
        </is>
      </c>
      <c r="L427" s="8" t="inlineStr">
        <is>
          <t>Gujarat</t>
        </is>
      </c>
      <c r="M427" s="2" t="inlineStr">
        <is>
          <t>OK</t>
        </is>
      </c>
      <c r="N427" s="2" t="inlineStr">
        <is>
          <t>No Issue Found</t>
        </is>
      </c>
      <c r="O427" s="11" t="n">
        <v>540</v>
      </c>
      <c r="P427" s="2" t="inlineStr">
        <is>
          <t>NSMP2304068968</t>
        </is>
      </c>
      <c r="Q427" s="14">
        <f>MID(P427,5,2)</f>
        <v/>
      </c>
      <c r="R427" s="14">
        <f>MID(P427,7,2)</f>
        <v/>
      </c>
      <c r="S427" s="1" t="inlineStr">
        <is>
          <t>G2B</t>
        </is>
      </c>
      <c r="T427" s="1" t="inlineStr">
        <is>
          <t>P2 - PEPPL</t>
        </is>
      </c>
      <c r="U427" s="6" t="inlineStr">
        <is>
          <t>No Issue Found</t>
        </is>
      </c>
      <c r="V427" s="6" t="inlineStr">
        <is>
          <t>Inspection</t>
        </is>
      </c>
      <c r="W427" s="1" t="inlineStr">
        <is>
          <t>Rejected</t>
        </is>
      </c>
      <c r="X427" s="5" t="n">
        <v>46176</v>
      </c>
      <c r="Y427" s="1">
        <f>IF(X427="","",X427-A427)</f>
        <v/>
      </c>
      <c r="Z427" s="5" t="n">
        <v>46176</v>
      </c>
      <c r="AA427" s="3" t="n"/>
      <c r="AB427" s="3" t="n"/>
      <c r="AE427" s="146">
        <f>IF(AND(F427="Closed",X427&gt;=DATE(2026,6,1),X427&lt;=DATE(2026,6,30)),"Closed in June","other")</f>
        <v/>
      </c>
    </row>
    <row r="428" hidden="1">
      <c r="A428" s="9" t="n">
        <v>46148</v>
      </c>
      <c r="B428" s="1" t="n">
        <v>2026</v>
      </c>
      <c r="C428" s="8" t="inlineStr">
        <is>
          <t>Continuum</t>
        </is>
      </c>
      <c r="D428" s="1" t="inlineStr">
        <is>
          <t>Utility and C&amp;I</t>
        </is>
      </c>
      <c r="E428" s="1" t="n"/>
      <c r="F428" s="1" t="inlineStr">
        <is>
          <t>Closed</t>
        </is>
      </c>
      <c r="G428" s="8" t="inlineStr">
        <is>
          <t>Amiya Ranjan Behera</t>
        </is>
      </c>
      <c r="H428" s="8" t="n">
        <v>8917436223</v>
      </c>
      <c r="I428" s="10" t="inlineStr">
        <is>
          <t>PE06052602</t>
        </is>
      </c>
      <c r="J428" s="8" t="inlineStr">
        <is>
          <t>Diode Bypass Module Issue</t>
        </is>
      </c>
      <c r="K428" s="8" t="inlineStr">
        <is>
          <t>Bhavnagar</t>
        </is>
      </c>
      <c r="L428" s="8" t="inlineStr">
        <is>
          <t>Gujarat</t>
        </is>
      </c>
      <c r="M428" s="2" t="inlineStr">
        <is>
          <t>NS</t>
        </is>
      </c>
      <c r="N428" s="8" t="inlineStr">
        <is>
          <t>Cold Soldering</t>
        </is>
      </c>
      <c r="O428" s="11" t="n">
        <v>540</v>
      </c>
      <c r="P428" s="2" t="inlineStr">
        <is>
          <t>NSMP2304068929</t>
        </is>
      </c>
      <c r="Q428" s="14">
        <f>MID(P428,5,2)</f>
        <v/>
      </c>
      <c r="R428" s="14">
        <f>MID(P428,7,2)</f>
        <v/>
      </c>
      <c r="S428" s="1" t="inlineStr">
        <is>
          <t>G2B</t>
        </is>
      </c>
      <c r="T428" s="1" t="inlineStr">
        <is>
          <t>P2 - PEPPL</t>
        </is>
      </c>
      <c r="U428" s="6" t="inlineStr">
        <is>
          <t>N JB Cold Soldering</t>
        </is>
      </c>
      <c r="V428" s="6" t="inlineStr">
        <is>
          <t>Soldering</t>
        </is>
      </c>
      <c r="W428" s="1" t="inlineStr">
        <is>
          <t>Repair</t>
        </is>
      </c>
      <c r="X428" s="5" t="n">
        <v>46176</v>
      </c>
      <c r="Y428" s="1">
        <f>IF(X428="","",X428-A428)</f>
        <v/>
      </c>
      <c r="Z428" s="5" t="n">
        <v>46176</v>
      </c>
      <c r="AA428" s="3" t="n"/>
      <c r="AB428" s="3" t="n"/>
      <c r="AE428" s="146">
        <f>IF(AND(F428="Closed",X428&gt;=DATE(2026,6,1),X428&lt;=DATE(2026,6,30)),"Closed in June","other")</f>
        <v/>
      </c>
    </row>
    <row r="429" hidden="1">
      <c r="A429" s="9" t="n">
        <v>46148</v>
      </c>
      <c r="B429" s="1" t="n">
        <v>2026</v>
      </c>
      <c r="C429" s="8" t="inlineStr">
        <is>
          <t>Continuum</t>
        </is>
      </c>
      <c r="D429" s="1" t="inlineStr">
        <is>
          <t>Utility and C&amp;I</t>
        </is>
      </c>
      <c r="E429" s="1" t="n"/>
      <c r="F429" s="1" t="inlineStr">
        <is>
          <t>Closed</t>
        </is>
      </c>
      <c r="G429" s="8" t="inlineStr">
        <is>
          <t>Amiya Ranjan Behera</t>
        </is>
      </c>
      <c r="H429" s="8" t="n">
        <v>8917436223</v>
      </c>
      <c r="I429" s="10" t="inlineStr">
        <is>
          <t>PE06052602</t>
        </is>
      </c>
      <c r="J429" s="8" t="inlineStr">
        <is>
          <t>Diode Bypass Module Issue</t>
        </is>
      </c>
      <c r="K429" s="8" t="inlineStr">
        <is>
          <t>Bhavnagar</t>
        </is>
      </c>
      <c r="L429" s="8" t="inlineStr">
        <is>
          <t>Gujarat</t>
        </is>
      </c>
      <c r="M429" s="2" t="inlineStr">
        <is>
          <t>NS</t>
        </is>
      </c>
      <c r="N429" s="8" t="inlineStr">
        <is>
          <t>Cold Soldering</t>
        </is>
      </c>
      <c r="O429" s="11" t="n">
        <v>540</v>
      </c>
      <c r="P429" s="2" t="inlineStr">
        <is>
          <t>NSMP2304068525</t>
        </is>
      </c>
      <c r="Q429" s="14">
        <f>MID(P429,5,2)</f>
        <v/>
      </c>
      <c r="R429" s="14">
        <f>MID(P429,7,2)</f>
        <v/>
      </c>
      <c r="S429" s="1" t="inlineStr">
        <is>
          <t>G2B</t>
        </is>
      </c>
      <c r="T429" s="1" t="inlineStr">
        <is>
          <t>P2 - PEPPL</t>
        </is>
      </c>
      <c r="U429" s="6" t="inlineStr">
        <is>
          <t>N JB Cold Soldering</t>
        </is>
      </c>
      <c r="V429" s="6" t="inlineStr">
        <is>
          <t>Soldering</t>
        </is>
      </c>
      <c r="W429" s="1" t="inlineStr">
        <is>
          <t>Repair</t>
        </is>
      </c>
      <c r="X429" s="5" t="n">
        <v>46176</v>
      </c>
      <c r="Y429" s="1">
        <f>IF(X429="","",X429-A429)</f>
        <v/>
      </c>
      <c r="Z429" s="5" t="n">
        <v>46176</v>
      </c>
      <c r="AA429" s="3" t="n"/>
      <c r="AB429" s="3" t="n"/>
      <c r="AE429" s="146">
        <f>IF(AND(F429="Closed",X429&gt;=DATE(2026,6,1),X429&lt;=DATE(2026,6,30)),"Closed in June","other")</f>
        <v/>
      </c>
    </row>
    <row r="430" hidden="1">
      <c r="A430" s="9" t="n">
        <v>46169</v>
      </c>
      <c r="B430" s="1" t="n">
        <v>2026</v>
      </c>
      <c r="C430" s="8" t="inlineStr">
        <is>
          <t>Baidyanath Power</t>
        </is>
      </c>
      <c r="D430" s="8" t="inlineStr">
        <is>
          <t>Utility and C&amp;I</t>
        </is>
      </c>
      <c r="E430" s="1" t="n"/>
      <c r="F430" s="1" t="inlineStr">
        <is>
          <t>WIP</t>
        </is>
      </c>
      <c r="G430" s="28" t="inlineStr">
        <is>
          <t>Yogesh Patil</t>
        </is>
      </c>
      <c r="H430" s="8" t="n">
        <v>7507786795</v>
      </c>
      <c r="I430" s="10" t="inlineStr">
        <is>
          <t>PE27052601</t>
        </is>
      </c>
      <c r="J430" s="8" t="inlineStr">
        <is>
          <t>Module Damaged</t>
        </is>
      </c>
      <c r="K430" s="8" t="inlineStr">
        <is>
          <t>Tisgaon</t>
        </is>
      </c>
      <c r="L430" s="8" t="inlineStr">
        <is>
          <t>Maharashtra</t>
        </is>
      </c>
      <c r="M430" s="2" t="inlineStr">
        <is>
          <t>Module Damaged due to Natural Disaster</t>
        </is>
      </c>
      <c r="N430" s="2" t="inlineStr">
        <is>
          <t>Natural Disaster</t>
        </is>
      </c>
      <c r="O430" s="11" t="n">
        <v>610</v>
      </c>
      <c r="P430" s="6" t="inlineStr">
        <is>
          <t>NSMG26021501844</t>
        </is>
      </c>
      <c r="Q430" s="14">
        <f>MID(P430,5,2)</f>
        <v/>
      </c>
      <c r="R430" s="14">
        <f>MID(P430,7,2)</f>
        <v/>
      </c>
      <c r="S430" s="1" t="inlineStr">
        <is>
          <t>G2G</t>
        </is>
      </c>
      <c r="T430" s="1" t="inlineStr">
        <is>
          <t>P5 - PEGPL</t>
        </is>
      </c>
      <c r="U430" s="19" t="inlineStr">
        <is>
          <t>Module Damaged due to Heavy Storm</t>
        </is>
      </c>
      <c r="V430" s="6" t="inlineStr">
        <is>
          <t>WIP</t>
        </is>
      </c>
      <c r="W430" s="6" t="inlineStr">
        <is>
          <t>WIP</t>
        </is>
      </c>
      <c r="X430" s="12" t="n"/>
      <c r="Y430" s="1">
        <f>IF(X430="","",X430-A430)</f>
        <v/>
      </c>
      <c r="Z430" s="5" t="n">
        <v>46176</v>
      </c>
      <c r="AA430" s="3" t="n"/>
      <c r="AB430" s="3" t="n"/>
      <c r="AE430" s="146">
        <f>IF(AND(F430="Closed",X430&gt;=DATE(2026,6,1),X430&lt;=DATE(2026,6,30)),"Closed in June","other")</f>
        <v/>
      </c>
    </row>
    <row r="431" hidden="1">
      <c r="A431" s="9" t="n">
        <v>46169</v>
      </c>
      <c r="B431" s="1" t="n">
        <v>2026</v>
      </c>
      <c r="C431" s="8" t="inlineStr">
        <is>
          <t>Baidyanath Power</t>
        </is>
      </c>
      <c r="D431" s="8" t="inlineStr">
        <is>
          <t>Utility and C&amp;I</t>
        </is>
      </c>
      <c r="E431" s="1" t="n"/>
      <c r="F431" s="1" t="inlineStr">
        <is>
          <t>WIP</t>
        </is>
      </c>
      <c r="G431" s="28" t="inlineStr">
        <is>
          <t>Yogesh Patil</t>
        </is>
      </c>
      <c r="H431" s="8" t="n">
        <v>7507786795</v>
      </c>
      <c r="I431" s="10" t="inlineStr">
        <is>
          <t>PE27052601</t>
        </is>
      </c>
      <c r="J431" s="8" t="inlineStr">
        <is>
          <t>Module Damaged</t>
        </is>
      </c>
      <c r="K431" s="8" t="inlineStr">
        <is>
          <t>Tisgaon</t>
        </is>
      </c>
      <c r="L431" s="8" t="inlineStr">
        <is>
          <t>Maharashtra</t>
        </is>
      </c>
      <c r="M431" s="2" t="inlineStr">
        <is>
          <t>Module Damaged due to Natural Disaster</t>
        </is>
      </c>
      <c r="N431" s="2" t="inlineStr">
        <is>
          <t>Natural Disaster</t>
        </is>
      </c>
      <c r="O431" s="11" t="n">
        <v>610</v>
      </c>
      <c r="P431" s="6" t="inlineStr">
        <is>
          <t>NSMG26021501854</t>
        </is>
      </c>
      <c r="Q431" s="14">
        <f>MID(P431,5,2)</f>
        <v/>
      </c>
      <c r="R431" s="14">
        <f>MID(P431,7,2)</f>
        <v/>
      </c>
      <c r="S431" s="1" t="inlineStr">
        <is>
          <t>G2G</t>
        </is>
      </c>
      <c r="T431" s="1" t="inlineStr">
        <is>
          <t>P5 - PEGPL</t>
        </is>
      </c>
      <c r="U431" s="19" t="inlineStr">
        <is>
          <t>Module Damaged due to Heavy Storm</t>
        </is>
      </c>
      <c r="V431" s="6" t="inlineStr">
        <is>
          <t>WIP</t>
        </is>
      </c>
      <c r="W431" s="6" t="inlineStr">
        <is>
          <t>WIP</t>
        </is>
      </c>
      <c r="X431" s="12" t="n"/>
      <c r="Y431" s="1">
        <f>IF(X431="","",X431-A431)</f>
        <v/>
      </c>
      <c r="Z431" s="5" t="n">
        <v>46176</v>
      </c>
      <c r="AA431" s="3" t="n"/>
      <c r="AB431" s="3" t="n"/>
      <c r="AE431" s="146">
        <f>IF(AND(F431="Closed",X431&gt;=DATE(2026,6,1),X431&lt;=DATE(2026,6,30)),"Closed in June","other")</f>
        <v/>
      </c>
    </row>
    <row r="432" hidden="1">
      <c r="A432" s="9" t="n">
        <v>46169</v>
      </c>
      <c r="B432" s="1" t="n">
        <v>2026</v>
      </c>
      <c r="C432" s="8" t="inlineStr">
        <is>
          <t>Baidyanath Power</t>
        </is>
      </c>
      <c r="D432" s="8" t="inlineStr">
        <is>
          <t>Utility and C&amp;I</t>
        </is>
      </c>
      <c r="E432" s="1" t="n"/>
      <c r="F432" s="1" t="inlineStr">
        <is>
          <t>WIP</t>
        </is>
      </c>
      <c r="G432" s="28" t="inlineStr">
        <is>
          <t>Yogesh Patil</t>
        </is>
      </c>
      <c r="H432" s="8" t="n">
        <v>7507786795</v>
      </c>
      <c r="I432" s="10" t="inlineStr">
        <is>
          <t>PE27052601</t>
        </is>
      </c>
      <c r="J432" s="8" t="inlineStr">
        <is>
          <t>Module Damaged</t>
        </is>
      </c>
      <c r="K432" s="8" t="inlineStr">
        <is>
          <t>Tisgaon</t>
        </is>
      </c>
      <c r="L432" s="8" t="inlineStr">
        <is>
          <t>Maharashtra</t>
        </is>
      </c>
      <c r="M432" s="2" t="inlineStr">
        <is>
          <t>Module Damaged due to Natural Disaster</t>
        </is>
      </c>
      <c r="N432" s="2" t="inlineStr">
        <is>
          <t>Natural Disaster</t>
        </is>
      </c>
      <c r="O432" s="11" t="n">
        <v>610</v>
      </c>
      <c r="P432" s="6" t="inlineStr">
        <is>
          <t>NSMG26021384020</t>
        </is>
      </c>
      <c r="Q432" s="14">
        <f>MID(P432,5,2)</f>
        <v/>
      </c>
      <c r="R432" s="14">
        <f>MID(P432,7,2)</f>
        <v/>
      </c>
      <c r="S432" s="1" t="inlineStr">
        <is>
          <t>G2G</t>
        </is>
      </c>
      <c r="T432" s="1" t="inlineStr">
        <is>
          <t>P5 - PEGPL</t>
        </is>
      </c>
      <c r="U432" s="19" t="inlineStr">
        <is>
          <t>Module Damaged due to Heavy Storm</t>
        </is>
      </c>
      <c r="V432" s="6" t="inlineStr">
        <is>
          <t>WIP</t>
        </is>
      </c>
      <c r="W432" s="6" t="inlineStr">
        <is>
          <t>WIP</t>
        </is>
      </c>
      <c r="X432" s="12" t="n"/>
      <c r="Y432" s="1">
        <f>IF(X432="","",X432-A432)</f>
        <v/>
      </c>
      <c r="Z432" s="5" t="n">
        <v>46176</v>
      </c>
      <c r="AA432" s="3" t="n"/>
      <c r="AB432" s="3" t="n"/>
      <c r="AE432" s="146">
        <f>IF(AND(F432="Closed",X432&gt;=DATE(2026,6,1),X432&lt;=DATE(2026,6,30)),"Closed in June","other")</f>
        <v/>
      </c>
    </row>
    <row r="433" hidden="1">
      <c r="A433" s="9" t="n">
        <v>46169</v>
      </c>
      <c r="B433" s="1" t="n">
        <v>2026</v>
      </c>
      <c r="C433" s="8" t="inlineStr">
        <is>
          <t>Baidyanath Power</t>
        </is>
      </c>
      <c r="D433" s="8" t="inlineStr">
        <is>
          <t>Utility and C&amp;I</t>
        </is>
      </c>
      <c r="E433" s="1" t="n"/>
      <c r="F433" s="1" t="inlineStr">
        <is>
          <t>WIP</t>
        </is>
      </c>
      <c r="G433" s="28" t="inlineStr">
        <is>
          <t>Yogesh Patil</t>
        </is>
      </c>
      <c r="H433" s="8" t="n">
        <v>7507786795</v>
      </c>
      <c r="I433" s="10" t="inlineStr">
        <is>
          <t>PE27052601</t>
        </is>
      </c>
      <c r="J433" s="8" t="inlineStr">
        <is>
          <t>Module Damaged</t>
        </is>
      </c>
      <c r="K433" s="8" t="inlineStr">
        <is>
          <t>Tisgaon</t>
        </is>
      </c>
      <c r="L433" s="8" t="inlineStr">
        <is>
          <t>Maharashtra</t>
        </is>
      </c>
      <c r="M433" s="2" t="inlineStr">
        <is>
          <t>Module Damaged due to Natural Disaster</t>
        </is>
      </c>
      <c r="N433" s="2" t="inlineStr">
        <is>
          <t>Natural Disaster</t>
        </is>
      </c>
      <c r="O433" s="11" t="n">
        <v>610</v>
      </c>
      <c r="P433" s="6" t="inlineStr">
        <is>
          <t>NSMG26021504752</t>
        </is>
      </c>
      <c r="Q433" s="14">
        <f>MID(P433,5,2)</f>
        <v/>
      </c>
      <c r="R433" s="14">
        <f>MID(P433,7,2)</f>
        <v/>
      </c>
      <c r="S433" s="1" t="inlineStr">
        <is>
          <t>G2G</t>
        </is>
      </c>
      <c r="T433" s="1" t="inlineStr">
        <is>
          <t>P5 - PEGPL</t>
        </is>
      </c>
      <c r="U433" s="19" t="inlineStr">
        <is>
          <t>Module Damaged due to Heavy Storm</t>
        </is>
      </c>
      <c r="V433" s="6" t="inlineStr">
        <is>
          <t>WIP</t>
        </is>
      </c>
      <c r="W433" s="6" t="inlineStr">
        <is>
          <t>WIP</t>
        </is>
      </c>
      <c r="X433" s="12" t="n"/>
      <c r="Y433" s="1">
        <f>IF(X433="","",X433-A433)</f>
        <v/>
      </c>
      <c r="Z433" s="5" t="n">
        <v>46176</v>
      </c>
      <c r="AA433" s="3" t="n"/>
      <c r="AB433" s="3" t="n"/>
      <c r="AE433" s="146">
        <f>IF(AND(F433="Closed",X433&gt;=DATE(2026,6,1),X433&lt;=DATE(2026,6,30)),"Closed in June","other")</f>
        <v/>
      </c>
    </row>
    <row r="434" hidden="1">
      <c r="A434" s="9" t="n">
        <v>46143</v>
      </c>
      <c r="B434" s="1" t="n">
        <v>2026</v>
      </c>
      <c r="C434" s="8" t="inlineStr">
        <is>
          <t>Yanara Power</t>
        </is>
      </c>
      <c r="D434" s="1" t="inlineStr">
        <is>
          <t>Utility and C&amp;I</t>
        </is>
      </c>
      <c r="E434" s="1" t="n"/>
      <c r="F434" s="1" t="inlineStr">
        <is>
          <t>Closed</t>
        </is>
      </c>
      <c r="G434" s="2" t="inlineStr">
        <is>
          <t xml:space="preserve">Ashish Jindal </t>
        </is>
      </c>
      <c r="H434" s="8" t="n">
        <v>9983975581</v>
      </c>
      <c r="I434" s="10" t="inlineStr">
        <is>
          <t>PE01052601</t>
        </is>
      </c>
      <c r="J434" s="8" t="inlineStr">
        <is>
          <t>Multiple Issues</t>
        </is>
      </c>
      <c r="K434" s="11" t="inlineStr">
        <is>
          <t>Holi</t>
        </is>
      </c>
      <c r="L434" s="11" t="inlineStr">
        <is>
          <t>Maharashtra</t>
        </is>
      </c>
      <c r="M434" s="2" t="inlineStr">
        <is>
          <t>NS</t>
        </is>
      </c>
      <c r="N434" s="1" t="inlineStr">
        <is>
          <t>Cold Soldering</t>
        </is>
      </c>
      <c r="O434" s="11" t="n">
        <v>575</v>
      </c>
      <c r="P434" s="2" t="inlineStr">
        <is>
          <t>NSMI24070195851</t>
        </is>
      </c>
      <c r="Q434" s="14">
        <f>MID(P434,5,2)</f>
        <v/>
      </c>
      <c r="R434" s="14">
        <f>MID(P434,7,2)</f>
        <v/>
      </c>
      <c r="S434" s="1" t="inlineStr">
        <is>
          <t>G2G</t>
        </is>
      </c>
      <c r="T434" s="1" t="inlineStr">
        <is>
          <t>P4 - PEIPL</t>
        </is>
      </c>
      <c r="U434" s="1" t="inlineStr">
        <is>
          <t>N JB Cold Soldering</t>
        </is>
      </c>
      <c r="V434" s="1" t="inlineStr">
        <is>
          <t>Soldering</t>
        </is>
      </c>
      <c r="W434" s="1" t="inlineStr">
        <is>
          <t>Repair</t>
        </is>
      </c>
      <c r="X434" s="5" t="n">
        <v>46176</v>
      </c>
      <c r="Y434" s="1">
        <f>IF(X434="","",X434-A434)</f>
        <v/>
      </c>
      <c r="Z434" s="5" t="n">
        <v>46176</v>
      </c>
      <c r="AA434" s="3" t="n"/>
      <c r="AB434" s="3" t="n"/>
      <c r="AE434" s="146">
        <f>IF(AND(F434="Closed",X434&gt;=DATE(2026,6,1),X434&lt;=DATE(2026,6,30)),"Closed in June","other")</f>
        <v/>
      </c>
    </row>
    <row r="435" hidden="1">
      <c r="A435" s="9" t="n">
        <v>46143</v>
      </c>
      <c r="B435" s="1" t="n">
        <v>2026</v>
      </c>
      <c r="C435" s="8" t="inlineStr">
        <is>
          <t>Yanara Power</t>
        </is>
      </c>
      <c r="D435" s="1" t="inlineStr">
        <is>
          <t>Utility and C&amp;I</t>
        </is>
      </c>
      <c r="E435" s="1" t="n"/>
      <c r="F435" s="1" t="inlineStr">
        <is>
          <t>Closed</t>
        </is>
      </c>
      <c r="G435" s="2" t="inlineStr">
        <is>
          <t xml:space="preserve">Ashish Jindal </t>
        </is>
      </c>
      <c r="H435" s="8" t="n">
        <v>9983975581</v>
      </c>
      <c r="I435" s="10" t="inlineStr">
        <is>
          <t>PE01052601</t>
        </is>
      </c>
      <c r="J435" s="8" t="inlineStr">
        <is>
          <t>Multiple Issues</t>
        </is>
      </c>
      <c r="K435" s="11" t="inlineStr">
        <is>
          <t>Holi</t>
        </is>
      </c>
      <c r="L435" s="11" t="inlineStr">
        <is>
          <t>Maharashtra</t>
        </is>
      </c>
      <c r="M435" s="2" t="inlineStr">
        <is>
          <t>NS</t>
        </is>
      </c>
      <c r="N435" s="1" t="inlineStr">
        <is>
          <t>Cold Soldering</t>
        </is>
      </c>
      <c r="O435" s="11" t="n">
        <v>575</v>
      </c>
      <c r="P435" s="2" t="inlineStr">
        <is>
          <t>NSMI24070195850</t>
        </is>
      </c>
      <c r="Q435" s="14">
        <f>MID(P435,5,2)</f>
        <v/>
      </c>
      <c r="R435" s="14">
        <f>MID(P435,7,2)</f>
        <v/>
      </c>
      <c r="S435" s="1" t="inlineStr">
        <is>
          <t>G2G</t>
        </is>
      </c>
      <c r="T435" s="1" t="inlineStr">
        <is>
          <t>P4 - PEIPL</t>
        </is>
      </c>
      <c r="U435" s="1" t="inlineStr">
        <is>
          <t>N JB Cold Soldering</t>
        </is>
      </c>
      <c r="V435" s="1" t="inlineStr">
        <is>
          <t>Soldering</t>
        </is>
      </c>
      <c r="W435" s="1" t="inlineStr">
        <is>
          <t>Repair</t>
        </is>
      </c>
      <c r="X435" s="5" t="n">
        <v>46176</v>
      </c>
      <c r="Y435" s="1">
        <f>IF(X435="","",X435-A435)</f>
        <v/>
      </c>
      <c r="Z435" s="5" t="n">
        <v>46176</v>
      </c>
      <c r="AA435" s="3" t="n"/>
      <c r="AB435" s="3" t="n"/>
      <c r="AE435" s="146">
        <f>IF(AND(F435="Closed",X435&gt;=DATE(2026,6,1),X435&lt;=DATE(2026,6,30)),"Closed in June","other")</f>
        <v/>
      </c>
    </row>
    <row r="436" hidden="1">
      <c r="A436" s="9" t="n">
        <v>46143</v>
      </c>
      <c r="B436" s="1" t="n">
        <v>2026</v>
      </c>
      <c r="C436" s="8" t="inlineStr">
        <is>
          <t>Yanara Power</t>
        </is>
      </c>
      <c r="D436" s="1" t="inlineStr">
        <is>
          <t>Utility and C&amp;I</t>
        </is>
      </c>
      <c r="E436" s="1" t="n"/>
      <c r="F436" s="1" t="inlineStr">
        <is>
          <t>Closed</t>
        </is>
      </c>
      <c r="G436" s="2" t="inlineStr">
        <is>
          <t xml:space="preserve">Ashish Jindal </t>
        </is>
      </c>
      <c r="H436" s="8" t="n">
        <v>9983975581</v>
      </c>
      <c r="I436" s="10" t="inlineStr">
        <is>
          <t>PE01052601</t>
        </is>
      </c>
      <c r="J436" s="8" t="inlineStr">
        <is>
          <t>Multiple Issues</t>
        </is>
      </c>
      <c r="K436" s="11" t="inlineStr">
        <is>
          <t>Holi</t>
        </is>
      </c>
      <c r="L436" s="11" t="inlineStr">
        <is>
          <t>Maharashtra</t>
        </is>
      </c>
      <c r="M436" s="2" t="inlineStr">
        <is>
          <t>NS</t>
        </is>
      </c>
      <c r="N436" s="1" t="inlineStr">
        <is>
          <t>Cold Soldering</t>
        </is>
      </c>
      <c r="O436" s="11" t="n">
        <v>575</v>
      </c>
      <c r="P436" s="2" t="inlineStr">
        <is>
          <t>NSMI24070195833</t>
        </is>
      </c>
      <c r="Q436" s="14">
        <f>MID(P436,5,2)</f>
        <v/>
      </c>
      <c r="R436" s="14">
        <f>MID(P436,7,2)</f>
        <v/>
      </c>
      <c r="S436" s="1" t="inlineStr">
        <is>
          <t>G2G</t>
        </is>
      </c>
      <c r="T436" s="1" t="inlineStr">
        <is>
          <t>P4 - PEIPL</t>
        </is>
      </c>
      <c r="U436" s="1" t="inlineStr">
        <is>
          <t>N JB Cold Soldering</t>
        </is>
      </c>
      <c r="V436" s="1" t="inlineStr">
        <is>
          <t>Soldering</t>
        </is>
      </c>
      <c r="W436" s="1" t="inlineStr">
        <is>
          <t>Repair</t>
        </is>
      </c>
      <c r="X436" s="5" t="n">
        <v>46176</v>
      </c>
      <c r="Y436" s="1">
        <f>IF(X436="","",X436-A436)</f>
        <v/>
      </c>
      <c r="Z436" s="5" t="n">
        <v>46176</v>
      </c>
      <c r="AA436" s="3" t="n"/>
      <c r="AB436" s="3" t="n"/>
      <c r="AE436" s="146">
        <f>IF(AND(F436="Closed",X436&gt;=DATE(2026,6,1),X436&lt;=DATE(2026,6,30)),"Closed in June","other")</f>
        <v/>
      </c>
    </row>
    <row r="437" hidden="1">
      <c r="A437" s="9" t="n">
        <v>46143</v>
      </c>
      <c r="B437" s="1" t="n">
        <v>2026</v>
      </c>
      <c r="C437" s="8" t="inlineStr">
        <is>
          <t>Yanara Power</t>
        </is>
      </c>
      <c r="D437" s="1" t="inlineStr">
        <is>
          <t>Utility and C&amp;I</t>
        </is>
      </c>
      <c r="E437" s="1" t="n"/>
      <c r="F437" s="1" t="inlineStr">
        <is>
          <t>Closed</t>
        </is>
      </c>
      <c r="G437" s="2" t="inlineStr">
        <is>
          <t xml:space="preserve">Ashish Jindal </t>
        </is>
      </c>
      <c r="H437" s="8" t="n">
        <v>9983975581</v>
      </c>
      <c r="I437" s="10" t="inlineStr">
        <is>
          <t>PE01052601</t>
        </is>
      </c>
      <c r="J437" s="8" t="inlineStr">
        <is>
          <t>Multiple Issues</t>
        </is>
      </c>
      <c r="K437" s="11" t="inlineStr">
        <is>
          <t>Holi</t>
        </is>
      </c>
      <c r="L437" s="11" t="inlineStr">
        <is>
          <t>Maharashtra</t>
        </is>
      </c>
      <c r="M437" s="2" t="inlineStr">
        <is>
          <t>PS</t>
        </is>
      </c>
      <c r="N437" s="1" t="inlineStr">
        <is>
          <t>Cold Soldering</t>
        </is>
      </c>
      <c r="O437" s="11" t="n">
        <v>575</v>
      </c>
      <c r="P437" s="2" t="inlineStr">
        <is>
          <t>NSMI24070186174</t>
        </is>
      </c>
      <c r="Q437" s="14">
        <f>MID(P437,5,2)</f>
        <v/>
      </c>
      <c r="R437" s="14">
        <f>MID(P437,7,2)</f>
        <v/>
      </c>
      <c r="S437" s="1" t="inlineStr">
        <is>
          <t>G2G</t>
        </is>
      </c>
      <c r="T437" s="1" t="inlineStr">
        <is>
          <t>P4 - PEIPL</t>
        </is>
      </c>
      <c r="U437" s="6" t="inlineStr">
        <is>
          <t>P JB Cold Soldering</t>
        </is>
      </c>
      <c r="V437" s="6" t="inlineStr">
        <is>
          <t>Soldering</t>
        </is>
      </c>
      <c r="W437" s="1" t="inlineStr">
        <is>
          <t>Repair</t>
        </is>
      </c>
      <c r="X437" s="5" t="n">
        <v>46176</v>
      </c>
      <c r="Y437" s="1">
        <f>IF(X437="","",X437-A437)</f>
        <v/>
      </c>
      <c r="Z437" s="5" t="n">
        <v>46176</v>
      </c>
      <c r="AA437" s="3" t="n"/>
      <c r="AB437" s="3" t="n"/>
      <c r="AE437" s="146">
        <f>IF(AND(F437="Closed",X437&gt;=DATE(2026,6,1),X437&lt;=DATE(2026,6,30)),"Closed in June","other")</f>
        <v/>
      </c>
    </row>
    <row r="438" hidden="1">
      <c r="A438" s="9" t="n">
        <v>46143</v>
      </c>
      <c r="B438" s="1" t="n">
        <v>2026</v>
      </c>
      <c r="C438" s="8" t="inlineStr">
        <is>
          <t>Yanara Power</t>
        </is>
      </c>
      <c r="D438" s="1" t="inlineStr">
        <is>
          <t>Utility and C&amp;I</t>
        </is>
      </c>
      <c r="E438" s="1" t="n"/>
      <c r="F438" s="1" t="inlineStr">
        <is>
          <t>Closed</t>
        </is>
      </c>
      <c r="G438" s="2" t="inlineStr">
        <is>
          <t xml:space="preserve">Ashish Jindal </t>
        </is>
      </c>
      <c r="H438" s="8" t="n">
        <v>9983975581</v>
      </c>
      <c r="I438" s="10" t="inlineStr">
        <is>
          <t>PE01052601</t>
        </is>
      </c>
      <c r="J438" s="8" t="inlineStr">
        <is>
          <t>Multiple Issues</t>
        </is>
      </c>
      <c r="K438" s="11" t="inlineStr">
        <is>
          <t>Holi</t>
        </is>
      </c>
      <c r="L438" s="11" t="inlineStr">
        <is>
          <t>Maharashtra</t>
        </is>
      </c>
      <c r="M438" s="2" t="inlineStr">
        <is>
          <t>PS</t>
        </is>
      </c>
      <c r="N438" s="1" t="inlineStr">
        <is>
          <t>Cold Soldering</t>
        </is>
      </c>
      <c r="O438" s="11" t="n">
        <v>575</v>
      </c>
      <c r="P438" s="2" t="inlineStr">
        <is>
          <t>NSMI24070197515</t>
        </is>
      </c>
      <c r="Q438" s="14">
        <f>MID(P438,5,2)</f>
        <v/>
      </c>
      <c r="R438" s="14">
        <f>MID(P438,7,2)</f>
        <v/>
      </c>
      <c r="S438" s="1" t="inlineStr">
        <is>
          <t>G2G</t>
        </is>
      </c>
      <c r="T438" s="1" t="inlineStr">
        <is>
          <t>P4 - PEIPL</t>
        </is>
      </c>
      <c r="U438" s="6" t="inlineStr">
        <is>
          <t>P JB Cold Soldering</t>
        </is>
      </c>
      <c r="V438" s="6" t="inlineStr">
        <is>
          <t>Soldering</t>
        </is>
      </c>
      <c r="W438" s="1" t="inlineStr">
        <is>
          <t>Repair</t>
        </is>
      </c>
      <c r="X438" s="5" t="n">
        <v>46176</v>
      </c>
      <c r="Y438" s="1">
        <f>IF(X438="","",X438-A438)</f>
        <v/>
      </c>
      <c r="Z438" s="5" t="n">
        <v>46176</v>
      </c>
      <c r="AA438" s="3" t="n"/>
      <c r="AB438" s="3" t="n"/>
      <c r="AE438" s="146">
        <f>IF(AND(F438="Closed",X438&gt;=DATE(2026,6,1),X438&lt;=DATE(2026,6,30)),"Closed in June","other")</f>
        <v/>
      </c>
    </row>
    <row r="439" hidden="1">
      <c r="A439" s="9" t="n">
        <v>46143</v>
      </c>
      <c r="B439" s="1" t="n">
        <v>2026</v>
      </c>
      <c r="C439" s="8" t="inlineStr">
        <is>
          <t>Yanara Power</t>
        </is>
      </c>
      <c r="D439" s="1" t="inlineStr">
        <is>
          <t>Utility and C&amp;I</t>
        </is>
      </c>
      <c r="E439" s="1" t="n"/>
      <c r="F439" s="1" t="inlineStr">
        <is>
          <t>Closed</t>
        </is>
      </c>
      <c r="G439" s="2" t="inlineStr">
        <is>
          <t xml:space="preserve">Ashish Jindal </t>
        </is>
      </c>
      <c r="H439" s="8" t="n">
        <v>9983975581</v>
      </c>
      <c r="I439" s="10" t="inlineStr">
        <is>
          <t>PE01052601</t>
        </is>
      </c>
      <c r="J439" s="8" t="inlineStr">
        <is>
          <t>Multiple Issues</t>
        </is>
      </c>
      <c r="K439" s="11" t="inlineStr">
        <is>
          <t>Holi</t>
        </is>
      </c>
      <c r="L439" s="11" t="inlineStr">
        <is>
          <t>Maharashtra</t>
        </is>
      </c>
      <c r="M439" s="2" t="inlineStr">
        <is>
          <t>PS</t>
        </is>
      </c>
      <c r="N439" s="1" t="inlineStr">
        <is>
          <t>Cold Soldering</t>
        </is>
      </c>
      <c r="O439" s="11" t="n">
        <v>575</v>
      </c>
      <c r="P439" s="2" t="inlineStr">
        <is>
          <t>NSMI24070186105</t>
        </is>
      </c>
      <c r="Q439" s="14">
        <f>MID(P439,5,2)</f>
        <v/>
      </c>
      <c r="R439" s="14">
        <f>MID(P439,7,2)</f>
        <v/>
      </c>
      <c r="S439" s="1" t="inlineStr">
        <is>
          <t>G2G</t>
        </is>
      </c>
      <c r="T439" s="1" t="inlineStr">
        <is>
          <t>P4 - PEIPL</t>
        </is>
      </c>
      <c r="U439" s="6" t="inlineStr">
        <is>
          <t>P JB Cold Soldering</t>
        </is>
      </c>
      <c r="V439" s="6" t="inlineStr">
        <is>
          <t>Soldering</t>
        </is>
      </c>
      <c r="W439" s="1" t="inlineStr">
        <is>
          <t>Repair</t>
        </is>
      </c>
      <c r="X439" s="5" t="n">
        <v>46176</v>
      </c>
      <c r="Y439" s="1">
        <f>IF(X439="","",X439-A439)</f>
        <v/>
      </c>
      <c r="Z439" s="5" t="n">
        <v>46176</v>
      </c>
      <c r="AA439" s="3" t="n"/>
      <c r="AB439" s="3" t="n"/>
      <c r="AE439" s="146">
        <f>IF(AND(F439="Closed",X439&gt;=DATE(2026,6,1),X439&lt;=DATE(2026,6,30)),"Closed in June","other")</f>
        <v/>
      </c>
    </row>
    <row r="440" hidden="1">
      <c r="A440" s="9" t="n">
        <v>46143</v>
      </c>
      <c r="B440" s="1" t="n">
        <v>2026</v>
      </c>
      <c r="C440" s="8" t="inlineStr">
        <is>
          <t>Yanara Power</t>
        </is>
      </c>
      <c r="D440" s="1" t="inlineStr">
        <is>
          <t>Utility and C&amp;I</t>
        </is>
      </c>
      <c r="E440" s="1" t="n"/>
      <c r="F440" s="1" t="inlineStr">
        <is>
          <t>Closed</t>
        </is>
      </c>
      <c r="G440" s="2" t="inlineStr">
        <is>
          <t xml:space="preserve">Ashish Jindal </t>
        </is>
      </c>
      <c r="H440" s="8" t="n">
        <v>9983975581</v>
      </c>
      <c r="I440" s="10" t="inlineStr">
        <is>
          <t>PE01052601</t>
        </is>
      </c>
      <c r="J440" s="8" t="inlineStr">
        <is>
          <t>Multiple Issues</t>
        </is>
      </c>
      <c r="K440" s="11" t="inlineStr">
        <is>
          <t>Holi</t>
        </is>
      </c>
      <c r="L440" s="11" t="inlineStr">
        <is>
          <t>Maharashtra</t>
        </is>
      </c>
      <c r="M440" s="2" t="inlineStr">
        <is>
          <t>PS</t>
        </is>
      </c>
      <c r="N440" s="1" t="inlineStr">
        <is>
          <t>Cold Soldering</t>
        </is>
      </c>
      <c r="O440" s="11" t="n">
        <v>575</v>
      </c>
      <c r="P440" s="2" t="inlineStr">
        <is>
          <t>NSMI24070197330</t>
        </is>
      </c>
      <c r="Q440" s="14">
        <f>MID(P440,5,2)</f>
        <v/>
      </c>
      <c r="R440" s="14">
        <f>MID(P440,7,2)</f>
        <v/>
      </c>
      <c r="S440" s="1" t="inlineStr">
        <is>
          <t>G2G</t>
        </is>
      </c>
      <c r="T440" s="1" t="inlineStr">
        <is>
          <t>P4 - PEIPL</t>
        </is>
      </c>
      <c r="U440" s="6" t="inlineStr">
        <is>
          <t>P JB Cold Soldering</t>
        </is>
      </c>
      <c r="V440" s="6" t="inlineStr">
        <is>
          <t>Soldering</t>
        </is>
      </c>
      <c r="W440" s="1" t="inlineStr">
        <is>
          <t>Repair</t>
        </is>
      </c>
      <c r="X440" s="5" t="n">
        <v>46176</v>
      </c>
      <c r="Y440" s="1">
        <f>IF(X440="","",X440-A440)</f>
        <v/>
      </c>
      <c r="Z440" s="5" t="n">
        <v>46176</v>
      </c>
      <c r="AA440" s="3" t="n"/>
      <c r="AB440" s="3" t="n"/>
      <c r="AE440" s="146">
        <f>IF(AND(F440="Closed",X440&gt;=DATE(2026,6,1),X440&lt;=DATE(2026,6,30)),"Closed in June","other")</f>
        <v/>
      </c>
    </row>
    <row r="441" hidden="1">
      <c r="A441" s="9" t="n">
        <v>46143</v>
      </c>
      <c r="B441" s="1" t="n">
        <v>2026</v>
      </c>
      <c r="C441" s="8" t="inlineStr">
        <is>
          <t>Yanara Power</t>
        </is>
      </c>
      <c r="D441" s="1" t="inlineStr">
        <is>
          <t>Utility and C&amp;I</t>
        </is>
      </c>
      <c r="E441" s="1" t="n"/>
      <c r="F441" s="1" t="inlineStr">
        <is>
          <t>Closed</t>
        </is>
      </c>
      <c r="G441" s="2" t="inlineStr">
        <is>
          <t xml:space="preserve">Ashish Jindal </t>
        </is>
      </c>
      <c r="H441" s="8" t="n">
        <v>9983975581</v>
      </c>
      <c r="I441" s="10" t="inlineStr">
        <is>
          <t>PE01052601</t>
        </is>
      </c>
      <c r="J441" s="8" t="inlineStr">
        <is>
          <t>Multiple Issues</t>
        </is>
      </c>
      <c r="K441" s="11" t="inlineStr">
        <is>
          <t>Holi</t>
        </is>
      </c>
      <c r="L441" s="11" t="inlineStr">
        <is>
          <t>Maharashtra</t>
        </is>
      </c>
      <c r="M441" s="2" t="inlineStr">
        <is>
          <t>PS</t>
        </is>
      </c>
      <c r="N441" s="1" t="inlineStr">
        <is>
          <t>Cold Soldering</t>
        </is>
      </c>
      <c r="O441" s="11" t="n">
        <v>575</v>
      </c>
      <c r="P441" s="2" t="inlineStr">
        <is>
          <t>NSMI24070197189</t>
        </is>
      </c>
      <c r="Q441" s="14">
        <f>MID(P441,5,2)</f>
        <v/>
      </c>
      <c r="R441" s="14">
        <f>MID(P441,7,2)</f>
        <v/>
      </c>
      <c r="S441" s="1" t="inlineStr">
        <is>
          <t>G2G</t>
        </is>
      </c>
      <c r="T441" s="1" t="inlineStr">
        <is>
          <t>P4 - PEIPL</t>
        </is>
      </c>
      <c r="U441" s="6" t="inlineStr">
        <is>
          <t>P JB Cold Soldering</t>
        </is>
      </c>
      <c r="V441" s="6" t="inlineStr">
        <is>
          <t>Soldering</t>
        </is>
      </c>
      <c r="W441" s="1" t="inlineStr">
        <is>
          <t>Repair</t>
        </is>
      </c>
      <c r="X441" s="5" t="n">
        <v>46176</v>
      </c>
      <c r="Y441" s="1">
        <f>IF(X441="","",X441-A441)</f>
        <v/>
      </c>
      <c r="Z441" s="5" t="n">
        <v>46176</v>
      </c>
      <c r="AA441" s="3" t="n"/>
      <c r="AB441" s="3" t="n"/>
      <c r="AE441" s="146">
        <f>IF(AND(F441="Closed",X441&gt;=DATE(2026,6,1),X441&lt;=DATE(2026,6,30)),"Closed in June","other")</f>
        <v/>
      </c>
    </row>
    <row r="442" hidden="1">
      <c r="A442" s="9" t="n">
        <v>46143</v>
      </c>
      <c r="B442" s="1" t="n">
        <v>2026</v>
      </c>
      <c r="C442" s="8" t="inlineStr">
        <is>
          <t>Yanara Power</t>
        </is>
      </c>
      <c r="D442" s="1" t="inlineStr">
        <is>
          <t>Utility and C&amp;I</t>
        </is>
      </c>
      <c r="E442" s="1" t="n"/>
      <c r="F442" s="1" t="inlineStr">
        <is>
          <t>Closed</t>
        </is>
      </c>
      <c r="G442" s="2" t="inlineStr">
        <is>
          <t xml:space="preserve">Ashish Jindal </t>
        </is>
      </c>
      <c r="H442" s="8" t="n">
        <v>9983975581</v>
      </c>
      <c r="I442" s="10" t="inlineStr">
        <is>
          <t>PE01052601</t>
        </is>
      </c>
      <c r="J442" s="8" t="inlineStr">
        <is>
          <t>Multiple Issues</t>
        </is>
      </c>
      <c r="K442" s="11" t="inlineStr">
        <is>
          <t>Holi</t>
        </is>
      </c>
      <c r="L442" s="11" t="inlineStr">
        <is>
          <t>Maharashtra</t>
        </is>
      </c>
      <c r="M442" s="2" t="inlineStr">
        <is>
          <t>PS</t>
        </is>
      </c>
      <c r="N442" s="1" t="inlineStr">
        <is>
          <t>Cold Soldering</t>
        </is>
      </c>
      <c r="O442" s="11" t="n">
        <v>575</v>
      </c>
      <c r="P442" s="2" t="inlineStr">
        <is>
          <t>NSMI24070197159</t>
        </is>
      </c>
      <c r="Q442" s="14">
        <f>MID(P442,5,2)</f>
        <v/>
      </c>
      <c r="R442" s="14">
        <f>MID(P442,7,2)</f>
        <v/>
      </c>
      <c r="S442" s="1" t="inlineStr">
        <is>
          <t>G2G</t>
        </is>
      </c>
      <c r="T442" s="1" t="inlineStr">
        <is>
          <t>P4 - PEIPL</t>
        </is>
      </c>
      <c r="U442" s="6" t="inlineStr">
        <is>
          <t>P JB Cold Soldering</t>
        </is>
      </c>
      <c r="V442" s="6" t="inlineStr">
        <is>
          <t>Soldering</t>
        </is>
      </c>
      <c r="W442" s="1" t="inlineStr">
        <is>
          <t>Repair</t>
        </is>
      </c>
      <c r="X442" s="5" t="n">
        <v>46176</v>
      </c>
      <c r="Y442" s="1">
        <f>IF(X442="","",X442-A442)</f>
        <v/>
      </c>
      <c r="Z442" s="5" t="n">
        <v>46176</v>
      </c>
      <c r="AA442" s="3" t="n"/>
      <c r="AB442" s="3" t="n"/>
      <c r="AE442" s="146">
        <f>IF(AND(F442="Closed",X442&gt;=DATE(2026,6,1),X442&lt;=DATE(2026,6,30)),"Closed in June","other")</f>
        <v/>
      </c>
    </row>
    <row r="443" hidden="1">
      <c r="A443" s="9" t="n">
        <v>46143</v>
      </c>
      <c r="B443" s="1" t="n">
        <v>2026</v>
      </c>
      <c r="C443" s="8" t="inlineStr">
        <is>
          <t>Yanara Power</t>
        </is>
      </c>
      <c r="D443" s="1" t="inlineStr">
        <is>
          <t>Utility and C&amp;I</t>
        </is>
      </c>
      <c r="E443" s="1" t="n"/>
      <c r="F443" s="1" t="inlineStr">
        <is>
          <t>Closed</t>
        </is>
      </c>
      <c r="G443" s="2" t="inlineStr">
        <is>
          <t xml:space="preserve">Ashish Jindal </t>
        </is>
      </c>
      <c r="H443" s="8" t="n">
        <v>9983975581</v>
      </c>
      <c r="I443" s="10" t="inlineStr">
        <is>
          <t>PE01052601</t>
        </is>
      </c>
      <c r="J443" s="8" t="inlineStr">
        <is>
          <t>Multiple Issues</t>
        </is>
      </c>
      <c r="K443" s="11" t="inlineStr">
        <is>
          <t>Holi</t>
        </is>
      </c>
      <c r="L443" s="11" t="inlineStr">
        <is>
          <t>Maharashtra</t>
        </is>
      </c>
      <c r="M443" s="2" t="inlineStr">
        <is>
          <t>PS</t>
        </is>
      </c>
      <c r="N443" s="1" t="inlineStr">
        <is>
          <t>Cold Soldering</t>
        </is>
      </c>
      <c r="O443" s="11" t="n">
        <v>575</v>
      </c>
      <c r="P443" s="2" t="inlineStr">
        <is>
          <t>NSMI24070197331</t>
        </is>
      </c>
      <c r="Q443" s="14">
        <f>MID(P443,5,2)</f>
        <v/>
      </c>
      <c r="R443" s="14">
        <f>MID(P443,7,2)</f>
        <v/>
      </c>
      <c r="S443" s="1" t="inlineStr">
        <is>
          <t>G2G</t>
        </is>
      </c>
      <c r="T443" s="1" t="inlineStr">
        <is>
          <t>P4 - PEIPL</t>
        </is>
      </c>
      <c r="U443" s="6" t="inlineStr">
        <is>
          <t>P JB Cold Soldering</t>
        </is>
      </c>
      <c r="V443" s="6" t="inlineStr">
        <is>
          <t>Soldering</t>
        </is>
      </c>
      <c r="W443" s="1" t="inlineStr">
        <is>
          <t>Repair</t>
        </is>
      </c>
      <c r="X443" s="5" t="n">
        <v>46176</v>
      </c>
      <c r="Y443" s="1">
        <f>IF(X443="","",X443-A443)</f>
        <v/>
      </c>
      <c r="Z443" s="5" t="n">
        <v>46176</v>
      </c>
      <c r="AA443" s="3" t="n"/>
      <c r="AB443" s="3" t="n"/>
      <c r="AE443" s="146">
        <f>IF(AND(F443="Closed",X443&gt;=DATE(2026,6,1),X443&lt;=DATE(2026,6,30)),"Closed in June","other")</f>
        <v/>
      </c>
    </row>
    <row r="444" hidden="1">
      <c r="A444" s="9" t="n">
        <v>46143</v>
      </c>
      <c r="B444" s="1" t="n">
        <v>2026</v>
      </c>
      <c r="C444" s="8" t="inlineStr">
        <is>
          <t>Yanara Power</t>
        </is>
      </c>
      <c r="D444" s="1" t="inlineStr">
        <is>
          <t>Utility and C&amp;I</t>
        </is>
      </c>
      <c r="E444" s="1" t="n"/>
      <c r="F444" s="1" t="inlineStr">
        <is>
          <t>Closed</t>
        </is>
      </c>
      <c r="G444" s="2" t="inlineStr">
        <is>
          <t xml:space="preserve">Ashish Jindal </t>
        </is>
      </c>
      <c r="H444" s="8" t="n">
        <v>9983975581</v>
      </c>
      <c r="I444" s="10" t="inlineStr">
        <is>
          <t>PE01052601</t>
        </is>
      </c>
      <c r="J444" s="8" t="inlineStr">
        <is>
          <t>Multiple Issues</t>
        </is>
      </c>
      <c r="K444" s="11" t="inlineStr">
        <is>
          <t>Holi</t>
        </is>
      </c>
      <c r="L444" s="11" t="inlineStr">
        <is>
          <t>Maharashtra</t>
        </is>
      </c>
      <c r="M444" s="2" t="inlineStr">
        <is>
          <t>PS</t>
        </is>
      </c>
      <c r="N444" s="1" t="inlineStr">
        <is>
          <t>Cold Soldering</t>
        </is>
      </c>
      <c r="O444" s="11" t="n">
        <v>575</v>
      </c>
      <c r="P444" s="2" t="inlineStr">
        <is>
          <t>NSMI24070197224</t>
        </is>
      </c>
      <c r="Q444" s="14">
        <f>MID(P444,5,2)</f>
        <v/>
      </c>
      <c r="R444" s="14">
        <f>MID(P444,7,2)</f>
        <v/>
      </c>
      <c r="S444" s="1" t="inlineStr">
        <is>
          <t>G2G</t>
        </is>
      </c>
      <c r="T444" s="1" t="inlineStr">
        <is>
          <t>P4 - PEIPL</t>
        </is>
      </c>
      <c r="U444" s="6" t="inlineStr">
        <is>
          <t>P JB Cold Soldering</t>
        </is>
      </c>
      <c r="V444" s="6" t="inlineStr">
        <is>
          <t>Soldering</t>
        </is>
      </c>
      <c r="W444" s="1" t="inlineStr">
        <is>
          <t>Repair</t>
        </is>
      </c>
      <c r="X444" s="5" t="n">
        <v>46176</v>
      </c>
      <c r="Y444" s="1">
        <f>IF(X444="","",X444-A444)</f>
        <v/>
      </c>
      <c r="Z444" s="5" t="n">
        <v>46176</v>
      </c>
      <c r="AA444" s="3" t="n"/>
      <c r="AB444" s="3" t="n"/>
      <c r="AE444" s="146">
        <f>IF(AND(F444="Closed",X444&gt;=DATE(2026,6,1),X444&lt;=DATE(2026,6,30)),"Closed in June","other")</f>
        <v/>
      </c>
    </row>
    <row r="445" hidden="1">
      <c r="A445" s="9" t="n">
        <v>46143</v>
      </c>
      <c r="B445" s="1" t="n">
        <v>2026</v>
      </c>
      <c r="C445" s="8" t="inlineStr">
        <is>
          <t>Yanara Power</t>
        </is>
      </c>
      <c r="D445" s="1" t="inlineStr">
        <is>
          <t>Utility and C&amp;I</t>
        </is>
      </c>
      <c r="E445" s="1" t="n"/>
      <c r="F445" s="1" t="inlineStr">
        <is>
          <t>Closed</t>
        </is>
      </c>
      <c r="G445" s="2" t="inlineStr">
        <is>
          <t xml:space="preserve">Ashish Jindal </t>
        </is>
      </c>
      <c r="H445" s="8" t="n">
        <v>9983975581</v>
      </c>
      <c r="I445" s="10" t="inlineStr">
        <is>
          <t>PE01052601</t>
        </is>
      </c>
      <c r="J445" s="8" t="inlineStr">
        <is>
          <t>Multiple Issues</t>
        </is>
      </c>
      <c r="K445" s="11" t="inlineStr">
        <is>
          <t>Holi</t>
        </is>
      </c>
      <c r="L445" s="11" t="inlineStr">
        <is>
          <t>Maharashtra</t>
        </is>
      </c>
      <c r="M445" s="2" t="inlineStr">
        <is>
          <t>PS</t>
        </is>
      </c>
      <c r="N445" s="1" t="inlineStr">
        <is>
          <t>Cold Soldering</t>
        </is>
      </c>
      <c r="O445" s="11" t="n">
        <v>575</v>
      </c>
      <c r="P445" s="2" t="inlineStr">
        <is>
          <t>NSMI24070197214</t>
        </is>
      </c>
      <c r="Q445" s="14">
        <f>MID(P445,5,2)</f>
        <v/>
      </c>
      <c r="R445" s="14">
        <f>MID(P445,7,2)</f>
        <v/>
      </c>
      <c r="S445" s="1" t="inlineStr">
        <is>
          <t>G2G</t>
        </is>
      </c>
      <c r="T445" s="1" t="inlineStr">
        <is>
          <t>P4 - PEIPL</t>
        </is>
      </c>
      <c r="U445" s="6" t="inlineStr">
        <is>
          <t>P JB Cold Soldering</t>
        </is>
      </c>
      <c r="V445" s="6" t="inlineStr">
        <is>
          <t>Soldering</t>
        </is>
      </c>
      <c r="W445" s="1" t="inlineStr">
        <is>
          <t>Repair</t>
        </is>
      </c>
      <c r="X445" s="5" t="n">
        <v>46176</v>
      </c>
      <c r="Y445" s="1">
        <f>IF(X445="","",X445-A445)</f>
        <v/>
      </c>
      <c r="Z445" s="5" t="n">
        <v>46176</v>
      </c>
      <c r="AA445" s="3" t="n"/>
      <c r="AB445" s="3" t="n"/>
      <c r="AE445" s="146">
        <f>IF(AND(F445="Closed",X445&gt;=DATE(2026,6,1),X445&lt;=DATE(2026,6,30)),"Closed in June","other")</f>
        <v/>
      </c>
    </row>
    <row r="446" hidden="1">
      <c r="A446" s="9" t="n">
        <v>46143</v>
      </c>
      <c r="B446" s="1" t="n">
        <v>2026</v>
      </c>
      <c r="C446" s="8" t="inlineStr">
        <is>
          <t>Yanara Power</t>
        </is>
      </c>
      <c r="D446" s="1" t="inlineStr">
        <is>
          <t>Utility and C&amp;I</t>
        </is>
      </c>
      <c r="E446" s="1" t="n"/>
      <c r="F446" s="1" t="inlineStr">
        <is>
          <t>Closed</t>
        </is>
      </c>
      <c r="G446" s="2" t="inlineStr">
        <is>
          <t xml:space="preserve">Ashish Jindal </t>
        </is>
      </c>
      <c r="H446" s="8" t="n">
        <v>9983975581</v>
      </c>
      <c r="I446" s="10" t="inlineStr">
        <is>
          <t>PE01052601</t>
        </is>
      </c>
      <c r="J446" s="8" t="inlineStr">
        <is>
          <t>Multiple Issues</t>
        </is>
      </c>
      <c r="K446" s="11" t="inlineStr">
        <is>
          <t>Holi</t>
        </is>
      </c>
      <c r="L446" s="11" t="inlineStr">
        <is>
          <t>Maharashtra</t>
        </is>
      </c>
      <c r="M446" s="2" t="inlineStr">
        <is>
          <t>PS</t>
        </is>
      </c>
      <c r="N446" s="1" t="inlineStr">
        <is>
          <t>Cold Soldering</t>
        </is>
      </c>
      <c r="O446" s="11" t="n">
        <v>575</v>
      </c>
      <c r="P446" s="2" t="inlineStr">
        <is>
          <t>NSMI24070197203</t>
        </is>
      </c>
      <c r="Q446" s="14">
        <f>MID(P446,5,2)</f>
        <v/>
      </c>
      <c r="R446" s="14">
        <f>MID(P446,7,2)</f>
        <v/>
      </c>
      <c r="S446" s="1" t="inlineStr">
        <is>
          <t>G2G</t>
        </is>
      </c>
      <c r="T446" s="1" t="inlineStr">
        <is>
          <t>P4 - PEIPL</t>
        </is>
      </c>
      <c r="U446" s="6" t="inlineStr">
        <is>
          <t>P JB Cold Soldering</t>
        </is>
      </c>
      <c r="V446" s="6" t="inlineStr">
        <is>
          <t>Soldering</t>
        </is>
      </c>
      <c r="W446" s="1" t="inlineStr">
        <is>
          <t>Repair</t>
        </is>
      </c>
      <c r="X446" s="5" t="n">
        <v>46176</v>
      </c>
      <c r="Y446" s="1">
        <f>IF(X446="","",X446-A446)</f>
        <v/>
      </c>
      <c r="Z446" s="5" t="n">
        <v>46176</v>
      </c>
      <c r="AA446" s="3" t="n"/>
      <c r="AB446" s="3" t="n"/>
      <c r="AE446" s="146">
        <f>IF(AND(F446="Closed",X446&gt;=DATE(2026,6,1),X446&lt;=DATE(2026,6,30)),"Closed in June","other")</f>
        <v/>
      </c>
    </row>
    <row r="447" hidden="1">
      <c r="A447" s="9" t="n">
        <v>46143</v>
      </c>
      <c r="B447" s="1" t="n">
        <v>2026</v>
      </c>
      <c r="C447" s="8" t="inlineStr">
        <is>
          <t>Yanara Power</t>
        </is>
      </c>
      <c r="D447" s="1" t="inlineStr">
        <is>
          <t>Utility and C&amp;I</t>
        </is>
      </c>
      <c r="E447" s="1" t="n"/>
      <c r="F447" s="1" t="inlineStr">
        <is>
          <t>Closed</t>
        </is>
      </c>
      <c r="G447" s="2" t="inlineStr">
        <is>
          <t xml:space="preserve">Ashish Jindal </t>
        </is>
      </c>
      <c r="H447" s="8" t="n">
        <v>9983975581</v>
      </c>
      <c r="I447" s="10" t="inlineStr">
        <is>
          <t>PE01052601</t>
        </is>
      </c>
      <c r="J447" s="8" t="inlineStr">
        <is>
          <t>Multiple Issues</t>
        </is>
      </c>
      <c r="K447" s="11" t="inlineStr">
        <is>
          <t>Holi</t>
        </is>
      </c>
      <c r="L447" s="11" t="inlineStr">
        <is>
          <t>Maharashtra</t>
        </is>
      </c>
      <c r="M447" s="2" t="inlineStr">
        <is>
          <t>PR</t>
        </is>
      </c>
      <c r="N447" s="1" t="inlineStr">
        <is>
          <t>JB Issue</t>
        </is>
      </c>
      <c r="O447" s="11" t="n">
        <v>575</v>
      </c>
      <c r="P447" s="2" t="inlineStr">
        <is>
          <t>NSMI24070201551</t>
        </is>
      </c>
      <c r="Q447" s="14">
        <f>MID(P447,5,2)</f>
        <v/>
      </c>
      <c r="R447" s="14">
        <f>MID(P447,7,2)</f>
        <v/>
      </c>
      <c r="S447" s="1" t="inlineStr">
        <is>
          <t>G2G</t>
        </is>
      </c>
      <c r="T447" s="1" t="inlineStr">
        <is>
          <t>P4 - PEIPL</t>
        </is>
      </c>
      <c r="U447" s="1" t="inlineStr">
        <is>
          <t>P JB Issue</t>
        </is>
      </c>
      <c r="V447" s="1" t="inlineStr">
        <is>
          <t>JB Changed</t>
        </is>
      </c>
      <c r="W447" s="1" t="inlineStr">
        <is>
          <t>Repair</t>
        </is>
      </c>
      <c r="X447" s="5" t="n">
        <v>46176</v>
      </c>
      <c r="Y447" s="1">
        <f>IF(X447="","",X447-A447)</f>
        <v/>
      </c>
      <c r="Z447" s="5" t="n">
        <v>46176</v>
      </c>
      <c r="AA447" s="3" t="n"/>
      <c r="AB447" s="3" t="n"/>
      <c r="AE447" s="146">
        <f>IF(AND(F447="Closed",X447&gt;=DATE(2026,6,1),X447&lt;=DATE(2026,6,30)),"Closed in June","other")</f>
        <v/>
      </c>
    </row>
    <row r="448" hidden="1">
      <c r="A448" s="9" t="n">
        <v>46143</v>
      </c>
      <c r="B448" s="1" t="n">
        <v>2026</v>
      </c>
      <c r="C448" s="8" t="inlineStr">
        <is>
          <t>Yanara Power</t>
        </is>
      </c>
      <c r="D448" s="1" t="inlineStr">
        <is>
          <t>Utility and C&amp;I</t>
        </is>
      </c>
      <c r="E448" s="1" t="n"/>
      <c r="F448" s="1" t="inlineStr">
        <is>
          <t>Closed</t>
        </is>
      </c>
      <c r="G448" s="2" t="inlineStr">
        <is>
          <t xml:space="preserve">Ashish Jindal </t>
        </is>
      </c>
      <c r="H448" s="8" t="n">
        <v>9983975581</v>
      </c>
      <c r="I448" s="10" t="inlineStr">
        <is>
          <t>PE01052601</t>
        </is>
      </c>
      <c r="J448" s="8" t="inlineStr">
        <is>
          <t>Multiple Issues</t>
        </is>
      </c>
      <c r="K448" s="11" t="inlineStr">
        <is>
          <t>Holi</t>
        </is>
      </c>
      <c r="L448" s="11" t="inlineStr">
        <is>
          <t>Maharashtra</t>
        </is>
      </c>
      <c r="M448" s="2" t="inlineStr">
        <is>
          <t>PS</t>
        </is>
      </c>
      <c r="N448" s="1" t="inlineStr">
        <is>
          <t>Cold Soldering</t>
        </is>
      </c>
      <c r="O448" s="11" t="n">
        <v>575</v>
      </c>
      <c r="P448" s="2" t="inlineStr">
        <is>
          <t>NSMI24070196280</t>
        </is>
      </c>
      <c r="Q448" s="14">
        <f>MID(P448,5,2)</f>
        <v/>
      </c>
      <c r="R448" s="14">
        <f>MID(P448,7,2)</f>
        <v/>
      </c>
      <c r="S448" s="1" t="inlineStr">
        <is>
          <t>G2G</t>
        </is>
      </c>
      <c r="T448" s="1" t="inlineStr">
        <is>
          <t>P4 - PEIPL</t>
        </is>
      </c>
      <c r="U448" s="6" t="inlineStr">
        <is>
          <t>P JB Cold Soldering</t>
        </is>
      </c>
      <c r="V448" s="6" t="inlineStr">
        <is>
          <t>Soldering</t>
        </is>
      </c>
      <c r="W448" s="1" t="inlineStr">
        <is>
          <t>Repair</t>
        </is>
      </c>
      <c r="X448" s="5" t="n">
        <v>46176</v>
      </c>
      <c r="Y448" s="1">
        <f>IF(X448="","",X448-A448)</f>
        <v/>
      </c>
      <c r="Z448" s="5" t="n">
        <v>46176</v>
      </c>
      <c r="AA448" s="3" t="n"/>
      <c r="AB448" s="3" t="n"/>
      <c r="AE448" s="146">
        <f>IF(AND(F448="Closed",X448&gt;=DATE(2026,6,1),X448&lt;=DATE(2026,6,30)),"Closed in June","other")</f>
        <v/>
      </c>
    </row>
    <row r="449" hidden="1">
      <c r="A449" s="9" t="n">
        <v>46143</v>
      </c>
      <c r="B449" s="1" t="n">
        <v>2026</v>
      </c>
      <c r="C449" s="8" t="inlineStr">
        <is>
          <t>Yanara Power</t>
        </is>
      </c>
      <c r="D449" s="1" t="inlineStr">
        <is>
          <t>Utility and C&amp;I</t>
        </is>
      </c>
      <c r="E449" s="1" t="n"/>
      <c r="F449" s="1" t="inlineStr">
        <is>
          <t>Closed</t>
        </is>
      </c>
      <c r="G449" s="2" t="inlineStr">
        <is>
          <t xml:space="preserve">Ashish Jindal </t>
        </is>
      </c>
      <c r="H449" s="8" t="n">
        <v>9983975581</v>
      </c>
      <c r="I449" s="10" t="inlineStr">
        <is>
          <t>PE01052601</t>
        </is>
      </c>
      <c r="J449" s="8" t="inlineStr">
        <is>
          <t>Multiple Issues</t>
        </is>
      </c>
      <c r="K449" s="11" t="inlineStr">
        <is>
          <t>Holi</t>
        </is>
      </c>
      <c r="L449" s="11" t="inlineStr">
        <is>
          <t>Maharashtra</t>
        </is>
      </c>
      <c r="M449" s="2" t="inlineStr">
        <is>
          <t>PS</t>
        </is>
      </c>
      <c r="N449" s="1" t="inlineStr">
        <is>
          <t>Cold Soldering</t>
        </is>
      </c>
      <c r="O449" s="11" t="n">
        <v>575</v>
      </c>
      <c r="P449" s="2" t="inlineStr">
        <is>
          <t>NSMI24070201650</t>
        </is>
      </c>
      <c r="Q449" s="14">
        <f>MID(P449,5,2)</f>
        <v/>
      </c>
      <c r="R449" s="14">
        <f>MID(P449,7,2)</f>
        <v/>
      </c>
      <c r="S449" s="1" t="inlineStr">
        <is>
          <t>G2G</t>
        </is>
      </c>
      <c r="T449" s="1" t="inlineStr">
        <is>
          <t>P4 - PEIPL</t>
        </is>
      </c>
      <c r="U449" s="6" t="inlineStr">
        <is>
          <t>P JB Cold Soldering</t>
        </is>
      </c>
      <c r="V449" s="6" t="inlineStr">
        <is>
          <t>Soldering</t>
        </is>
      </c>
      <c r="W449" s="1" t="inlineStr">
        <is>
          <t>Repair</t>
        </is>
      </c>
      <c r="X449" s="5" t="n">
        <v>46176</v>
      </c>
      <c r="Y449" s="1">
        <f>IF(X449="","",X449-A449)</f>
        <v/>
      </c>
      <c r="Z449" s="5" t="n">
        <v>46176</v>
      </c>
      <c r="AA449" s="3" t="n"/>
      <c r="AB449" s="3" t="n"/>
      <c r="AE449" s="146">
        <f>IF(AND(F449="Closed",X449&gt;=DATE(2026,6,1),X449&lt;=DATE(2026,6,30)),"Closed in June","other")</f>
        <v/>
      </c>
    </row>
    <row r="450" hidden="1">
      <c r="A450" s="9" t="n">
        <v>46143</v>
      </c>
      <c r="B450" s="1" t="n">
        <v>2026</v>
      </c>
      <c r="C450" s="8" t="inlineStr">
        <is>
          <t>Yanara Power</t>
        </is>
      </c>
      <c r="D450" s="1" t="inlineStr">
        <is>
          <t>Utility and C&amp;I</t>
        </is>
      </c>
      <c r="E450" s="1" t="n"/>
      <c r="F450" s="1" t="inlineStr">
        <is>
          <t>Closed</t>
        </is>
      </c>
      <c r="G450" s="2" t="inlineStr">
        <is>
          <t xml:space="preserve">Ashish Jindal </t>
        </is>
      </c>
      <c r="H450" s="8" t="n">
        <v>9983975581</v>
      </c>
      <c r="I450" s="10" t="inlineStr">
        <is>
          <t>PE01052601</t>
        </is>
      </c>
      <c r="J450" s="8" t="inlineStr">
        <is>
          <t>Multiple Issues</t>
        </is>
      </c>
      <c r="K450" s="11" t="inlineStr">
        <is>
          <t>Holi</t>
        </is>
      </c>
      <c r="L450" s="11" t="inlineStr">
        <is>
          <t>Maharashtra</t>
        </is>
      </c>
      <c r="M450" s="2" t="inlineStr">
        <is>
          <t>PS</t>
        </is>
      </c>
      <c r="N450" s="1" t="inlineStr">
        <is>
          <t>Cold Soldering</t>
        </is>
      </c>
      <c r="O450" s="11" t="n">
        <v>575</v>
      </c>
      <c r="P450" s="2" t="inlineStr">
        <is>
          <t>NSMI24070189886</t>
        </is>
      </c>
      <c r="Q450" s="14">
        <f>MID(P450,5,2)</f>
        <v/>
      </c>
      <c r="R450" s="14">
        <f>MID(P450,7,2)</f>
        <v/>
      </c>
      <c r="S450" s="1" t="inlineStr">
        <is>
          <t>G2G</t>
        </is>
      </c>
      <c r="T450" s="1" t="inlineStr">
        <is>
          <t>P4 - PEIPL</t>
        </is>
      </c>
      <c r="U450" s="6" t="inlineStr">
        <is>
          <t>P JB Cold Soldering</t>
        </is>
      </c>
      <c r="V450" s="6" t="inlineStr">
        <is>
          <t>Soldering</t>
        </is>
      </c>
      <c r="W450" s="1" t="inlineStr">
        <is>
          <t>Repair</t>
        </is>
      </c>
      <c r="X450" s="5" t="n">
        <v>46176</v>
      </c>
      <c r="Y450" s="1">
        <f>IF(X450="","",X450-A450)</f>
        <v/>
      </c>
      <c r="Z450" s="5" t="n">
        <v>46176</v>
      </c>
      <c r="AA450" s="3" t="n"/>
      <c r="AB450" s="3" t="n"/>
      <c r="AE450" s="146">
        <f>IF(AND(F450="Closed",X450&gt;=DATE(2026,6,1),X450&lt;=DATE(2026,6,30)),"Closed in June","other")</f>
        <v/>
      </c>
    </row>
    <row r="451" hidden="1">
      <c r="A451" s="9" t="n">
        <v>46143</v>
      </c>
      <c r="B451" s="1" t="n">
        <v>2026</v>
      </c>
      <c r="C451" s="8" t="inlineStr">
        <is>
          <t>Yanara Power</t>
        </is>
      </c>
      <c r="D451" s="1" t="inlineStr">
        <is>
          <t>Utility and C&amp;I</t>
        </is>
      </c>
      <c r="E451" s="1" t="n"/>
      <c r="F451" s="1" t="inlineStr">
        <is>
          <t>Closed</t>
        </is>
      </c>
      <c r="G451" s="2" t="inlineStr">
        <is>
          <t xml:space="preserve">Ashish Jindal </t>
        </is>
      </c>
      <c r="H451" s="8" t="n">
        <v>9983975581</v>
      </c>
      <c r="I451" s="10" t="inlineStr">
        <is>
          <t>PE01052601</t>
        </is>
      </c>
      <c r="J451" s="8" t="inlineStr">
        <is>
          <t>Multiple Issues</t>
        </is>
      </c>
      <c r="K451" s="11" t="inlineStr">
        <is>
          <t>Holi</t>
        </is>
      </c>
      <c r="L451" s="11" t="inlineStr">
        <is>
          <t>Maharashtra</t>
        </is>
      </c>
      <c r="M451" s="2" t="inlineStr">
        <is>
          <t>NS</t>
        </is>
      </c>
      <c r="N451" s="1" t="inlineStr">
        <is>
          <t>Cold Soldering</t>
        </is>
      </c>
      <c r="O451" s="11" t="n">
        <v>575</v>
      </c>
      <c r="P451" s="2" t="inlineStr">
        <is>
          <t>NSMI24070234118</t>
        </is>
      </c>
      <c r="Q451" s="14">
        <f>MID(P451,5,2)</f>
        <v/>
      </c>
      <c r="R451" s="14">
        <f>MID(P451,7,2)</f>
        <v/>
      </c>
      <c r="S451" s="1" t="inlineStr">
        <is>
          <t>G2G</t>
        </is>
      </c>
      <c r="T451" s="1" t="inlineStr">
        <is>
          <t>P4 - PEIPL</t>
        </is>
      </c>
      <c r="U451" s="1" t="inlineStr">
        <is>
          <t>N JB Cold Soldering</t>
        </is>
      </c>
      <c r="V451" s="1" t="inlineStr">
        <is>
          <t>Soldering</t>
        </is>
      </c>
      <c r="W451" s="1" t="inlineStr">
        <is>
          <t>Repair</t>
        </is>
      </c>
      <c r="X451" s="5" t="n">
        <v>46176</v>
      </c>
      <c r="Y451" s="1">
        <f>IF(X451="","",X451-A451)</f>
        <v/>
      </c>
      <c r="Z451" s="5" t="n">
        <v>46176</v>
      </c>
      <c r="AA451" s="3" t="n"/>
      <c r="AB451" s="3" t="n"/>
      <c r="AE451" s="146">
        <f>IF(AND(F451="Closed",X451&gt;=DATE(2026,6,1),X451&lt;=DATE(2026,6,30)),"Closed in June","other")</f>
        <v/>
      </c>
    </row>
    <row r="452" hidden="1">
      <c r="A452" s="9" t="n">
        <v>46143</v>
      </c>
      <c r="B452" s="1" t="n">
        <v>2026</v>
      </c>
      <c r="C452" s="8" t="inlineStr">
        <is>
          <t>Yanara Power</t>
        </is>
      </c>
      <c r="D452" s="1" t="inlineStr">
        <is>
          <t>Utility and C&amp;I</t>
        </is>
      </c>
      <c r="E452" s="1" t="n"/>
      <c r="F452" s="1" t="inlineStr">
        <is>
          <t>Closed</t>
        </is>
      </c>
      <c r="G452" s="2" t="inlineStr">
        <is>
          <t xml:space="preserve">Ashish Jindal </t>
        </is>
      </c>
      <c r="H452" s="8" t="n">
        <v>9983975581</v>
      </c>
      <c r="I452" s="10" t="inlineStr">
        <is>
          <t>PE01052601</t>
        </is>
      </c>
      <c r="J452" s="8" t="inlineStr">
        <is>
          <t>Multiple Issues</t>
        </is>
      </c>
      <c r="K452" s="11" t="inlineStr">
        <is>
          <t>Holi</t>
        </is>
      </c>
      <c r="L452" s="11" t="inlineStr">
        <is>
          <t>Maharashtra</t>
        </is>
      </c>
      <c r="M452" s="2" t="inlineStr">
        <is>
          <t>PS</t>
        </is>
      </c>
      <c r="N452" s="1" t="inlineStr">
        <is>
          <t>Cold Soldering</t>
        </is>
      </c>
      <c r="O452" s="11" t="n">
        <v>575</v>
      </c>
      <c r="P452" s="2" t="inlineStr">
        <is>
          <t>NSMI24070234066</t>
        </is>
      </c>
      <c r="Q452" s="14">
        <f>MID(P452,5,2)</f>
        <v/>
      </c>
      <c r="R452" s="14">
        <f>MID(P452,7,2)</f>
        <v/>
      </c>
      <c r="S452" s="1" t="inlineStr">
        <is>
          <t>G2G</t>
        </is>
      </c>
      <c r="T452" s="1" t="inlineStr">
        <is>
          <t>P4 - PEIPL</t>
        </is>
      </c>
      <c r="U452" s="6" t="inlineStr">
        <is>
          <t>P JB Cold Soldering</t>
        </is>
      </c>
      <c r="V452" s="6" t="inlineStr">
        <is>
          <t>Soldering</t>
        </is>
      </c>
      <c r="W452" s="1" t="inlineStr">
        <is>
          <t>Repair</t>
        </is>
      </c>
      <c r="X452" s="5" t="n">
        <v>46176</v>
      </c>
      <c r="Y452" s="1">
        <f>IF(X452="","",X452-A452)</f>
        <v/>
      </c>
      <c r="Z452" s="5" t="n">
        <v>46176</v>
      </c>
      <c r="AA452" s="3" t="n"/>
      <c r="AB452" s="3" t="n"/>
      <c r="AE452" s="146">
        <f>IF(AND(F452="Closed",X452&gt;=DATE(2026,6,1),X452&lt;=DATE(2026,6,30)),"Closed in June","other")</f>
        <v/>
      </c>
    </row>
    <row r="453" hidden="1">
      <c r="A453" s="9" t="n">
        <v>46143</v>
      </c>
      <c r="B453" s="1" t="n">
        <v>2026</v>
      </c>
      <c r="C453" s="8" t="inlineStr">
        <is>
          <t>Yanara Power</t>
        </is>
      </c>
      <c r="D453" s="1" t="inlineStr">
        <is>
          <t>Utility and C&amp;I</t>
        </is>
      </c>
      <c r="E453" s="1" t="n"/>
      <c r="F453" s="1" t="inlineStr">
        <is>
          <t>Closed</t>
        </is>
      </c>
      <c r="G453" s="2" t="inlineStr">
        <is>
          <t xml:space="preserve">Ashish Jindal </t>
        </is>
      </c>
      <c r="H453" s="8" t="n">
        <v>9983975581</v>
      </c>
      <c r="I453" s="10" t="inlineStr">
        <is>
          <t>PE01052601</t>
        </is>
      </c>
      <c r="J453" s="8" t="inlineStr">
        <is>
          <t>Multiple Issues</t>
        </is>
      </c>
      <c r="K453" s="11" t="inlineStr">
        <is>
          <t>Holi</t>
        </is>
      </c>
      <c r="L453" s="11" t="inlineStr">
        <is>
          <t>Maharashtra</t>
        </is>
      </c>
      <c r="M453" s="2" t="inlineStr">
        <is>
          <t>PS</t>
        </is>
      </c>
      <c r="N453" s="1" t="inlineStr">
        <is>
          <t>Cold Soldering</t>
        </is>
      </c>
      <c r="O453" s="11" t="n">
        <v>575</v>
      </c>
      <c r="P453" s="2" t="inlineStr">
        <is>
          <t>NSMI24070201774</t>
        </is>
      </c>
      <c r="Q453" s="14">
        <f>MID(P453,5,2)</f>
        <v/>
      </c>
      <c r="R453" s="14">
        <f>MID(P453,7,2)</f>
        <v/>
      </c>
      <c r="S453" s="1" t="inlineStr">
        <is>
          <t>G2G</t>
        </is>
      </c>
      <c r="T453" s="1" t="inlineStr">
        <is>
          <t>P4 - PEIPL</t>
        </is>
      </c>
      <c r="U453" s="6" t="inlineStr">
        <is>
          <t>P JB Cold Soldering</t>
        </is>
      </c>
      <c r="V453" s="6" t="inlineStr">
        <is>
          <t>Soldering</t>
        </is>
      </c>
      <c r="W453" s="1" t="inlineStr">
        <is>
          <t>Repair</t>
        </is>
      </c>
      <c r="X453" s="5" t="n">
        <v>46176</v>
      </c>
      <c r="Y453" s="1">
        <f>IF(X453="","",X453-A453)</f>
        <v/>
      </c>
      <c r="Z453" s="5" t="n">
        <v>46176</v>
      </c>
      <c r="AA453" s="3" t="n"/>
      <c r="AB453" s="3" t="n"/>
      <c r="AE453" s="146">
        <f>IF(AND(F453="Closed",X453&gt;=DATE(2026,6,1),X453&lt;=DATE(2026,6,30)),"Closed in June","other")</f>
        <v/>
      </c>
    </row>
    <row r="454" hidden="1">
      <c r="A454" s="9" t="n">
        <v>46143</v>
      </c>
      <c r="B454" s="1" t="n">
        <v>2026</v>
      </c>
      <c r="C454" s="8" t="inlineStr">
        <is>
          <t>Yanara Power</t>
        </is>
      </c>
      <c r="D454" s="1" t="inlineStr">
        <is>
          <t>Utility and C&amp;I</t>
        </is>
      </c>
      <c r="E454" s="1" t="n"/>
      <c r="F454" s="1" t="inlineStr">
        <is>
          <t>Closed</t>
        </is>
      </c>
      <c r="G454" s="2" t="inlineStr">
        <is>
          <t xml:space="preserve">Ashish Jindal </t>
        </is>
      </c>
      <c r="H454" s="8" t="n">
        <v>9983975581</v>
      </c>
      <c r="I454" s="10" t="inlineStr">
        <is>
          <t>PE01052601</t>
        </is>
      </c>
      <c r="J454" s="8" t="inlineStr">
        <is>
          <t>Multiple Issues</t>
        </is>
      </c>
      <c r="K454" s="11" t="inlineStr">
        <is>
          <t>Holi</t>
        </is>
      </c>
      <c r="L454" s="11" t="inlineStr">
        <is>
          <t>Maharashtra</t>
        </is>
      </c>
      <c r="M454" s="2" t="inlineStr">
        <is>
          <t>PNS</t>
        </is>
      </c>
      <c r="N454" s="1" t="inlineStr">
        <is>
          <t>Cold Soldering</t>
        </is>
      </c>
      <c r="O454" s="11" t="n">
        <v>575</v>
      </c>
      <c r="P454" s="2" t="inlineStr">
        <is>
          <t>NSMI24070201808</t>
        </is>
      </c>
      <c r="Q454" s="14">
        <f>MID(P454,5,2)</f>
        <v/>
      </c>
      <c r="R454" s="14">
        <f>MID(P454,7,2)</f>
        <v/>
      </c>
      <c r="S454" s="1" t="inlineStr">
        <is>
          <t>G2G</t>
        </is>
      </c>
      <c r="T454" s="1" t="inlineStr">
        <is>
          <t>P4 - PEIPL</t>
        </is>
      </c>
      <c r="U454" s="1" t="inlineStr">
        <is>
          <t>P &amp; N JB Cold Soldering</t>
        </is>
      </c>
      <c r="V454" s="1" t="inlineStr">
        <is>
          <t>Soldering</t>
        </is>
      </c>
      <c r="W454" s="1" t="inlineStr">
        <is>
          <t>Repair</t>
        </is>
      </c>
      <c r="X454" s="5" t="n">
        <v>46176</v>
      </c>
      <c r="Y454" s="1">
        <f>IF(X454="","",X454-A454)</f>
        <v/>
      </c>
      <c r="Z454" s="5" t="n">
        <v>46176</v>
      </c>
      <c r="AA454" s="3" t="n"/>
      <c r="AB454" s="3" t="n"/>
      <c r="AE454" s="146">
        <f>IF(AND(F454="Closed",X454&gt;=DATE(2026,6,1),X454&lt;=DATE(2026,6,30)),"Closed in June","other")</f>
        <v/>
      </c>
    </row>
    <row r="455" hidden="1">
      <c r="A455" s="9" t="n">
        <v>46143</v>
      </c>
      <c r="B455" s="1" t="n">
        <v>2026</v>
      </c>
      <c r="C455" s="8" t="inlineStr">
        <is>
          <t>Yanara Power</t>
        </is>
      </c>
      <c r="D455" s="1" t="inlineStr">
        <is>
          <t>Utility and C&amp;I</t>
        </is>
      </c>
      <c r="E455" s="1" t="n"/>
      <c r="F455" s="1" t="inlineStr">
        <is>
          <t>Closed</t>
        </is>
      </c>
      <c r="G455" s="2" t="inlineStr">
        <is>
          <t xml:space="preserve">Ashish Jindal </t>
        </is>
      </c>
      <c r="H455" s="8" t="n">
        <v>9983975581</v>
      </c>
      <c r="I455" s="10" t="inlineStr">
        <is>
          <t>PE01052601</t>
        </is>
      </c>
      <c r="J455" s="8" t="inlineStr">
        <is>
          <t>Multiple Issues</t>
        </is>
      </c>
      <c r="K455" s="11" t="inlineStr">
        <is>
          <t>Holi</t>
        </is>
      </c>
      <c r="L455" s="11" t="inlineStr">
        <is>
          <t>Maharashtra</t>
        </is>
      </c>
      <c r="M455" s="2" t="inlineStr">
        <is>
          <t>PR</t>
        </is>
      </c>
      <c r="N455" s="1" t="inlineStr">
        <is>
          <t>JB Issue</t>
        </is>
      </c>
      <c r="O455" s="11" t="n">
        <v>575</v>
      </c>
      <c r="P455" s="2" t="inlineStr">
        <is>
          <t>NSMI24070201819</t>
        </is>
      </c>
      <c r="Q455" s="14">
        <f>MID(P455,5,2)</f>
        <v/>
      </c>
      <c r="R455" s="14">
        <f>MID(P455,7,2)</f>
        <v/>
      </c>
      <c r="S455" s="1" t="inlineStr">
        <is>
          <t>G2G</t>
        </is>
      </c>
      <c r="T455" s="1" t="inlineStr">
        <is>
          <t>P4 - PEIPL</t>
        </is>
      </c>
      <c r="U455" s="1" t="inlineStr">
        <is>
          <t>P JB Issue</t>
        </is>
      </c>
      <c r="V455" s="1" t="inlineStr">
        <is>
          <t>JB Changed</t>
        </is>
      </c>
      <c r="W455" s="1" t="inlineStr">
        <is>
          <t>Repair</t>
        </is>
      </c>
      <c r="X455" s="5" t="n">
        <v>46176</v>
      </c>
      <c r="Y455" s="1">
        <f>IF(X455="","",X455-A455)</f>
        <v/>
      </c>
      <c r="Z455" s="5" t="n">
        <v>46176</v>
      </c>
      <c r="AA455" s="3" t="n"/>
      <c r="AB455" s="3" t="n"/>
      <c r="AE455" s="146">
        <f>IF(AND(F455="Closed",X455&gt;=DATE(2026,6,1),X455&lt;=DATE(2026,6,30)),"Closed in June","other")</f>
        <v/>
      </c>
    </row>
    <row r="456" hidden="1">
      <c r="A456" s="9" t="n">
        <v>46143</v>
      </c>
      <c r="B456" s="1" t="n">
        <v>2026</v>
      </c>
      <c r="C456" s="8" t="inlineStr">
        <is>
          <t>Yanara Power</t>
        </is>
      </c>
      <c r="D456" s="1" t="inlineStr">
        <is>
          <t>Utility and C&amp;I</t>
        </is>
      </c>
      <c r="E456" s="1" t="n"/>
      <c r="F456" s="1" t="inlineStr">
        <is>
          <t>Closed</t>
        </is>
      </c>
      <c r="G456" s="2" t="inlineStr">
        <is>
          <t xml:space="preserve">Ashish Jindal </t>
        </is>
      </c>
      <c r="H456" s="8" t="n">
        <v>9983975581</v>
      </c>
      <c r="I456" s="10" t="inlineStr">
        <is>
          <t>PE01052601</t>
        </is>
      </c>
      <c r="J456" s="8" t="inlineStr">
        <is>
          <t>Multiple Issues</t>
        </is>
      </c>
      <c r="K456" s="11" t="inlineStr">
        <is>
          <t>Holi</t>
        </is>
      </c>
      <c r="L456" s="11" t="inlineStr">
        <is>
          <t>Maharashtra</t>
        </is>
      </c>
      <c r="M456" s="2" t="inlineStr">
        <is>
          <t>PS</t>
        </is>
      </c>
      <c r="N456" s="1" t="inlineStr">
        <is>
          <t>Cold Soldering</t>
        </is>
      </c>
      <c r="O456" s="11" t="n">
        <v>575</v>
      </c>
      <c r="P456" s="2" t="inlineStr">
        <is>
          <t>NSMI24070201805</t>
        </is>
      </c>
      <c r="Q456" s="14">
        <f>MID(P456,5,2)</f>
        <v/>
      </c>
      <c r="R456" s="14">
        <f>MID(P456,7,2)</f>
        <v/>
      </c>
      <c r="S456" s="1" t="inlineStr">
        <is>
          <t>G2G</t>
        </is>
      </c>
      <c r="T456" s="1" t="inlineStr">
        <is>
          <t>P4 - PEIPL</t>
        </is>
      </c>
      <c r="U456" s="6" t="inlineStr">
        <is>
          <t>P JB Cold Soldering</t>
        </is>
      </c>
      <c r="V456" s="6" t="inlineStr">
        <is>
          <t>Soldering</t>
        </is>
      </c>
      <c r="W456" s="1" t="inlineStr">
        <is>
          <t>Repair</t>
        </is>
      </c>
      <c r="X456" s="5" t="n">
        <v>46176</v>
      </c>
      <c r="Y456" s="1">
        <f>IF(X456="","",X456-A456)</f>
        <v/>
      </c>
      <c r="Z456" s="5" t="n">
        <v>46176</v>
      </c>
      <c r="AA456" s="3" t="n"/>
      <c r="AB456" s="3" t="n"/>
      <c r="AE456" s="146">
        <f>IF(AND(F456="Closed",X456&gt;=DATE(2026,6,1),X456&lt;=DATE(2026,6,30)),"Closed in June","other")</f>
        <v/>
      </c>
    </row>
    <row r="457" hidden="1">
      <c r="A457" s="9" t="n">
        <v>46143</v>
      </c>
      <c r="B457" s="1" t="n">
        <v>2026</v>
      </c>
      <c r="C457" s="8" t="inlineStr">
        <is>
          <t>Yanara Power</t>
        </is>
      </c>
      <c r="D457" s="1" t="inlineStr">
        <is>
          <t>Utility and C&amp;I</t>
        </is>
      </c>
      <c r="E457" s="1" t="n"/>
      <c r="F457" s="1" t="inlineStr">
        <is>
          <t>Closed</t>
        </is>
      </c>
      <c r="G457" s="2" t="inlineStr">
        <is>
          <t xml:space="preserve">Ashish Jindal </t>
        </is>
      </c>
      <c r="H457" s="8" t="n">
        <v>9983975581</v>
      </c>
      <c r="I457" s="10" t="inlineStr">
        <is>
          <t>PE01052601</t>
        </is>
      </c>
      <c r="J457" s="8" t="inlineStr">
        <is>
          <t>Multiple Issues</t>
        </is>
      </c>
      <c r="K457" s="11" t="inlineStr">
        <is>
          <t>Holi</t>
        </is>
      </c>
      <c r="L457" s="11" t="inlineStr">
        <is>
          <t>Maharashtra</t>
        </is>
      </c>
      <c r="M457" s="2" t="inlineStr">
        <is>
          <t>PS</t>
        </is>
      </c>
      <c r="N457" s="1" t="inlineStr">
        <is>
          <t>Cold Soldering</t>
        </is>
      </c>
      <c r="O457" s="11" t="n">
        <v>575</v>
      </c>
      <c r="P457" s="2" t="inlineStr">
        <is>
          <t>NSMI24070201815</t>
        </is>
      </c>
      <c r="Q457" s="14">
        <f>MID(P457,5,2)</f>
        <v/>
      </c>
      <c r="R457" s="14">
        <f>MID(P457,7,2)</f>
        <v/>
      </c>
      <c r="S457" s="1" t="inlineStr">
        <is>
          <t>G2G</t>
        </is>
      </c>
      <c r="T457" s="1" t="inlineStr">
        <is>
          <t>P4 - PEIPL</t>
        </is>
      </c>
      <c r="U457" s="6" t="inlineStr">
        <is>
          <t>P JB Cold Soldering</t>
        </is>
      </c>
      <c r="V457" s="6" t="inlineStr">
        <is>
          <t>Soldering</t>
        </is>
      </c>
      <c r="W457" s="1" t="inlineStr">
        <is>
          <t>Repair</t>
        </is>
      </c>
      <c r="X457" s="5" t="n">
        <v>46176</v>
      </c>
      <c r="Y457" s="1">
        <f>IF(X457="","",X457-A457)</f>
        <v/>
      </c>
      <c r="Z457" s="5" t="n">
        <v>46176</v>
      </c>
      <c r="AA457" s="3" t="n"/>
      <c r="AB457" s="3" t="n"/>
      <c r="AE457" s="146">
        <f>IF(AND(F457="Closed",X457&gt;=DATE(2026,6,1),X457&lt;=DATE(2026,6,30)),"Closed in June","other")</f>
        <v/>
      </c>
    </row>
    <row r="458" hidden="1">
      <c r="A458" s="9" t="n">
        <v>46143</v>
      </c>
      <c r="B458" s="1" t="n">
        <v>2026</v>
      </c>
      <c r="C458" s="8" t="inlineStr">
        <is>
          <t>Yanara Power</t>
        </is>
      </c>
      <c r="D458" s="1" t="inlineStr">
        <is>
          <t>Utility and C&amp;I</t>
        </is>
      </c>
      <c r="E458" s="1" t="n"/>
      <c r="F458" s="1" t="inlineStr">
        <is>
          <t>Closed</t>
        </is>
      </c>
      <c r="G458" s="2" t="inlineStr">
        <is>
          <t xml:space="preserve">Ashish Jindal </t>
        </is>
      </c>
      <c r="H458" s="8" t="n">
        <v>9983975581</v>
      </c>
      <c r="I458" s="10" t="inlineStr">
        <is>
          <t>PE01052601</t>
        </is>
      </c>
      <c r="J458" s="8" t="inlineStr">
        <is>
          <t>Multiple Issues</t>
        </is>
      </c>
      <c r="K458" s="11" t="inlineStr">
        <is>
          <t>Holi</t>
        </is>
      </c>
      <c r="L458" s="11" t="inlineStr">
        <is>
          <t>Maharashtra</t>
        </is>
      </c>
      <c r="M458" s="2" t="inlineStr">
        <is>
          <t>PS</t>
        </is>
      </c>
      <c r="N458" s="1" t="inlineStr">
        <is>
          <t>Cold Soldering</t>
        </is>
      </c>
      <c r="O458" s="11" t="n">
        <v>575</v>
      </c>
      <c r="P458" s="2" t="inlineStr">
        <is>
          <t>NSMI24070191209</t>
        </is>
      </c>
      <c r="Q458" s="14">
        <f>MID(P458,5,2)</f>
        <v/>
      </c>
      <c r="R458" s="14">
        <f>MID(P458,7,2)</f>
        <v/>
      </c>
      <c r="S458" s="1" t="inlineStr">
        <is>
          <t>G2G</t>
        </is>
      </c>
      <c r="T458" s="1" t="inlineStr">
        <is>
          <t>P4 - PEIPL</t>
        </is>
      </c>
      <c r="U458" s="6" t="inlineStr">
        <is>
          <t>P JB Cold Soldering</t>
        </is>
      </c>
      <c r="V458" s="6" t="inlineStr">
        <is>
          <t>Soldering</t>
        </is>
      </c>
      <c r="W458" s="1" t="inlineStr">
        <is>
          <t>Repair</t>
        </is>
      </c>
      <c r="X458" s="5" t="n">
        <v>46176</v>
      </c>
      <c r="Y458" s="1">
        <f>IF(X458="","",X458-A458)</f>
        <v/>
      </c>
      <c r="Z458" s="5" t="n">
        <v>46176</v>
      </c>
      <c r="AA458" s="3" t="n"/>
      <c r="AB458" s="3" t="n"/>
      <c r="AE458" s="146">
        <f>IF(AND(F458="Closed",X458&gt;=DATE(2026,6,1),X458&lt;=DATE(2026,6,30)),"Closed in June","other")</f>
        <v/>
      </c>
    </row>
    <row r="459" hidden="1">
      <c r="A459" s="9" t="n">
        <v>46143</v>
      </c>
      <c r="B459" s="1" t="n">
        <v>2026</v>
      </c>
      <c r="C459" s="8" t="inlineStr">
        <is>
          <t>Yanara Power</t>
        </is>
      </c>
      <c r="D459" s="1" t="inlineStr">
        <is>
          <t>Utility and C&amp;I</t>
        </is>
      </c>
      <c r="E459" s="1" t="n"/>
      <c r="F459" s="1" t="inlineStr">
        <is>
          <t>Closed</t>
        </is>
      </c>
      <c r="G459" s="2" t="inlineStr">
        <is>
          <t xml:space="preserve">Ashish Jindal </t>
        </is>
      </c>
      <c r="H459" s="8" t="n">
        <v>9983975581</v>
      </c>
      <c r="I459" s="10" t="inlineStr">
        <is>
          <t>PE01052601</t>
        </is>
      </c>
      <c r="J459" s="8" t="inlineStr">
        <is>
          <t>Multiple Issues</t>
        </is>
      </c>
      <c r="K459" s="11" t="inlineStr">
        <is>
          <t>Holi</t>
        </is>
      </c>
      <c r="L459" s="11" t="inlineStr">
        <is>
          <t>Maharashtra</t>
        </is>
      </c>
      <c r="M459" s="2" t="inlineStr">
        <is>
          <t>NS</t>
        </is>
      </c>
      <c r="N459" s="1" t="inlineStr">
        <is>
          <t>Cold Soldering</t>
        </is>
      </c>
      <c r="O459" s="11" t="n">
        <v>575</v>
      </c>
      <c r="P459" s="2" t="inlineStr">
        <is>
          <t>NSMI24070191335</t>
        </is>
      </c>
      <c r="Q459" s="14">
        <f>MID(P459,5,2)</f>
        <v/>
      </c>
      <c r="R459" s="14">
        <f>MID(P459,7,2)</f>
        <v/>
      </c>
      <c r="S459" s="1" t="inlineStr">
        <is>
          <t>G2G</t>
        </is>
      </c>
      <c r="T459" s="1" t="inlineStr">
        <is>
          <t>P4 - PEIPL</t>
        </is>
      </c>
      <c r="U459" s="1" t="inlineStr">
        <is>
          <t>N JB Cold Soldering</t>
        </is>
      </c>
      <c r="V459" s="1" t="inlineStr">
        <is>
          <t>Soldering</t>
        </is>
      </c>
      <c r="W459" s="1" t="inlineStr">
        <is>
          <t>Repair</t>
        </is>
      </c>
      <c r="X459" s="5" t="n">
        <v>46176</v>
      </c>
      <c r="Y459" s="1">
        <f>IF(X459="","",X459-A459)</f>
        <v/>
      </c>
      <c r="Z459" s="5" t="n">
        <v>46176</v>
      </c>
      <c r="AA459" s="3" t="n"/>
      <c r="AB459" s="3" t="n"/>
      <c r="AE459" s="146">
        <f>IF(AND(F459="Closed",X459&gt;=DATE(2026,6,1),X459&lt;=DATE(2026,6,30)),"Closed in June","other")</f>
        <v/>
      </c>
    </row>
    <row r="460" hidden="1">
      <c r="A460" s="9" t="n">
        <v>46143</v>
      </c>
      <c r="B460" s="1" t="n">
        <v>2026</v>
      </c>
      <c r="C460" s="8" t="inlineStr">
        <is>
          <t>Yanara Power</t>
        </is>
      </c>
      <c r="D460" s="1" t="inlineStr">
        <is>
          <t>Utility and C&amp;I</t>
        </is>
      </c>
      <c r="E460" s="1" t="n"/>
      <c r="F460" s="1" t="inlineStr">
        <is>
          <t>Closed</t>
        </is>
      </c>
      <c r="G460" s="2" t="inlineStr">
        <is>
          <t xml:space="preserve">Ashish Jindal </t>
        </is>
      </c>
      <c r="H460" s="8" t="n">
        <v>9983975581</v>
      </c>
      <c r="I460" s="10" t="inlineStr">
        <is>
          <t>PE01052601</t>
        </is>
      </c>
      <c r="J460" s="8" t="inlineStr">
        <is>
          <t>Multiple Issues</t>
        </is>
      </c>
      <c r="K460" s="11" t="inlineStr">
        <is>
          <t>Holi</t>
        </is>
      </c>
      <c r="L460" s="11" t="inlineStr">
        <is>
          <t>Maharashtra</t>
        </is>
      </c>
      <c r="M460" s="2" t="inlineStr">
        <is>
          <t>PS</t>
        </is>
      </c>
      <c r="N460" s="1" t="inlineStr">
        <is>
          <t>Cold Soldering</t>
        </is>
      </c>
      <c r="O460" s="11" t="n">
        <v>575</v>
      </c>
      <c r="P460" s="2" t="inlineStr">
        <is>
          <t>NSMI24070201775</t>
        </is>
      </c>
      <c r="Q460" s="14">
        <f>MID(P460,5,2)</f>
        <v/>
      </c>
      <c r="R460" s="14">
        <f>MID(P460,7,2)</f>
        <v/>
      </c>
      <c r="S460" s="1" t="inlineStr">
        <is>
          <t>G2G</t>
        </is>
      </c>
      <c r="T460" s="1" t="inlineStr">
        <is>
          <t>P4 - PEIPL</t>
        </is>
      </c>
      <c r="U460" s="6" t="inlineStr">
        <is>
          <t>P JB Cold Soldering</t>
        </is>
      </c>
      <c r="V460" s="6" t="inlineStr">
        <is>
          <t>Soldering</t>
        </is>
      </c>
      <c r="W460" s="1" t="inlineStr">
        <is>
          <t>Repair</t>
        </is>
      </c>
      <c r="X460" s="5" t="n">
        <v>46176</v>
      </c>
      <c r="Y460" s="1">
        <f>IF(X460="","",X460-A460)</f>
        <v/>
      </c>
      <c r="Z460" s="5" t="n">
        <v>46176</v>
      </c>
      <c r="AA460" s="3" t="n"/>
      <c r="AB460" s="3" t="n"/>
      <c r="AE460" s="146">
        <f>IF(AND(F460="Closed",X460&gt;=DATE(2026,6,1),X460&lt;=DATE(2026,6,30)),"Closed in June","other")</f>
        <v/>
      </c>
    </row>
    <row r="461" hidden="1">
      <c r="A461" s="9" t="n">
        <v>46143</v>
      </c>
      <c r="B461" s="1" t="n">
        <v>2026</v>
      </c>
      <c r="C461" s="8" t="inlineStr">
        <is>
          <t>Yanara Power</t>
        </is>
      </c>
      <c r="D461" s="1" t="inlineStr">
        <is>
          <t>Utility and C&amp;I</t>
        </is>
      </c>
      <c r="E461" s="1" t="n"/>
      <c r="F461" s="1" t="inlineStr">
        <is>
          <t>Closed</t>
        </is>
      </c>
      <c r="G461" s="2" t="inlineStr">
        <is>
          <t xml:space="preserve">Ashish Jindal </t>
        </is>
      </c>
      <c r="H461" s="8" t="n">
        <v>9983975581</v>
      </c>
      <c r="I461" s="10" t="inlineStr">
        <is>
          <t>PE01052601</t>
        </is>
      </c>
      <c r="J461" s="8" t="inlineStr">
        <is>
          <t>Multiple Issues</t>
        </is>
      </c>
      <c r="K461" s="11" t="inlineStr">
        <is>
          <t>Holi</t>
        </is>
      </c>
      <c r="L461" s="11" t="inlineStr">
        <is>
          <t>Maharashtra</t>
        </is>
      </c>
      <c r="M461" s="2" t="inlineStr">
        <is>
          <t>PS</t>
        </is>
      </c>
      <c r="N461" s="1" t="inlineStr">
        <is>
          <t>Cold Soldering</t>
        </is>
      </c>
      <c r="O461" s="11" t="n">
        <v>575</v>
      </c>
      <c r="P461" s="2" t="inlineStr">
        <is>
          <t>NSMI24070201802</t>
        </is>
      </c>
      <c r="Q461" s="14">
        <f>MID(P461,5,2)</f>
        <v/>
      </c>
      <c r="R461" s="14">
        <f>MID(P461,7,2)</f>
        <v/>
      </c>
      <c r="S461" s="1" t="inlineStr">
        <is>
          <t>G2G</t>
        </is>
      </c>
      <c r="T461" s="1" t="inlineStr">
        <is>
          <t>P4 - PEIPL</t>
        </is>
      </c>
      <c r="U461" s="6" t="inlineStr">
        <is>
          <t>P JB Cold Soldering</t>
        </is>
      </c>
      <c r="V461" s="6" t="inlineStr">
        <is>
          <t>Soldering</t>
        </is>
      </c>
      <c r="W461" s="1" t="inlineStr">
        <is>
          <t>Repair</t>
        </is>
      </c>
      <c r="X461" s="5" t="n">
        <v>46176</v>
      </c>
      <c r="Y461" s="1">
        <f>IF(X461="","",X461-A461)</f>
        <v/>
      </c>
      <c r="Z461" s="5" t="n">
        <v>46176</v>
      </c>
      <c r="AA461" s="3" t="n"/>
      <c r="AB461" s="3" t="n"/>
      <c r="AE461" s="146">
        <f>IF(AND(F461="Closed",X461&gt;=DATE(2026,6,1),X461&lt;=DATE(2026,6,30)),"Closed in June","other")</f>
        <v/>
      </c>
    </row>
    <row r="462" hidden="1">
      <c r="A462" s="9" t="n">
        <v>46143</v>
      </c>
      <c r="B462" s="1" t="n">
        <v>2026</v>
      </c>
      <c r="C462" s="8" t="inlineStr">
        <is>
          <t>Yanara Power</t>
        </is>
      </c>
      <c r="D462" s="1" t="inlineStr">
        <is>
          <t>Utility and C&amp;I</t>
        </is>
      </c>
      <c r="E462" s="1" t="n"/>
      <c r="F462" s="1" t="inlineStr">
        <is>
          <t>Closed</t>
        </is>
      </c>
      <c r="G462" s="2" t="inlineStr">
        <is>
          <t xml:space="preserve">Ashish Jindal </t>
        </is>
      </c>
      <c r="H462" s="8" t="n">
        <v>9983975581</v>
      </c>
      <c r="I462" s="10" t="inlineStr">
        <is>
          <t>PE01052601</t>
        </is>
      </c>
      <c r="J462" s="8" t="inlineStr">
        <is>
          <t>Multiple Issues</t>
        </is>
      </c>
      <c r="K462" s="11" t="inlineStr">
        <is>
          <t>Holi</t>
        </is>
      </c>
      <c r="L462" s="11" t="inlineStr">
        <is>
          <t>Maharashtra</t>
        </is>
      </c>
      <c r="M462" s="2" t="inlineStr">
        <is>
          <t>PS</t>
        </is>
      </c>
      <c r="N462" s="1" t="inlineStr">
        <is>
          <t>Cold Soldering</t>
        </is>
      </c>
      <c r="O462" s="11" t="n">
        <v>575</v>
      </c>
      <c r="P462" s="2" t="inlineStr">
        <is>
          <t>NSMI24070219981</t>
        </is>
      </c>
      <c r="Q462" s="14">
        <f>MID(P462,5,2)</f>
        <v/>
      </c>
      <c r="R462" s="14">
        <f>MID(P462,7,2)</f>
        <v/>
      </c>
      <c r="S462" s="1" t="inlineStr">
        <is>
          <t>G2G</t>
        </is>
      </c>
      <c r="T462" s="1" t="inlineStr">
        <is>
          <t>P4 - PEIPL</t>
        </is>
      </c>
      <c r="U462" s="6" t="inlineStr">
        <is>
          <t>P JB Cold Soldering</t>
        </is>
      </c>
      <c r="V462" s="6" t="inlineStr">
        <is>
          <t>Soldering</t>
        </is>
      </c>
      <c r="W462" s="1" t="inlineStr">
        <is>
          <t>Repair</t>
        </is>
      </c>
      <c r="X462" s="5" t="n">
        <v>46176</v>
      </c>
      <c r="Y462" s="1">
        <f>IF(X462="","",X462-A462)</f>
        <v/>
      </c>
      <c r="Z462" s="5" t="n">
        <v>46176</v>
      </c>
      <c r="AA462" s="3" t="n"/>
      <c r="AB462" s="3" t="n"/>
      <c r="AE462" s="146">
        <f>IF(AND(F462="Closed",X462&gt;=DATE(2026,6,1),X462&lt;=DATE(2026,6,30)),"Closed in June","other")</f>
        <v/>
      </c>
    </row>
    <row r="463" hidden="1">
      <c r="A463" s="9" t="n">
        <v>46143</v>
      </c>
      <c r="B463" s="1" t="n">
        <v>2026</v>
      </c>
      <c r="C463" s="8" t="inlineStr">
        <is>
          <t>Yanara Power</t>
        </is>
      </c>
      <c r="D463" s="1" t="inlineStr">
        <is>
          <t>Utility and C&amp;I</t>
        </is>
      </c>
      <c r="E463" s="1" t="n"/>
      <c r="F463" s="1" t="inlineStr">
        <is>
          <t>Closed</t>
        </is>
      </c>
      <c r="G463" s="2" t="inlineStr">
        <is>
          <t xml:space="preserve">Ashish Jindal </t>
        </is>
      </c>
      <c r="H463" s="8" t="n">
        <v>9983975581</v>
      </c>
      <c r="I463" s="10" t="inlineStr">
        <is>
          <t>PE01052601</t>
        </is>
      </c>
      <c r="J463" s="8" t="inlineStr">
        <is>
          <t>Multiple Issues</t>
        </is>
      </c>
      <c r="K463" s="11" t="inlineStr">
        <is>
          <t>Holi</t>
        </is>
      </c>
      <c r="L463" s="11" t="inlineStr">
        <is>
          <t>Maharashtra</t>
        </is>
      </c>
      <c r="M463" s="2" t="inlineStr">
        <is>
          <t>PS</t>
        </is>
      </c>
      <c r="N463" s="1" t="inlineStr">
        <is>
          <t>Cold Soldering</t>
        </is>
      </c>
      <c r="O463" s="11" t="n">
        <v>575</v>
      </c>
      <c r="P463" s="2" t="inlineStr">
        <is>
          <t>NSMI24070221195</t>
        </is>
      </c>
      <c r="Q463" s="14">
        <f>MID(P463,5,2)</f>
        <v/>
      </c>
      <c r="R463" s="14">
        <f>MID(P463,7,2)</f>
        <v/>
      </c>
      <c r="S463" s="1" t="inlineStr">
        <is>
          <t>G2G</t>
        </is>
      </c>
      <c r="T463" s="1" t="inlineStr">
        <is>
          <t>P4 - PEIPL</t>
        </is>
      </c>
      <c r="U463" s="6" t="inlineStr">
        <is>
          <t>P JB Cold Soldering</t>
        </is>
      </c>
      <c r="V463" s="6" t="inlineStr">
        <is>
          <t>Soldering</t>
        </is>
      </c>
      <c r="W463" s="1" t="inlineStr">
        <is>
          <t>Repair</t>
        </is>
      </c>
      <c r="X463" s="5" t="n">
        <v>46176</v>
      </c>
      <c r="Y463" s="1">
        <f>IF(X463="","",X463-A463)</f>
        <v/>
      </c>
      <c r="Z463" s="5" t="n">
        <v>46176</v>
      </c>
      <c r="AA463" s="3" t="n"/>
      <c r="AB463" s="3" t="n"/>
      <c r="AE463" s="146">
        <f>IF(AND(F463="Closed",X463&gt;=DATE(2026,6,1),X463&lt;=DATE(2026,6,30)),"Closed in June","other")</f>
        <v/>
      </c>
    </row>
    <row r="464" hidden="1">
      <c r="A464" s="9" t="n">
        <v>46143</v>
      </c>
      <c r="B464" s="1" t="n">
        <v>2026</v>
      </c>
      <c r="C464" s="8" t="inlineStr">
        <is>
          <t>Yanara Power</t>
        </is>
      </c>
      <c r="D464" s="1" t="inlineStr">
        <is>
          <t>Utility and C&amp;I</t>
        </is>
      </c>
      <c r="E464" s="1" t="n"/>
      <c r="F464" s="1" t="inlineStr">
        <is>
          <t>Closed</t>
        </is>
      </c>
      <c r="G464" s="2" t="inlineStr">
        <is>
          <t xml:space="preserve">Ashish Jindal </t>
        </is>
      </c>
      <c r="H464" s="8" t="n">
        <v>9983975581</v>
      </c>
      <c r="I464" s="10" t="inlineStr">
        <is>
          <t>PE01052601</t>
        </is>
      </c>
      <c r="J464" s="8" t="inlineStr">
        <is>
          <t>Multiple Issues</t>
        </is>
      </c>
      <c r="K464" s="11" t="inlineStr">
        <is>
          <t>Holi</t>
        </is>
      </c>
      <c r="L464" s="11" t="inlineStr">
        <is>
          <t>Maharashtra</t>
        </is>
      </c>
      <c r="M464" s="2" t="inlineStr">
        <is>
          <t>NS</t>
        </is>
      </c>
      <c r="N464" s="1" t="inlineStr">
        <is>
          <t>Cold Soldering</t>
        </is>
      </c>
      <c r="O464" s="11" t="n">
        <v>575</v>
      </c>
      <c r="P464" s="2" t="inlineStr">
        <is>
          <t>NSMI24070196002</t>
        </is>
      </c>
      <c r="Q464" s="14">
        <f>MID(P464,5,2)</f>
        <v/>
      </c>
      <c r="R464" s="14">
        <f>MID(P464,7,2)</f>
        <v/>
      </c>
      <c r="S464" s="1" t="inlineStr">
        <is>
          <t>G2G</t>
        </is>
      </c>
      <c r="T464" s="1" t="inlineStr">
        <is>
          <t>P4 - PEIPL</t>
        </is>
      </c>
      <c r="U464" s="1" t="inlineStr">
        <is>
          <t>N JB Cold Soldering</t>
        </is>
      </c>
      <c r="V464" s="1" t="inlineStr">
        <is>
          <t>Soldering</t>
        </is>
      </c>
      <c r="W464" s="1" t="inlineStr">
        <is>
          <t>Repair</t>
        </is>
      </c>
      <c r="X464" s="5" t="n">
        <v>46176</v>
      </c>
      <c r="Y464" s="1">
        <f>IF(X464="","",X464-A464)</f>
        <v/>
      </c>
      <c r="Z464" s="5" t="n">
        <v>46176</v>
      </c>
      <c r="AA464" s="3" t="n"/>
      <c r="AB464" s="3" t="n"/>
      <c r="AE464" s="146">
        <f>IF(AND(F464="Closed",X464&gt;=DATE(2026,6,1),X464&lt;=DATE(2026,6,30)),"Closed in June","other")</f>
        <v/>
      </c>
    </row>
    <row r="465" hidden="1">
      <c r="A465" s="9" t="n">
        <v>46143</v>
      </c>
      <c r="B465" s="1" t="n">
        <v>2026</v>
      </c>
      <c r="C465" s="8" t="inlineStr">
        <is>
          <t>Yanara Power</t>
        </is>
      </c>
      <c r="D465" s="1" t="inlineStr">
        <is>
          <t>Utility and C&amp;I</t>
        </is>
      </c>
      <c r="E465" s="1" t="n"/>
      <c r="F465" s="1" t="inlineStr">
        <is>
          <t>Closed</t>
        </is>
      </c>
      <c r="G465" s="2" t="inlineStr">
        <is>
          <t xml:space="preserve">Ashish Jindal </t>
        </is>
      </c>
      <c r="H465" s="8" t="n">
        <v>9983975581</v>
      </c>
      <c r="I465" s="10" t="inlineStr">
        <is>
          <t>PE01052601</t>
        </is>
      </c>
      <c r="J465" s="8" t="inlineStr">
        <is>
          <t>Multiple Issues</t>
        </is>
      </c>
      <c r="K465" s="11" t="inlineStr">
        <is>
          <t>Holi</t>
        </is>
      </c>
      <c r="L465" s="11" t="inlineStr">
        <is>
          <t>Maharashtra</t>
        </is>
      </c>
      <c r="M465" s="2" t="inlineStr">
        <is>
          <t>NS</t>
        </is>
      </c>
      <c r="N465" s="1" t="inlineStr">
        <is>
          <t>Cold Soldering</t>
        </is>
      </c>
      <c r="O465" s="11" t="n">
        <v>575</v>
      </c>
      <c r="P465" s="2" t="inlineStr">
        <is>
          <t>NSMI24070195688</t>
        </is>
      </c>
      <c r="Q465" s="14">
        <f>MID(P465,5,2)</f>
        <v/>
      </c>
      <c r="R465" s="14">
        <f>MID(P465,7,2)</f>
        <v/>
      </c>
      <c r="S465" s="1" t="inlineStr">
        <is>
          <t>G2G</t>
        </is>
      </c>
      <c r="T465" s="1" t="inlineStr">
        <is>
          <t>P4 - PEIPL</t>
        </is>
      </c>
      <c r="U465" s="1" t="inlineStr">
        <is>
          <t>N JB Cold Soldering</t>
        </is>
      </c>
      <c r="V465" s="1" t="inlineStr">
        <is>
          <t>Soldering</t>
        </is>
      </c>
      <c r="W465" s="1" t="inlineStr">
        <is>
          <t>Repair</t>
        </is>
      </c>
      <c r="X465" s="5" t="n">
        <v>46176</v>
      </c>
      <c r="Y465" s="1">
        <f>IF(X465="","",X465-A465)</f>
        <v/>
      </c>
      <c r="Z465" s="5" t="n">
        <v>46176</v>
      </c>
      <c r="AA465" s="3" t="n"/>
      <c r="AB465" s="3" t="n"/>
      <c r="AE465" s="146">
        <f>IF(AND(F465="Closed",X465&gt;=DATE(2026,6,1),X465&lt;=DATE(2026,6,30)),"Closed in June","other")</f>
        <v/>
      </c>
    </row>
    <row r="466" hidden="1">
      <c r="A466" s="9" t="n">
        <v>46143</v>
      </c>
      <c r="B466" s="1" t="n">
        <v>2026</v>
      </c>
      <c r="C466" s="8" t="inlineStr">
        <is>
          <t>Yanara Power</t>
        </is>
      </c>
      <c r="D466" s="1" t="inlineStr">
        <is>
          <t>Utility and C&amp;I</t>
        </is>
      </c>
      <c r="E466" s="1" t="n"/>
      <c r="F466" s="1" t="inlineStr">
        <is>
          <t>Closed</t>
        </is>
      </c>
      <c r="G466" s="2" t="inlineStr">
        <is>
          <t xml:space="preserve">Ashish Jindal </t>
        </is>
      </c>
      <c r="H466" s="8" t="n">
        <v>9983975581</v>
      </c>
      <c r="I466" s="10" t="inlineStr">
        <is>
          <t>PE01052601</t>
        </is>
      </c>
      <c r="J466" s="8" t="inlineStr">
        <is>
          <t>Multiple Issues</t>
        </is>
      </c>
      <c r="K466" s="11" t="inlineStr">
        <is>
          <t>Holi</t>
        </is>
      </c>
      <c r="L466" s="11" t="inlineStr">
        <is>
          <t>Maharashtra</t>
        </is>
      </c>
      <c r="M466" s="2" t="inlineStr">
        <is>
          <t>NS</t>
        </is>
      </c>
      <c r="N466" s="1" t="inlineStr">
        <is>
          <t>Cold Soldering</t>
        </is>
      </c>
      <c r="O466" s="11" t="n">
        <v>575</v>
      </c>
      <c r="P466" s="2" t="inlineStr">
        <is>
          <t>NSMI24070195720</t>
        </is>
      </c>
      <c r="Q466" s="14">
        <f>MID(P466,5,2)</f>
        <v/>
      </c>
      <c r="R466" s="14">
        <f>MID(P466,7,2)</f>
        <v/>
      </c>
      <c r="S466" s="1" t="inlineStr">
        <is>
          <t>G2G</t>
        </is>
      </c>
      <c r="T466" s="1" t="inlineStr">
        <is>
          <t>P4 - PEIPL</t>
        </is>
      </c>
      <c r="U466" s="1" t="inlineStr">
        <is>
          <t>N JB Cold Soldering</t>
        </is>
      </c>
      <c r="V466" s="1" t="inlineStr">
        <is>
          <t>Soldering</t>
        </is>
      </c>
      <c r="W466" s="1" t="inlineStr">
        <is>
          <t>Repair</t>
        </is>
      </c>
      <c r="X466" s="5" t="n">
        <v>46176</v>
      </c>
      <c r="Y466" s="1">
        <f>IF(X466="","",X466-A466)</f>
        <v/>
      </c>
      <c r="Z466" s="5" t="n">
        <v>46176</v>
      </c>
      <c r="AA466" s="3" t="n"/>
      <c r="AB466" s="3" t="n"/>
      <c r="AE466" s="146">
        <f>IF(AND(F466="Closed",X466&gt;=DATE(2026,6,1),X466&lt;=DATE(2026,6,30)),"Closed in June","other")</f>
        <v/>
      </c>
    </row>
    <row r="467" hidden="1">
      <c r="A467" s="9" t="n">
        <v>46143</v>
      </c>
      <c r="B467" s="1" t="n">
        <v>2026</v>
      </c>
      <c r="C467" s="8" t="inlineStr">
        <is>
          <t>Yanara Power</t>
        </is>
      </c>
      <c r="D467" s="1" t="inlineStr">
        <is>
          <t>Utility and C&amp;I</t>
        </is>
      </c>
      <c r="E467" s="1" t="n"/>
      <c r="F467" s="1" t="inlineStr">
        <is>
          <t>Closed</t>
        </is>
      </c>
      <c r="G467" s="2" t="inlineStr">
        <is>
          <t xml:space="preserve">Ashish Jindal </t>
        </is>
      </c>
      <c r="H467" s="8" t="n">
        <v>9983975581</v>
      </c>
      <c r="I467" s="10" t="inlineStr">
        <is>
          <t>PE01052601</t>
        </is>
      </c>
      <c r="J467" s="8" t="inlineStr">
        <is>
          <t>Multiple Issues</t>
        </is>
      </c>
      <c r="K467" s="11" t="inlineStr">
        <is>
          <t>Holi</t>
        </is>
      </c>
      <c r="L467" s="11" t="inlineStr">
        <is>
          <t>Maharashtra</t>
        </is>
      </c>
      <c r="M467" s="2" t="inlineStr">
        <is>
          <t>NS</t>
        </is>
      </c>
      <c r="N467" s="1" t="inlineStr">
        <is>
          <t>Cold Soldering</t>
        </is>
      </c>
      <c r="O467" s="11" t="n">
        <v>575</v>
      </c>
      <c r="P467" s="2" t="inlineStr">
        <is>
          <t>NSMI24070195730</t>
        </is>
      </c>
      <c r="Q467" s="14">
        <f>MID(P467,5,2)</f>
        <v/>
      </c>
      <c r="R467" s="14">
        <f>MID(P467,7,2)</f>
        <v/>
      </c>
      <c r="S467" s="1" t="inlineStr">
        <is>
          <t>G2G</t>
        </is>
      </c>
      <c r="T467" s="1" t="inlineStr">
        <is>
          <t>P4 - PEIPL</t>
        </is>
      </c>
      <c r="U467" s="1" t="inlineStr">
        <is>
          <t>N JB Cold Soldering</t>
        </is>
      </c>
      <c r="V467" s="1" t="inlineStr">
        <is>
          <t>Soldering</t>
        </is>
      </c>
      <c r="W467" s="1" t="inlineStr">
        <is>
          <t>Repair</t>
        </is>
      </c>
      <c r="X467" s="5" t="n">
        <v>46176</v>
      </c>
      <c r="Y467" s="1">
        <f>IF(X467="","",X467-A467)</f>
        <v/>
      </c>
      <c r="Z467" s="5" t="n">
        <v>46176</v>
      </c>
      <c r="AA467" s="3" t="n"/>
      <c r="AB467" s="3" t="n"/>
      <c r="AE467" s="146">
        <f>IF(AND(F467="Closed",X467&gt;=DATE(2026,6,1),X467&lt;=DATE(2026,6,30)),"Closed in June","other")</f>
        <v/>
      </c>
    </row>
    <row r="468" hidden="1">
      <c r="A468" s="9" t="n">
        <v>46143</v>
      </c>
      <c r="B468" s="1" t="n">
        <v>2026</v>
      </c>
      <c r="C468" s="8" t="inlineStr">
        <is>
          <t>Yanara Power</t>
        </is>
      </c>
      <c r="D468" s="1" t="inlineStr">
        <is>
          <t>Utility and C&amp;I</t>
        </is>
      </c>
      <c r="E468" s="1" t="n"/>
      <c r="F468" s="1" t="inlineStr">
        <is>
          <t>Closed</t>
        </is>
      </c>
      <c r="G468" s="2" t="inlineStr">
        <is>
          <t xml:space="preserve">Ashish Jindal </t>
        </is>
      </c>
      <c r="H468" s="8" t="n">
        <v>9983975581</v>
      </c>
      <c r="I468" s="10" t="inlineStr">
        <is>
          <t>PE01052601</t>
        </is>
      </c>
      <c r="J468" s="8" t="inlineStr">
        <is>
          <t>Multiple Issues</t>
        </is>
      </c>
      <c r="K468" s="11" t="inlineStr">
        <is>
          <t>Holi</t>
        </is>
      </c>
      <c r="L468" s="11" t="inlineStr">
        <is>
          <t>Maharashtra</t>
        </is>
      </c>
      <c r="M468" s="2" t="inlineStr">
        <is>
          <t>NS</t>
        </is>
      </c>
      <c r="N468" s="1" t="inlineStr">
        <is>
          <t>Cold Soldering</t>
        </is>
      </c>
      <c r="O468" s="11" t="n">
        <v>575</v>
      </c>
      <c r="P468" s="2" t="inlineStr">
        <is>
          <t>NSMI24070195782</t>
        </is>
      </c>
      <c r="Q468" s="14">
        <f>MID(P468,5,2)</f>
        <v/>
      </c>
      <c r="R468" s="14">
        <f>MID(P468,7,2)</f>
        <v/>
      </c>
      <c r="S468" s="1" t="inlineStr">
        <is>
          <t>G2G</t>
        </is>
      </c>
      <c r="T468" s="1" t="inlineStr">
        <is>
          <t>P4 - PEIPL</t>
        </is>
      </c>
      <c r="U468" s="1" t="inlineStr">
        <is>
          <t>N JB Cold Soldering</t>
        </is>
      </c>
      <c r="V468" s="1" t="inlineStr">
        <is>
          <t>Soldering</t>
        </is>
      </c>
      <c r="W468" s="1" t="inlineStr">
        <is>
          <t>Repair</t>
        </is>
      </c>
      <c r="X468" s="5" t="n">
        <v>46176</v>
      </c>
      <c r="Y468" s="1">
        <f>IF(X468="","",X468-A468)</f>
        <v/>
      </c>
      <c r="Z468" s="5" t="n">
        <v>46176</v>
      </c>
      <c r="AA468" s="3" t="n"/>
      <c r="AB468" s="3" t="n"/>
      <c r="AE468" s="146">
        <f>IF(AND(F468="Closed",X468&gt;=DATE(2026,6,1),X468&lt;=DATE(2026,6,30)),"Closed in June","other")</f>
        <v/>
      </c>
    </row>
    <row r="469" hidden="1">
      <c r="A469" s="9" t="n">
        <v>46143</v>
      </c>
      <c r="B469" s="1" t="n">
        <v>2026</v>
      </c>
      <c r="C469" s="8" t="inlineStr">
        <is>
          <t>Yanara Power</t>
        </is>
      </c>
      <c r="D469" s="1" t="inlineStr">
        <is>
          <t>Utility and C&amp;I</t>
        </is>
      </c>
      <c r="E469" s="1" t="n"/>
      <c r="F469" s="1" t="inlineStr">
        <is>
          <t>Closed</t>
        </is>
      </c>
      <c r="G469" s="2" t="inlineStr">
        <is>
          <t xml:space="preserve">Ashish Jindal </t>
        </is>
      </c>
      <c r="H469" s="8" t="n">
        <v>9983975581</v>
      </c>
      <c r="I469" s="10" t="inlineStr">
        <is>
          <t>PE01052601</t>
        </is>
      </c>
      <c r="J469" s="8" t="inlineStr">
        <is>
          <t>Multiple Issues</t>
        </is>
      </c>
      <c r="K469" s="11" t="inlineStr">
        <is>
          <t>Holi</t>
        </is>
      </c>
      <c r="L469" s="11" t="inlineStr">
        <is>
          <t>Maharashtra</t>
        </is>
      </c>
      <c r="M469" s="2" t="inlineStr">
        <is>
          <t>NS</t>
        </is>
      </c>
      <c r="N469" s="1" t="inlineStr">
        <is>
          <t>Cold Soldering</t>
        </is>
      </c>
      <c r="O469" s="11" t="n">
        <v>575</v>
      </c>
      <c r="P469" s="2" t="inlineStr">
        <is>
          <t>NSMI24070195814</t>
        </is>
      </c>
      <c r="Q469" s="14">
        <f>MID(P469,5,2)</f>
        <v/>
      </c>
      <c r="R469" s="14">
        <f>MID(P469,7,2)</f>
        <v/>
      </c>
      <c r="S469" s="1" t="inlineStr">
        <is>
          <t>G2G</t>
        </is>
      </c>
      <c r="T469" s="1" t="inlineStr">
        <is>
          <t>P4 - PEIPL</t>
        </is>
      </c>
      <c r="U469" s="1" t="inlineStr">
        <is>
          <t>N JB Cold Soldering</t>
        </is>
      </c>
      <c r="V469" s="1" t="inlineStr">
        <is>
          <t>Soldering</t>
        </is>
      </c>
      <c r="W469" s="1" t="inlineStr">
        <is>
          <t>Repair</t>
        </is>
      </c>
      <c r="X469" s="5" t="n">
        <v>46176</v>
      </c>
      <c r="Y469" s="1">
        <f>IF(X469="","",X469-A469)</f>
        <v/>
      </c>
      <c r="Z469" s="5" t="n">
        <v>46176</v>
      </c>
      <c r="AA469" s="3" t="n"/>
      <c r="AB469" s="3" t="n"/>
      <c r="AE469" s="146">
        <f>IF(AND(F469="Closed",X469&gt;=DATE(2026,6,1),X469&lt;=DATE(2026,6,30)),"Closed in June","other")</f>
        <v/>
      </c>
    </row>
    <row r="470" hidden="1">
      <c r="A470" s="9" t="n">
        <v>46143</v>
      </c>
      <c r="B470" s="1" t="n">
        <v>2026</v>
      </c>
      <c r="C470" s="8" t="inlineStr">
        <is>
          <t>Yanara Power</t>
        </is>
      </c>
      <c r="D470" s="1" t="inlineStr">
        <is>
          <t>Utility and C&amp;I</t>
        </is>
      </c>
      <c r="E470" s="1" t="n"/>
      <c r="F470" s="1" t="inlineStr">
        <is>
          <t>Closed</t>
        </is>
      </c>
      <c r="G470" s="2" t="inlineStr">
        <is>
          <t xml:space="preserve">Ashish Jindal </t>
        </is>
      </c>
      <c r="H470" s="8" t="n">
        <v>9983975581</v>
      </c>
      <c r="I470" s="10" t="inlineStr">
        <is>
          <t>PE01052601</t>
        </is>
      </c>
      <c r="J470" s="8" t="inlineStr">
        <is>
          <t>Multiple Issues</t>
        </is>
      </c>
      <c r="K470" s="11" t="inlineStr">
        <is>
          <t>Holi</t>
        </is>
      </c>
      <c r="L470" s="11" t="inlineStr">
        <is>
          <t>Maharashtra</t>
        </is>
      </c>
      <c r="M470" s="2" t="inlineStr">
        <is>
          <t>NS</t>
        </is>
      </c>
      <c r="N470" s="1" t="inlineStr">
        <is>
          <t>Cold Soldering</t>
        </is>
      </c>
      <c r="O470" s="11" t="n">
        <v>575</v>
      </c>
      <c r="P470" s="2" t="inlineStr">
        <is>
          <t>NSMI24070195982</t>
        </is>
      </c>
      <c r="Q470" s="14">
        <f>MID(P470,5,2)</f>
        <v/>
      </c>
      <c r="R470" s="14">
        <f>MID(P470,7,2)</f>
        <v/>
      </c>
      <c r="S470" s="1" t="inlineStr">
        <is>
          <t>G2G</t>
        </is>
      </c>
      <c r="T470" s="1" t="inlineStr">
        <is>
          <t>P4 - PEIPL</t>
        </is>
      </c>
      <c r="U470" s="1" t="inlineStr">
        <is>
          <t>N JB Cold Soldering</t>
        </is>
      </c>
      <c r="V470" s="1" t="inlineStr">
        <is>
          <t>Soldering</t>
        </is>
      </c>
      <c r="W470" s="1" t="inlineStr">
        <is>
          <t>Repair</t>
        </is>
      </c>
      <c r="X470" s="5" t="n">
        <v>46176</v>
      </c>
      <c r="Y470" s="1">
        <f>IF(X470="","",X470-A470)</f>
        <v/>
      </c>
      <c r="Z470" s="5" t="n">
        <v>46176</v>
      </c>
      <c r="AA470" s="3" t="n"/>
      <c r="AB470" s="3" t="n"/>
      <c r="AE470" s="146">
        <f>IF(AND(F470="Closed",X470&gt;=DATE(2026,6,1),X470&lt;=DATE(2026,6,30)),"Closed in June","other")</f>
        <v/>
      </c>
    </row>
    <row r="471" hidden="1">
      <c r="A471" s="9" t="n">
        <v>46143</v>
      </c>
      <c r="B471" s="1" t="n">
        <v>2026</v>
      </c>
      <c r="C471" s="8" t="inlineStr">
        <is>
          <t>Yanara Power</t>
        </is>
      </c>
      <c r="D471" s="1" t="inlineStr">
        <is>
          <t>Utility and C&amp;I</t>
        </is>
      </c>
      <c r="E471" s="1" t="n"/>
      <c r="F471" s="1" t="inlineStr">
        <is>
          <t>Closed</t>
        </is>
      </c>
      <c r="G471" s="2" t="inlineStr">
        <is>
          <t xml:space="preserve">Ashish Jindal </t>
        </is>
      </c>
      <c r="H471" s="8" t="n">
        <v>9983975581</v>
      </c>
      <c r="I471" s="10" t="inlineStr">
        <is>
          <t>PE01052601</t>
        </is>
      </c>
      <c r="J471" s="8" t="inlineStr">
        <is>
          <t>Multiple Issues</t>
        </is>
      </c>
      <c r="K471" s="11" t="inlineStr">
        <is>
          <t>Holi</t>
        </is>
      </c>
      <c r="L471" s="11" t="inlineStr">
        <is>
          <t>Maharashtra</t>
        </is>
      </c>
      <c r="M471" s="2" t="inlineStr">
        <is>
          <t>PS</t>
        </is>
      </c>
      <c r="N471" s="1" t="inlineStr">
        <is>
          <t>Cold Soldering</t>
        </is>
      </c>
      <c r="O471" s="11" t="n">
        <v>575</v>
      </c>
      <c r="P471" s="2" t="inlineStr">
        <is>
          <t>NSMI24070186107</t>
        </is>
      </c>
      <c r="Q471" s="14">
        <f>MID(P471,5,2)</f>
        <v/>
      </c>
      <c r="R471" s="14">
        <f>MID(P471,7,2)</f>
        <v/>
      </c>
      <c r="S471" s="1" t="inlineStr">
        <is>
          <t>G2G</t>
        </is>
      </c>
      <c r="T471" s="1" t="inlineStr">
        <is>
          <t>P4 - PEIPL</t>
        </is>
      </c>
      <c r="U471" s="6" t="inlineStr">
        <is>
          <t>P JB Cold Soldering</t>
        </is>
      </c>
      <c r="V471" s="6" t="inlineStr">
        <is>
          <t>Soldering</t>
        </is>
      </c>
      <c r="W471" s="1" t="inlineStr">
        <is>
          <t>Repair</t>
        </is>
      </c>
      <c r="X471" s="5" t="n">
        <v>46176</v>
      </c>
      <c r="Y471" s="1">
        <f>IF(X471="","",X471-A471)</f>
        <v/>
      </c>
      <c r="Z471" s="5" t="n">
        <v>46176</v>
      </c>
      <c r="AA471" s="3" t="n"/>
      <c r="AB471" s="3" t="n"/>
      <c r="AE471" s="146">
        <f>IF(AND(F471="Closed",X471&gt;=DATE(2026,6,1),X471&lt;=DATE(2026,6,30)),"Closed in June","other")</f>
        <v/>
      </c>
    </row>
    <row r="472" hidden="1">
      <c r="A472" s="9" t="n">
        <v>46143</v>
      </c>
      <c r="B472" s="1" t="n">
        <v>2026</v>
      </c>
      <c r="C472" s="8" t="inlineStr">
        <is>
          <t>Yanara Power</t>
        </is>
      </c>
      <c r="D472" s="1" t="inlineStr">
        <is>
          <t>Utility and C&amp;I</t>
        </is>
      </c>
      <c r="E472" s="1" t="n"/>
      <c r="F472" s="1" t="inlineStr">
        <is>
          <t>Closed</t>
        </is>
      </c>
      <c r="G472" s="2" t="inlineStr">
        <is>
          <t xml:space="preserve">Ashish Jindal </t>
        </is>
      </c>
      <c r="H472" s="8" t="n">
        <v>9983975581</v>
      </c>
      <c r="I472" s="10" t="inlineStr">
        <is>
          <t>PE01052601</t>
        </is>
      </c>
      <c r="J472" s="8" t="inlineStr">
        <is>
          <t>Multiple Issues</t>
        </is>
      </c>
      <c r="K472" s="11" t="inlineStr">
        <is>
          <t>Holi</t>
        </is>
      </c>
      <c r="L472" s="11" t="inlineStr">
        <is>
          <t>Maharashtra</t>
        </is>
      </c>
      <c r="M472" s="2" t="inlineStr">
        <is>
          <t>PS</t>
        </is>
      </c>
      <c r="N472" s="1" t="inlineStr">
        <is>
          <t>Cold Soldering</t>
        </is>
      </c>
      <c r="O472" s="11" t="n">
        <v>575</v>
      </c>
      <c r="P472" s="2" t="inlineStr">
        <is>
          <t>NSMI24070190670</t>
        </is>
      </c>
      <c r="Q472" s="14">
        <f>MID(P472,5,2)</f>
        <v/>
      </c>
      <c r="R472" s="14">
        <f>MID(P472,7,2)</f>
        <v/>
      </c>
      <c r="S472" s="1" t="inlineStr">
        <is>
          <t>G2G</t>
        </is>
      </c>
      <c r="T472" s="1" t="inlineStr">
        <is>
          <t>P4 - PEIPL</t>
        </is>
      </c>
      <c r="U472" s="6" t="inlineStr">
        <is>
          <t>P JB Cold Soldering</t>
        </is>
      </c>
      <c r="V472" s="6" t="inlineStr">
        <is>
          <t>Soldering</t>
        </is>
      </c>
      <c r="W472" s="1" t="inlineStr">
        <is>
          <t>Repair</t>
        </is>
      </c>
      <c r="X472" s="5" t="n">
        <v>46176</v>
      </c>
      <c r="Y472" s="1">
        <f>IF(X472="","",X472-A472)</f>
        <v/>
      </c>
      <c r="Z472" s="5" t="n">
        <v>46176</v>
      </c>
      <c r="AA472" s="3" t="n"/>
      <c r="AB472" s="3" t="n"/>
      <c r="AE472" s="146">
        <f>IF(AND(F472="Closed",X472&gt;=DATE(2026,6,1),X472&lt;=DATE(2026,6,30)),"Closed in June","other")</f>
        <v/>
      </c>
    </row>
    <row r="473" hidden="1">
      <c r="A473" s="9" t="n">
        <v>46143</v>
      </c>
      <c r="B473" s="1" t="n">
        <v>2026</v>
      </c>
      <c r="C473" s="8" t="inlineStr">
        <is>
          <t>Yanara Power</t>
        </is>
      </c>
      <c r="D473" s="1" t="inlineStr">
        <is>
          <t>Utility and C&amp;I</t>
        </is>
      </c>
      <c r="E473" s="1" t="n"/>
      <c r="F473" s="1" t="inlineStr">
        <is>
          <t>Closed</t>
        </is>
      </c>
      <c r="G473" s="2" t="inlineStr">
        <is>
          <t xml:space="preserve">Ashish Jindal </t>
        </is>
      </c>
      <c r="H473" s="8" t="n">
        <v>9983975581</v>
      </c>
      <c r="I473" s="10" t="inlineStr">
        <is>
          <t>PE01052601</t>
        </is>
      </c>
      <c r="J473" s="8" t="inlineStr">
        <is>
          <t>Multiple Issues</t>
        </is>
      </c>
      <c r="K473" s="11" t="inlineStr">
        <is>
          <t>Holi</t>
        </is>
      </c>
      <c r="L473" s="11" t="inlineStr">
        <is>
          <t>Maharashtra</t>
        </is>
      </c>
      <c r="M473" s="2" t="inlineStr">
        <is>
          <t>PS</t>
        </is>
      </c>
      <c r="N473" s="1" t="inlineStr">
        <is>
          <t>Cold Soldering</t>
        </is>
      </c>
      <c r="O473" s="11" t="n">
        <v>575</v>
      </c>
      <c r="P473" s="2" t="inlineStr">
        <is>
          <t>NSMI24070186181</t>
        </is>
      </c>
      <c r="Q473" s="14">
        <f>MID(P473,5,2)</f>
        <v/>
      </c>
      <c r="R473" s="14">
        <f>MID(P473,7,2)</f>
        <v/>
      </c>
      <c r="S473" s="1" t="inlineStr">
        <is>
          <t>G2G</t>
        </is>
      </c>
      <c r="T473" s="1" t="inlineStr">
        <is>
          <t>P4 - PEIPL</t>
        </is>
      </c>
      <c r="U473" s="6" t="inlineStr">
        <is>
          <t>P JB Cold Soldering</t>
        </is>
      </c>
      <c r="V473" s="6" t="inlineStr">
        <is>
          <t>Soldering</t>
        </is>
      </c>
      <c r="W473" s="1" t="inlineStr">
        <is>
          <t>Repair</t>
        </is>
      </c>
      <c r="X473" s="5" t="n">
        <v>46176</v>
      </c>
      <c r="Y473" s="1">
        <f>IF(X473="","",X473-A473)</f>
        <v/>
      </c>
      <c r="Z473" s="5" t="n">
        <v>46176</v>
      </c>
      <c r="AA473" s="3" t="n"/>
      <c r="AB473" s="3" t="n"/>
      <c r="AE473" s="146">
        <f>IF(AND(F473="Closed",X473&gt;=DATE(2026,6,1),X473&lt;=DATE(2026,6,30)),"Closed in June","other")</f>
        <v/>
      </c>
    </row>
    <row r="474" hidden="1">
      <c r="A474" s="9" t="n">
        <v>46143</v>
      </c>
      <c r="B474" s="1" t="n">
        <v>2026</v>
      </c>
      <c r="C474" s="8" t="inlineStr">
        <is>
          <t>Yanara Power</t>
        </is>
      </c>
      <c r="D474" s="1" t="inlineStr">
        <is>
          <t>Utility and C&amp;I</t>
        </is>
      </c>
      <c r="E474" s="1" t="n"/>
      <c r="F474" s="1" t="inlineStr">
        <is>
          <t>Closed</t>
        </is>
      </c>
      <c r="G474" s="2" t="inlineStr">
        <is>
          <t xml:space="preserve">Ashish Jindal </t>
        </is>
      </c>
      <c r="H474" s="8" t="n">
        <v>9983975581</v>
      </c>
      <c r="I474" s="10" t="inlineStr">
        <is>
          <t>PE01052601</t>
        </is>
      </c>
      <c r="J474" s="8" t="inlineStr">
        <is>
          <t>Multiple Issues</t>
        </is>
      </c>
      <c r="K474" s="11" t="inlineStr">
        <is>
          <t>Holi</t>
        </is>
      </c>
      <c r="L474" s="11" t="inlineStr">
        <is>
          <t>Maharashtra</t>
        </is>
      </c>
      <c r="M474" s="2" t="inlineStr">
        <is>
          <t>PS</t>
        </is>
      </c>
      <c r="N474" s="1" t="inlineStr">
        <is>
          <t>Cold Soldering</t>
        </is>
      </c>
      <c r="O474" s="11" t="n">
        <v>575</v>
      </c>
      <c r="P474" s="2" t="inlineStr">
        <is>
          <t>NSMI24070186661</t>
        </is>
      </c>
      <c r="Q474" s="14">
        <f>MID(P474,5,2)</f>
        <v/>
      </c>
      <c r="R474" s="14">
        <f>MID(P474,7,2)</f>
        <v/>
      </c>
      <c r="S474" s="1" t="inlineStr">
        <is>
          <t>G2G</t>
        </is>
      </c>
      <c r="T474" s="1" t="inlineStr">
        <is>
          <t>P4 - PEIPL</t>
        </is>
      </c>
      <c r="U474" s="6" t="inlineStr">
        <is>
          <t>P JB Cold Soldering</t>
        </is>
      </c>
      <c r="V474" s="6" t="inlineStr">
        <is>
          <t>Soldering</t>
        </is>
      </c>
      <c r="W474" s="1" t="inlineStr">
        <is>
          <t>Repair</t>
        </is>
      </c>
      <c r="X474" s="5" t="n">
        <v>46176</v>
      </c>
      <c r="Y474" s="1">
        <f>IF(X474="","",X474-A474)</f>
        <v/>
      </c>
      <c r="Z474" s="5" t="n">
        <v>46176</v>
      </c>
      <c r="AA474" s="3" t="n"/>
      <c r="AB474" s="3" t="n"/>
      <c r="AE474" s="146">
        <f>IF(AND(F474="Closed",X474&gt;=DATE(2026,6,1),X474&lt;=DATE(2026,6,30)),"Closed in June","other")</f>
        <v/>
      </c>
    </row>
    <row r="475" hidden="1">
      <c r="A475" s="9" t="n">
        <v>46143</v>
      </c>
      <c r="B475" s="1" t="n">
        <v>2026</v>
      </c>
      <c r="C475" s="8" t="inlineStr">
        <is>
          <t>Yanara Power</t>
        </is>
      </c>
      <c r="D475" s="1" t="inlineStr">
        <is>
          <t>Utility and C&amp;I</t>
        </is>
      </c>
      <c r="E475" s="1" t="n"/>
      <c r="F475" s="1" t="inlineStr">
        <is>
          <t>Closed</t>
        </is>
      </c>
      <c r="G475" s="2" t="inlineStr">
        <is>
          <t xml:space="preserve">Ashish Jindal </t>
        </is>
      </c>
      <c r="H475" s="8" t="n">
        <v>9983975581</v>
      </c>
      <c r="I475" s="10" t="inlineStr">
        <is>
          <t>PE01052601</t>
        </is>
      </c>
      <c r="J475" s="8" t="inlineStr">
        <is>
          <t>Multiple Issues</t>
        </is>
      </c>
      <c r="K475" s="11" t="inlineStr">
        <is>
          <t>Holi</t>
        </is>
      </c>
      <c r="L475" s="11" t="inlineStr">
        <is>
          <t>Maharashtra</t>
        </is>
      </c>
      <c r="M475" s="2" t="inlineStr">
        <is>
          <t>PS</t>
        </is>
      </c>
      <c r="N475" s="1" t="inlineStr">
        <is>
          <t>Cold Soldering</t>
        </is>
      </c>
      <c r="O475" s="11" t="n">
        <v>575</v>
      </c>
      <c r="P475" s="2" t="inlineStr">
        <is>
          <t>NSMI24070186686</t>
        </is>
      </c>
      <c r="Q475" s="14">
        <f>MID(P475,5,2)</f>
        <v/>
      </c>
      <c r="R475" s="14">
        <f>MID(P475,7,2)</f>
        <v/>
      </c>
      <c r="S475" s="1" t="inlineStr">
        <is>
          <t>G2G</t>
        </is>
      </c>
      <c r="T475" s="1" t="inlineStr">
        <is>
          <t>P4 - PEIPL</t>
        </is>
      </c>
      <c r="U475" s="6" t="inlineStr">
        <is>
          <t>P JB Cold Soldering</t>
        </is>
      </c>
      <c r="V475" s="6" t="inlineStr">
        <is>
          <t>Soldering</t>
        </is>
      </c>
      <c r="W475" s="1" t="inlineStr">
        <is>
          <t>Repair</t>
        </is>
      </c>
      <c r="X475" s="5" t="n">
        <v>46176</v>
      </c>
      <c r="Y475" s="1">
        <f>IF(X475="","",X475-A475)</f>
        <v/>
      </c>
      <c r="Z475" s="5" t="n">
        <v>46176</v>
      </c>
      <c r="AA475" s="3" t="n"/>
      <c r="AB475" s="3" t="n"/>
      <c r="AE475" s="146">
        <f>IF(AND(F475="Closed",X475&gt;=DATE(2026,6,1),X475&lt;=DATE(2026,6,30)),"Closed in June","other")</f>
        <v/>
      </c>
    </row>
    <row r="476" hidden="1">
      <c r="A476" s="9" t="n">
        <v>46143</v>
      </c>
      <c r="B476" s="1" t="n">
        <v>2026</v>
      </c>
      <c r="C476" s="8" t="inlineStr">
        <is>
          <t>Yanara Power</t>
        </is>
      </c>
      <c r="D476" s="1" t="inlineStr">
        <is>
          <t>Utility and C&amp;I</t>
        </is>
      </c>
      <c r="E476" s="1" t="n"/>
      <c r="F476" s="1" t="inlineStr">
        <is>
          <t>Closed</t>
        </is>
      </c>
      <c r="G476" s="2" t="inlineStr">
        <is>
          <t xml:space="preserve">Ashish Jindal </t>
        </is>
      </c>
      <c r="H476" s="8" t="n">
        <v>9983975581</v>
      </c>
      <c r="I476" s="10" t="inlineStr">
        <is>
          <t>PE01052601</t>
        </is>
      </c>
      <c r="J476" s="8" t="inlineStr">
        <is>
          <t>Multiple Issues</t>
        </is>
      </c>
      <c r="K476" s="11" t="inlineStr">
        <is>
          <t>Holi</t>
        </is>
      </c>
      <c r="L476" s="11" t="inlineStr">
        <is>
          <t>Maharashtra</t>
        </is>
      </c>
      <c r="M476" s="2" t="inlineStr">
        <is>
          <t>PS</t>
        </is>
      </c>
      <c r="N476" s="1" t="inlineStr">
        <is>
          <t>Cold Soldering</t>
        </is>
      </c>
      <c r="O476" s="11" t="n">
        <v>575</v>
      </c>
      <c r="P476" s="2" t="inlineStr">
        <is>
          <t>NSMI24070184144</t>
        </is>
      </c>
      <c r="Q476" s="14">
        <f>MID(P476,5,2)</f>
        <v/>
      </c>
      <c r="R476" s="14">
        <f>MID(P476,7,2)</f>
        <v/>
      </c>
      <c r="S476" s="1" t="inlineStr">
        <is>
          <t>G2G</t>
        </is>
      </c>
      <c r="T476" s="1" t="inlineStr">
        <is>
          <t>P4 - PEIPL</t>
        </is>
      </c>
      <c r="U476" s="6" t="inlineStr">
        <is>
          <t>P JB Cold Soldering</t>
        </is>
      </c>
      <c r="V476" s="6" t="inlineStr">
        <is>
          <t>Soldering</t>
        </is>
      </c>
      <c r="W476" s="1" t="inlineStr">
        <is>
          <t>Repair</t>
        </is>
      </c>
      <c r="X476" s="5" t="n">
        <v>46176</v>
      </c>
      <c r="Y476" s="1">
        <f>IF(X476="","",X476-A476)</f>
        <v/>
      </c>
      <c r="Z476" s="5" t="n">
        <v>46176</v>
      </c>
      <c r="AA476" s="3" t="n"/>
      <c r="AB476" s="3" t="n"/>
      <c r="AE476" s="146">
        <f>IF(AND(F476="Closed",X476&gt;=DATE(2026,6,1),X476&lt;=DATE(2026,6,30)),"Closed in June","other")</f>
        <v/>
      </c>
    </row>
    <row r="477" hidden="1">
      <c r="A477" s="9" t="n">
        <v>46143</v>
      </c>
      <c r="B477" s="1" t="n">
        <v>2026</v>
      </c>
      <c r="C477" s="8" t="inlineStr">
        <is>
          <t>Yanara Power</t>
        </is>
      </c>
      <c r="D477" s="1" t="inlineStr">
        <is>
          <t>Utility and C&amp;I</t>
        </is>
      </c>
      <c r="E477" s="1" t="n"/>
      <c r="F477" s="1" t="inlineStr">
        <is>
          <t>Closed</t>
        </is>
      </c>
      <c r="G477" s="2" t="inlineStr">
        <is>
          <t xml:space="preserve">Ashish Jindal </t>
        </is>
      </c>
      <c r="H477" s="8" t="n">
        <v>9983975581</v>
      </c>
      <c r="I477" s="10" t="inlineStr">
        <is>
          <t>PE01052601</t>
        </is>
      </c>
      <c r="J477" s="8" t="inlineStr">
        <is>
          <t>Multiple Issues</t>
        </is>
      </c>
      <c r="K477" s="11" t="inlineStr">
        <is>
          <t>Holi</t>
        </is>
      </c>
      <c r="L477" s="11" t="inlineStr">
        <is>
          <t>Maharashtra</t>
        </is>
      </c>
      <c r="M477" s="2" t="inlineStr">
        <is>
          <t>NS</t>
        </is>
      </c>
      <c r="N477" s="1" t="inlineStr">
        <is>
          <t>Cold Soldering</t>
        </is>
      </c>
      <c r="O477" s="11" t="n">
        <v>575</v>
      </c>
      <c r="P477" s="2" t="inlineStr">
        <is>
          <t>NSMI24070195805</t>
        </is>
      </c>
      <c r="Q477" s="14">
        <f>MID(P477,5,2)</f>
        <v/>
      </c>
      <c r="R477" s="14">
        <f>MID(P477,7,2)</f>
        <v/>
      </c>
      <c r="S477" s="1" t="inlineStr">
        <is>
          <t>G2G</t>
        </is>
      </c>
      <c r="T477" s="1" t="inlineStr">
        <is>
          <t>P4 - PEIPL</t>
        </is>
      </c>
      <c r="U477" s="1" t="inlineStr">
        <is>
          <t>N JB Cold Soldering</t>
        </is>
      </c>
      <c r="V477" s="1" t="inlineStr">
        <is>
          <t>Soldering</t>
        </is>
      </c>
      <c r="W477" s="1" t="inlineStr">
        <is>
          <t>Repair</t>
        </is>
      </c>
      <c r="X477" s="5" t="n">
        <v>46176</v>
      </c>
      <c r="Y477" s="1">
        <f>IF(X477="","",X477-A477)</f>
        <v/>
      </c>
      <c r="Z477" s="5" t="n">
        <v>46176</v>
      </c>
      <c r="AA477" s="3" t="n"/>
      <c r="AB477" s="3" t="n"/>
      <c r="AE477" s="146">
        <f>IF(AND(F477="Closed",X477&gt;=DATE(2026,6,1),X477&lt;=DATE(2026,6,30)),"Closed in June","other")</f>
        <v/>
      </c>
    </row>
    <row r="478" hidden="1">
      <c r="A478" s="9" t="n">
        <v>46143</v>
      </c>
      <c r="B478" s="1" t="n">
        <v>2026</v>
      </c>
      <c r="C478" s="8" t="inlineStr">
        <is>
          <t>Yanara Power</t>
        </is>
      </c>
      <c r="D478" s="1" t="inlineStr">
        <is>
          <t>Utility and C&amp;I</t>
        </is>
      </c>
      <c r="E478" s="1" t="n"/>
      <c r="F478" s="1" t="inlineStr">
        <is>
          <t>Closed</t>
        </is>
      </c>
      <c r="G478" s="2" t="inlineStr">
        <is>
          <t xml:space="preserve">Ashish Jindal </t>
        </is>
      </c>
      <c r="H478" s="8" t="n">
        <v>9983975581</v>
      </c>
      <c r="I478" s="10" t="inlineStr">
        <is>
          <t>PE01052601</t>
        </is>
      </c>
      <c r="J478" s="8" t="inlineStr">
        <is>
          <t>Multiple Issues</t>
        </is>
      </c>
      <c r="K478" s="11" t="inlineStr">
        <is>
          <t>Holi</t>
        </is>
      </c>
      <c r="L478" s="11" t="inlineStr">
        <is>
          <t>Maharashtra</t>
        </is>
      </c>
      <c r="M478" s="2" t="inlineStr">
        <is>
          <t>NS</t>
        </is>
      </c>
      <c r="N478" s="1" t="inlineStr">
        <is>
          <t>Cold Soldering</t>
        </is>
      </c>
      <c r="O478" s="11" t="n">
        <v>575</v>
      </c>
      <c r="P478" s="2" t="inlineStr">
        <is>
          <t>NSMI24070195795</t>
        </is>
      </c>
      <c r="Q478" s="14">
        <f>MID(P478,5,2)</f>
        <v/>
      </c>
      <c r="R478" s="14">
        <f>MID(P478,7,2)</f>
        <v/>
      </c>
      <c r="S478" s="1" t="inlineStr">
        <is>
          <t>G2G</t>
        </is>
      </c>
      <c r="T478" s="1" t="inlineStr">
        <is>
          <t>P4 - PEIPL</t>
        </is>
      </c>
      <c r="U478" s="1" t="inlineStr">
        <is>
          <t>N JB Cold Soldering</t>
        </is>
      </c>
      <c r="V478" s="1" t="inlineStr">
        <is>
          <t>Soldering</t>
        </is>
      </c>
      <c r="W478" s="1" t="inlineStr">
        <is>
          <t>Repair</t>
        </is>
      </c>
      <c r="X478" s="5" t="n">
        <v>46176</v>
      </c>
      <c r="Y478" s="1">
        <f>IF(X478="","",X478-A478)</f>
        <v/>
      </c>
      <c r="Z478" s="5" t="n">
        <v>46176</v>
      </c>
      <c r="AA478" s="3" t="n"/>
      <c r="AB478" s="3" t="n"/>
      <c r="AE478" s="146">
        <f>IF(AND(F478="Closed",X478&gt;=DATE(2026,6,1),X478&lt;=DATE(2026,6,30)),"Closed in June","other")</f>
        <v/>
      </c>
    </row>
    <row r="479" hidden="1">
      <c r="A479" s="9" t="n">
        <v>46143</v>
      </c>
      <c r="B479" s="1" t="n">
        <v>2026</v>
      </c>
      <c r="C479" s="8" t="inlineStr">
        <is>
          <t>Yanara Power</t>
        </is>
      </c>
      <c r="D479" s="1" t="inlineStr">
        <is>
          <t>Utility and C&amp;I</t>
        </is>
      </c>
      <c r="E479" s="1" t="n"/>
      <c r="F479" s="1" t="inlineStr">
        <is>
          <t>Closed</t>
        </is>
      </c>
      <c r="G479" s="2" t="inlineStr">
        <is>
          <t xml:space="preserve">Ashish Jindal </t>
        </is>
      </c>
      <c r="H479" s="8" t="n">
        <v>9983975581</v>
      </c>
      <c r="I479" s="10" t="inlineStr">
        <is>
          <t>PE01052601</t>
        </is>
      </c>
      <c r="J479" s="8" t="inlineStr">
        <is>
          <t>Multiple Issues</t>
        </is>
      </c>
      <c r="K479" s="11" t="inlineStr">
        <is>
          <t>Holi</t>
        </is>
      </c>
      <c r="L479" s="11" t="inlineStr">
        <is>
          <t>Maharashtra</t>
        </is>
      </c>
      <c r="M479" s="2" t="inlineStr">
        <is>
          <t>NS</t>
        </is>
      </c>
      <c r="N479" s="1" t="inlineStr">
        <is>
          <t>Cold Soldering</t>
        </is>
      </c>
      <c r="O479" s="11" t="n">
        <v>575</v>
      </c>
      <c r="P479" s="2" t="inlineStr">
        <is>
          <t>NSMI24070195784</t>
        </is>
      </c>
      <c r="Q479" s="14">
        <f>MID(P479,5,2)</f>
        <v/>
      </c>
      <c r="R479" s="14">
        <f>MID(P479,7,2)</f>
        <v/>
      </c>
      <c r="S479" s="1" t="inlineStr">
        <is>
          <t>G2G</t>
        </is>
      </c>
      <c r="T479" s="1" t="inlineStr">
        <is>
          <t>P4 - PEIPL</t>
        </is>
      </c>
      <c r="U479" s="1" t="inlineStr">
        <is>
          <t>N JB Cold Soldering</t>
        </is>
      </c>
      <c r="V479" s="1" t="inlineStr">
        <is>
          <t>Soldering</t>
        </is>
      </c>
      <c r="W479" s="1" t="inlineStr">
        <is>
          <t>Repair</t>
        </is>
      </c>
      <c r="X479" s="5" t="n">
        <v>46176</v>
      </c>
      <c r="Y479" s="1">
        <f>IF(X479="","",X479-A479)</f>
        <v/>
      </c>
      <c r="Z479" s="5" t="n">
        <v>46176</v>
      </c>
      <c r="AA479" s="3" t="n"/>
      <c r="AB479" s="3" t="n"/>
      <c r="AE479" s="146">
        <f>IF(AND(F479="Closed",X479&gt;=DATE(2026,6,1),X479&lt;=DATE(2026,6,30)),"Closed in June","other")</f>
        <v/>
      </c>
    </row>
    <row r="480" hidden="1">
      <c r="A480" s="9" t="n">
        <v>46143</v>
      </c>
      <c r="B480" s="1" t="n">
        <v>2026</v>
      </c>
      <c r="C480" s="8" t="inlineStr">
        <is>
          <t>Yanara Power</t>
        </is>
      </c>
      <c r="D480" s="1" t="inlineStr">
        <is>
          <t>Utility and C&amp;I</t>
        </is>
      </c>
      <c r="E480" s="1" t="n"/>
      <c r="F480" s="1" t="inlineStr">
        <is>
          <t>Closed</t>
        </is>
      </c>
      <c r="G480" s="2" t="inlineStr">
        <is>
          <t xml:space="preserve">Ashish Jindal </t>
        </is>
      </c>
      <c r="H480" s="8" t="n">
        <v>9983975581</v>
      </c>
      <c r="I480" s="10" t="inlineStr">
        <is>
          <t>PE01052601</t>
        </is>
      </c>
      <c r="J480" s="8" t="inlineStr">
        <is>
          <t>Multiple Issues</t>
        </is>
      </c>
      <c r="K480" s="11" t="inlineStr">
        <is>
          <t>Holi</t>
        </is>
      </c>
      <c r="L480" s="11" t="inlineStr">
        <is>
          <t>Maharashtra</t>
        </is>
      </c>
      <c r="M480" s="2" t="inlineStr">
        <is>
          <t>NS</t>
        </is>
      </c>
      <c r="N480" s="1" t="inlineStr">
        <is>
          <t>Cold Soldering</t>
        </is>
      </c>
      <c r="O480" s="11" t="n">
        <v>575</v>
      </c>
      <c r="P480" s="2" t="inlineStr">
        <is>
          <t>NSMI24070195804</t>
        </is>
      </c>
      <c r="Q480" s="14">
        <f>MID(P480,5,2)</f>
        <v/>
      </c>
      <c r="R480" s="14">
        <f>MID(P480,7,2)</f>
        <v/>
      </c>
      <c r="S480" s="1" t="inlineStr">
        <is>
          <t>G2G</t>
        </is>
      </c>
      <c r="T480" s="1" t="inlineStr">
        <is>
          <t>P4 - PEIPL</t>
        </is>
      </c>
      <c r="U480" s="1" t="inlineStr">
        <is>
          <t>N JB Cold Soldering</t>
        </is>
      </c>
      <c r="V480" s="1" t="inlineStr">
        <is>
          <t>Soldering</t>
        </is>
      </c>
      <c r="W480" s="1" t="inlineStr">
        <is>
          <t>Repair</t>
        </is>
      </c>
      <c r="X480" s="5" t="n">
        <v>46176</v>
      </c>
      <c r="Y480" s="1">
        <f>IF(X480="","",X480-A480)</f>
        <v/>
      </c>
      <c r="Z480" s="5" t="n">
        <v>46176</v>
      </c>
      <c r="AA480" s="3" t="n"/>
      <c r="AB480" s="3" t="n"/>
      <c r="AE480" s="146">
        <f>IF(AND(F480="Closed",X480&gt;=DATE(2026,6,1),X480&lt;=DATE(2026,6,30)),"Closed in June","other")</f>
        <v/>
      </c>
    </row>
    <row r="481" hidden="1">
      <c r="A481" s="9" t="n">
        <v>46143</v>
      </c>
      <c r="B481" s="1" t="n">
        <v>2026</v>
      </c>
      <c r="C481" s="8" t="inlineStr">
        <is>
          <t>Yanara Power</t>
        </is>
      </c>
      <c r="D481" s="1" t="inlineStr">
        <is>
          <t>Utility and C&amp;I</t>
        </is>
      </c>
      <c r="E481" s="1" t="n"/>
      <c r="F481" s="1" t="inlineStr">
        <is>
          <t>Closed</t>
        </is>
      </c>
      <c r="G481" s="2" t="inlineStr">
        <is>
          <t xml:space="preserve">Ashish Jindal </t>
        </is>
      </c>
      <c r="H481" s="8" t="n">
        <v>9983975581</v>
      </c>
      <c r="I481" s="10" t="inlineStr">
        <is>
          <t>PE01052601</t>
        </is>
      </c>
      <c r="J481" s="8" t="inlineStr">
        <is>
          <t>Multiple Issues</t>
        </is>
      </c>
      <c r="K481" s="11" t="inlineStr">
        <is>
          <t>Holi</t>
        </is>
      </c>
      <c r="L481" s="11" t="inlineStr">
        <is>
          <t>Maharashtra</t>
        </is>
      </c>
      <c r="M481" s="2" t="inlineStr">
        <is>
          <t>NS</t>
        </is>
      </c>
      <c r="N481" s="1" t="inlineStr">
        <is>
          <t>Cold Soldering</t>
        </is>
      </c>
      <c r="O481" s="11" t="n">
        <v>575</v>
      </c>
      <c r="P481" s="2" t="inlineStr">
        <is>
          <t>NSMI24070195772</t>
        </is>
      </c>
      <c r="Q481" s="14">
        <f>MID(P481,5,2)</f>
        <v/>
      </c>
      <c r="R481" s="14">
        <f>MID(P481,7,2)</f>
        <v/>
      </c>
      <c r="S481" s="1" t="inlineStr">
        <is>
          <t>G2G</t>
        </is>
      </c>
      <c r="T481" s="1" t="inlineStr">
        <is>
          <t>P4 - PEIPL</t>
        </is>
      </c>
      <c r="U481" s="1" t="inlineStr">
        <is>
          <t>N JB Cold Soldering</t>
        </is>
      </c>
      <c r="V481" s="1" t="inlineStr">
        <is>
          <t>Soldering</t>
        </is>
      </c>
      <c r="W481" s="1" t="inlineStr">
        <is>
          <t>Repair</t>
        </is>
      </c>
      <c r="X481" s="5" t="n">
        <v>46176</v>
      </c>
      <c r="Y481" s="1">
        <f>IF(X481="","",X481-A481)</f>
        <v/>
      </c>
      <c r="Z481" s="5" t="n">
        <v>46176</v>
      </c>
      <c r="AA481" s="3" t="n"/>
      <c r="AB481" s="3" t="n"/>
      <c r="AE481" s="146">
        <f>IF(AND(F481="Closed",X481&gt;=DATE(2026,6,1),X481&lt;=DATE(2026,6,30)),"Closed in June","other")</f>
        <v/>
      </c>
    </row>
    <row r="482" hidden="1">
      <c r="A482" s="9" t="n">
        <v>46143</v>
      </c>
      <c r="B482" s="1" t="n">
        <v>2026</v>
      </c>
      <c r="C482" s="8" t="inlineStr">
        <is>
          <t>Yanara Power</t>
        </is>
      </c>
      <c r="D482" s="1" t="inlineStr">
        <is>
          <t>Utility and C&amp;I</t>
        </is>
      </c>
      <c r="E482" s="1" t="n"/>
      <c r="F482" s="1" t="inlineStr">
        <is>
          <t>Closed</t>
        </is>
      </c>
      <c r="G482" s="2" t="inlineStr">
        <is>
          <t xml:space="preserve">Ashish Jindal </t>
        </is>
      </c>
      <c r="H482" s="8" t="n">
        <v>9983975581</v>
      </c>
      <c r="I482" s="10" t="inlineStr">
        <is>
          <t>PE01052601</t>
        </is>
      </c>
      <c r="J482" s="8" t="inlineStr">
        <is>
          <t>Multiple Issues</t>
        </is>
      </c>
      <c r="K482" s="11" t="inlineStr">
        <is>
          <t>Holi</t>
        </is>
      </c>
      <c r="L482" s="11" t="inlineStr">
        <is>
          <t>Maharashtra</t>
        </is>
      </c>
      <c r="M482" s="2" t="inlineStr">
        <is>
          <t>NS</t>
        </is>
      </c>
      <c r="N482" s="1" t="inlineStr">
        <is>
          <t>Cold Soldering</t>
        </is>
      </c>
      <c r="O482" s="11" t="n">
        <v>575</v>
      </c>
      <c r="P482" s="2" t="inlineStr">
        <is>
          <t>NSMI24070195773</t>
        </is>
      </c>
      <c r="Q482" s="14">
        <f>MID(P482,5,2)</f>
        <v/>
      </c>
      <c r="R482" s="14">
        <f>MID(P482,7,2)</f>
        <v/>
      </c>
      <c r="S482" s="1" t="inlineStr">
        <is>
          <t>G2G</t>
        </is>
      </c>
      <c r="T482" s="1" t="inlineStr">
        <is>
          <t>P4 - PEIPL</t>
        </is>
      </c>
      <c r="U482" s="1" t="inlineStr">
        <is>
          <t>N JB Cold Soldering</t>
        </is>
      </c>
      <c r="V482" s="1" t="inlineStr">
        <is>
          <t>Soldering</t>
        </is>
      </c>
      <c r="W482" s="1" t="inlineStr">
        <is>
          <t>Repair</t>
        </is>
      </c>
      <c r="X482" s="5" t="n">
        <v>46176</v>
      </c>
      <c r="Y482" s="1">
        <f>IF(X482="","",X482-A482)</f>
        <v/>
      </c>
      <c r="Z482" s="5" t="n">
        <v>46176</v>
      </c>
      <c r="AA482" s="3" t="n"/>
      <c r="AB482" s="3" t="n"/>
      <c r="AE482" s="146">
        <f>IF(AND(F482="Closed",X482&gt;=DATE(2026,6,1),X482&lt;=DATE(2026,6,30)),"Closed in June","other")</f>
        <v/>
      </c>
    </row>
    <row r="483" hidden="1">
      <c r="A483" s="9" t="n">
        <v>46143</v>
      </c>
      <c r="B483" s="1" t="n">
        <v>2026</v>
      </c>
      <c r="C483" s="8" t="inlineStr">
        <is>
          <t>Yanara Power</t>
        </is>
      </c>
      <c r="D483" s="1" t="inlineStr">
        <is>
          <t>Utility and C&amp;I</t>
        </is>
      </c>
      <c r="E483" s="1" t="n"/>
      <c r="F483" s="1" t="inlineStr">
        <is>
          <t>Closed</t>
        </is>
      </c>
      <c r="G483" s="2" t="inlineStr">
        <is>
          <t xml:space="preserve">Ashish Jindal </t>
        </is>
      </c>
      <c r="H483" s="8" t="n">
        <v>9983975581</v>
      </c>
      <c r="I483" s="10" t="inlineStr">
        <is>
          <t>PE01052601</t>
        </is>
      </c>
      <c r="J483" s="8" t="inlineStr">
        <is>
          <t>Multiple Issues</t>
        </is>
      </c>
      <c r="K483" s="11" t="inlineStr">
        <is>
          <t>Holi</t>
        </is>
      </c>
      <c r="L483" s="11" t="inlineStr">
        <is>
          <t>Maharashtra</t>
        </is>
      </c>
      <c r="M483" s="2" t="inlineStr">
        <is>
          <t>PS</t>
        </is>
      </c>
      <c r="N483" s="1" t="inlineStr">
        <is>
          <t>Cold Soldering</t>
        </is>
      </c>
      <c r="O483" s="11" t="n">
        <v>575</v>
      </c>
      <c r="P483" s="2" t="inlineStr">
        <is>
          <t>NSMI24070184412</t>
        </is>
      </c>
      <c r="Q483" s="14">
        <f>MID(P483,5,2)</f>
        <v/>
      </c>
      <c r="R483" s="14">
        <f>MID(P483,7,2)</f>
        <v/>
      </c>
      <c r="S483" s="1" t="inlineStr">
        <is>
          <t>G2G</t>
        </is>
      </c>
      <c r="T483" s="1" t="inlineStr">
        <is>
          <t>P4 - PEIPL</t>
        </is>
      </c>
      <c r="U483" s="6" t="inlineStr">
        <is>
          <t>P JB Cold Soldering</t>
        </is>
      </c>
      <c r="V483" s="6" t="inlineStr">
        <is>
          <t>Soldering</t>
        </is>
      </c>
      <c r="W483" s="1" t="inlineStr">
        <is>
          <t>Repair</t>
        </is>
      </c>
      <c r="X483" s="5" t="n">
        <v>46176</v>
      </c>
      <c r="Y483" s="1">
        <f>IF(X483="","",X483-A483)</f>
        <v/>
      </c>
      <c r="Z483" s="5" t="n">
        <v>46176</v>
      </c>
      <c r="AA483" s="3" t="n"/>
      <c r="AB483" s="3" t="n"/>
      <c r="AE483" s="146">
        <f>IF(AND(F483="Closed",X483&gt;=DATE(2026,6,1),X483&lt;=DATE(2026,6,30)),"Closed in June","other")</f>
        <v/>
      </c>
    </row>
    <row r="484" hidden="1">
      <c r="A484" s="9" t="n">
        <v>46143</v>
      </c>
      <c r="B484" s="1" t="n">
        <v>2026</v>
      </c>
      <c r="C484" s="8" t="inlineStr">
        <is>
          <t>Yanara Power</t>
        </is>
      </c>
      <c r="D484" s="1" t="inlineStr">
        <is>
          <t>Utility and C&amp;I</t>
        </is>
      </c>
      <c r="E484" s="1" t="n"/>
      <c r="F484" s="1" t="inlineStr">
        <is>
          <t>Closed</t>
        </is>
      </c>
      <c r="G484" s="2" t="inlineStr">
        <is>
          <t xml:space="preserve">Ashish Jindal </t>
        </is>
      </c>
      <c r="H484" s="8" t="n">
        <v>9983975581</v>
      </c>
      <c r="I484" s="10" t="inlineStr">
        <is>
          <t>PE01052601</t>
        </is>
      </c>
      <c r="J484" s="8" t="inlineStr">
        <is>
          <t>Multiple Issues</t>
        </is>
      </c>
      <c r="K484" s="11" t="inlineStr">
        <is>
          <t>Holi</t>
        </is>
      </c>
      <c r="L484" s="11" t="inlineStr">
        <is>
          <t>Maharashtra</t>
        </is>
      </c>
      <c r="M484" s="2" t="inlineStr">
        <is>
          <t>PS</t>
        </is>
      </c>
      <c r="N484" s="1" t="inlineStr">
        <is>
          <t>Cold Soldering</t>
        </is>
      </c>
      <c r="O484" s="11" t="n">
        <v>575</v>
      </c>
      <c r="P484" s="2" t="inlineStr">
        <is>
          <t>NSMI24070190598</t>
        </is>
      </c>
      <c r="Q484" s="14">
        <f>MID(P484,5,2)</f>
        <v/>
      </c>
      <c r="R484" s="14">
        <f>MID(P484,7,2)</f>
        <v/>
      </c>
      <c r="S484" s="1" t="inlineStr">
        <is>
          <t>G2G</t>
        </is>
      </c>
      <c r="T484" s="1" t="inlineStr">
        <is>
          <t>P4 - PEIPL</t>
        </is>
      </c>
      <c r="U484" s="6" t="inlineStr">
        <is>
          <t>P JB Cold Soldering &amp; Back Side Glass Broken</t>
        </is>
      </c>
      <c r="V484" s="6" t="inlineStr">
        <is>
          <t>Soldering</t>
        </is>
      </c>
      <c r="W484" s="1" t="inlineStr">
        <is>
          <t>Repair</t>
        </is>
      </c>
      <c r="X484" s="5" t="n">
        <v>46176</v>
      </c>
      <c r="Y484" s="1">
        <f>IF(X484="","",X484-A484)</f>
        <v/>
      </c>
      <c r="Z484" s="5" t="n">
        <v>46176</v>
      </c>
      <c r="AA484" s="3" t="n"/>
      <c r="AB484" s="3" t="n"/>
      <c r="AE484" s="146">
        <f>IF(AND(F484="Closed",X484&gt;=DATE(2026,6,1),X484&lt;=DATE(2026,6,30)),"Closed in June","other")</f>
        <v/>
      </c>
    </row>
    <row r="485" hidden="1">
      <c r="A485" s="9" t="n">
        <v>46143</v>
      </c>
      <c r="B485" s="1" t="n">
        <v>2026</v>
      </c>
      <c r="C485" s="8" t="inlineStr">
        <is>
          <t>Yanara Power</t>
        </is>
      </c>
      <c r="D485" s="1" t="inlineStr">
        <is>
          <t>Utility and C&amp;I</t>
        </is>
      </c>
      <c r="E485" s="1" t="n"/>
      <c r="F485" s="1" t="inlineStr">
        <is>
          <t>Closed</t>
        </is>
      </c>
      <c r="G485" s="2" t="inlineStr">
        <is>
          <t xml:space="preserve">Ashish Jindal </t>
        </is>
      </c>
      <c r="H485" s="8" t="n">
        <v>9983975581</v>
      </c>
      <c r="I485" s="10" t="inlineStr">
        <is>
          <t>PE01052601</t>
        </is>
      </c>
      <c r="J485" s="8" t="inlineStr">
        <is>
          <t>Multiple Issues</t>
        </is>
      </c>
      <c r="K485" s="11" t="inlineStr">
        <is>
          <t>Holi</t>
        </is>
      </c>
      <c r="L485" s="11" t="inlineStr">
        <is>
          <t>Maharashtra</t>
        </is>
      </c>
      <c r="M485" s="2" t="inlineStr">
        <is>
          <t>PS</t>
        </is>
      </c>
      <c r="N485" s="1" t="inlineStr">
        <is>
          <t>Cold Soldering</t>
        </is>
      </c>
      <c r="O485" s="11" t="n">
        <v>575</v>
      </c>
      <c r="P485" s="2" t="inlineStr">
        <is>
          <t>NSMI24070186722</t>
        </is>
      </c>
      <c r="Q485" s="14">
        <f>MID(P485,5,2)</f>
        <v/>
      </c>
      <c r="R485" s="14">
        <f>MID(P485,7,2)</f>
        <v/>
      </c>
      <c r="S485" s="1" t="inlineStr">
        <is>
          <t>G2G</t>
        </is>
      </c>
      <c r="T485" s="1" t="inlineStr">
        <is>
          <t>P4 - PEIPL</t>
        </is>
      </c>
      <c r="U485" s="6" t="inlineStr">
        <is>
          <t>P JB Cold Soldering</t>
        </is>
      </c>
      <c r="V485" s="6" t="inlineStr">
        <is>
          <t>Soldering</t>
        </is>
      </c>
      <c r="W485" s="1" t="inlineStr">
        <is>
          <t>Repair</t>
        </is>
      </c>
      <c r="X485" s="5" t="n">
        <v>46176</v>
      </c>
      <c r="Y485" s="1">
        <f>IF(X485="","",X485-A485)</f>
        <v/>
      </c>
      <c r="Z485" s="5" t="n">
        <v>46176</v>
      </c>
      <c r="AA485" s="3" t="n"/>
      <c r="AB485" s="3" t="n"/>
      <c r="AE485" s="146">
        <f>IF(AND(F485="Closed",X485&gt;=DATE(2026,6,1),X485&lt;=DATE(2026,6,30)),"Closed in June","other")</f>
        <v/>
      </c>
    </row>
    <row r="486" hidden="1">
      <c r="A486" s="9" t="n">
        <v>46143</v>
      </c>
      <c r="B486" s="1" t="n">
        <v>2026</v>
      </c>
      <c r="C486" s="8" t="inlineStr">
        <is>
          <t>Yanara Power</t>
        </is>
      </c>
      <c r="D486" s="1" t="inlineStr">
        <is>
          <t>Utility and C&amp;I</t>
        </is>
      </c>
      <c r="E486" s="1" t="n"/>
      <c r="F486" s="1" t="inlineStr">
        <is>
          <t>Closed</t>
        </is>
      </c>
      <c r="G486" s="2" t="inlineStr">
        <is>
          <t xml:space="preserve">Ashish Jindal </t>
        </is>
      </c>
      <c r="H486" s="8" t="n">
        <v>9983975581</v>
      </c>
      <c r="I486" s="10" t="inlineStr">
        <is>
          <t>PE01052601</t>
        </is>
      </c>
      <c r="J486" s="8" t="inlineStr">
        <is>
          <t>Multiple Issues</t>
        </is>
      </c>
      <c r="K486" s="11" t="inlineStr">
        <is>
          <t>Holi</t>
        </is>
      </c>
      <c r="L486" s="11" t="inlineStr">
        <is>
          <t>Maharashtra</t>
        </is>
      </c>
      <c r="M486" s="2" t="inlineStr">
        <is>
          <t>PNS</t>
        </is>
      </c>
      <c r="N486" s="1" t="inlineStr">
        <is>
          <t>Cold Soldering</t>
        </is>
      </c>
      <c r="O486" s="11" t="n">
        <v>575</v>
      </c>
      <c r="P486" s="2" t="inlineStr">
        <is>
          <t>NSMI24070190449</t>
        </is>
      </c>
      <c r="Q486" s="14">
        <f>MID(P486,5,2)</f>
        <v/>
      </c>
      <c r="R486" s="14">
        <f>MID(P486,7,2)</f>
        <v/>
      </c>
      <c r="S486" s="1" t="inlineStr">
        <is>
          <t>G2G</t>
        </is>
      </c>
      <c r="T486" s="1" t="inlineStr">
        <is>
          <t>P4 - PEIPL</t>
        </is>
      </c>
      <c r="U486" s="1" t="inlineStr">
        <is>
          <t>P &amp; N JB Cold Soldering</t>
        </is>
      </c>
      <c r="V486" s="1" t="inlineStr">
        <is>
          <t>Soldering</t>
        </is>
      </c>
      <c r="W486" s="1" t="inlineStr">
        <is>
          <t>Repair</t>
        </is>
      </c>
      <c r="X486" s="5" t="n">
        <v>46176</v>
      </c>
      <c r="Y486" s="1">
        <f>IF(X486="","",X486-A486)</f>
        <v/>
      </c>
      <c r="Z486" s="5" t="n">
        <v>46176</v>
      </c>
      <c r="AA486" s="3" t="n"/>
      <c r="AB486" s="3" t="n"/>
      <c r="AE486" s="146">
        <f>IF(AND(F486="Closed",X486&gt;=DATE(2026,6,1),X486&lt;=DATE(2026,6,30)),"Closed in June","other")</f>
        <v/>
      </c>
    </row>
    <row r="487" hidden="1">
      <c r="A487" s="9" t="n">
        <v>46143</v>
      </c>
      <c r="B487" s="1" t="n">
        <v>2026</v>
      </c>
      <c r="C487" s="8" t="inlineStr">
        <is>
          <t>Yanara Power</t>
        </is>
      </c>
      <c r="D487" s="1" t="inlineStr">
        <is>
          <t>Utility and C&amp;I</t>
        </is>
      </c>
      <c r="E487" s="1" t="n"/>
      <c r="F487" s="1" t="inlineStr">
        <is>
          <t>Closed</t>
        </is>
      </c>
      <c r="G487" s="2" t="inlineStr">
        <is>
          <t xml:space="preserve">Ashish Jindal </t>
        </is>
      </c>
      <c r="H487" s="8" t="n">
        <v>9983975581</v>
      </c>
      <c r="I487" s="10" t="inlineStr">
        <is>
          <t>PE01052601</t>
        </is>
      </c>
      <c r="J487" s="8" t="inlineStr">
        <is>
          <t>Multiple Issues</t>
        </is>
      </c>
      <c r="K487" s="11" t="inlineStr">
        <is>
          <t>Holi</t>
        </is>
      </c>
      <c r="L487" s="11" t="inlineStr">
        <is>
          <t>Maharashtra</t>
        </is>
      </c>
      <c r="M487" s="2" t="inlineStr">
        <is>
          <t>PS</t>
        </is>
      </c>
      <c r="N487" s="1" t="inlineStr">
        <is>
          <t>Cold Soldering</t>
        </is>
      </c>
      <c r="O487" s="11" t="n">
        <v>575</v>
      </c>
      <c r="P487" s="2" t="inlineStr">
        <is>
          <t>NSMI24070190499</t>
        </is>
      </c>
      <c r="Q487" s="14">
        <f>MID(P487,5,2)</f>
        <v/>
      </c>
      <c r="R487" s="14">
        <f>MID(P487,7,2)</f>
        <v/>
      </c>
      <c r="S487" s="1" t="inlineStr">
        <is>
          <t>G2G</t>
        </is>
      </c>
      <c r="T487" s="1" t="inlineStr">
        <is>
          <t>P4 - PEIPL</t>
        </is>
      </c>
      <c r="U487" s="6" t="inlineStr">
        <is>
          <t>P JB Cold Soldering</t>
        </is>
      </c>
      <c r="V487" s="6" t="inlineStr">
        <is>
          <t>Soldering</t>
        </is>
      </c>
      <c r="W487" s="1" t="inlineStr">
        <is>
          <t>Repair</t>
        </is>
      </c>
      <c r="X487" s="5" t="n">
        <v>46176</v>
      </c>
      <c r="Y487" s="1">
        <f>IF(X487="","",X487-A487)</f>
        <v/>
      </c>
      <c r="Z487" s="5" t="n">
        <v>46176</v>
      </c>
      <c r="AA487" s="3" t="n"/>
      <c r="AB487" s="3" t="n"/>
      <c r="AE487" s="146">
        <f>IF(AND(F487="Closed",X487&gt;=DATE(2026,6,1),X487&lt;=DATE(2026,6,30)),"Closed in June","other")</f>
        <v/>
      </c>
    </row>
    <row r="488" hidden="1">
      <c r="A488" s="9" t="n">
        <v>46143</v>
      </c>
      <c r="B488" s="1" t="n">
        <v>2026</v>
      </c>
      <c r="C488" s="8" t="inlineStr">
        <is>
          <t>Yanara Power</t>
        </is>
      </c>
      <c r="D488" s="1" t="inlineStr">
        <is>
          <t>Utility and C&amp;I</t>
        </is>
      </c>
      <c r="E488" s="1" t="n"/>
      <c r="F488" s="1" t="inlineStr">
        <is>
          <t>Closed</t>
        </is>
      </c>
      <c r="G488" s="2" t="inlineStr">
        <is>
          <t xml:space="preserve">Ashish Jindal </t>
        </is>
      </c>
      <c r="H488" s="8" t="n">
        <v>9983975581</v>
      </c>
      <c r="I488" s="10" t="inlineStr">
        <is>
          <t>PE01052601</t>
        </is>
      </c>
      <c r="J488" s="8" t="inlineStr">
        <is>
          <t>Multiple Issues</t>
        </is>
      </c>
      <c r="K488" s="11" t="inlineStr">
        <is>
          <t>Holi</t>
        </is>
      </c>
      <c r="L488" s="11" t="inlineStr">
        <is>
          <t>Maharashtra</t>
        </is>
      </c>
      <c r="M488" s="2" t="inlineStr">
        <is>
          <t>PS</t>
        </is>
      </c>
      <c r="N488" s="1" t="inlineStr">
        <is>
          <t>Cold Soldering</t>
        </is>
      </c>
      <c r="O488" s="11" t="n">
        <v>575</v>
      </c>
      <c r="P488" s="2" t="inlineStr">
        <is>
          <t>NSMI24070190331</t>
        </is>
      </c>
      <c r="Q488" s="14">
        <f>MID(P488,5,2)</f>
        <v/>
      </c>
      <c r="R488" s="14">
        <f>MID(P488,7,2)</f>
        <v/>
      </c>
      <c r="S488" s="1" t="inlineStr">
        <is>
          <t>G2G</t>
        </is>
      </c>
      <c r="T488" s="1" t="inlineStr">
        <is>
          <t>P4 - PEIPL</t>
        </is>
      </c>
      <c r="U488" s="6" t="inlineStr">
        <is>
          <t>P JB Cold Soldering</t>
        </is>
      </c>
      <c r="V488" s="6" t="inlineStr">
        <is>
          <t>Soldering</t>
        </is>
      </c>
      <c r="W488" s="1" t="inlineStr">
        <is>
          <t>Repair</t>
        </is>
      </c>
      <c r="X488" s="5" t="n">
        <v>46176</v>
      </c>
      <c r="Y488" s="1">
        <f>IF(X488="","",X488-A488)</f>
        <v/>
      </c>
      <c r="Z488" s="5" t="n">
        <v>46176</v>
      </c>
      <c r="AA488" s="3" t="n"/>
      <c r="AB488" s="3" t="n"/>
      <c r="AE488" s="146">
        <f>IF(AND(F488="Closed",X488&gt;=DATE(2026,6,1),X488&lt;=DATE(2026,6,30)),"Closed in June","other")</f>
        <v/>
      </c>
    </row>
    <row r="489" hidden="1">
      <c r="A489" s="9" t="n">
        <v>46143</v>
      </c>
      <c r="B489" s="1" t="n">
        <v>2026</v>
      </c>
      <c r="C489" s="8" t="inlineStr">
        <is>
          <t>Yanara Power</t>
        </is>
      </c>
      <c r="D489" s="1" t="inlineStr">
        <is>
          <t>Utility and C&amp;I</t>
        </is>
      </c>
      <c r="E489" s="1" t="n"/>
      <c r="F489" s="1" t="inlineStr">
        <is>
          <t>Closed</t>
        </is>
      </c>
      <c r="G489" s="2" t="inlineStr">
        <is>
          <t xml:space="preserve">Ashish Jindal </t>
        </is>
      </c>
      <c r="H489" s="8" t="n">
        <v>9983975581</v>
      </c>
      <c r="I489" s="10" t="inlineStr">
        <is>
          <t>PE01052601</t>
        </is>
      </c>
      <c r="J489" s="8" t="inlineStr">
        <is>
          <t>Multiple Issues</t>
        </is>
      </c>
      <c r="K489" s="11" t="inlineStr">
        <is>
          <t>Holi</t>
        </is>
      </c>
      <c r="L489" s="11" t="inlineStr">
        <is>
          <t>Maharashtra</t>
        </is>
      </c>
      <c r="M489" s="2" t="inlineStr">
        <is>
          <t>PS</t>
        </is>
      </c>
      <c r="N489" s="1" t="inlineStr">
        <is>
          <t>Cold Soldering</t>
        </is>
      </c>
      <c r="O489" s="11" t="n">
        <v>575</v>
      </c>
      <c r="P489" s="2" t="inlineStr">
        <is>
          <t>NSMI24070199795</t>
        </is>
      </c>
      <c r="Q489" s="14">
        <f>MID(P489,5,2)</f>
        <v/>
      </c>
      <c r="R489" s="14">
        <f>MID(P489,7,2)</f>
        <v/>
      </c>
      <c r="S489" s="1" t="inlineStr">
        <is>
          <t>G2G</t>
        </is>
      </c>
      <c r="T489" s="1" t="inlineStr">
        <is>
          <t>P4 - PEIPL</t>
        </is>
      </c>
      <c r="U489" s="6" t="inlineStr">
        <is>
          <t>P JB Cold Soldering</t>
        </is>
      </c>
      <c r="V489" s="6" t="inlineStr">
        <is>
          <t>Soldering</t>
        </is>
      </c>
      <c r="W489" s="1" t="inlineStr">
        <is>
          <t>Repair</t>
        </is>
      </c>
      <c r="X489" s="5" t="n">
        <v>46176</v>
      </c>
      <c r="Y489" s="1">
        <f>IF(X489="","",X489-A489)</f>
        <v/>
      </c>
      <c r="Z489" s="5" t="n">
        <v>46176</v>
      </c>
      <c r="AA489" s="3" t="n"/>
      <c r="AB489" s="3" t="n"/>
      <c r="AE489" s="146">
        <f>IF(AND(F489="Closed",X489&gt;=DATE(2026,6,1),X489&lt;=DATE(2026,6,30)),"Closed in June","other")</f>
        <v/>
      </c>
    </row>
    <row r="490" hidden="1">
      <c r="A490" s="9" t="n">
        <v>46143</v>
      </c>
      <c r="B490" s="1" t="n">
        <v>2026</v>
      </c>
      <c r="C490" s="8" t="inlineStr">
        <is>
          <t>Yanara Power</t>
        </is>
      </c>
      <c r="D490" s="1" t="inlineStr">
        <is>
          <t>Utility and C&amp;I</t>
        </is>
      </c>
      <c r="E490" s="1" t="n"/>
      <c r="F490" s="1" t="inlineStr">
        <is>
          <t>Closed</t>
        </is>
      </c>
      <c r="G490" s="2" t="inlineStr">
        <is>
          <t xml:space="preserve">Ashish Jindal </t>
        </is>
      </c>
      <c r="H490" s="8" t="n">
        <v>9983975581</v>
      </c>
      <c r="I490" s="10" t="inlineStr">
        <is>
          <t>PE01052601</t>
        </is>
      </c>
      <c r="J490" s="8" t="inlineStr">
        <is>
          <t>Multiple Issues</t>
        </is>
      </c>
      <c r="K490" s="11" t="inlineStr">
        <is>
          <t>Holi</t>
        </is>
      </c>
      <c r="L490" s="11" t="inlineStr">
        <is>
          <t>Maharashtra</t>
        </is>
      </c>
      <c r="M490" s="2" t="inlineStr">
        <is>
          <t>PS</t>
        </is>
      </c>
      <c r="N490" s="1" t="inlineStr">
        <is>
          <t>Cold Soldering</t>
        </is>
      </c>
      <c r="O490" s="11" t="n">
        <v>575</v>
      </c>
      <c r="P490" s="2" t="inlineStr">
        <is>
          <t>NSMI24070200449</t>
        </is>
      </c>
      <c r="Q490" s="14">
        <f>MID(P490,5,2)</f>
        <v/>
      </c>
      <c r="R490" s="14">
        <f>MID(P490,7,2)</f>
        <v/>
      </c>
      <c r="S490" s="1" t="inlineStr">
        <is>
          <t>G2G</t>
        </is>
      </c>
      <c r="T490" s="1" t="inlineStr">
        <is>
          <t>P4 - PEIPL</t>
        </is>
      </c>
      <c r="U490" s="6" t="inlineStr">
        <is>
          <t>P JB Cold Soldering</t>
        </is>
      </c>
      <c r="V490" s="6" t="inlineStr">
        <is>
          <t>Soldering</t>
        </is>
      </c>
      <c r="W490" s="1" t="inlineStr">
        <is>
          <t>Repair</t>
        </is>
      </c>
      <c r="X490" s="5" t="n">
        <v>46176</v>
      </c>
      <c r="Y490" s="1">
        <f>IF(X490="","",X490-A490)</f>
        <v/>
      </c>
      <c r="Z490" s="5" t="n">
        <v>46176</v>
      </c>
      <c r="AA490" s="3" t="n"/>
      <c r="AB490" s="3" t="n"/>
      <c r="AE490" s="146">
        <f>IF(AND(F490="Closed",X490&gt;=DATE(2026,6,1),X490&lt;=DATE(2026,6,30)),"Closed in June","other")</f>
        <v/>
      </c>
    </row>
    <row r="491" hidden="1">
      <c r="A491" s="9" t="n">
        <v>46143</v>
      </c>
      <c r="B491" s="1" t="n">
        <v>2026</v>
      </c>
      <c r="C491" s="8" t="inlineStr">
        <is>
          <t>Yanara Power</t>
        </is>
      </c>
      <c r="D491" s="1" t="inlineStr">
        <is>
          <t>Utility and C&amp;I</t>
        </is>
      </c>
      <c r="E491" s="1" t="n"/>
      <c r="F491" s="1" t="inlineStr">
        <is>
          <t>Closed</t>
        </is>
      </c>
      <c r="G491" s="2" t="inlineStr">
        <is>
          <t xml:space="preserve">Ashish Jindal </t>
        </is>
      </c>
      <c r="H491" s="8" t="n">
        <v>9983975581</v>
      </c>
      <c r="I491" s="10" t="inlineStr">
        <is>
          <t>PE01052601</t>
        </is>
      </c>
      <c r="J491" s="8" t="inlineStr">
        <is>
          <t>Multiple Issues</t>
        </is>
      </c>
      <c r="K491" s="11" t="inlineStr">
        <is>
          <t>Holi</t>
        </is>
      </c>
      <c r="L491" s="11" t="inlineStr">
        <is>
          <t>Maharashtra</t>
        </is>
      </c>
      <c r="M491" s="2" t="inlineStr">
        <is>
          <t>PS</t>
        </is>
      </c>
      <c r="N491" s="1" t="inlineStr">
        <is>
          <t>Cold Soldering</t>
        </is>
      </c>
      <c r="O491" s="11" t="n">
        <v>575</v>
      </c>
      <c r="P491" s="2" t="inlineStr">
        <is>
          <t>NSMI24070200672</t>
        </is>
      </c>
      <c r="Q491" s="14">
        <f>MID(P491,5,2)</f>
        <v/>
      </c>
      <c r="R491" s="14">
        <f>MID(P491,7,2)</f>
        <v/>
      </c>
      <c r="S491" s="1" t="inlineStr">
        <is>
          <t>G2G</t>
        </is>
      </c>
      <c r="T491" s="1" t="inlineStr">
        <is>
          <t>P4 - PEIPL</t>
        </is>
      </c>
      <c r="U491" s="6" t="inlineStr">
        <is>
          <t>P JB Cold Soldering</t>
        </is>
      </c>
      <c r="V491" s="6" t="inlineStr">
        <is>
          <t>Soldering</t>
        </is>
      </c>
      <c r="W491" s="1" t="inlineStr">
        <is>
          <t>Repair</t>
        </is>
      </c>
      <c r="X491" s="5" t="n">
        <v>46176</v>
      </c>
      <c r="Y491" s="1">
        <f>IF(X491="","",X491-A491)</f>
        <v/>
      </c>
      <c r="Z491" s="5" t="n">
        <v>46176</v>
      </c>
      <c r="AA491" s="3" t="n"/>
      <c r="AB491" s="3" t="n"/>
      <c r="AE491" s="146">
        <f>IF(AND(F491="Closed",X491&gt;=DATE(2026,6,1),X491&lt;=DATE(2026,6,30)),"Closed in June","other")</f>
        <v/>
      </c>
    </row>
    <row r="492" hidden="1">
      <c r="A492" s="9" t="n">
        <v>46143</v>
      </c>
      <c r="B492" s="1" t="n">
        <v>2026</v>
      </c>
      <c r="C492" s="8" t="inlineStr">
        <is>
          <t>Yanara Power</t>
        </is>
      </c>
      <c r="D492" s="1" t="inlineStr">
        <is>
          <t>Utility and C&amp;I</t>
        </is>
      </c>
      <c r="E492" s="1" t="n"/>
      <c r="F492" s="1" t="inlineStr">
        <is>
          <t>Closed</t>
        </is>
      </c>
      <c r="G492" s="2" t="inlineStr">
        <is>
          <t xml:space="preserve">Ashish Jindal </t>
        </is>
      </c>
      <c r="H492" s="8" t="n">
        <v>9983975581</v>
      </c>
      <c r="I492" s="10" t="inlineStr">
        <is>
          <t>PE01052601</t>
        </is>
      </c>
      <c r="J492" s="8" t="inlineStr">
        <is>
          <t>Multiple Issues</t>
        </is>
      </c>
      <c r="K492" s="11" t="inlineStr">
        <is>
          <t>Holi</t>
        </is>
      </c>
      <c r="L492" s="11" t="inlineStr">
        <is>
          <t>Maharashtra</t>
        </is>
      </c>
      <c r="M492" s="2" t="inlineStr">
        <is>
          <t>PR</t>
        </is>
      </c>
      <c r="N492" s="1" t="inlineStr">
        <is>
          <t>JB Issue</t>
        </is>
      </c>
      <c r="O492" s="11" t="n">
        <v>575</v>
      </c>
      <c r="P492" s="2" t="inlineStr">
        <is>
          <t>NSMI24070200384</t>
        </is>
      </c>
      <c r="Q492" s="14">
        <f>MID(P492,5,2)</f>
        <v/>
      </c>
      <c r="R492" s="14">
        <f>MID(P492,7,2)</f>
        <v/>
      </c>
      <c r="S492" s="1" t="inlineStr">
        <is>
          <t>G2G</t>
        </is>
      </c>
      <c r="T492" s="1" t="inlineStr">
        <is>
          <t>P4 - PEIPL</t>
        </is>
      </c>
      <c r="U492" s="1" t="inlineStr">
        <is>
          <t>P JB Issue</t>
        </is>
      </c>
      <c r="V492" s="1" t="inlineStr">
        <is>
          <t>JB Changed</t>
        </is>
      </c>
      <c r="W492" s="1" t="inlineStr">
        <is>
          <t>Repair</t>
        </is>
      </c>
      <c r="X492" s="5" t="n">
        <v>46176</v>
      </c>
      <c r="Y492" s="1">
        <f>IF(X492="","",X492-A492)</f>
        <v/>
      </c>
      <c r="Z492" s="5" t="n">
        <v>46176</v>
      </c>
      <c r="AA492" s="3" t="n"/>
      <c r="AB492" s="3" t="n"/>
      <c r="AE492" s="146">
        <f>IF(AND(F492="Closed",X492&gt;=DATE(2026,6,1),X492&lt;=DATE(2026,6,30)),"Closed in June","other")</f>
        <v/>
      </c>
    </row>
    <row r="493" hidden="1">
      <c r="A493" s="9" t="n">
        <v>46143</v>
      </c>
      <c r="B493" s="1" t="n">
        <v>2026</v>
      </c>
      <c r="C493" s="8" t="inlineStr">
        <is>
          <t>Yanara Power</t>
        </is>
      </c>
      <c r="D493" s="1" t="inlineStr">
        <is>
          <t>Utility and C&amp;I</t>
        </is>
      </c>
      <c r="E493" s="1" t="n"/>
      <c r="F493" s="1" t="inlineStr">
        <is>
          <t>Closed</t>
        </is>
      </c>
      <c r="G493" s="2" t="inlineStr">
        <is>
          <t xml:space="preserve">Ashish Jindal </t>
        </is>
      </c>
      <c r="H493" s="8" t="n">
        <v>9983975581</v>
      </c>
      <c r="I493" s="10" t="inlineStr">
        <is>
          <t>PE01052601</t>
        </is>
      </c>
      <c r="J493" s="8" t="inlineStr">
        <is>
          <t>Multiple Issues</t>
        </is>
      </c>
      <c r="K493" s="11" t="inlineStr">
        <is>
          <t>Holi</t>
        </is>
      </c>
      <c r="L493" s="11" t="inlineStr">
        <is>
          <t>Maharashtra</t>
        </is>
      </c>
      <c r="M493" s="2" t="inlineStr">
        <is>
          <t>PS</t>
        </is>
      </c>
      <c r="N493" s="1" t="inlineStr">
        <is>
          <t>Cold Soldering</t>
        </is>
      </c>
      <c r="O493" s="11" t="n">
        <v>575</v>
      </c>
      <c r="P493" s="2" t="inlineStr">
        <is>
          <t>NSMI24070201723</t>
        </is>
      </c>
      <c r="Q493" s="14">
        <f>MID(P493,5,2)</f>
        <v/>
      </c>
      <c r="R493" s="14">
        <f>MID(P493,7,2)</f>
        <v/>
      </c>
      <c r="S493" s="1" t="inlineStr">
        <is>
          <t>G2G</t>
        </is>
      </c>
      <c r="T493" s="1" t="inlineStr">
        <is>
          <t>P4 - PEIPL</t>
        </is>
      </c>
      <c r="U493" s="6" t="inlineStr">
        <is>
          <t>P JB Cold Soldering</t>
        </is>
      </c>
      <c r="V493" s="6" t="inlineStr">
        <is>
          <t>Soldering</t>
        </is>
      </c>
      <c r="W493" s="1" t="inlineStr">
        <is>
          <t>Repair</t>
        </is>
      </c>
      <c r="X493" s="5" t="n">
        <v>46176</v>
      </c>
      <c r="Y493" s="1">
        <f>IF(X493="","",X493-A493)</f>
        <v/>
      </c>
      <c r="Z493" s="5" t="n">
        <v>46176</v>
      </c>
      <c r="AA493" s="3" t="n"/>
      <c r="AB493" s="3" t="n"/>
      <c r="AE493" s="146">
        <f>IF(AND(F493="Closed",X493&gt;=DATE(2026,6,1),X493&lt;=DATE(2026,6,30)),"Closed in June","other")</f>
        <v/>
      </c>
    </row>
    <row r="494" hidden="1">
      <c r="A494" s="9" t="n">
        <v>46143</v>
      </c>
      <c r="B494" s="1" t="n">
        <v>2026</v>
      </c>
      <c r="C494" s="8" t="inlineStr">
        <is>
          <t>Yanara Power</t>
        </is>
      </c>
      <c r="D494" s="1" t="inlineStr">
        <is>
          <t>Utility and C&amp;I</t>
        </is>
      </c>
      <c r="E494" s="1" t="n"/>
      <c r="F494" s="1" t="inlineStr">
        <is>
          <t>Closed</t>
        </is>
      </c>
      <c r="G494" s="2" t="inlineStr">
        <is>
          <t xml:space="preserve">Ashish Jindal </t>
        </is>
      </c>
      <c r="H494" s="8" t="n">
        <v>9983975581</v>
      </c>
      <c r="I494" s="10" t="inlineStr">
        <is>
          <t>PE01052601</t>
        </is>
      </c>
      <c r="J494" s="8" t="inlineStr">
        <is>
          <t>Multiple Issues</t>
        </is>
      </c>
      <c r="K494" s="11" t="inlineStr">
        <is>
          <t>Holi</t>
        </is>
      </c>
      <c r="L494" s="11" t="inlineStr">
        <is>
          <t>Maharashtra</t>
        </is>
      </c>
      <c r="M494" s="2" t="inlineStr">
        <is>
          <t>PS</t>
        </is>
      </c>
      <c r="N494" s="1" t="inlineStr">
        <is>
          <t>Cold Soldering</t>
        </is>
      </c>
      <c r="O494" s="11" t="n">
        <v>575</v>
      </c>
      <c r="P494" s="2" t="inlineStr">
        <is>
          <t>NSMI24070186652</t>
        </is>
      </c>
      <c r="Q494" s="14">
        <f>MID(P494,5,2)</f>
        <v/>
      </c>
      <c r="R494" s="14">
        <f>MID(P494,7,2)</f>
        <v/>
      </c>
      <c r="S494" s="1" t="inlineStr">
        <is>
          <t>G2G</t>
        </is>
      </c>
      <c r="T494" s="1" t="inlineStr">
        <is>
          <t>P4 - PEIPL</t>
        </is>
      </c>
      <c r="U494" s="6" t="inlineStr">
        <is>
          <t>P JB Cold Soldering</t>
        </is>
      </c>
      <c r="V494" s="6" t="inlineStr">
        <is>
          <t>Soldering</t>
        </is>
      </c>
      <c r="W494" s="1" t="inlineStr">
        <is>
          <t>Repair</t>
        </is>
      </c>
      <c r="X494" s="5" t="n">
        <v>46176</v>
      </c>
      <c r="Y494" s="1">
        <f>IF(X494="","",X494-A494)</f>
        <v/>
      </c>
      <c r="Z494" s="5" t="n">
        <v>46176</v>
      </c>
      <c r="AA494" s="3" t="n"/>
      <c r="AB494" s="3" t="n"/>
      <c r="AE494" s="146">
        <f>IF(AND(F494="Closed",X494&gt;=DATE(2026,6,1),X494&lt;=DATE(2026,6,30)),"Closed in June","other")</f>
        <v/>
      </c>
    </row>
    <row r="495" hidden="1">
      <c r="A495" s="9" t="n">
        <v>46143</v>
      </c>
      <c r="B495" s="1" t="n">
        <v>2026</v>
      </c>
      <c r="C495" s="8" t="inlineStr">
        <is>
          <t>Yanara Power</t>
        </is>
      </c>
      <c r="D495" s="1" t="inlineStr">
        <is>
          <t>Utility and C&amp;I</t>
        </is>
      </c>
      <c r="E495" s="1" t="n"/>
      <c r="F495" s="1" t="inlineStr">
        <is>
          <t>Closed</t>
        </is>
      </c>
      <c r="G495" s="2" t="inlineStr">
        <is>
          <t xml:space="preserve">Ashish Jindal </t>
        </is>
      </c>
      <c r="H495" s="8" t="n">
        <v>9983975581</v>
      </c>
      <c r="I495" s="10" t="inlineStr">
        <is>
          <t>PE01052601</t>
        </is>
      </c>
      <c r="J495" s="8" t="inlineStr">
        <is>
          <t>Multiple Issues</t>
        </is>
      </c>
      <c r="K495" s="11" t="inlineStr">
        <is>
          <t>Holi</t>
        </is>
      </c>
      <c r="L495" s="11" t="inlineStr">
        <is>
          <t>Maharashtra</t>
        </is>
      </c>
      <c r="M495" s="2" t="inlineStr">
        <is>
          <t>NS</t>
        </is>
      </c>
      <c r="N495" s="1" t="inlineStr">
        <is>
          <t>Cold Soldering</t>
        </is>
      </c>
      <c r="O495" s="11" t="n">
        <v>575</v>
      </c>
      <c r="P495" s="2" t="inlineStr">
        <is>
          <t>NSMI24070195603</t>
        </is>
      </c>
      <c r="Q495" s="14">
        <f>MID(P495,5,2)</f>
        <v/>
      </c>
      <c r="R495" s="14">
        <f>MID(P495,7,2)</f>
        <v/>
      </c>
      <c r="S495" s="1" t="inlineStr">
        <is>
          <t>G2G</t>
        </is>
      </c>
      <c r="T495" s="1" t="inlineStr">
        <is>
          <t>P4 - PEIPL</t>
        </is>
      </c>
      <c r="U495" s="1" t="inlineStr">
        <is>
          <t>N JB Cold Soldering</t>
        </is>
      </c>
      <c r="V495" s="1" t="inlineStr">
        <is>
          <t>Soldering</t>
        </is>
      </c>
      <c r="W495" s="1" t="inlineStr">
        <is>
          <t>Repair</t>
        </is>
      </c>
      <c r="X495" s="5" t="n">
        <v>46176</v>
      </c>
      <c r="Y495" s="1">
        <f>IF(X495="","",X495-A495)</f>
        <v/>
      </c>
      <c r="Z495" s="5" t="n">
        <v>46176</v>
      </c>
      <c r="AA495" s="3" t="n"/>
      <c r="AB495" s="3" t="n"/>
      <c r="AE495" s="146">
        <f>IF(AND(F495="Closed",X495&gt;=DATE(2026,6,1),X495&lt;=DATE(2026,6,30)),"Closed in June","other")</f>
        <v/>
      </c>
    </row>
    <row r="496" hidden="1">
      <c r="A496" s="9" t="n">
        <v>46143</v>
      </c>
      <c r="B496" s="1" t="n">
        <v>2026</v>
      </c>
      <c r="C496" s="8" t="inlineStr">
        <is>
          <t>Yanara Power</t>
        </is>
      </c>
      <c r="D496" s="1" t="inlineStr">
        <is>
          <t>Utility and C&amp;I</t>
        </is>
      </c>
      <c r="E496" s="1" t="n"/>
      <c r="F496" s="1" t="inlineStr">
        <is>
          <t>Closed</t>
        </is>
      </c>
      <c r="G496" s="2" t="inlineStr">
        <is>
          <t xml:space="preserve">Ashish Jindal </t>
        </is>
      </c>
      <c r="H496" s="8" t="n">
        <v>9983975581</v>
      </c>
      <c r="I496" s="10" t="inlineStr">
        <is>
          <t>PE01052601</t>
        </is>
      </c>
      <c r="J496" s="8" t="inlineStr">
        <is>
          <t>Multiple Issues</t>
        </is>
      </c>
      <c r="K496" s="11" t="inlineStr">
        <is>
          <t>Holi</t>
        </is>
      </c>
      <c r="L496" s="11" t="inlineStr">
        <is>
          <t>Maharashtra</t>
        </is>
      </c>
      <c r="M496" s="2" t="inlineStr">
        <is>
          <t>PS</t>
        </is>
      </c>
      <c r="N496" s="1" t="inlineStr">
        <is>
          <t>Cold Soldering</t>
        </is>
      </c>
      <c r="O496" s="11" t="n">
        <v>575</v>
      </c>
      <c r="P496" s="2" t="inlineStr">
        <is>
          <t>NSMI24070184639</t>
        </is>
      </c>
      <c r="Q496" s="14">
        <f>MID(P496,5,2)</f>
        <v/>
      </c>
      <c r="R496" s="14">
        <f>MID(P496,7,2)</f>
        <v/>
      </c>
      <c r="S496" s="1" t="inlineStr">
        <is>
          <t>G2G</t>
        </is>
      </c>
      <c r="T496" s="1" t="inlineStr">
        <is>
          <t>P4 - PEIPL</t>
        </is>
      </c>
      <c r="U496" s="6" t="inlineStr">
        <is>
          <t>P JB Cold Soldering</t>
        </is>
      </c>
      <c r="V496" s="6" t="inlineStr">
        <is>
          <t>Soldering</t>
        </is>
      </c>
      <c r="W496" s="1" t="inlineStr">
        <is>
          <t>Repair</t>
        </is>
      </c>
      <c r="X496" s="5" t="n">
        <v>46176</v>
      </c>
      <c r="Y496" s="1">
        <f>IF(X496="","",X496-A496)</f>
        <v/>
      </c>
      <c r="Z496" s="5" t="n">
        <v>46176</v>
      </c>
      <c r="AA496" s="3" t="n"/>
      <c r="AB496" s="3" t="n"/>
      <c r="AE496" s="146">
        <f>IF(AND(F496="Closed",X496&gt;=DATE(2026,6,1),X496&lt;=DATE(2026,6,30)),"Closed in June","other")</f>
        <v/>
      </c>
    </row>
    <row r="497" hidden="1">
      <c r="A497" s="9" t="n">
        <v>46170</v>
      </c>
      <c r="B497" s="1" t="n">
        <v>2026</v>
      </c>
      <c r="C497" s="8" t="inlineStr">
        <is>
          <t>Solar Square</t>
        </is>
      </c>
      <c r="D497" s="8" t="inlineStr">
        <is>
          <t>OEM</t>
        </is>
      </c>
      <c r="E497" s="1" t="n"/>
      <c r="F497" s="1" t="inlineStr">
        <is>
          <t>Closed</t>
        </is>
      </c>
      <c r="G497" s="11" t="inlineStr">
        <is>
          <t>Murali</t>
        </is>
      </c>
      <c r="H497" s="11" t="n">
        <v>9703345015</v>
      </c>
      <c r="I497" s="10" t="inlineStr">
        <is>
          <t>PE28052601</t>
        </is>
      </c>
      <c r="J497" s="8" t="inlineStr">
        <is>
          <t>Low VOC</t>
        </is>
      </c>
      <c r="K497" s="8" t="inlineStr">
        <is>
          <t>Pune</t>
        </is>
      </c>
      <c r="L497" s="11" t="inlineStr">
        <is>
          <t>Maharashtra</t>
        </is>
      </c>
      <c r="M497" s="2" t="inlineStr">
        <is>
          <t>NR</t>
        </is>
      </c>
      <c r="N497" s="8" t="inlineStr">
        <is>
          <t>JB Issue</t>
        </is>
      </c>
      <c r="O497" s="11" t="n">
        <v>540</v>
      </c>
      <c r="P497" s="2" t="inlineStr">
        <is>
          <t>NSMP25012460730</t>
        </is>
      </c>
      <c r="Q497" s="14">
        <f>MID(P497,5,2)</f>
        <v/>
      </c>
      <c r="R497" s="14">
        <f>MID(P497,7,2)</f>
        <v/>
      </c>
      <c r="S497" s="1" t="inlineStr">
        <is>
          <t>G2TB</t>
        </is>
      </c>
      <c r="T497" s="1" t="inlineStr">
        <is>
          <t>P2 - PEPPL</t>
        </is>
      </c>
      <c r="U497" s="6" t="inlineStr">
        <is>
          <t>N JB Issue</t>
        </is>
      </c>
      <c r="V497" s="1" t="inlineStr">
        <is>
          <t>JB Changed</t>
        </is>
      </c>
      <c r="W497" s="1" t="inlineStr">
        <is>
          <t>Repair</t>
        </is>
      </c>
      <c r="X497" s="5" t="n">
        <v>46177</v>
      </c>
      <c r="Y497" s="1">
        <f>IF(X497="","",X497-A497)</f>
        <v/>
      </c>
      <c r="Z497" s="5" t="n">
        <v>46177</v>
      </c>
      <c r="AA497" s="3" t="n"/>
      <c r="AB497" s="3" t="n"/>
      <c r="AE497" s="146">
        <f>IF(AND(F497="Closed",X497&gt;=DATE(2026,6,1),X497&lt;=DATE(2026,6,30)),"Closed in June","other")</f>
        <v/>
      </c>
    </row>
    <row r="498">
      <c r="A498" s="9" t="n">
        <v>46170</v>
      </c>
      <c r="B498" s="1" t="n">
        <v>2026</v>
      </c>
      <c r="C498" s="8" t="inlineStr">
        <is>
          <t>Solar Square</t>
        </is>
      </c>
      <c r="D498" s="8" t="inlineStr">
        <is>
          <t>OEM</t>
        </is>
      </c>
      <c r="E498" s="1" t="n"/>
      <c r="F498" s="1" t="inlineStr">
        <is>
          <t>Closed</t>
        </is>
      </c>
      <c r="G498" s="11" t="inlineStr">
        <is>
          <t>Murali</t>
        </is>
      </c>
      <c r="H498" s="11" t="n">
        <v>9703345015</v>
      </c>
      <c r="I498" s="10" t="inlineStr">
        <is>
          <t>PE28052601</t>
        </is>
      </c>
      <c r="J498" s="8" t="inlineStr">
        <is>
          <t>Low VOC</t>
        </is>
      </c>
      <c r="K498" s="8" t="inlineStr">
        <is>
          <t>Pune</t>
        </is>
      </c>
      <c r="L498" s="11" t="inlineStr">
        <is>
          <t>Maharashtra</t>
        </is>
      </c>
      <c r="M498" s="2" t="inlineStr">
        <is>
          <t xml:space="preserve">Non repairable </t>
        </is>
      </c>
      <c r="N498" s="8" t="inlineStr">
        <is>
          <t>Module Burn</t>
        </is>
      </c>
      <c r="O498" s="11" t="n">
        <v>540</v>
      </c>
      <c r="P498" s="2" t="inlineStr">
        <is>
          <t>NSMP25012460384</t>
        </is>
      </c>
      <c r="Q498" s="14">
        <f>MID(P498,5,2)</f>
        <v/>
      </c>
      <c r="R498" s="14">
        <f>MID(P498,7,2)</f>
        <v/>
      </c>
      <c r="S498" s="1" t="inlineStr">
        <is>
          <t>G2TB</t>
        </is>
      </c>
      <c r="T498" s="1" t="inlineStr">
        <is>
          <t>P2 - PEPPL</t>
        </is>
      </c>
      <c r="U498" s="8" t="inlineStr">
        <is>
          <t>Module Burn</t>
        </is>
      </c>
      <c r="V498" s="6" t="inlineStr">
        <is>
          <t>Process for CN</t>
        </is>
      </c>
      <c r="W498" s="1" t="inlineStr">
        <is>
          <t>Credit Note Issued</t>
        </is>
      </c>
      <c r="X498" s="5" t="n">
        <v>46179</v>
      </c>
      <c r="Y498" s="1">
        <f>IF(X498="","",X498-A498)</f>
        <v/>
      </c>
      <c r="Z498" s="5" t="n">
        <v>46177</v>
      </c>
      <c r="AA498" s="3" t="n"/>
      <c r="AB498" s="3" t="n"/>
      <c r="AE498" s="146">
        <f>IF(AND(F498="Closed",X498&gt;=DATE(2026,6,1),X498&lt;=DATE(2026,6,30)),"Closed in June","other")</f>
        <v/>
      </c>
    </row>
    <row r="499" hidden="1">
      <c r="A499" s="9" t="n">
        <v>46148</v>
      </c>
      <c r="B499" s="1" t="n">
        <v>2026</v>
      </c>
      <c r="C499" s="8" t="inlineStr">
        <is>
          <t>Continuum</t>
        </is>
      </c>
      <c r="D499" s="1" t="inlineStr">
        <is>
          <t>Utility and C&amp;I</t>
        </is>
      </c>
      <c r="E499" s="1" t="n"/>
      <c r="F499" s="1" t="inlineStr">
        <is>
          <t>Closed</t>
        </is>
      </c>
      <c r="G499" s="8" t="inlineStr">
        <is>
          <t>Amiya Ranjan Behera</t>
        </is>
      </c>
      <c r="H499" s="8" t="n">
        <v>8917436223</v>
      </c>
      <c r="I499" s="10" t="inlineStr">
        <is>
          <t>PE06052602</t>
        </is>
      </c>
      <c r="J499" s="8" t="inlineStr">
        <is>
          <t>Diode Bypass Module Issue</t>
        </is>
      </c>
      <c r="K499" s="8" t="inlineStr">
        <is>
          <t>Bhavnagar</t>
        </is>
      </c>
      <c r="L499" s="8" t="inlineStr">
        <is>
          <t>Gujarat</t>
        </is>
      </c>
      <c r="M499" s="2" t="inlineStr">
        <is>
          <t>PR</t>
        </is>
      </c>
      <c r="N499" s="1" t="inlineStr">
        <is>
          <t>JB Issue</t>
        </is>
      </c>
      <c r="O499" s="11" t="n">
        <v>540</v>
      </c>
      <c r="P499" s="1" t="inlineStr">
        <is>
          <t>NSMP2305189833</t>
        </is>
      </c>
      <c r="Q499" s="14">
        <f>MID(P499,5,2)</f>
        <v/>
      </c>
      <c r="R499" s="14">
        <f>MID(P499,7,2)</f>
        <v/>
      </c>
      <c r="S499" s="1" t="inlineStr">
        <is>
          <t>G2B</t>
        </is>
      </c>
      <c r="T499" s="1" t="inlineStr">
        <is>
          <t>P2 - PEPPL</t>
        </is>
      </c>
      <c r="U499" s="1" t="inlineStr">
        <is>
          <t>P JB Issue</t>
        </is>
      </c>
      <c r="V499" s="3" t="inlineStr">
        <is>
          <t>JB Changed</t>
        </is>
      </c>
      <c r="W499" s="1" t="inlineStr">
        <is>
          <t>Repair</t>
        </is>
      </c>
      <c r="X499" s="5" t="n">
        <v>46177</v>
      </c>
      <c r="Y499" s="1">
        <f>IF(X499="","",X499-A499)</f>
        <v/>
      </c>
      <c r="Z499" s="5" t="n">
        <v>46177</v>
      </c>
      <c r="AA499" s="3" t="n"/>
      <c r="AB499" s="3" t="n"/>
      <c r="AE499" s="146">
        <f>IF(AND(F499="Closed",X499&gt;=DATE(2026,6,1),X499&lt;=DATE(2026,6,30)),"Closed in June","other")</f>
        <v/>
      </c>
    </row>
    <row r="500" hidden="1">
      <c r="A500" s="9" t="n">
        <v>46148</v>
      </c>
      <c r="B500" s="1" t="n">
        <v>2026</v>
      </c>
      <c r="C500" s="8" t="inlineStr">
        <is>
          <t>Continuum</t>
        </is>
      </c>
      <c r="D500" s="1" t="inlineStr">
        <is>
          <t>Utility and C&amp;I</t>
        </is>
      </c>
      <c r="E500" s="1" t="n"/>
      <c r="F500" s="1" t="inlineStr">
        <is>
          <t>Closed</t>
        </is>
      </c>
      <c r="G500" s="8" t="inlineStr">
        <is>
          <t>Amiya Ranjan Behera</t>
        </is>
      </c>
      <c r="H500" s="8" t="n">
        <v>8917436223</v>
      </c>
      <c r="I500" s="10" t="inlineStr">
        <is>
          <t>PE06052602</t>
        </is>
      </c>
      <c r="J500" s="8" t="inlineStr">
        <is>
          <t>Diode Bypass Module Issue</t>
        </is>
      </c>
      <c r="K500" s="8" t="inlineStr">
        <is>
          <t>Bhavnagar</t>
        </is>
      </c>
      <c r="L500" s="8" t="inlineStr">
        <is>
          <t>Gujarat</t>
        </is>
      </c>
      <c r="M500" s="2" t="inlineStr">
        <is>
          <t>PS</t>
        </is>
      </c>
      <c r="N500" s="1" t="inlineStr">
        <is>
          <t>Cold Soldering</t>
        </is>
      </c>
      <c r="O500" s="11" t="n">
        <v>540</v>
      </c>
      <c r="P500" s="2" t="inlineStr">
        <is>
          <t>NSMP2305189816</t>
        </is>
      </c>
      <c r="Q500" s="14">
        <f>MID(P500,5,2)</f>
        <v/>
      </c>
      <c r="R500" s="14">
        <f>MID(P500,7,2)</f>
        <v/>
      </c>
      <c r="S500" s="1" t="inlineStr">
        <is>
          <t>G2B</t>
        </is>
      </c>
      <c r="T500" s="1" t="inlineStr">
        <is>
          <t>P2 - PEPPL</t>
        </is>
      </c>
      <c r="U500" s="1" t="inlineStr">
        <is>
          <t>P JB Cold Soldering</t>
        </is>
      </c>
      <c r="V500" s="1" t="inlineStr">
        <is>
          <t>Soldering</t>
        </is>
      </c>
      <c r="W500" s="1" t="inlineStr">
        <is>
          <t>Repair</t>
        </is>
      </c>
      <c r="X500" s="5" t="n">
        <v>46177</v>
      </c>
      <c r="Y500" s="1">
        <f>IF(X500="","",X500-A500)</f>
        <v/>
      </c>
      <c r="Z500" s="5" t="n">
        <v>46177</v>
      </c>
      <c r="AA500" s="3" t="n"/>
      <c r="AB500" s="3" t="n"/>
      <c r="AE500" s="146">
        <f>IF(AND(F500="Closed",X500&gt;=DATE(2026,6,1),X500&lt;=DATE(2026,6,30)),"Closed in June","other")</f>
        <v/>
      </c>
    </row>
    <row r="501" hidden="1">
      <c r="A501" s="9" t="n">
        <v>46148</v>
      </c>
      <c r="B501" s="1" t="n">
        <v>2026</v>
      </c>
      <c r="C501" s="8" t="inlineStr">
        <is>
          <t>Continuum</t>
        </is>
      </c>
      <c r="D501" s="1" t="inlineStr">
        <is>
          <t>Utility and C&amp;I</t>
        </is>
      </c>
      <c r="E501" s="1" t="n"/>
      <c r="F501" s="1" t="inlineStr">
        <is>
          <t>Closed</t>
        </is>
      </c>
      <c r="G501" s="8" t="inlineStr">
        <is>
          <t>Amiya Ranjan Behera</t>
        </is>
      </c>
      <c r="H501" s="8" t="n">
        <v>8917436223</v>
      </c>
      <c r="I501" s="10" t="inlineStr">
        <is>
          <t>PE06052602</t>
        </is>
      </c>
      <c r="J501" s="8" t="inlineStr">
        <is>
          <t>Diode Bypass Module Issue</t>
        </is>
      </c>
      <c r="K501" s="8" t="inlineStr">
        <is>
          <t>Bhavnagar</t>
        </is>
      </c>
      <c r="L501" s="8" t="inlineStr">
        <is>
          <t>Gujarat</t>
        </is>
      </c>
      <c r="M501" s="2" t="inlineStr">
        <is>
          <t>PS</t>
        </is>
      </c>
      <c r="N501" s="1" t="inlineStr">
        <is>
          <t>Cold Soldering</t>
        </is>
      </c>
      <c r="O501" s="11" t="n">
        <v>540</v>
      </c>
      <c r="P501" s="2" t="inlineStr">
        <is>
          <t>NSMP2305189807</t>
        </is>
      </c>
      <c r="Q501" s="14">
        <f>MID(P501,5,2)</f>
        <v/>
      </c>
      <c r="R501" s="14">
        <f>MID(P501,7,2)</f>
        <v/>
      </c>
      <c r="S501" s="1" t="inlineStr">
        <is>
          <t>G2B</t>
        </is>
      </c>
      <c r="T501" s="1" t="inlineStr">
        <is>
          <t>P2 - PEPPL</t>
        </is>
      </c>
      <c r="U501" s="1" t="inlineStr">
        <is>
          <t>P JB Cold Soldering</t>
        </is>
      </c>
      <c r="V501" s="1" t="inlineStr">
        <is>
          <t>Soldering</t>
        </is>
      </c>
      <c r="W501" s="1" t="inlineStr">
        <is>
          <t>Repair</t>
        </is>
      </c>
      <c r="X501" s="5" t="n">
        <v>46177</v>
      </c>
      <c r="Y501" s="1">
        <f>IF(X501="","",X501-A501)</f>
        <v/>
      </c>
      <c r="Z501" s="5" t="n">
        <v>46177</v>
      </c>
      <c r="AA501" s="3" t="n"/>
      <c r="AB501" s="3" t="n"/>
      <c r="AE501" s="146">
        <f>IF(AND(F501="Closed",X501&gt;=DATE(2026,6,1),X501&lt;=DATE(2026,6,30)),"Closed in June","other")</f>
        <v/>
      </c>
    </row>
    <row r="502" hidden="1">
      <c r="A502" s="9" t="n">
        <v>46148</v>
      </c>
      <c r="B502" s="1" t="n">
        <v>2026</v>
      </c>
      <c r="C502" s="8" t="inlineStr">
        <is>
          <t>Continuum</t>
        </is>
      </c>
      <c r="D502" s="1" t="inlineStr">
        <is>
          <t>Utility and C&amp;I</t>
        </is>
      </c>
      <c r="E502" s="1" t="n"/>
      <c r="F502" s="1" t="inlineStr">
        <is>
          <t>Closed</t>
        </is>
      </c>
      <c r="G502" s="8" t="inlineStr">
        <is>
          <t>Amiya Ranjan Behera</t>
        </is>
      </c>
      <c r="H502" s="8" t="n">
        <v>8917436223</v>
      </c>
      <c r="I502" s="10" t="inlineStr">
        <is>
          <t>PE06052602</t>
        </is>
      </c>
      <c r="J502" s="8" t="inlineStr">
        <is>
          <t>Diode Bypass Module Issue</t>
        </is>
      </c>
      <c r="K502" s="8" t="inlineStr">
        <is>
          <t>Bhavnagar</t>
        </is>
      </c>
      <c r="L502" s="8" t="inlineStr">
        <is>
          <t>Gujarat</t>
        </is>
      </c>
      <c r="M502" s="2" t="inlineStr">
        <is>
          <t>NS</t>
        </is>
      </c>
      <c r="N502" s="8" t="inlineStr">
        <is>
          <t>Cold Soldering</t>
        </is>
      </c>
      <c r="O502" s="11" t="n">
        <v>540</v>
      </c>
      <c r="P502" s="2" t="inlineStr">
        <is>
          <t>NSMP2305126695</t>
        </is>
      </c>
      <c r="Q502" s="14">
        <f>MID(P502,5,2)</f>
        <v/>
      </c>
      <c r="R502" s="14">
        <f>MID(P502,7,2)</f>
        <v/>
      </c>
      <c r="S502" s="1" t="inlineStr">
        <is>
          <t>G2B</t>
        </is>
      </c>
      <c r="T502" s="1" t="inlineStr">
        <is>
          <t>P2 - PEPPL</t>
        </is>
      </c>
      <c r="U502" s="6" t="inlineStr">
        <is>
          <t>N JB Cold Soldering</t>
        </is>
      </c>
      <c r="V502" s="6" t="inlineStr">
        <is>
          <t>Soldering</t>
        </is>
      </c>
      <c r="W502" s="1" t="inlineStr">
        <is>
          <t>Repair</t>
        </is>
      </c>
      <c r="X502" s="5" t="n">
        <v>46177</v>
      </c>
      <c r="Y502" s="1">
        <f>IF(X502="","",X502-A502)</f>
        <v/>
      </c>
      <c r="Z502" s="5" t="n">
        <v>46177</v>
      </c>
      <c r="AA502" s="3" t="n"/>
      <c r="AB502" s="3" t="n"/>
      <c r="AE502" s="146">
        <f>IF(AND(F502="Closed",X502&gt;=DATE(2026,6,1),X502&lt;=DATE(2026,6,30)),"Closed in June","other")</f>
        <v/>
      </c>
    </row>
    <row r="503" hidden="1">
      <c r="A503" s="9" t="n">
        <v>46148</v>
      </c>
      <c r="B503" s="1" t="n">
        <v>2026</v>
      </c>
      <c r="C503" s="8" t="inlineStr">
        <is>
          <t>Continuum</t>
        </is>
      </c>
      <c r="D503" s="1" t="inlineStr">
        <is>
          <t>Utility and C&amp;I</t>
        </is>
      </c>
      <c r="E503" s="1" t="n"/>
      <c r="F503" s="1" t="inlineStr">
        <is>
          <t>Closed</t>
        </is>
      </c>
      <c r="G503" s="8" t="inlineStr">
        <is>
          <t>Amiya Ranjan Behera</t>
        </is>
      </c>
      <c r="H503" s="8" t="n">
        <v>8917436223</v>
      </c>
      <c r="I503" s="10" t="inlineStr">
        <is>
          <t>PE06052602</t>
        </is>
      </c>
      <c r="J503" s="8" t="inlineStr">
        <is>
          <t>Diode Bypass Module Issue</t>
        </is>
      </c>
      <c r="K503" s="8" t="inlineStr">
        <is>
          <t>Bhavnagar</t>
        </is>
      </c>
      <c r="L503" s="8" t="inlineStr">
        <is>
          <t>Gujarat</t>
        </is>
      </c>
      <c r="M503" s="2" t="inlineStr">
        <is>
          <t>PS</t>
        </is>
      </c>
      <c r="N503" s="1" t="inlineStr">
        <is>
          <t>Cold Soldering</t>
        </is>
      </c>
      <c r="O503" s="11" t="n">
        <v>540</v>
      </c>
      <c r="P503" s="2" t="inlineStr">
        <is>
          <t>NSMP2305191532</t>
        </is>
      </c>
      <c r="Q503" s="14">
        <f>MID(P503,5,2)</f>
        <v/>
      </c>
      <c r="R503" s="14">
        <f>MID(P503,7,2)</f>
        <v/>
      </c>
      <c r="S503" s="1" t="inlineStr">
        <is>
          <t>G2B</t>
        </is>
      </c>
      <c r="T503" s="1" t="inlineStr">
        <is>
          <t>P2 - PEPPL</t>
        </is>
      </c>
      <c r="U503" s="1" t="inlineStr">
        <is>
          <t>P JB Cold Soldering</t>
        </is>
      </c>
      <c r="V503" s="1" t="inlineStr">
        <is>
          <t>Soldering</t>
        </is>
      </c>
      <c r="W503" s="1" t="inlineStr">
        <is>
          <t>Repair</t>
        </is>
      </c>
      <c r="X503" s="5" t="n">
        <v>46177</v>
      </c>
      <c r="Y503" s="1">
        <f>IF(X503="","",X503-A503)</f>
        <v/>
      </c>
      <c r="Z503" s="5" t="n">
        <v>46177</v>
      </c>
      <c r="AA503" s="3" t="n"/>
      <c r="AB503" s="3" t="n"/>
      <c r="AE503" s="146">
        <f>IF(AND(F503="Closed",X503&gt;=DATE(2026,6,1),X503&lt;=DATE(2026,6,30)),"Closed in June","other")</f>
        <v/>
      </c>
    </row>
    <row r="504" hidden="1">
      <c r="A504" s="9" t="n">
        <v>46148</v>
      </c>
      <c r="B504" s="1" t="n">
        <v>2026</v>
      </c>
      <c r="C504" s="8" t="inlineStr">
        <is>
          <t>Continuum</t>
        </is>
      </c>
      <c r="D504" s="1" t="inlineStr">
        <is>
          <t>Utility and C&amp;I</t>
        </is>
      </c>
      <c r="E504" s="1" t="n"/>
      <c r="F504" s="1" t="inlineStr">
        <is>
          <t>Closed</t>
        </is>
      </c>
      <c r="G504" s="8" t="inlineStr">
        <is>
          <t>Amiya Ranjan Behera</t>
        </is>
      </c>
      <c r="H504" s="8" t="n">
        <v>8917436223</v>
      </c>
      <c r="I504" s="10" t="inlineStr">
        <is>
          <t>PE06052602</t>
        </is>
      </c>
      <c r="J504" s="8" t="inlineStr">
        <is>
          <t>Diode Bypass Module Issue</t>
        </is>
      </c>
      <c r="K504" s="8" t="inlineStr">
        <is>
          <t>Bhavnagar</t>
        </is>
      </c>
      <c r="L504" s="8" t="inlineStr">
        <is>
          <t>Gujarat</t>
        </is>
      </c>
      <c r="M504" s="2" t="inlineStr">
        <is>
          <t>PS</t>
        </is>
      </c>
      <c r="N504" s="1" t="inlineStr">
        <is>
          <t>Cold Soldering</t>
        </is>
      </c>
      <c r="O504" s="11" t="n">
        <v>540</v>
      </c>
      <c r="P504" s="2" t="inlineStr">
        <is>
          <t>NSMP2305191940</t>
        </is>
      </c>
      <c r="Q504" s="14">
        <f>MID(P504,5,2)</f>
        <v/>
      </c>
      <c r="R504" s="14">
        <f>MID(P504,7,2)</f>
        <v/>
      </c>
      <c r="S504" s="1" t="inlineStr">
        <is>
          <t>G2B</t>
        </is>
      </c>
      <c r="T504" s="1" t="inlineStr">
        <is>
          <t>P2 - PEPPL</t>
        </is>
      </c>
      <c r="U504" s="1" t="inlineStr">
        <is>
          <t>P JB Cold Soldering</t>
        </is>
      </c>
      <c r="V504" s="1" t="inlineStr">
        <is>
          <t>Soldering</t>
        </is>
      </c>
      <c r="W504" s="1" t="inlineStr">
        <is>
          <t>Repair</t>
        </is>
      </c>
      <c r="X504" s="5" t="n">
        <v>46177</v>
      </c>
      <c r="Y504" s="1">
        <f>IF(X504="","",X504-A504)</f>
        <v/>
      </c>
      <c r="Z504" s="5" t="n">
        <v>46177</v>
      </c>
      <c r="AA504" s="3" t="n"/>
      <c r="AB504" s="3" t="n"/>
      <c r="AE504" s="146">
        <f>IF(AND(F504="Closed",X504&gt;=DATE(2026,6,1),X504&lt;=DATE(2026,6,30)),"Closed in June","other")</f>
        <v/>
      </c>
    </row>
    <row r="505" hidden="1">
      <c r="A505" s="9" t="n">
        <v>46148</v>
      </c>
      <c r="B505" s="1" t="n">
        <v>2026</v>
      </c>
      <c r="C505" s="8" t="inlineStr">
        <is>
          <t>Continuum</t>
        </is>
      </c>
      <c r="D505" s="1" t="inlineStr">
        <is>
          <t>Utility and C&amp;I</t>
        </is>
      </c>
      <c r="E505" s="1" t="n"/>
      <c r="F505" s="1" t="inlineStr">
        <is>
          <t>Closed</t>
        </is>
      </c>
      <c r="G505" s="8" t="inlineStr">
        <is>
          <t>Amiya Ranjan Behera</t>
        </is>
      </c>
      <c r="H505" s="8" t="n">
        <v>8917436223</v>
      </c>
      <c r="I505" s="10" t="inlineStr">
        <is>
          <t>PE06052602</t>
        </is>
      </c>
      <c r="J505" s="8" t="inlineStr">
        <is>
          <t>Diode Bypass Module Issue</t>
        </is>
      </c>
      <c r="K505" s="8" t="inlineStr">
        <is>
          <t>Bhavnagar</t>
        </is>
      </c>
      <c r="L505" s="8" t="inlineStr">
        <is>
          <t>Gujarat</t>
        </is>
      </c>
      <c r="M505" s="2" t="inlineStr">
        <is>
          <t>PS</t>
        </is>
      </c>
      <c r="N505" s="1" t="inlineStr">
        <is>
          <t>Cold Soldering</t>
        </is>
      </c>
      <c r="O505" s="11" t="n">
        <v>540</v>
      </c>
      <c r="P505" s="2" t="inlineStr">
        <is>
          <t>NSMP2305192038</t>
        </is>
      </c>
      <c r="Q505" s="14">
        <f>MID(P505,5,2)</f>
        <v/>
      </c>
      <c r="R505" s="14">
        <f>MID(P505,7,2)</f>
        <v/>
      </c>
      <c r="S505" s="1" t="inlineStr">
        <is>
          <t>G2B</t>
        </is>
      </c>
      <c r="T505" s="1" t="inlineStr">
        <is>
          <t>P2 - PEPPL</t>
        </is>
      </c>
      <c r="U505" s="1" t="inlineStr">
        <is>
          <t>P JB Cold Soldering</t>
        </is>
      </c>
      <c r="V505" s="1" t="inlineStr">
        <is>
          <t>Soldering</t>
        </is>
      </c>
      <c r="W505" s="1" t="inlineStr">
        <is>
          <t>Repair</t>
        </is>
      </c>
      <c r="X505" s="5" t="n">
        <v>46177</v>
      </c>
      <c r="Y505" s="1">
        <f>IF(X505="","",X505-A505)</f>
        <v/>
      </c>
      <c r="Z505" s="5" t="n">
        <v>46177</v>
      </c>
      <c r="AA505" s="3" t="n"/>
      <c r="AB505" s="3" t="n"/>
      <c r="AE505" s="146">
        <f>IF(AND(F505="Closed",X505&gt;=DATE(2026,6,1),X505&lt;=DATE(2026,6,30)),"Closed in June","other")</f>
        <v/>
      </c>
    </row>
    <row r="506" hidden="1">
      <c r="A506" s="9" t="n">
        <v>46148</v>
      </c>
      <c r="B506" s="1" t="n">
        <v>2026</v>
      </c>
      <c r="C506" s="8" t="inlineStr">
        <is>
          <t>Continuum</t>
        </is>
      </c>
      <c r="D506" s="1" t="inlineStr">
        <is>
          <t>Utility and C&amp;I</t>
        </is>
      </c>
      <c r="E506" s="1" t="n"/>
      <c r="F506" s="1" t="inlineStr">
        <is>
          <t>Closed</t>
        </is>
      </c>
      <c r="G506" s="8" t="inlineStr">
        <is>
          <t>Amiya Ranjan Behera</t>
        </is>
      </c>
      <c r="H506" s="8" t="n">
        <v>8917436223</v>
      </c>
      <c r="I506" s="10" t="inlineStr">
        <is>
          <t>PE06052602</t>
        </is>
      </c>
      <c r="J506" s="8" t="inlineStr">
        <is>
          <t>Diode Bypass Module Issue</t>
        </is>
      </c>
      <c r="K506" s="8" t="inlineStr">
        <is>
          <t>Bhavnagar</t>
        </is>
      </c>
      <c r="L506" s="8" t="inlineStr">
        <is>
          <t>Gujarat</t>
        </is>
      </c>
      <c r="M506" s="2" t="inlineStr">
        <is>
          <t>PR</t>
        </is>
      </c>
      <c r="N506" s="1" t="inlineStr">
        <is>
          <t>JB Issue</t>
        </is>
      </c>
      <c r="O506" s="11" t="n">
        <v>540</v>
      </c>
      <c r="P506" s="2" t="inlineStr">
        <is>
          <t>NSMP2305191580</t>
        </is>
      </c>
      <c r="Q506" s="14">
        <f>MID(P506,5,2)</f>
        <v/>
      </c>
      <c r="R506" s="14">
        <f>MID(P506,7,2)</f>
        <v/>
      </c>
      <c r="S506" s="1" t="inlineStr">
        <is>
          <t>G2B</t>
        </is>
      </c>
      <c r="T506" s="1" t="inlineStr">
        <is>
          <t>P2 - PEPPL</t>
        </is>
      </c>
      <c r="U506" s="1" t="inlineStr">
        <is>
          <t>P JB Issue</t>
        </is>
      </c>
      <c r="V506" s="3" t="inlineStr">
        <is>
          <t>JB Changed</t>
        </is>
      </c>
      <c r="W506" s="1" t="inlineStr">
        <is>
          <t>Repair</t>
        </is>
      </c>
      <c r="X506" s="5" t="n">
        <v>46177</v>
      </c>
      <c r="Y506" s="1">
        <f>IF(X506="","",X506-A506)</f>
        <v/>
      </c>
      <c r="Z506" s="5" t="n">
        <v>46177</v>
      </c>
      <c r="AA506" s="3" t="n"/>
      <c r="AB506" s="3" t="n"/>
      <c r="AE506" s="146">
        <f>IF(AND(F506="Closed",X506&gt;=DATE(2026,6,1),X506&lt;=DATE(2026,6,30)),"Closed in June","other")</f>
        <v/>
      </c>
    </row>
    <row r="507" hidden="1">
      <c r="A507" s="9" t="n">
        <v>46148</v>
      </c>
      <c r="B507" s="1" t="n">
        <v>2026</v>
      </c>
      <c r="C507" s="8" t="inlineStr">
        <is>
          <t>Continuum</t>
        </is>
      </c>
      <c r="D507" s="1" t="inlineStr">
        <is>
          <t>Utility and C&amp;I</t>
        </is>
      </c>
      <c r="E507" s="1" t="n"/>
      <c r="F507" s="1" t="inlineStr">
        <is>
          <t>Closed</t>
        </is>
      </c>
      <c r="G507" s="8" t="inlineStr">
        <is>
          <t>Amiya Ranjan Behera</t>
        </is>
      </c>
      <c r="H507" s="8" t="n">
        <v>8917436223</v>
      </c>
      <c r="I507" s="10" t="inlineStr">
        <is>
          <t>PE06052602</t>
        </is>
      </c>
      <c r="J507" s="8" t="inlineStr">
        <is>
          <t>Diode Bypass Module Issue</t>
        </is>
      </c>
      <c r="K507" s="8" t="inlineStr">
        <is>
          <t>Bhavnagar</t>
        </is>
      </c>
      <c r="L507" s="8" t="inlineStr">
        <is>
          <t>Gujarat</t>
        </is>
      </c>
      <c r="M507" s="2" t="inlineStr">
        <is>
          <t>PS</t>
        </is>
      </c>
      <c r="N507" s="1" t="inlineStr">
        <is>
          <t>Cold Soldering</t>
        </is>
      </c>
      <c r="O507" s="11" t="n">
        <v>540</v>
      </c>
      <c r="P507" s="2" t="inlineStr">
        <is>
          <t>NSMP2305192015</t>
        </is>
      </c>
      <c r="Q507" s="14">
        <f>MID(P507,5,2)</f>
        <v/>
      </c>
      <c r="R507" s="14">
        <f>MID(P507,7,2)</f>
        <v/>
      </c>
      <c r="S507" s="1" t="inlineStr">
        <is>
          <t>G2B</t>
        </is>
      </c>
      <c r="T507" s="1" t="inlineStr">
        <is>
          <t>P2 - PEPPL</t>
        </is>
      </c>
      <c r="U507" s="1" t="inlineStr">
        <is>
          <t>P JB Cold Soldering</t>
        </is>
      </c>
      <c r="V507" s="1" t="inlineStr">
        <is>
          <t>Soldering</t>
        </is>
      </c>
      <c r="W507" s="1" t="inlineStr">
        <is>
          <t>Repair</t>
        </is>
      </c>
      <c r="X507" s="5" t="n">
        <v>46177</v>
      </c>
      <c r="Y507" s="1">
        <f>IF(X507="","",X507-A507)</f>
        <v/>
      </c>
      <c r="Z507" s="5" t="n">
        <v>46177</v>
      </c>
      <c r="AA507" s="3" t="n"/>
      <c r="AB507" s="3" t="n"/>
      <c r="AE507" s="146">
        <f>IF(AND(F507="Closed",X507&gt;=DATE(2026,6,1),X507&lt;=DATE(2026,6,30)),"Closed in June","other")</f>
        <v/>
      </c>
    </row>
    <row r="508" hidden="1">
      <c r="A508" s="9" t="n">
        <v>46148</v>
      </c>
      <c r="B508" s="1" t="n">
        <v>2026</v>
      </c>
      <c r="C508" s="8" t="inlineStr">
        <is>
          <t>Continuum</t>
        </is>
      </c>
      <c r="D508" s="1" t="inlineStr">
        <is>
          <t>Utility and C&amp;I</t>
        </is>
      </c>
      <c r="E508" s="1" t="n"/>
      <c r="F508" s="1" t="inlineStr">
        <is>
          <t>Closed</t>
        </is>
      </c>
      <c r="G508" s="8" t="inlineStr">
        <is>
          <t>Amiya Ranjan Behera</t>
        </is>
      </c>
      <c r="H508" s="8" t="n">
        <v>8917436223</v>
      </c>
      <c r="I508" s="10" t="inlineStr">
        <is>
          <t>PE06052602</t>
        </is>
      </c>
      <c r="J508" s="8" t="inlineStr">
        <is>
          <t>Diode Bypass Module Issue</t>
        </is>
      </c>
      <c r="K508" s="8" t="inlineStr">
        <is>
          <t>Bhavnagar</t>
        </is>
      </c>
      <c r="L508" s="8" t="inlineStr">
        <is>
          <t>Gujarat</t>
        </is>
      </c>
      <c r="M508" s="2" t="inlineStr">
        <is>
          <t>PS</t>
        </is>
      </c>
      <c r="N508" s="1" t="inlineStr">
        <is>
          <t>Cold Soldering</t>
        </is>
      </c>
      <c r="O508" s="11" t="n">
        <v>540</v>
      </c>
      <c r="P508" s="2" t="inlineStr">
        <is>
          <t>NSMP2305191960</t>
        </is>
      </c>
      <c r="Q508" s="14">
        <f>MID(P508,5,2)</f>
        <v/>
      </c>
      <c r="R508" s="14">
        <f>MID(P508,7,2)</f>
        <v/>
      </c>
      <c r="S508" s="1" t="inlineStr">
        <is>
          <t>G2B</t>
        </is>
      </c>
      <c r="T508" s="1" t="inlineStr">
        <is>
          <t>P2 - PEPPL</t>
        </is>
      </c>
      <c r="U508" s="1" t="inlineStr">
        <is>
          <t>P JB Cold Soldering</t>
        </is>
      </c>
      <c r="V508" s="1" t="inlineStr">
        <is>
          <t>Soldering</t>
        </is>
      </c>
      <c r="W508" s="1" t="inlineStr">
        <is>
          <t>Repair</t>
        </is>
      </c>
      <c r="X508" s="5" t="n">
        <v>46177</v>
      </c>
      <c r="Y508" s="1">
        <f>IF(X508="","",X508-A508)</f>
        <v/>
      </c>
      <c r="Z508" s="5" t="n">
        <v>46177</v>
      </c>
      <c r="AA508" s="3" t="n"/>
      <c r="AB508" s="3" t="n"/>
      <c r="AE508" s="146">
        <f>IF(AND(F508="Closed",X508&gt;=DATE(2026,6,1),X508&lt;=DATE(2026,6,30)),"Closed in June","other")</f>
        <v/>
      </c>
    </row>
    <row r="509" hidden="1">
      <c r="A509" s="9" t="n">
        <v>46148</v>
      </c>
      <c r="B509" s="1" t="n">
        <v>2026</v>
      </c>
      <c r="C509" s="8" t="inlineStr">
        <is>
          <t>Continuum</t>
        </is>
      </c>
      <c r="D509" s="1" t="inlineStr">
        <is>
          <t>Utility and C&amp;I</t>
        </is>
      </c>
      <c r="E509" s="1" t="n"/>
      <c r="F509" s="1" t="inlineStr">
        <is>
          <t>Closed</t>
        </is>
      </c>
      <c r="G509" s="8" t="inlineStr">
        <is>
          <t>Amiya Ranjan Behera</t>
        </is>
      </c>
      <c r="H509" s="8" t="n">
        <v>8917436223</v>
      </c>
      <c r="I509" s="10" t="inlineStr">
        <is>
          <t>PE06052602</t>
        </is>
      </c>
      <c r="J509" s="8" t="inlineStr">
        <is>
          <t>Diode Bypass Module Issue</t>
        </is>
      </c>
      <c r="K509" s="8" t="inlineStr">
        <is>
          <t>Bhavnagar</t>
        </is>
      </c>
      <c r="L509" s="8" t="inlineStr">
        <is>
          <t>Gujarat</t>
        </is>
      </c>
      <c r="M509" s="2" t="inlineStr">
        <is>
          <t>PS</t>
        </is>
      </c>
      <c r="N509" s="1" t="inlineStr">
        <is>
          <t>Cold Soldering</t>
        </is>
      </c>
      <c r="O509" s="11" t="n">
        <v>540</v>
      </c>
      <c r="P509" s="2" t="inlineStr">
        <is>
          <t>NSMP2305191551</t>
        </is>
      </c>
      <c r="Q509" s="14">
        <f>MID(P509,5,2)</f>
        <v/>
      </c>
      <c r="R509" s="14">
        <f>MID(P509,7,2)</f>
        <v/>
      </c>
      <c r="S509" s="1" t="inlineStr">
        <is>
          <t>G2B</t>
        </is>
      </c>
      <c r="T509" s="1" t="inlineStr">
        <is>
          <t>P2 - PEPPL</t>
        </is>
      </c>
      <c r="U509" s="1" t="inlineStr">
        <is>
          <t>P JB Cold Soldering</t>
        </is>
      </c>
      <c r="V509" s="1" t="inlineStr">
        <is>
          <t>Soldering</t>
        </is>
      </c>
      <c r="W509" s="1" t="inlineStr">
        <is>
          <t>Repair</t>
        </is>
      </c>
      <c r="X509" s="5" t="n">
        <v>46177</v>
      </c>
      <c r="Y509" s="1">
        <f>IF(X509="","",X509-A509)</f>
        <v/>
      </c>
      <c r="Z509" s="5" t="n">
        <v>46177</v>
      </c>
      <c r="AA509" s="3" t="n"/>
      <c r="AB509" s="3" t="n"/>
      <c r="AE509" s="146">
        <f>IF(AND(F509="Closed",X509&gt;=DATE(2026,6,1),X509&lt;=DATE(2026,6,30)),"Closed in June","other")</f>
        <v/>
      </c>
    </row>
    <row r="510" hidden="1">
      <c r="A510" s="9" t="n">
        <v>46148</v>
      </c>
      <c r="B510" s="1" t="n">
        <v>2026</v>
      </c>
      <c r="C510" s="8" t="inlineStr">
        <is>
          <t>Continuum</t>
        </is>
      </c>
      <c r="D510" s="1" t="inlineStr">
        <is>
          <t>Utility and C&amp;I</t>
        </is>
      </c>
      <c r="E510" s="1" t="n"/>
      <c r="F510" s="1" t="inlineStr">
        <is>
          <t>Closed</t>
        </is>
      </c>
      <c r="G510" s="8" t="inlineStr">
        <is>
          <t>Amiya Ranjan Behera</t>
        </is>
      </c>
      <c r="H510" s="8" t="n">
        <v>8917436223</v>
      </c>
      <c r="I510" s="10" t="inlineStr">
        <is>
          <t>PE06052602</t>
        </is>
      </c>
      <c r="J510" s="8" t="inlineStr">
        <is>
          <t>Diode Bypass Module Issue</t>
        </is>
      </c>
      <c r="K510" s="8" t="inlineStr">
        <is>
          <t>Bhavnagar</t>
        </is>
      </c>
      <c r="L510" s="8" t="inlineStr">
        <is>
          <t>Gujarat</t>
        </is>
      </c>
      <c r="M510" s="2" t="inlineStr">
        <is>
          <t>PS</t>
        </is>
      </c>
      <c r="N510" s="1" t="inlineStr">
        <is>
          <t>Cold Soldering</t>
        </is>
      </c>
      <c r="O510" s="11" t="n">
        <v>540</v>
      </c>
      <c r="P510" s="2" t="inlineStr">
        <is>
          <t>NSMP2305191544</t>
        </is>
      </c>
      <c r="Q510" s="14">
        <f>MID(P510,5,2)</f>
        <v/>
      </c>
      <c r="R510" s="14">
        <f>MID(P510,7,2)</f>
        <v/>
      </c>
      <c r="S510" s="1" t="inlineStr">
        <is>
          <t>G2B</t>
        </is>
      </c>
      <c r="T510" s="1" t="inlineStr">
        <is>
          <t>P2 - PEPPL</t>
        </is>
      </c>
      <c r="U510" s="1" t="inlineStr">
        <is>
          <t>P JB Cold Soldering</t>
        </is>
      </c>
      <c r="V510" s="1" t="inlineStr">
        <is>
          <t>Soldering</t>
        </is>
      </c>
      <c r="W510" s="1" t="inlineStr">
        <is>
          <t>Repair</t>
        </is>
      </c>
      <c r="X510" s="5" t="n">
        <v>46177</v>
      </c>
      <c r="Y510" s="1">
        <f>IF(X510="","",X510-A510)</f>
        <v/>
      </c>
      <c r="Z510" s="5" t="n">
        <v>46177</v>
      </c>
      <c r="AA510" s="3" t="n"/>
      <c r="AB510" s="3" t="n"/>
      <c r="AE510" s="146">
        <f>IF(AND(F510="Closed",X510&gt;=DATE(2026,6,1),X510&lt;=DATE(2026,6,30)),"Closed in June","other")</f>
        <v/>
      </c>
    </row>
    <row r="511" hidden="1">
      <c r="A511" s="9" t="n">
        <v>46148</v>
      </c>
      <c r="B511" s="1" t="n">
        <v>2026</v>
      </c>
      <c r="C511" s="8" t="inlineStr">
        <is>
          <t>Continuum</t>
        </is>
      </c>
      <c r="D511" s="1" t="inlineStr">
        <is>
          <t>Utility and C&amp;I</t>
        </is>
      </c>
      <c r="E511" s="1" t="n"/>
      <c r="F511" s="1" t="inlineStr">
        <is>
          <t>Closed</t>
        </is>
      </c>
      <c r="G511" s="8" t="inlineStr">
        <is>
          <t>Amiya Ranjan Behera</t>
        </is>
      </c>
      <c r="H511" s="8" t="n">
        <v>8917436223</v>
      </c>
      <c r="I511" s="10" t="inlineStr">
        <is>
          <t>PE06052602</t>
        </is>
      </c>
      <c r="J511" s="8" t="inlineStr">
        <is>
          <t>Diode Bypass Module Issue</t>
        </is>
      </c>
      <c r="K511" s="8" t="inlineStr">
        <is>
          <t>Bhavnagar</t>
        </is>
      </c>
      <c r="L511" s="8" t="inlineStr">
        <is>
          <t>Gujarat</t>
        </is>
      </c>
      <c r="M511" s="2" t="inlineStr">
        <is>
          <t>PS</t>
        </is>
      </c>
      <c r="N511" s="1" t="inlineStr">
        <is>
          <t>Cold Soldering</t>
        </is>
      </c>
      <c r="O511" s="11" t="n">
        <v>540</v>
      </c>
      <c r="P511" s="2" t="inlineStr">
        <is>
          <t>NSMP2305191145</t>
        </is>
      </c>
      <c r="Q511" s="14">
        <f>MID(P511,5,2)</f>
        <v/>
      </c>
      <c r="R511" s="14">
        <f>MID(P511,7,2)</f>
        <v/>
      </c>
      <c r="S511" s="1" t="inlineStr">
        <is>
          <t>G2B</t>
        </is>
      </c>
      <c r="T511" s="1" t="inlineStr">
        <is>
          <t>P2 - PEPPL</t>
        </is>
      </c>
      <c r="U511" s="1" t="inlineStr">
        <is>
          <t>P JB Cold Soldering</t>
        </is>
      </c>
      <c r="V511" s="1" t="inlineStr">
        <is>
          <t>Soldering</t>
        </is>
      </c>
      <c r="W511" s="1" t="inlineStr">
        <is>
          <t>Repair</t>
        </is>
      </c>
      <c r="X511" s="5" t="n">
        <v>46177</v>
      </c>
      <c r="Y511" s="1">
        <f>IF(X511="","",X511-A511)</f>
        <v/>
      </c>
      <c r="Z511" s="5" t="n">
        <v>46177</v>
      </c>
      <c r="AA511" s="3" t="n"/>
      <c r="AB511" s="3" t="n"/>
      <c r="AE511" s="146">
        <f>IF(AND(F511="Closed",X511&gt;=DATE(2026,6,1),X511&lt;=DATE(2026,6,30)),"Closed in June","other")</f>
        <v/>
      </c>
    </row>
    <row r="512" hidden="1">
      <c r="A512" s="9" t="n">
        <v>46148</v>
      </c>
      <c r="B512" s="1" t="n">
        <v>2026</v>
      </c>
      <c r="C512" s="8" t="inlineStr">
        <is>
          <t>Continuum</t>
        </is>
      </c>
      <c r="D512" s="1" t="inlineStr">
        <is>
          <t>Utility and C&amp;I</t>
        </is>
      </c>
      <c r="E512" s="1" t="n"/>
      <c r="F512" s="1" t="inlineStr">
        <is>
          <t>Closed</t>
        </is>
      </c>
      <c r="G512" s="8" t="inlineStr">
        <is>
          <t>Amiya Ranjan Behera</t>
        </is>
      </c>
      <c r="H512" s="8" t="n">
        <v>8917436223</v>
      </c>
      <c r="I512" s="10" t="inlineStr">
        <is>
          <t>PE06052602</t>
        </is>
      </c>
      <c r="J512" s="8" t="inlineStr">
        <is>
          <t>Diode Bypass Module Issue</t>
        </is>
      </c>
      <c r="K512" s="8" t="inlineStr">
        <is>
          <t>Bhavnagar</t>
        </is>
      </c>
      <c r="L512" s="8" t="inlineStr">
        <is>
          <t>Gujarat</t>
        </is>
      </c>
      <c r="M512" s="2" t="inlineStr">
        <is>
          <t>OK</t>
        </is>
      </c>
      <c r="N512" s="2" t="inlineStr">
        <is>
          <t>No Issue Found</t>
        </is>
      </c>
      <c r="O512" s="11" t="n">
        <v>540</v>
      </c>
      <c r="P512" s="2" t="inlineStr">
        <is>
          <t>NSMP2305193407</t>
        </is>
      </c>
      <c r="Q512" s="14">
        <f>MID(P512,5,2)</f>
        <v/>
      </c>
      <c r="R512" s="14">
        <f>MID(P512,7,2)</f>
        <v/>
      </c>
      <c r="S512" s="1" t="inlineStr">
        <is>
          <t>G2B</t>
        </is>
      </c>
      <c r="T512" s="1" t="inlineStr">
        <is>
          <t>P2 - PEPPL</t>
        </is>
      </c>
      <c r="U512" s="6" t="inlineStr">
        <is>
          <t>No Issue Found</t>
        </is>
      </c>
      <c r="V512" s="6" t="inlineStr">
        <is>
          <t>Inspection</t>
        </is>
      </c>
      <c r="W512" s="1" t="inlineStr">
        <is>
          <t>Rejected</t>
        </is>
      </c>
      <c r="X512" s="5" t="n">
        <v>46177</v>
      </c>
      <c r="Y512" s="1">
        <f>IF(X512="","",X512-A512)</f>
        <v/>
      </c>
      <c r="Z512" s="5" t="n">
        <v>46177</v>
      </c>
      <c r="AA512" s="3" t="n"/>
      <c r="AB512" s="3" t="n"/>
      <c r="AE512" s="146">
        <f>IF(AND(F512="Closed",X512&gt;=DATE(2026,6,1),X512&lt;=DATE(2026,6,30)),"Closed in June","other")</f>
        <v/>
      </c>
    </row>
    <row r="513" hidden="1">
      <c r="A513" s="9" t="n">
        <v>46148</v>
      </c>
      <c r="B513" s="1" t="n">
        <v>2026</v>
      </c>
      <c r="C513" s="8" t="inlineStr">
        <is>
          <t>Continuum</t>
        </is>
      </c>
      <c r="D513" s="1" t="inlineStr">
        <is>
          <t>Utility and C&amp;I</t>
        </is>
      </c>
      <c r="E513" s="1" t="n"/>
      <c r="F513" s="1" t="inlineStr">
        <is>
          <t>Closed</t>
        </is>
      </c>
      <c r="G513" s="8" t="inlineStr">
        <is>
          <t>Amiya Ranjan Behera</t>
        </is>
      </c>
      <c r="H513" s="8" t="n">
        <v>8917436223</v>
      </c>
      <c r="I513" s="10" t="inlineStr">
        <is>
          <t>PE06052602</t>
        </is>
      </c>
      <c r="J513" s="8" t="inlineStr">
        <is>
          <t>Diode Bypass Module Issue</t>
        </is>
      </c>
      <c r="K513" s="8" t="inlineStr">
        <is>
          <t>Bhavnagar</t>
        </is>
      </c>
      <c r="L513" s="8" t="inlineStr">
        <is>
          <t>Gujarat</t>
        </is>
      </c>
      <c r="M513" s="2" t="inlineStr">
        <is>
          <t>PS</t>
        </is>
      </c>
      <c r="N513" s="1" t="inlineStr">
        <is>
          <t>Cold Soldering</t>
        </is>
      </c>
      <c r="O513" s="11" t="n">
        <v>540</v>
      </c>
      <c r="P513" s="2" t="inlineStr">
        <is>
          <t>NSMP2305191491</t>
        </is>
      </c>
      <c r="Q513" s="14">
        <f>MID(P513,5,2)</f>
        <v/>
      </c>
      <c r="R513" s="14">
        <f>MID(P513,7,2)</f>
        <v/>
      </c>
      <c r="S513" s="1" t="inlineStr">
        <is>
          <t>G2B</t>
        </is>
      </c>
      <c r="T513" s="1" t="inlineStr">
        <is>
          <t>P2 - PEPPL</t>
        </is>
      </c>
      <c r="U513" s="1" t="inlineStr">
        <is>
          <t>P JB Cold Soldering</t>
        </is>
      </c>
      <c r="V513" s="1" t="inlineStr">
        <is>
          <t>Soldering</t>
        </is>
      </c>
      <c r="W513" s="1" t="inlineStr">
        <is>
          <t>Repair</t>
        </is>
      </c>
      <c r="X513" s="5" t="n">
        <v>46177</v>
      </c>
      <c r="Y513" s="1">
        <f>IF(X513="","",X513-A513)</f>
        <v/>
      </c>
      <c r="Z513" s="5" t="n">
        <v>46177</v>
      </c>
      <c r="AA513" s="3" t="n"/>
      <c r="AB513" s="3" t="n"/>
      <c r="AE513" s="146">
        <f>IF(AND(F513="Closed",X513&gt;=DATE(2026,6,1),X513&lt;=DATE(2026,6,30)),"Closed in June","other")</f>
        <v/>
      </c>
    </row>
    <row r="514" hidden="1">
      <c r="A514" s="9" t="n">
        <v>46148</v>
      </c>
      <c r="B514" s="1" t="n">
        <v>2026</v>
      </c>
      <c r="C514" s="8" t="inlineStr">
        <is>
          <t>Continuum</t>
        </is>
      </c>
      <c r="D514" s="1" t="inlineStr">
        <is>
          <t>Utility and C&amp;I</t>
        </is>
      </c>
      <c r="E514" s="1" t="n"/>
      <c r="F514" s="1" t="inlineStr">
        <is>
          <t>Closed</t>
        </is>
      </c>
      <c r="G514" s="8" t="inlineStr">
        <is>
          <t>Amiya Ranjan Behera</t>
        </is>
      </c>
      <c r="H514" s="8" t="n">
        <v>8917436223</v>
      </c>
      <c r="I514" s="10" t="inlineStr">
        <is>
          <t>PE06052602</t>
        </is>
      </c>
      <c r="J514" s="8" t="inlineStr">
        <is>
          <t>Diode Bypass Module Issue</t>
        </is>
      </c>
      <c r="K514" s="8" t="inlineStr">
        <is>
          <t>Bhavnagar</t>
        </is>
      </c>
      <c r="L514" s="8" t="inlineStr">
        <is>
          <t>Gujarat</t>
        </is>
      </c>
      <c r="M514" s="2" t="inlineStr">
        <is>
          <t>PS</t>
        </is>
      </c>
      <c r="N514" s="1" t="inlineStr">
        <is>
          <t>Cold Soldering</t>
        </is>
      </c>
      <c r="O514" s="11" t="n">
        <v>540</v>
      </c>
      <c r="P514" s="2" t="inlineStr">
        <is>
          <t>NSMP2305191585</t>
        </is>
      </c>
      <c r="Q514" s="14">
        <f>MID(P514,5,2)</f>
        <v/>
      </c>
      <c r="R514" s="14">
        <f>MID(P514,7,2)</f>
        <v/>
      </c>
      <c r="S514" s="1" t="inlineStr">
        <is>
          <t>G2B</t>
        </is>
      </c>
      <c r="T514" s="1" t="inlineStr">
        <is>
          <t>P2 - PEPPL</t>
        </is>
      </c>
      <c r="U514" s="1" t="inlineStr">
        <is>
          <t>P JB Cold Soldering</t>
        </is>
      </c>
      <c r="V514" s="1" t="inlineStr">
        <is>
          <t>Soldering</t>
        </is>
      </c>
      <c r="W514" s="1" t="inlineStr">
        <is>
          <t>Repair</t>
        </is>
      </c>
      <c r="X514" s="5" t="n">
        <v>46177</v>
      </c>
      <c r="Y514" s="1">
        <f>IF(X514="","",X514-A514)</f>
        <v/>
      </c>
      <c r="Z514" s="5" t="n">
        <v>46177</v>
      </c>
      <c r="AA514" s="3" t="n"/>
      <c r="AB514" s="3" t="n"/>
      <c r="AE514" s="146">
        <f>IF(AND(F514="Closed",X514&gt;=DATE(2026,6,1),X514&lt;=DATE(2026,6,30)),"Closed in June","other")</f>
        <v/>
      </c>
    </row>
    <row r="515" hidden="1">
      <c r="A515" s="9" t="n">
        <v>46148</v>
      </c>
      <c r="B515" s="1" t="n">
        <v>2026</v>
      </c>
      <c r="C515" s="8" t="inlineStr">
        <is>
          <t>Continuum</t>
        </is>
      </c>
      <c r="D515" s="1" t="inlineStr">
        <is>
          <t>Utility and C&amp;I</t>
        </is>
      </c>
      <c r="E515" s="1" t="n"/>
      <c r="F515" s="1" t="inlineStr">
        <is>
          <t>Closed</t>
        </is>
      </c>
      <c r="G515" s="8" t="inlineStr">
        <is>
          <t>Amiya Ranjan Behera</t>
        </is>
      </c>
      <c r="H515" s="8" t="n">
        <v>8917436223</v>
      </c>
      <c r="I515" s="10" t="inlineStr">
        <is>
          <t>PE06052602</t>
        </is>
      </c>
      <c r="J515" s="8" t="inlineStr">
        <is>
          <t>Diode Bypass Module Issue</t>
        </is>
      </c>
      <c r="K515" s="8" t="inlineStr">
        <is>
          <t>Bhavnagar</t>
        </is>
      </c>
      <c r="L515" s="8" t="inlineStr">
        <is>
          <t>Gujarat</t>
        </is>
      </c>
      <c r="M515" s="2" t="inlineStr">
        <is>
          <t>PS</t>
        </is>
      </c>
      <c r="N515" s="1" t="inlineStr">
        <is>
          <t>Cold Soldering</t>
        </is>
      </c>
      <c r="O515" s="11" t="n">
        <v>540</v>
      </c>
      <c r="P515" s="2" t="inlineStr">
        <is>
          <t>NSMP2305191582</t>
        </is>
      </c>
      <c r="Q515" s="14">
        <f>MID(P515,5,2)</f>
        <v/>
      </c>
      <c r="R515" s="14">
        <f>MID(P515,7,2)</f>
        <v/>
      </c>
      <c r="S515" s="1" t="inlineStr">
        <is>
          <t>G2B</t>
        </is>
      </c>
      <c r="T515" s="1" t="inlineStr">
        <is>
          <t>P2 - PEPPL</t>
        </is>
      </c>
      <c r="U515" s="1" t="inlineStr">
        <is>
          <t>P JB Cold Soldering</t>
        </is>
      </c>
      <c r="V515" s="1" t="inlineStr">
        <is>
          <t>Soldering</t>
        </is>
      </c>
      <c r="W515" s="1" t="inlineStr">
        <is>
          <t>Repair</t>
        </is>
      </c>
      <c r="X515" s="5" t="n">
        <v>46177</v>
      </c>
      <c r="Y515" s="1">
        <f>IF(X515="","",X515-A515)</f>
        <v/>
      </c>
      <c r="Z515" s="5" t="n">
        <v>46177</v>
      </c>
      <c r="AA515" s="3" t="n"/>
      <c r="AB515" s="3" t="n"/>
      <c r="AE515" s="146">
        <f>IF(AND(F515="Closed",X515&gt;=DATE(2026,6,1),X515&lt;=DATE(2026,6,30)),"Closed in June","other")</f>
        <v/>
      </c>
    </row>
    <row r="516" hidden="1">
      <c r="A516" s="9" t="n">
        <v>46148</v>
      </c>
      <c r="B516" s="1" t="n">
        <v>2026</v>
      </c>
      <c r="C516" s="8" t="inlineStr">
        <is>
          <t>Continuum</t>
        </is>
      </c>
      <c r="D516" s="1" t="inlineStr">
        <is>
          <t>Utility and C&amp;I</t>
        </is>
      </c>
      <c r="E516" s="1" t="n"/>
      <c r="F516" s="1" t="inlineStr">
        <is>
          <t>Closed</t>
        </is>
      </c>
      <c r="G516" s="8" t="inlineStr">
        <is>
          <t>Amiya Ranjan Behera</t>
        </is>
      </c>
      <c r="H516" s="8" t="n">
        <v>8917436223</v>
      </c>
      <c r="I516" s="10" t="inlineStr">
        <is>
          <t>PE06052602</t>
        </is>
      </c>
      <c r="J516" s="8" t="inlineStr">
        <is>
          <t>Diode Bypass Module Issue</t>
        </is>
      </c>
      <c r="K516" s="8" t="inlineStr">
        <is>
          <t>Bhavnagar</t>
        </is>
      </c>
      <c r="L516" s="8" t="inlineStr">
        <is>
          <t>Gujarat</t>
        </is>
      </c>
      <c r="M516" s="2" t="inlineStr">
        <is>
          <t>PS</t>
        </is>
      </c>
      <c r="N516" s="1" t="inlineStr">
        <is>
          <t>Cold Soldering</t>
        </is>
      </c>
      <c r="O516" s="11" t="n">
        <v>540</v>
      </c>
      <c r="P516" s="2" t="inlineStr">
        <is>
          <t>NSMP2305191576</t>
        </is>
      </c>
      <c r="Q516" s="14">
        <f>MID(P516,5,2)</f>
        <v/>
      </c>
      <c r="R516" s="14">
        <f>MID(P516,7,2)</f>
        <v/>
      </c>
      <c r="S516" s="1" t="inlineStr">
        <is>
          <t>G2B</t>
        </is>
      </c>
      <c r="T516" s="1" t="inlineStr">
        <is>
          <t>P2 - PEPPL</t>
        </is>
      </c>
      <c r="U516" s="1" t="inlineStr">
        <is>
          <t>P JB Cold Soldering</t>
        </is>
      </c>
      <c r="V516" s="1" t="inlineStr">
        <is>
          <t>Soldering</t>
        </is>
      </c>
      <c r="W516" s="1" t="inlineStr">
        <is>
          <t>Repair</t>
        </is>
      </c>
      <c r="X516" s="5" t="n">
        <v>46177</v>
      </c>
      <c r="Y516" s="1">
        <f>IF(X516="","",X516-A516)</f>
        <v/>
      </c>
      <c r="Z516" s="5" t="n">
        <v>46177</v>
      </c>
      <c r="AA516" s="3" t="n"/>
      <c r="AB516" s="3" t="n"/>
      <c r="AE516" s="146">
        <f>IF(AND(F516="Closed",X516&gt;=DATE(2026,6,1),X516&lt;=DATE(2026,6,30)),"Closed in June","other")</f>
        <v/>
      </c>
    </row>
    <row r="517" hidden="1">
      <c r="A517" s="9" t="n">
        <v>46148</v>
      </c>
      <c r="B517" s="1" t="n">
        <v>2026</v>
      </c>
      <c r="C517" s="8" t="inlineStr">
        <is>
          <t>Continuum</t>
        </is>
      </c>
      <c r="D517" s="1" t="inlineStr">
        <is>
          <t>Utility and C&amp;I</t>
        </is>
      </c>
      <c r="E517" s="1" t="n"/>
      <c r="F517" s="1" t="inlineStr">
        <is>
          <t>Closed</t>
        </is>
      </c>
      <c r="G517" s="8" t="inlineStr">
        <is>
          <t>Amiya Ranjan Behera</t>
        </is>
      </c>
      <c r="H517" s="8" t="n">
        <v>8917436223</v>
      </c>
      <c r="I517" s="10" t="inlineStr">
        <is>
          <t>PE06052602</t>
        </is>
      </c>
      <c r="J517" s="8" t="inlineStr">
        <is>
          <t>Diode Bypass Module Issue</t>
        </is>
      </c>
      <c r="K517" s="8" t="inlineStr">
        <is>
          <t>Bhavnagar</t>
        </is>
      </c>
      <c r="L517" s="8" t="inlineStr">
        <is>
          <t>Gujarat</t>
        </is>
      </c>
      <c r="M517" s="2" t="inlineStr">
        <is>
          <t>PS</t>
        </is>
      </c>
      <c r="N517" s="1" t="inlineStr">
        <is>
          <t>Cold Soldering</t>
        </is>
      </c>
      <c r="O517" s="11" t="n">
        <v>540</v>
      </c>
      <c r="P517" s="2" t="inlineStr">
        <is>
          <t>NSMP2304040150</t>
        </is>
      </c>
      <c r="Q517" s="14">
        <f>MID(P517,5,2)</f>
        <v/>
      </c>
      <c r="R517" s="14">
        <f>MID(P517,7,2)</f>
        <v/>
      </c>
      <c r="S517" s="1" t="inlineStr">
        <is>
          <t>G2B</t>
        </is>
      </c>
      <c r="T517" s="1" t="inlineStr">
        <is>
          <t>P2 - PEPPL</t>
        </is>
      </c>
      <c r="U517" s="1" t="inlineStr">
        <is>
          <t>P JB Cold Soldering</t>
        </is>
      </c>
      <c r="V517" s="1" t="inlineStr">
        <is>
          <t>Soldering</t>
        </is>
      </c>
      <c r="W517" s="1" t="inlineStr">
        <is>
          <t>Repair</t>
        </is>
      </c>
      <c r="X517" s="5" t="n">
        <v>46177</v>
      </c>
      <c r="Y517" s="1">
        <f>IF(X517="","",X517-A517)</f>
        <v/>
      </c>
      <c r="Z517" s="5" t="n">
        <v>46177</v>
      </c>
      <c r="AA517" s="3" t="n"/>
      <c r="AB517" s="3" t="n"/>
      <c r="AE517" s="146">
        <f>IF(AND(F517="Closed",X517&gt;=DATE(2026,6,1),X517&lt;=DATE(2026,6,30)),"Closed in June","other")</f>
        <v/>
      </c>
    </row>
    <row r="518" hidden="1">
      <c r="A518" s="9" t="n">
        <v>46148</v>
      </c>
      <c r="B518" s="1" t="n">
        <v>2026</v>
      </c>
      <c r="C518" s="8" t="inlineStr">
        <is>
          <t>Continuum</t>
        </is>
      </c>
      <c r="D518" s="1" t="inlineStr">
        <is>
          <t>Utility and C&amp;I</t>
        </is>
      </c>
      <c r="E518" s="1" t="n"/>
      <c r="F518" s="1" t="inlineStr">
        <is>
          <t>Closed</t>
        </is>
      </c>
      <c r="G518" s="8" t="inlineStr">
        <is>
          <t>Amiya Ranjan Behera</t>
        </is>
      </c>
      <c r="H518" s="8" t="n">
        <v>8917436223</v>
      </c>
      <c r="I518" s="10" t="inlineStr">
        <is>
          <t>PE06052602</t>
        </is>
      </c>
      <c r="J518" s="8" t="inlineStr">
        <is>
          <t>Diode Bypass Module Issue</t>
        </is>
      </c>
      <c r="K518" s="8" t="inlineStr">
        <is>
          <t>Bhavnagar</t>
        </is>
      </c>
      <c r="L518" s="8" t="inlineStr">
        <is>
          <t>Gujarat</t>
        </is>
      </c>
      <c r="M518" s="2" t="inlineStr">
        <is>
          <t>PS</t>
        </is>
      </c>
      <c r="N518" s="1" t="inlineStr">
        <is>
          <t>Cold Soldering</t>
        </is>
      </c>
      <c r="O518" s="11" t="n">
        <v>540</v>
      </c>
      <c r="P518" s="2" t="inlineStr">
        <is>
          <t>NSMP2305191563</t>
        </is>
      </c>
      <c r="Q518" s="14">
        <f>MID(P518,5,2)</f>
        <v/>
      </c>
      <c r="R518" s="14">
        <f>MID(P518,7,2)</f>
        <v/>
      </c>
      <c r="S518" s="1" t="inlineStr">
        <is>
          <t>G2B</t>
        </is>
      </c>
      <c r="T518" s="1" t="inlineStr">
        <is>
          <t>P2 - PEPPL</t>
        </is>
      </c>
      <c r="U518" s="1" t="inlineStr">
        <is>
          <t>P JB Cold Soldering</t>
        </is>
      </c>
      <c r="V518" s="1" t="inlineStr">
        <is>
          <t>Soldering</t>
        </is>
      </c>
      <c r="W518" s="1" t="inlineStr">
        <is>
          <t>Repair</t>
        </is>
      </c>
      <c r="X518" s="5" t="n">
        <v>46177</v>
      </c>
      <c r="Y518" s="1">
        <f>IF(X518="","",X518-A518)</f>
        <v/>
      </c>
      <c r="Z518" s="5" t="n">
        <v>46177</v>
      </c>
      <c r="AA518" s="3" t="n"/>
      <c r="AB518" s="3" t="n"/>
      <c r="AE518" s="146">
        <f>IF(AND(F518="Closed",X518&gt;=DATE(2026,6,1),X518&lt;=DATE(2026,6,30)),"Closed in June","other")</f>
        <v/>
      </c>
    </row>
    <row r="519" hidden="1">
      <c r="A519" s="9" t="n">
        <v>46148</v>
      </c>
      <c r="B519" s="1" t="n">
        <v>2026</v>
      </c>
      <c r="C519" s="8" t="inlineStr">
        <is>
          <t>Continuum</t>
        </is>
      </c>
      <c r="D519" s="1" t="inlineStr">
        <is>
          <t>Utility and C&amp;I</t>
        </is>
      </c>
      <c r="E519" s="1" t="n"/>
      <c r="F519" s="1" t="inlineStr">
        <is>
          <t>Closed</t>
        </is>
      </c>
      <c r="G519" s="8" t="inlineStr">
        <is>
          <t>Amiya Ranjan Behera</t>
        </is>
      </c>
      <c r="H519" s="8" t="n">
        <v>8917436223</v>
      </c>
      <c r="I519" s="10" t="inlineStr">
        <is>
          <t>PE06052602</t>
        </is>
      </c>
      <c r="J519" s="8" t="inlineStr">
        <is>
          <t>Diode Bypass Module Issue</t>
        </is>
      </c>
      <c r="K519" s="8" t="inlineStr">
        <is>
          <t>Bhavnagar</t>
        </is>
      </c>
      <c r="L519" s="8" t="inlineStr">
        <is>
          <t>Gujarat</t>
        </is>
      </c>
      <c r="M519" s="2" t="inlineStr">
        <is>
          <t>PS</t>
        </is>
      </c>
      <c r="N519" s="1" t="inlineStr">
        <is>
          <t>Cold Soldering</t>
        </is>
      </c>
      <c r="O519" s="11" t="n">
        <v>540</v>
      </c>
      <c r="P519" s="2" t="inlineStr">
        <is>
          <t>NSMP2305191741</t>
        </is>
      </c>
      <c r="Q519" s="14">
        <f>MID(P519,5,2)</f>
        <v/>
      </c>
      <c r="R519" s="14">
        <f>MID(P519,7,2)</f>
        <v/>
      </c>
      <c r="S519" s="1" t="inlineStr">
        <is>
          <t>G2B</t>
        </is>
      </c>
      <c r="T519" s="1" t="inlineStr">
        <is>
          <t>P2 - PEPPL</t>
        </is>
      </c>
      <c r="U519" s="1" t="inlineStr">
        <is>
          <t>P JB Cold Soldering</t>
        </is>
      </c>
      <c r="V519" s="1" t="inlineStr">
        <is>
          <t>Soldering</t>
        </is>
      </c>
      <c r="W519" s="1" t="inlineStr">
        <is>
          <t>Repair</t>
        </is>
      </c>
      <c r="X519" s="5" t="n">
        <v>46177</v>
      </c>
      <c r="Y519" s="1">
        <f>IF(X519="","",X519-A519)</f>
        <v/>
      </c>
      <c r="Z519" s="5" t="n">
        <v>46177</v>
      </c>
      <c r="AA519" s="3" t="n"/>
      <c r="AB519" s="3" t="n"/>
      <c r="AE519" s="146">
        <f>IF(AND(F519="Closed",X519&gt;=DATE(2026,6,1),X519&lt;=DATE(2026,6,30)),"Closed in June","other")</f>
        <v/>
      </c>
    </row>
    <row r="520" hidden="1">
      <c r="A520" s="9" t="n">
        <v>46148</v>
      </c>
      <c r="B520" s="1" t="n">
        <v>2026</v>
      </c>
      <c r="C520" s="8" t="inlineStr">
        <is>
          <t>Continuum</t>
        </is>
      </c>
      <c r="D520" s="1" t="inlineStr">
        <is>
          <t>Utility and C&amp;I</t>
        </is>
      </c>
      <c r="E520" s="1" t="n"/>
      <c r="F520" s="1" t="inlineStr">
        <is>
          <t>Closed</t>
        </is>
      </c>
      <c r="G520" s="8" t="inlineStr">
        <is>
          <t>Amiya Ranjan Behera</t>
        </is>
      </c>
      <c r="H520" s="8" t="n">
        <v>8917436223</v>
      </c>
      <c r="I520" s="10" t="inlineStr">
        <is>
          <t>PE06052602</t>
        </is>
      </c>
      <c r="J520" s="8" t="inlineStr">
        <is>
          <t>Diode Bypass Module Issue</t>
        </is>
      </c>
      <c r="K520" s="8" t="inlineStr">
        <is>
          <t>Bhavnagar</t>
        </is>
      </c>
      <c r="L520" s="8" t="inlineStr">
        <is>
          <t>Gujarat</t>
        </is>
      </c>
      <c r="M520" s="2" t="inlineStr">
        <is>
          <t>PS</t>
        </is>
      </c>
      <c r="N520" s="1" t="inlineStr">
        <is>
          <t>Cold Soldering</t>
        </is>
      </c>
      <c r="O520" s="11" t="n">
        <v>540</v>
      </c>
      <c r="P520" s="2" t="inlineStr">
        <is>
          <t>NSMP2305191695</t>
        </is>
      </c>
      <c r="Q520" s="14">
        <f>MID(P520,5,2)</f>
        <v/>
      </c>
      <c r="R520" s="14">
        <f>MID(P520,7,2)</f>
        <v/>
      </c>
      <c r="S520" s="1" t="inlineStr">
        <is>
          <t>G2B</t>
        </is>
      </c>
      <c r="T520" s="1" t="inlineStr">
        <is>
          <t>P2 - PEPPL</t>
        </is>
      </c>
      <c r="U520" s="1" t="inlineStr">
        <is>
          <t>P JB Cold Soldering</t>
        </is>
      </c>
      <c r="V520" s="1" t="inlineStr">
        <is>
          <t>Soldering</t>
        </is>
      </c>
      <c r="W520" s="1" t="inlineStr">
        <is>
          <t>Repair</t>
        </is>
      </c>
      <c r="X520" s="5" t="n">
        <v>46177</v>
      </c>
      <c r="Y520" s="1">
        <f>IF(X520="","",X520-A520)</f>
        <v/>
      </c>
      <c r="Z520" s="5" t="n">
        <v>46177</v>
      </c>
      <c r="AA520" s="3" t="n"/>
      <c r="AB520" s="3" t="n"/>
      <c r="AE520" s="146">
        <f>IF(AND(F520="Closed",X520&gt;=DATE(2026,6,1),X520&lt;=DATE(2026,6,30)),"Closed in June","other")</f>
        <v/>
      </c>
    </row>
    <row r="521" hidden="1">
      <c r="A521" s="9" t="n">
        <v>46148</v>
      </c>
      <c r="B521" s="1" t="n">
        <v>2026</v>
      </c>
      <c r="C521" s="8" t="inlineStr">
        <is>
          <t>Continuum</t>
        </is>
      </c>
      <c r="D521" s="1" t="inlineStr">
        <is>
          <t>Utility and C&amp;I</t>
        </is>
      </c>
      <c r="E521" s="1" t="n"/>
      <c r="F521" s="1" t="inlineStr">
        <is>
          <t>Closed</t>
        </is>
      </c>
      <c r="G521" s="8" t="inlineStr">
        <is>
          <t>Amiya Ranjan Behera</t>
        </is>
      </c>
      <c r="H521" s="8" t="n">
        <v>8917436223</v>
      </c>
      <c r="I521" s="10" t="inlineStr">
        <is>
          <t>PE06052602</t>
        </is>
      </c>
      <c r="J521" s="8" t="inlineStr">
        <is>
          <t>Diode Bypass Module Issue</t>
        </is>
      </c>
      <c r="K521" s="8" t="inlineStr">
        <is>
          <t>Bhavnagar</t>
        </is>
      </c>
      <c r="L521" s="8" t="inlineStr">
        <is>
          <t>Gujarat</t>
        </is>
      </c>
      <c r="M521" s="2" t="inlineStr">
        <is>
          <t>PS</t>
        </is>
      </c>
      <c r="N521" s="1" t="inlineStr">
        <is>
          <t>Cold Soldering</t>
        </is>
      </c>
      <c r="O521" s="11" t="n">
        <v>540</v>
      </c>
      <c r="P521" s="2" t="inlineStr">
        <is>
          <t>NSMP2305191592</t>
        </is>
      </c>
      <c r="Q521" s="14">
        <f>MID(P521,5,2)</f>
        <v/>
      </c>
      <c r="R521" s="14">
        <f>MID(P521,7,2)</f>
        <v/>
      </c>
      <c r="S521" s="1" t="inlineStr">
        <is>
          <t>G2B</t>
        </is>
      </c>
      <c r="T521" s="1" t="inlineStr">
        <is>
          <t>P2 - PEPPL</t>
        </is>
      </c>
      <c r="U521" s="1" t="inlineStr">
        <is>
          <t>P JB Cold Soldering</t>
        </is>
      </c>
      <c r="V521" s="1" t="inlineStr">
        <is>
          <t>Soldering</t>
        </is>
      </c>
      <c r="W521" s="1" t="inlineStr">
        <is>
          <t>Repair</t>
        </is>
      </c>
      <c r="X521" s="5" t="n">
        <v>46177</v>
      </c>
      <c r="Y521" s="1">
        <f>IF(X521="","",X521-A521)</f>
        <v/>
      </c>
      <c r="Z521" s="5" t="n">
        <v>46177</v>
      </c>
      <c r="AA521" s="3" t="n"/>
      <c r="AB521" s="3" t="n"/>
      <c r="AE521" s="146">
        <f>IF(AND(F521="Closed",X521&gt;=DATE(2026,6,1),X521&lt;=DATE(2026,6,30)),"Closed in June","other")</f>
        <v/>
      </c>
    </row>
    <row r="522" hidden="1">
      <c r="A522" s="9" t="n">
        <v>46148</v>
      </c>
      <c r="B522" s="1" t="n">
        <v>2026</v>
      </c>
      <c r="C522" s="8" t="inlineStr">
        <is>
          <t>Continuum</t>
        </is>
      </c>
      <c r="D522" s="1" t="inlineStr">
        <is>
          <t>Utility and C&amp;I</t>
        </is>
      </c>
      <c r="E522" s="1" t="n"/>
      <c r="F522" s="1" t="inlineStr">
        <is>
          <t>Closed</t>
        </is>
      </c>
      <c r="G522" s="8" t="inlineStr">
        <is>
          <t>Amiya Ranjan Behera</t>
        </is>
      </c>
      <c r="H522" s="8" t="n">
        <v>8917436223</v>
      </c>
      <c r="I522" s="10" t="inlineStr">
        <is>
          <t>PE06052602</t>
        </is>
      </c>
      <c r="J522" s="8" t="inlineStr">
        <is>
          <t>Diode Bypass Module Issue</t>
        </is>
      </c>
      <c r="K522" s="8" t="inlineStr">
        <is>
          <t>Bhavnagar</t>
        </is>
      </c>
      <c r="L522" s="8" t="inlineStr">
        <is>
          <t>Gujarat</t>
        </is>
      </c>
      <c r="M522" s="2" t="inlineStr">
        <is>
          <t>PS</t>
        </is>
      </c>
      <c r="N522" s="1" t="inlineStr">
        <is>
          <t>Cold Soldering</t>
        </is>
      </c>
      <c r="O522" s="11" t="n">
        <v>540</v>
      </c>
      <c r="P522" s="2" t="inlineStr">
        <is>
          <t>NSMP2305191621</t>
        </is>
      </c>
      <c r="Q522" s="14">
        <f>MID(P522,5,2)</f>
        <v/>
      </c>
      <c r="R522" s="14">
        <f>MID(P522,7,2)</f>
        <v/>
      </c>
      <c r="S522" s="1" t="inlineStr">
        <is>
          <t>G2B</t>
        </is>
      </c>
      <c r="T522" s="1" t="inlineStr">
        <is>
          <t>P2 - PEPPL</t>
        </is>
      </c>
      <c r="U522" s="1" t="inlineStr">
        <is>
          <t>P JB Cold Soldering</t>
        </is>
      </c>
      <c r="V522" s="1" t="inlineStr">
        <is>
          <t>Soldering</t>
        </is>
      </c>
      <c r="W522" s="1" t="inlineStr">
        <is>
          <t>Repair</t>
        </is>
      </c>
      <c r="X522" s="5" t="n">
        <v>46177</v>
      </c>
      <c r="Y522" s="1">
        <f>IF(X522="","",X522-A522)</f>
        <v/>
      </c>
      <c r="Z522" s="5" t="n">
        <v>46177</v>
      </c>
      <c r="AA522" s="3" t="n"/>
      <c r="AB522" s="3" t="n"/>
      <c r="AE522" s="146">
        <f>IF(AND(F522="Closed",X522&gt;=DATE(2026,6,1),X522&lt;=DATE(2026,6,30)),"Closed in June","other")</f>
        <v/>
      </c>
    </row>
    <row r="523" hidden="1">
      <c r="A523" s="9" t="n">
        <v>46148</v>
      </c>
      <c r="B523" s="1" t="n">
        <v>2026</v>
      </c>
      <c r="C523" s="8" t="inlineStr">
        <is>
          <t>Continuum</t>
        </is>
      </c>
      <c r="D523" s="1" t="inlineStr">
        <is>
          <t>Utility and C&amp;I</t>
        </is>
      </c>
      <c r="E523" s="1" t="n"/>
      <c r="F523" s="1" t="inlineStr">
        <is>
          <t>Closed</t>
        </is>
      </c>
      <c r="G523" s="8" t="inlineStr">
        <is>
          <t>Amiya Ranjan Behera</t>
        </is>
      </c>
      <c r="H523" s="8" t="n">
        <v>8917436223</v>
      </c>
      <c r="I523" s="10" t="inlineStr">
        <is>
          <t>PE06052602</t>
        </is>
      </c>
      <c r="J523" s="8" t="inlineStr">
        <is>
          <t>Diode Bypass Module Issue</t>
        </is>
      </c>
      <c r="K523" s="8" t="inlineStr">
        <is>
          <t>Bhavnagar</t>
        </is>
      </c>
      <c r="L523" s="8" t="inlineStr">
        <is>
          <t>Gujarat</t>
        </is>
      </c>
      <c r="M523" s="2" t="inlineStr">
        <is>
          <t>PS</t>
        </is>
      </c>
      <c r="N523" s="1" t="inlineStr">
        <is>
          <t>Cold Soldering</t>
        </is>
      </c>
      <c r="O523" s="11" t="n">
        <v>540</v>
      </c>
      <c r="P523" s="2" t="inlineStr">
        <is>
          <t>NSMP2305191382</t>
        </is>
      </c>
      <c r="Q523" s="14">
        <f>MID(P523,5,2)</f>
        <v/>
      </c>
      <c r="R523" s="14">
        <f>MID(P523,7,2)</f>
        <v/>
      </c>
      <c r="S523" s="1" t="inlineStr">
        <is>
          <t>G2B</t>
        </is>
      </c>
      <c r="T523" s="1" t="inlineStr">
        <is>
          <t>P2 - PEPPL</t>
        </is>
      </c>
      <c r="U523" s="1" t="inlineStr">
        <is>
          <t>P JB Cold Soldering</t>
        </is>
      </c>
      <c r="V523" s="1" t="inlineStr">
        <is>
          <t>Soldering</t>
        </is>
      </c>
      <c r="W523" s="1" t="inlineStr">
        <is>
          <t>Repair</t>
        </is>
      </c>
      <c r="X523" s="5" t="n">
        <v>46177</v>
      </c>
      <c r="Y523" s="1">
        <f>IF(X523="","",X523-A523)</f>
        <v/>
      </c>
      <c r="Z523" s="5" t="n">
        <v>46177</v>
      </c>
      <c r="AA523" s="3" t="n"/>
      <c r="AB523" s="3" t="n"/>
      <c r="AE523" s="146">
        <f>IF(AND(F523="Closed",X523&gt;=DATE(2026,6,1),X523&lt;=DATE(2026,6,30)),"Closed in June","other")</f>
        <v/>
      </c>
    </row>
    <row r="524" hidden="1">
      <c r="A524" s="9" t="n">
        <v>46148</v>
      </c>
      <c r="B524" s="1" t="n">
        <v>2026</v>
      </c>
      <c r="C524" s="8" t="inlineStr">
        <is>
          <t>Continuum</t>
        </is>
      </c>
      <c r="D524" s="1" t="inlineStr">
        <is>
          <t>Utility and C&amp;I</t>
        </is>
      </c>
      <c r="E524" s="1" t="n"/>
      <c r="F524" s="1" t="inlineStr">
        <is>
          <t>Closed</t>
        </is>
      </c>
      <c r="G524" s="8" t="inlineStr">
        <is>
          <t>Amiya Ranjan Behera</t>
        </is>
      </c>
      <c r="H524" s="8" t="n">
        <v>8917436223</v>
      </c>
      <c r="I524" s="10" t="inlineStr">
        <is>
          <t>PE06052602</t>
        </is>
      </c>
      <c r="J524" s="8" t="inlineStr">
        <is>
          <t>Diode Bypass Module Issue</t>
        </is>
      </c>
      <c r="K524" s="8" t="inlineStr">
        <is>
          <t>Bhavnagar</t>
        </is>
      </c>
      <c r="L524" s="8" t="inlineStr">
        <is>
          <t>Gujarat</t>
        </is>
      </c>
      <c r="M524" s="2" t="inlineStr">
        <is>
          <t>PS</t>
        </is>
      </c>
      <c r="N524" s="1" t="inlineStr">
        <is>
          <t>Cold Soldering</t>
        </is>
      </c>
      <c r="O524" s="11" t="n">
        <v>540</v>
      </c>
      <c r="P524" s="2" t="inlineStr">
        <is>
          <t>NSMP2305191618</t>
        </is>
      </c>
      <c r="Q524" s="14">
        <f>MID(P524,5,2)</f>
        <v/>
      </c>
      <c r="R524" s="14">
        <f>MID(P524,7,2)</f>
        <v/>
      </c>
      <c r="S524" s="1" t="inlineStr">
        <is>
          <t>G2B</t>
        </is>
      </c>
      <c r="T524" s="1" t="inlineStr">
        <is>
          <t>P2 - PEPPL</t>
        </is>
      </c>
      <c r="U524" s="1" t="inlineStr">
        <is>
          <t>P JB Cold Soldering</t>
        </is>
      </c>
      <c r="V524" s="1" t="inlineStr">
        <is>
          <t>Soldering</t>
        </is>
      </c>
      <c r="W524" s="1" t="inlineStr">
        <is>
          <t>Repair</t>
        </is>
      </c>
      <c r="X524" s="5" t="n">
        <v>46177</v>
      </c>
      <c r="Y524" s="1">
        <f>IF(X524="","",X524-A524)</f>
        <v/>
      </c>
      <c r="Z524" s="5" t="n">
        <v>46177</v>
      </c>
      <c r="AA524" s="3" t="n"/>
      <c r="AB524" s="3" t="n"/>
      <c r="AE524" s="146">
        <f>IF(AND(F524="Closed",X524&gt;=DATE(2026,6,1),X524&lt;=DATE(2026,6,30)),"Closed in June","other")</f>
        <v/>
      </c>
    </row>
    <row r="525" hidden="1">
      <c r="A525" s="9" t="n">
        <v>46148</v>
      </c>
      <c r="B525" s="1" t="n">
        <v>2026</v>
      </c>
      <c r="C525" s="8" t="inlineStr">
        <is>
          <t>Continuum</t>
        </is>
      </c>
      <c r="D525" s="1" t="inlineStr">
        <is>
          <t>Utility and C&amp;I</t>
        </is>
      </c>
      <c r="E525" s="1" t="n"/>
      <c r="F525" s="1" t="inlineStr">
        <is>
          <t>Closed</t>
        </is>
      </c>
      <c r="G525" s="8" t="inlineStr">
        <is>
          <t>Amiya Ranjan Behera</t>
        </is>
      </c>
      <c r="H525" s="8" t="n">
        <v>8917436223</v>
      </c>
      <c r="I525" s="10" t="inlineStr">
        <is>
          <t>PE06052602</t>
        </is>
      </c>
      <c r="J525" s="8" t="inlineStr">
        <is>
          <t>Diode Bypass Module Issue</t>
        </is>
      </c>
      <c r="K525" s="8" t="inlineStr">
        <is>
          <t>Bhavnagar</t>
        </is>
      </c>
      <c r="L525" s="8" t="inlineStr">
        <is>
          <t>Gujarat</t>
        </is>
      </c>
      <c r="M525" s="2" t="inlineStr">
        <is>
          <t>PS</t>
        </is>
      </c>
      <c r="N525" s="1" t="inlineStr">
        <is>
          <t>Cold Soldering</t>
        </is>
      </c>
      <c r="O525" s="11" t="n">
        <v>540</v>
      </c>
      <c r="P525" s="2" t="inlineStr">
        <is>
          <t>NSMP2305191729</t>
        </is>
      </c>
      <c r="Q525" s="14">
        <f>MID(P525,5,2)</f>
        <v/>
      </c>
      <c r="R525" s="14">
        <f>MID(P525,7,2)</f>
        <v/>
      </c>
      <c r="S525" s="1" t="inlineStr">
        <is>
          <t>G2B</t>
        </is>
      </c>
      <c r="T525" s="1" t="inlineStr">
        <is>
          <t>P2 - PEPPL</t>
        </is>
      </c>
      <c r="U525" s="1" t="inlineStr">
        <is>
          <t>P JB Cold Soldering</t>
        </is>
      </c>
      <c r="V525" s="1" t="inlineStr">
        <is>
          <t>Soldering</t>
        </is>
      </c>
      <c r="W525" s="1" t="inlineStr">
        <is>
          <t>Repair</t>
        </is>
      </c>
      <c r="X525" s="5" t="n">
        <v>46177</v>
      </c>
      <c r="Y525" s="1">
        <f>IF(X525="","",X525-A525)</f>
        <v/>
      </c>
      <c r="Z525" s="5" t="n">
        <v>46177</v>
      </c>
      <c r="AA525" s="3" t="n"/>
      <c r="AB525" s="3" t="n"/>
      <c r="AE525" s="146">
        <f>IF(AND(F525="Closed",X525&gt;=DATE(2026,6,1),X525&lt;=DATE(2026,6,30)),"Closed in June","other")</f>
        <v/>
      </c>
    </row>
    <row r="526" hidden="1">
      <c r="A526" s="9" t="n">
        <v>46148</v>
      </c>
      <c r="B526" s="1" t="n">
        <v>2026</v>
      </c>
      <c r="C526" s="8" t="inlineStr">
        <is>
          <t>Continuum</t>
        </is>
      </c>
      <c r="D526" s="1" t="inlineStr">
        <is>
          <t>Utility and C&amp;I</t>
        </is>
      </c>
      <c r="E526" s="1" t="n"/>
      <c r="F526" s="1" t="inlineStr">
        <is>
          <t>Closed</t>
        </is>
      </c>
      <c r="G526" s="8" t="inlineStr">
        <is>
          <t>Amiya Ranjan Behera</t>
        </is>
      </c>
      <c r="H526" s="8" t="n">
        <v>8917436223</v>
      </c>
      <c r="I526" s="10" t="inlineStr">
        <is>
          <t>PE06052602</t>
        </is>
      </c>
      <c r="J526" s="8" t="inlineStr">
        <is>
          <t>Diode Bypass Module Issue</t>
        </is>
      </c>
      <c r="K526" s="8" t="inlineStr">
        <is>
          <t>Bhavnagar</t>
        </is>
      </c>
      <c r="L526" s="8" t="inlineStr">
        <is>
          <t>Gujarat</t>
        </is>
      </c>
      <c r="M526" s="2" t="inlineStr">
        <is>
          <t>PS</t>
        </is>
      </c>
      <c r="N526" s="1" t="inlineStr">
        <is>
          <t>Cold Soldering</t>
        </is>
      </c>
      <c r="O526" s="11" t="n">
        <v>540</v>
      </c>
      <c r="P526" s="2" t="inlineStr">
        <is>
          <t>NSMP2305194659</t>
        </is>
      </c>
      <c r="Q526" s="14">
        <f>MID(P526,5,2)</f>
        <v/>
      </c>
      <c r="R526" s="14">
        <f>MID(P526,7,2)</f>
        <v/>
      </c>
      <c r="S526" s="1" t="inlineStr">
        <is>
          <t>G2B</t>
        </is>
      </c>
      <c r="T526" s="1" t="inlineStr">
        <is>
          <t>P2 - PEPPL</t>
        </is>
      </c>
      <c r="U526" s="1" t="inlineStr">
        <is>
          <t>P JB Cold Soldering</t>
        </is>
      </c>
      <c r="V526" s="1" t="inlineStr">
        <is>
          <t>Soldering</t>
        </is>
      </c>
      <c r="W526" s="1" t="inlineStr">
        <is>
          <t>Repair</t>
        </is>
      </c>
      <c r="X526" s="5" t="n">
        <v>46177</v>
      </c>
      <c r="Y526" s="1">
        <f>IF(X526="","",X526-A526)</f>
        <v/>
      </c>
      <c r="Z526" s="5" t="n">
        <v>46177</v>
      </c>
      <c r="AA526" s="3" t="n"/>
      <c r="AB526" s="3" t="n"/>
      <c r="AE526" s="146">
        <f>IF(AND(F526="Closed",X526&gt;=DATE(2026,6,1),X526&lt;=DATE(2026,6,30)),"Closed in June","other")</f>
        <v/>
      </c>
    </row>
    <row r="527" hidden="1">
      <c r="A527" s="9" t="n">
        <v>46148</v>
      </c>
      <c r="B527" s="1" t="n">
        <v>2026</v>
      </c>
      <c r="C527" s="8" t="inlineStr">
        <is>
          <t>Continuum</t>
        </is>
      </c>
      <c r="D527" s="1" t="inlineStr">
        <is>
          <t>Utility and C&amp;I</t>
        </is>
      </c>
      <c r="E527" s="1" t="n"/>
      <c r="F527" s="1" t="inlineStr">
        <is>
          <t>Closed</t>
        </is>
      </c>
      <c r="G527" s="8" t="inlineStr">
        <is>
          <t>Amiya Ranjan Behera</t>
        </is>
      </c>
      <c r="H527" s="8" t="n">
        <v>8917436223</v>
      </c>
      <c r="I527" s="10" t="inlineStr">
        <is>
          <t>PE06052602</t>
        </is>
      </c>
      <c r="J527" s="8" t="inlineStr">
        <is>
          <t>Diode Bypass Module Issue</t>
        </is>
      </c>
      <c r="K527" s="8" t="inlineStr">
        <is>
          <t>Bhavnagar</t>
        </is>
      </c>
      <c r="L527" s="8" t="inlineStr">
        <is>
          <t>Gujarat</t>
        </is>
      </c>
      <c r="M527" s="2" t="inlineStr">
        <is>
          <t>PS</t>
        </is>
      </c>
      <c r="N527" s="1" t="inlineStr">
        <is>
          <t>Cold Soldering</t>
        </is>
      </c>
      <c r="O527" s="11" t="n">
        <v>540</v>
      </c>
      <c r="P527" s="2" t="inlineStr">
        <is>
          <t>NSMP2305193839</t>
        </is>
      </c>
      <c r="Q527" s="14">
        <f>MID(P527,5,2)</f>
        <v/>
      </c>
      <c r="R527" s="14">
        <f>MID(P527,7,2)</f>
        <v/>
      </c>
      <c r="S527" s="1" t="inlineStr">
        <is>
          <t>G2B</t>
        </is>
      </c>
      <c r="T527" s="1" t="inlineStr">
        <is>
          <t>P2 - PEPPL</t>
        </is>
      </c>
      <c r="U527" s="1" t="inlineStr">
        <is>
          <t>P JB Cold Soldering</t>
        </is>
      </c>
      <c r="V527" s="1" t="inlineStr">
        <is>
          <t>Soldering</t>
        </is>
      </c>
      <c r="W527" s="1" t="inlineStr">
        <is>
          <t>Repair</t>
        </is>
      </c>
      <c r="X527" s="5" t="n">
        <v>46177</v>
      </c>
      <c r="Y527" s="1">
        <f>IF(X527="","",X527-A527)</f>
        <v/>
      </c>
      <c r="Z527" s="5" t="n">
        <v>46177</v>
      </c>
      <c r="AA527" s="3" t="n"/>
      <c r="AB527" s="3" t="n"/>
      <c r="AE527" s="146">
        <f>IF(AND(F527="Closed",X527&gt;=DATE(2026,6,1),X527&lt;=DATE(2026,6,30)),"Closed in June","other")</f>
        <v/>
      </c>
    </row>
    <row r="528" hidden="1">
      <c r="A528" s="9" t="n">
        <v>46148</v>
      </c>
      <c r="B528" s="1" t="n">
        <v>2026</v>
      </c>
      <c r="C528" s="8" t="inlineStr">
        <is>
          <t>Continuum</t>
        </is>
      </c>
      <c r="D528" s="1" t="inlineStr">
        <is>
          <t>Utility and C&amp;I</t>
        </is>
      </c>
      <c r="E528" s="1" t="n"/>
      <c r="F528" s="1" t="inlineStr">
        <is>
          <t>Closed</t>
        </is>
      </c>
      <c r="G528" s="8" t="inlineStr">
        <is>
          <t>Amiya Ranjan Behera</t>
        </is>
      </c>
      <c r="H528" s="8" t="n">
        <v>8917436223</v>
      </c>
      <c r="I528" s="10" t="inlineStr">
        <is>
          <t>PE06052602</t>
        </is>
      </c>
      <c r="J528" s="8" t="inlineStr">
        <is>
          <t>Diode Bypass Module Issue</t>
        </is>
      </c>
      <c r="K528" s="8" t="inlineStr">
        <is>
          <t>Bhavnagar</t>
        </is>
      </c>
      <c r="L528" s="8" t="inlineStr">
        <is>
          <t>Gujarat</t>
        </is>
      </c>
      <c r="M528" s="2" t="inlineStr">
        <is>
          <t>PS</t>
        </is>
      </c>
      <c r="N528" s="1" t="inlineStr">
        <is>
          <t>Cold Soldering</t>
        </is>
      </c>
      <c r="O528" s="11" t="n">
        <v>540</v>
      </c>
      <c r="P528" s="2" t="inlineStr">
        <is>
          <t>NSMP2305193789</t>
        </is>
      </c>
      <c r="Q528" s="14">
        <f>MID(P528,5,2)</f>
        <v/>
      </c>
      <c r="R528" s="14">
        <f>MID(P528,7,2)</f>
        <v/>
      </c>
      <c r="S528" s="1" t="inlineStr">
        <is>
          <t>G2B</t>
        </is>
      </c>
      <c r="T528" s="1" t="inlineStr">
        <is>
          <t>P2 - PEPPL</t>
        </is>
      </c>
      <c r="U528" s="1" t="inlineStr">
        <is>
          <t>P JB Cold Soldering</t>
        </is>
      </c>
      <c r="V528" s="1" t="inlineStr">
        <is>
          <t>Soldering</t>
        </is>
      </c>
      <c r="W528" s="1" t="inlineStr">
        <is>
          <t>Repair</t>
        </is>
      </c>
      <c r="X528" s="5" t="n">
        <v>46177</v>
      </c>
      <c r="Y528" s="1">
        <f>IF(X528="","",X528-A528)</f>
        <v/>
      </c>
      <c r="Z528" s="5" t="n">
        <v>46177</v>
      </c>
      <c r="AA528" s="3" t="n"/>
      <c r="AB528" s="3" t="n"/>
      <c r="AE528" s="146">
        <f>IF(AND(F528="Closed",X528&gt;=DATE(2026,6,1),X528&lt;=DATE(2026,6,30)),"Closed in June","other")</f>
        <v/>
      </c>
    </row>
    <row r="529" hidden="1">
      <c r="A529" s="9" t="n">
        <v>46148</v>
      </c>
      <c r="B529" s="1" t="n">
        <v>2026</v>
      </c>
      <c r="C529" s="8" t="inlineStr">
        <is>
          <t>Continuum</t>
        </is>
      </c>
      <c r="D529" s="1" t="inlineStr">
        <is>
          <t>Utility and C&amp;I</t>
        </is>
      </c>
      <c r="E529" s="1" t="n"/>
      <c r="F529" s="1" t="inlineStr">
        <is>
          <t>Closed</t>
        </is>
      </c>
      <c r="G529" s="8" t="inlineStr">
        <is>
          <t>Amiya Ranjan Behera</t>
        </is>
      </c>
      <c r="H529" s="8" t="n">
        <v>8917436223</v>
      </c>
      <c r="I529" s="10" t="inlineStr">
        <is>
          <t>PE06052602</t>
        </is>
      </c>
      <c r="J529" s="8" t="inlineStr">
        <is>
          <t>Diode Bypass Module Issue</t>
        </is>
      </c>
      <c r="K529" s="8" t="inlineStr">
        <is>
          <t>Bhavnagar</t>
        </is>
      </c>
      <c r="L529" s="8" t="inlineStr">
        <is>
          <t>Gujarat</t>
        </is>
      </c>
      <c r="M529" s="2" t="inlineStr">
        <is>
          <t>PS</t>
        </is>
      </c>
      <c r="N529" s="1" t="inlineStr">
        <is>
          <t>Cold Soldering</t>
        </is>
      </c>
      <c r="O529" s="11" t="n">
        <v>540</v>
      </c>
      <c r="P529" s="2" t="inlineStr">
        <is>
          <t>NSMP2305191471</t>
        </is>
      </c>
      <c r="Q529" s="14">
        <f>MID(P529,5,2)</f>
        <v/>
      </c>
      <c r="R529" s="14">
        <f>MID(P529,7,2)</f>
        <v/>
      </c>
      <c r="S529" s="1" t="inlineStr">
        <is>
          <t>G2B</t>
        </is>
      </c>
      <c r="T529" s="1" t="inlineStr">
        <is>
          <t>P2 - PEPPL</t>
        </is>
      </c>
      <c r="U529" s="1" t="inlineStr">
        <is>
          <t>P JB Cold Soldering</t>
        </is>
      </c>
      <c r="V529" s="1" t="inlineStr">
        <is>
          <t>Soldering</t>
        </is>
      </c>
      <c r="W529" s="1" t="inlineStr">
        <is>
          <t>Repair</t>
        </is>
      </c>
      <c r="X529" s="5" t="n">
        <v>46177</v>
      </c>
      <c r="Y529" s="1">
        <f>IF(X529="","",X529-A529)</f>
        <v/>
      </c>
      <c r="Z529" s="5" t="n">
        <v>46177</v>
      </c>
      <c r="AA529" s="3" t="n"/>
      <c r="AB529" s="3" t="n"/>
      <c r="AE529" s="146">
        <f>IF(AND(F529="Closed",X529&gt;=DATE(2026,6,1),X529&lt;=DATE(2026,6,30)),"Closed in June","other")</f>
        <v/>
      </c>
    </row>
    <row r="530" hidden="1">
      <c r="A530" s="9" t="n">
        <v>46148</v>
      </c>
      <c r="B530" s="1" t="n">
        <v>2026</v>
      </c>
      <c r="C530" s="8" t="inlineStr">
        <is>
          <t>Continuum</t>
        </is>
      </c>
      <c r="D530" s="1" t="inlineStr">
        <is>
          <t>Utility and C&amp;I</t>
        </is>
      </c>
      <c r="E530" s="1" t="n"/>
      <c r="F530" s="1" t="inlineStr">
        <is>
          <t>Closed</t>
        </is>
      </c>
      <c r="G530" s="8" t="inlineStr">
        <is>
          <t>Amiya Ranjan Behera</t>
        </is>
      </c>
      <c r="H530" s="8" t="n">
        <v>8917436223</v>
      </c>
      <c r="I530" s="10" t="inlineStr">
        <is>
          <t>PE06052602</t>
        </is>
      </c>
      <c r="J530" s="8" t="inlineStr">
        <is>
          <t>Diode Bypass Module Issue</t>
        </is>
      </c>
      <c r="K530" s="8" t="inlineStr">
        <is>
          <t>Bhavnagar</t>
        </is>
      </c>
      <c r="L530" s="8" t="inlineStr">
        <is>
          <t>Gujarat</t>
        </is>
      </c>
      <c r="M530" s="2" t="inlineStr">
        <is>
          <t>PS</t>
        </is>
      </c>
      <c r="N530" s="1" t="inlineStr">
        <is>
          <t>Cold Soldering</t>
        </is>
      </c>
      <c r="O530" s="11" t="n">
        <v>540</v>
      </c>
      <c r="P530" s="2" t="inlineStr">
        <is>
          <t>NSMP2305191260</t>
        </is>
      </c>
      <c r="Q530" s="14">
        <f>MID(P530,5,2)</f>
        <v/>
      </c>
      <c r="R530" s="14">
        <f>MID(P530,7,2)</f>
        <v/>
      </c>
      <c r="S530" s="1" t="inlineStr">
        <is>
          <t>G2B</t>
        </is>
      </c>
      <c r="T530" s="1" t="inlineStr">
        <is>
          <t>P2 - PEPPL</t>
        </is>
      </c>
      <c r="U530" s="1" t="inlineStr">
        <is>
          <t>P JB Cold Soldering</t>
        </is>
      </c>
      <c r="V530" s="1" t="inlineStr">
        <is>
          <t>Soldering</t>
        </is>
      </c>
      <c r="W530" s="1" t="inlineStr">
        <is>
          <t>Repair</t>
        </is>
      </c>
      <c r="X530" s="5" t="n">
        <v>46177</v>
      </c>
      <c r="Y530" s="1">
        <f>IF(X530="","",X530-A530)</f>
        <v/>
      </c>
      <c r="Z530" s="5" t="n">
        <v>46177</v>
      </c>
      <c r="AA530" s="3" t="n"/>
      <c r="AB530" s="3" t="n"/>
      <c r="AE530" s="146">
        <f>IF(AND(F530="Closed",X530&gt;=DATE(2026,6,1),X530&lt;=DATE(2026,6,30)),"Closed in June","other")</f>
        <v/>
      </c>
    </row>
    <row r="531" hidden="1">
      <c r="A531" s="9" t="n">
        <v>46148</v>
      </c>
      <c r="B531" s="1" t="n">
        <v>2026</v>
      </c>
      <c r="C531" s="8" t="inlineStr">
        <is>
          <t>Continuum</t>
        </is>
      </c>
      <c r="D531" s="1" t="inlineStr">
        <is>
          <t>Utility and C&amp;I</t>
        </is>
      </c>
      <c r="E531" s="1" t="n"/>
      <c r="F531" s="1" t="inlineStr">
        <is>
          <t>Closed</t>
        </is>
      </c>
      <c r="G531" s="8" t="inlineStr">
        <is>
          <t>Amiya Ranjan Behera</t>
        </is>
      </c>
      <c r="H531" s="8" t="n">
        <v>8917436223</v>
      </c>
      <c r="I531" s="10" t="inlineStr">
        <is>
          <t>PE06052602</t>
        </is>
      </c>
      <c r="J531" s="8" t="inlineStr">
        <is>
          <t>Diode Bypass Module Issue</t>
        </is>
      </c>
      <c r="K531" s="8" t="inlineStr">
        <is>
          <t>Bhavnagar</t>
        </is>
      </c>
      <c r="L531" s="8" t="inlineStr">
        <is>
          <t>Gujarat</t>
        </is>
      </c>
      <c r="M531" s="2" t="inlineStr">
        <is>
          <t>PR</t>
        </is>
      </c>
      <c r="N531" s="1" t="inlineStr">
        <is>
          <t>JB Issue</t>
        </is>
      </c>
      <c r="O531" s="11" t="n">
        <v>540</v>
      </c>
      <c r="P531" s="2" t="inlineStr">
        <is>
          <t>NSMP2305189935</t>
        </is>
      </c>
      <c r="Q531" s="14">
        <f>MID(P531,5,2)</f>
        <v/>
      </c>
      <c r="R531" s="14">
        <f>MID(P531,7,2)</f>
        <v/>
      </c>
      <c r="S531" s="1" t="inlineStr">
        <is>
          <t>G2B</t>
        </is>
      </c>
      <c r="T531" s="1" t="inlineStr">
        <is>
          <t>P2 - PEPPL</t>
        </is>
      </c>
      <c r="U531" s="1" t="inlineStr">
        <is>
          <t>P JB Issue</t>
        </is>
      </c>
      <c r="V531" s="3" t="inlineStr">
        <is>
          <t>JB Changed</t>
        </is>
      </c>
      <c r="W531" s="1" t="inlineStr">
        <is>
          <t>Repair</t>
        </is>
      </c>
      <c r="X531" s="5" t="n">
        <v>46177</v>
      </c>
      <c r="Y531" s="1">
        <f>IF(X531="","",X531-A531)</f>
        <v/>
      </c>
      <c r="Z531" s="5" t="n">
        <v>46177</v>
      </c>
      <c r="AA531" s="3" t="n"/>
      <c r="AB531" s="3" t="n"/>
      <c r="AE531" s="146">
        <f>IF(AND(F531="Closed",X531&gt;=DATE(2026,6,1),X531&lt;=DATE(2026,6,30)),"Closed in June","other")</f>
        <v/>
      </c>
    </row>
    <row r="532" hidden="1">
      <c r="A532" s="9" t="n">
        <v>46148</v>
      </c>
      <c r="B532" s="1" t="n">
        <v>2026</v>
      </c>
      <c r="C532" s="8" t="inlineStr">
        <is>
          <t>Continuum</t>
        </is>
      </c>
      <c r="D532" s="1" t="inlineStr">
        <is>
          <t>Utility and C&amp;I</t>
        </is>
      </c>
      <c r="E532" s="1" t="n"/>
      <c r="F532" s="1" t="inlineStr">
        <is>
          <t>Closed</t>
        </is>
      </c>
      <c r="G532" s="8" t="inlineStr">
        <is>
          <t>Amiya Ranjan Behera</t>
        </is>
      </c>
      <c r="H532" s="8" t="n">
        <v>8917436223</v>
      </c>
      <c r="I532" s="10" t="inlineStr">
        <is>
          <t>PE06052602</t>
        </is>
      </c>
      <c r="J532" s="8" t="inlineStr">
        <is>
          <t>Diode Bypass Module Issue</t>
        </is>
      </c>
      <c r="K532" s="8" t="inlineStr">
        <is>
          <t>Bhavnagar</t>
        </is>
      </c>
      <c r="L532" s="8" t="inlineStr">
        <is>
          <t>Gujarat</t>
        </is>
      </c>
      <c r="M532" s="2" t="inlineStr">
        <is>
          <t>PR</t>
        </is>
      </c>
      <c r="N532" s="1" t="inlineStr">
        <is>
          <t>JB Issue</t>
        </is>
      </c>
      <c r="O532" s="11" t="n">
        <v>540</v>
      </c>
      <c r="P532" s="2" t="inlineStr">
        <is>
          <t>NSMP2305189911</t>
        </is>
      </c>
      <c r="Q532" s="14">
        <f>MID(P532,5,2)</f>
        <v/>
      </c>
      <c r="R532" s="14">
        <f>MID(P532,7,2)</f>
        <v/>
      </c>
      <c r="S532" s="1" t="inlineStr">
        <is>
          <t>G2B</t>
        </is>
      </c>
      <c r="T532" s="1" t="inlineStr">
        <is>
          <t>P2 - PEPPL</t>
        </is>
      </c>
      <c r="U532" s="1" t="inlineStr">
        <is>
          <t>P JB Issue</t>
        </is>
      </c>
      <c r="V532" s="3" t="inlineStr">
        <is>
          <t>JB Changed</t>
        </is>
      </c>
      <c r="W532" s="1" t="inlineStr">
        <is>
          <t>Repair</t>
        </is>
      </c>
      <c r="X532" s="5" t="n">
        <v>46177</v>
      </c>
      <c r="Y532" s="1">
        <f>IF(X532="","",X532-A532)</f>
        <v/>
      </c>
      <c r="Z532" s="5" t="n">
        <v>46177</v>
      </c>
      <c r="AA532" s="3" t="n"/>
      <c r="AB532" s="3" t="n"/>
      <c r="AE532" s="146">
        <f>IF(AND(F532="Closed",X532&gt;=DATE(2026,6,1),X532&lt;=DATE(2026,6,30)),"Closed in June","other")</f>
        <v/>
      </c>
    </row>
    <row r="533" hidden="1">
      <c r="A533" s="9" t="n">
        <v>46148</v>
      </c>
      <c r="B533" s="1" t="n">
        <v>2026</v>
      </c>
      <c r="C533" s="8" t="inlineStr">
        <is>
          <t>Continuum</t>
        </is>
      </c>
      <c r="D533" s="1" t="inlineStr">
        <is>
          <t>Utility and C&amp;I</t>
        </is>
      </c>
      <c r="E533" s="1" t="n"/>
      <c r="F533" s="1" t="inlineStr">
        <is>
          <t>Closed</t>
        </is>
      </c>
      <c r="G533" s="8" t="inlineStr">
        <is>
          <t>Amiya Ranjan Behera</t>
        </is>
      </c>
      <c r="H533" s="8" t="n">
        <v>8917436223</v>
      </c>
      <c r="I533" s="10" t="inlineStr">
        <is>
          <t>PE06052602</t>
        </is>
      </c>
      <c r="J533" s="8" t="inlineStr">
        <is>
          <t>Diode Bypass Module Issue</t>
        </is>
      </c>
      <c r="K533" s="8" t="inlineStr">
        <is>
          <t>Bhavnagar</t>
        </is>
      </c>
      <c r="L533" s="8" t="inlineStr">
        <is>
          <t>Gujarat</t>
        </is>
      </c>
      <c r="M533" s="2" t="inlineStr">
        <is>
          <t>PS</t>
        </is>
      </c>
      <c r="N533" s="1" t="inlineStr">
        <is>
          <t>Cold Soldering</t>
        </is>
      </c>
      <c r="O533" s="11" t="n">
        <v>540</v>
      </c>
      <c r="P533" s="2" t="inlineStr">
        <is>
          <t>NSMP2305132475</t>
        </is>
      </c>
      <c r="Q533" s="14">
        <f>MID(P533,5,2)</f>
        <v/>
      </c>
      <c r="R533" s="14">
        <f>MID(P533,7,2)</f>
        <v/>
      </c>
      <c r="S533" s="1" t="inlineStr">
        <is>
          <t>G2B</t>
        </is>
      </c>
      <c r="T533" s="1" t="inlineStr">
        <is>
          <t>P2 - PEPPL</t>
        </is>
      </c>
      <c r="U533" s="1" t="inlineStr">
        <is>
          <t>P JB Cold Soldering</t>
        </is>
      </c>
      <c r="V533" s="1" t="inlineStr">
        <is>
          <t>Soldering</t>
        </is>
      </c>
      <c r="W533" s="1" t="inlineStr">
        <is>
          <t>Repair</t>
        </is>
      </c>
      <c r="X533" s="5" t="n">
        <v>46177</v>
      </c>
      <c r="Y533" s="1">
        <f>IF(X533="","",X533-A533)</f>
        <v/>
      </c>
      <c r="Z533" s="5" t="n">
        <v>46177</v>
      </c>
      <c r="AA533" s="3" t="n"/>
      <c r="AB533" s="3" t="n"/>
      <c r="AE533" s="146">
        <f>IF(AND(F533="Closed",X533&gt;=DATE(2026,6,1),X533&lt;=DATE(2026,6,30)),"Closed in June","other")</f>
        <v/>
      </c>
    </row>
    <row r="534" hidden="1">
      <c r="A534" s="9" t="n">
        <v>46148</v>
      </c>
      <c r="B534" s="1" t="n">
        <v>2026</v>
      </c>
      <c r="C534" s="8" t="inlineStr">
        <is>
          <t>Continuum</t>
        </is>
      </c>
      <c r="D534" s="1" t="inlineStr">
        <is>
          <t>Utility and C&amp;I</t>
        </is>
      </c>
      <c r="E534" s="1" t="n"/>
      <c r="F534" s="1" t="inlineStr">
        <is>
          <t>Closed</t>
        </is>
      </c>
      <c r="G534" s="8" t="inlineStr">
        <is>
          <t>Amiya Ranjan Behera</t>
        </is>
      </c>
      <c r="H534" s="8" t="n">
        <v>8917436223</v>
      </c>
      <c r="I534" s="10" t="inlineStr">
        <is>
          <t>PE06052602</t>
        </is>
      </c>
      <c r="J534" s="8" t="inlineStr">
        <is>
          <t>Diode Bypass Module Issue</t>
        </is>
      </c>
      <c r="K534" s="8" t="inlineStr">
        <is>
          <t>Bhavnagar</t>
        </is>
      </c>
      <c r="L534" s="8" t="inlineStr">
        <is>
          <t>Gujarat</t>
        </is>
      </c>
      <c r="M534" s="2" t="inlineStr">
        <is>
          <t>PS</t>
        </is>
      </c>
      <c r="N534" s="1" t="inlineStr">
        <is>
          <t>Cold Soldering</t>
        </is>
      </c>
      <c r="O534" s="11" t="n">
        <v>540</v>
      </c>
      <c r="P534" s="2" t="inlineStr">
        <is>
          <t>NSMP2305193421</t>
        </is>
      </c>
      <c r="Q534" s="14">
        <f>MID(P534,5,2)</f>
        <v/>
      </c>
      <c r="R534" s="14">
        <f>MID(P534,7,2)</f>
        <v/>
      </c>
      <c r="S534" s="1" t="inlineStr">
        <is>
          <t>G2B</t>
        </is>
      </c>
      <c r="T534" s="1" t="inlineStr">
        <is>
          <t>P2 - PEPPL</t>
        </is>
      </c>
      <c r="U534" s="1" t="inlineStr">
        <is>
          <t>P JB Cold Soldering</t>
        </is>
      </c>
      <c r="V534" s="1" t="inlineStr">
        <is>
          <t>Soldering</t>
        </is>
      </c>
      <c r="W534" s="1" t="inlineStr">
        <is>
          <t>Repair</t>
        </is>
      </c>
      <c r="X534" s="5" t="n">
        <v>46177</v>
      </c>
      <c r="Y534" s="1">
        <f>IF(X534="","",X534-A534)</f>
        <v/>
      </c>
      <c r="Z534" s="5" t="n">
        <v>46177</v>
      </c>
      <c r="AA534" s="3" t="n"/>
      <c r="AB534" s="3" t="n"/>
      <c r="AE534" s="146">
        <f>IF(AND(F534="Closed",X534&gt;=DATE(2026,6,1),X534&lt;=DATE(2026,6,30)),"Closed in June","other")</f>
        <v/>
      </c>
    </row>
    <row r="535" hidden="1">
      <c r="A535" s="9" t="n">
        <v>46148</v>
      </c>
      <c r="B535" s="1" t="n">
        <v>2026</v>
      </c>
      <c r="C535" s="8" t="inlineStr">
        <is>
          <t>Continuum</t>
        </is>
      </c>
      <c r="D535" s="1" t="inlineStr">
        <is>
          <t>Utility and C&amp;I</t>
        </is>
      </c>
      <c r="E535" s="1" t="n"/>
      <c r="F535" s="1" t="inlineStr">
        <is>
          <t>Closed</t>
        </is>
      </c>
      <c r="G535" s="8" t="inlineStr">
        <is>
          <t>Amiya Ranjan Behera</t>
        </is>
      </c>
      <c r="H535" s="8" t="n">
        <v>8917436223</v>
      </c>
      <c r="I535" s="10" t="inlineStr">
        <is>
          <t>PE06052602</t>
        </is>
      </c>
      <c r="J535" s="8" t="inlineStr">
        <is>
          <t>Diode Bypass Module Issue</t>
        </is>
      </c>
      <c r="K535" s="8" t="inlineStr">
        <is>
          <t>Bhavnagar</t>
        </is>
      </c>
      <c r="L535" s="8" t="inlineStr">
        <is>
          <t>Gujarat</t>
        </is>
      </c>
      <c r="M535" s="2" t="inlineStr">
        <is>
          <t>PS</t>
        </is>
      </c>
      <c r="N535" s="1" t="inlineStr">
        <is>
          <t>Cold Soldering</t>
        </is>
      </c>
      <c r="O535" s="11" t="n">
        <v>540</v>
      </c>
      <c r="P535" s="2" t="inlineStr">
        <is>
          <t>NSMP2305132487</t>
        </is>
      </c>
      <c r="Q535" s="14">
        <f>MID(P535,5,2)</f>
        <v/>
      </c>
      <c r="R535" s="14">
        <f>MID(P535,7,2)</f>
        <v/>
      </c>
      <c r="S535" s="1" t="inlineStr">
        <is>
          <t>G2B</t>
        </is>
      </c>
      <c r="T535" s="1" t="inlineStr">
        <is>
          <t>P2 - PEPPL</t>
        </is>
      </c>
      <c r="U535" s="1" t="inlineStr">
        <is>
          <t>P JB Cold Soldering</t>
        </is>
      </c>
      <c r="V535" s="1" t="inlineStr">
        <is>
          <t>Soldering</t>
        </is>
      </c>
      <c r="W535" s="1" t="inlineStr">
        <is>
          <t>Repair</t>
        </is>
      </c>
      <c r="X535" s="5" t="n">
        <v>46177</v>
      </c>
      <c r="Y535" s="1">
        <f>IF(X535="","",X535-A535)</f>
        <v/>
      </c>
      <c r="Z535" s="5" t="n">
        <v>46177</v>
      </c>
      <c r="AA535" s="3" t="n"/>
      <c r="AB535" s="3" t="n"/>
      <c r="AE535" s="146">
        <f>IF(AND(F535="Closed",X535&gt;=DATE(2026,6,1),X535&lt;=DATE(2026,6,30)),"Closed in June","other")</f>
        <v/>
      </c>
    </row>
    <row r="536" hidden="1">
      <c r="A536" s="9" t="n">
        <v>46148</v>
      </c>
      <c r="B536" s="1" t="n">
        <v>2026</v>
      </c>
      <c r="C536" s="8" t="inlineStr">
        <is>
          <t>Continuum</t>
        </is>
      </c>
      <c r="D536" s="1" t="inlineStr">
        <is>
          <t>Utility and C&amp;I</t>
        </is>
      </c>
      <c r="E536" s="1" t="n"/>
      <c r="F536" s="1" t="inlineStr">
        <is>
          <t>Closed</t>
        </is>
      </c>
      <c r="G536" s="8" t="inlineStr">
        <is>
          <t>Amiya Ranjan Behera</t>
        </is>
      </c>
      <c r="H536" s="8" t="n">
        <v>8917436223</v>
      </c>
      <c r="I536" s="10" t="inlineStr">
        <is>
          <t>PE06052602</t>
        </is>
      </c>
      <c r="J536" s="8" t="inlineStr">
        <is>
          <t>Diode Bypass Module Issue</t>
        </is>
      </c>
      <c r="K536" s="8" t="inlineStr">
        <is>
          <t>Bhavnagar</t>
        </is>
      </c>
      <c r="L536" s="8" t="inlineStr">
        <is>
          <t>Gujarat</t>
        </is>
      </c>
      <c r="M536" s="2" t="inlineStr">
        <is>
          <t>PS</t>
        </is>
      </c>
      <c r="N536" s="1" t="inlineStr">
        <is>
          <t>Cold Soldering</t>
        </is>
      </c>
      <c r="O536" s="11" t="n">
        <v>540</v>
      </c>
      <c r="P536" s="2" t="inlineStr">
        <is>
          <t>NSMP2305132464</t>
        </is>
      </c>
      <c r="Q536" s="14">
        <f>MID(P536,5,2)</f>
        <v/>
      </c>
      <c r="R536" s="14">
        <f>MID(P536,7,2)</f>
        <v/>
      </c>
      <c r="S536" s="1" t="inlineStr">
        <is>
          <t>G2B</t>
        </is>
      </c>
      <c r="T536" s="1" t="inlineStr">
        <is>
          <t>P2 - PEPPL</t>
        </is>
      </c>
      <c r="U536" s="1" t="inlineStr">
        <is>
          <t>P JB Cold Soldering</t>
        </is>
      </c>
      <c r="V536" s="1" t="inlineStr">
        <is>
          <t>Soldering</t>
        </is>
      </c>
      <c r="W536" s="1" t="inlineStr">
        <is>
          <t>Repair</t>
        </is>
      </c>
      <c r="X536" s="5" t="n">
        <v>46177</v>
      </c>
      <c r="Y536" s="1">
        <f>IF(X536="","",X536-A536)</f>
        <v/>
      </c>
      <c r="Z536" s="5" t="n">
        <v>46177</v>
      </c>
      <c r="AA536" s="3" t="n"/>
      <c r="AB536" s="3" t="n"/>
      <c r="AE536" s="146">
        <f>IF(AND(F536="Closed",X536&gt;=DATE(2026,6,1),X536&lt;=DATE(2026,6,30)),"Closed in June","other")</f>
        <v/>
      </c>
    </row>
    <row r="537" hidden="1">
      <c r="A537" s="9" t="n">
        <v>46148</v>
      </c>
      <c r="B537" s="1" t="n">
        <v>2026</v>
      </c>
      <c r="C537" s="8" t="inlineStr">
        <is>
          <t>Continuum</t>
        </is>
      </c>
      <c r="D537" s="1" t="inlineStr">
        <is>
          <t>Utility and C&amp;I</t>
        </is>
      </c>
      <c r="E537" s="1" t="n"/>
      <c r="F537" s="1" t="inlineStr">
        <is>
          <t>Closed</t>
        </is>
      </c>
      <c r="G537" s="8" t="inlineStr">
        <is>
          <t>Amiya Ranjan Behera</t>
        </is>
      </c>
      <c r="H537" s="8" t="n">
        <v>8917436223</v>
      </c>
      <c r="I537" s="10" t="inlineStr">
        <is>
          <t>PE06052602</t>
        </is>
      </c>
      <c r="J537" s="8" t="inlineStr">
        <is>
          <t>Diode Bypass Module Issue</t>
        </is>
      </c>
      <c r="K537" s="8" t="inlineStr">
        <is>
          <t>Bhavnagar</t>
        </is>
      </c>
      <c r="L537" s="8" t="inlineStr">
        <is>
          <t>Gujarat</t>
        </is>
      </c>
      <c r="M537" s="2" t="inlineStr">
        <is>
          <t>PS</t>
        </is>
      </c>
      <c r="N537" s="1" t="inlineStr">
        <is>
          <t>Cold Soldering</t>
        </is>
      </c>
      <c r="O537" s="11" t="n">
        <v>540</v>
      </c>
      <c r="P537" s="2" t="inlineStr">
        <is>
          <t>NSMP2305132482</t>
        </is>
      </c>
      <c r="Q537" s="14">
        <f>MID(P537,5,2)</f>
        <v/>
      </c>
      <c r="R537" s="14">
        <f>MID(P537,7,2)</f>
        <v/>
      </c>
      <c r="S537" s="1" t="inlineStr">
        <is>
          <t>G2B</t>
        </is>
      </c>
      <c r="T537" s="1" t="inlineStr">
        <is>
          <t>P2 - PEPPL</t>
        </is>
      </c>
      <c r="U537" s="1" t="inlineStr">
        <is>
          <t>P JB Cold Soldering</t>
        </is>
      </c>
      <c r="V537" s="1" t="inlineStr">
        <is>
          <t>Soldering</t>
        </is>
      </c>
      <c r="W537" s="1" t="inlineStr">
        <is>
          <t>Repair</t>
        </is>
      </c>
      <c r="X537" s="5" t="n">
        <v>46177</v>
      </c>
      <c r="Y537" s="1">
        <f>IF(X537="","",X537-A537)</f>
        <v/>
      </c>
      <c r="Z537" s="5" t="n">
        <v>46177</v>
      </c>
      <c r="AA537" s="3" t="n"/>
      <c r="AB537" s="3" t="n"/>
      <c r="AE537" s="146">
        <f>IF(AND(F537="Closed",X537&gt;=DATE(2026,6,1),X537&lt;=DATE(2026,6,30)),"Closed in June","other")</f>
        <v/>
      </c>
    </row>
    <row r="538" hidden="1">
      <c r="A538" s="9" t="n">
        <v>46148</v>
      </c>
      <c r="B538" s="1" t="n">
        <v>2026</v>
      </c>
      <c r="C538" s="8" t="inlineStr">
        <is>
          <t>Continuum</t>
        </is>
      </c>
      <c r="D538" s="1" t="inlineStr">
        <is>
          <t>Utility and C&amp;I</t>
        </is>
      </c>
      <c r="E538" s="1" t="n"/>
      <c r="F538" s="1" t="inlineStr">
        <is>
          <t>Closed</t>
        </is>
      </c>
      <c r="G538" s="8" t="inlineStr">
        <is>
          <t>Amiya Ranjan Behera</t>
        </is>
      </c>
      <c r="H538" s="8" t="n">
        <v>8917436223</v>
      </c>
      <c r="I538" s="10" t="inlineStr">
        <is>
          <t>PE06052602</t>
        </is>
      </c>
      <c r="J538" s="8" t="inlineStr">
        <is>
          <t>Diode Bypass Module Issue</t>
        </is>
      </c>
      <c r="K538" s="8" t="inlineStr">
        <is>
          <t>Bhavnagar</t>
        </is>
      </c>
      <c r="L538" s="8" t="inlineStr">
        <is>
          <t>Gujarat</t>
        </is>
      </c>
      <c r="M538" s="2" t="inlineStr">
        <is>
          <t>PS</t>
        </is>
      </c>
      <c r="N538" s="1" t="inlineStr">
        <is>
          <t>Cold Soldering</t>
        </is>
      </c>
      <c r="O538" s="11" t="n">
        <v>540</v>
      </c>
      <c r="P538" s="25" t="inlineStr">
        <is>
          <t>NSMP2305132480</t>
        </is>
      </c>
      <c r="Q538" s="14">
        <f>MID(P538,5,2)</f>
        <v/>
      </c>
      <c r="R538" s="14">
        <f>MID(P538,7,2)</f>
        <v/>
      </c>
      <c r="S538" s="1" t="inlineStr">
        <is>
          <t>G2B</t>
        </is>
      </c>
      <c r="T538" s="1" t="inlineStr">
        <is>
          <t>P2 - PEPPL</t>
        </is>
      </c>
      <c r="U538" s="1" t="inlineStr">
        <is>
          <t>P JB Cold Soldering</t>
        </is>
      </c>
      <c r="V538" s="1" t="inlineStr">
        <is>
          <t>Soldering</t>
        </is>
      </c>
      <c r="W538" s="1" t="inlineStr">
        <is>
          <t>Repair</t>
        </is>
      </c>
      <c r="X538" s="5" t="n">
        <v>46177</v>
      </c>
      <c r="Y538" s="1">
        <f>IF(X538="","",X538-A538)</f>
        <v/>
      </c>
      <c r="Z538" s="5" t="n">
        <v>46177</v>
      </c>
      <c r="AA538" s="3" t="n"/>
      <c r="AB538" s="3" t="n"/>
      <c r="AE538" s="146">
        <f>IF(AND(F538="Closed",X538&gt;=DATE(2026,6,1),X538&lt;=DATE(2026,6,30)),"Closed in June","other")</f>
        <v/>
      </c>
    </row>
    <row r="539" hidden="1">
      <c r="A539" s="9" t="n">
        <v>46148</v>
      </c>
      <c r="B539" s="1" t="n">
        <v>2026</v>
      </c>
      <c r="C539" s="8" t="inlineStr">
        <is>
          <t>Continuum</t>
        </is>
      </c>
      <c r="D539" s="1" t="inlineStr">
        <is>
          <t>Utility and C&amp;I</t>
        </is>
      </c>
      <c r="E539" s="1" t="n"/>
      <c r="F539" s="1" t="inlineStr">
        <is>
          <t>Closed</t>
        </is>
      </c>
      <c r="G539" s="8" t="inlineStr">
        <is>
          <t>Amiya Ranjan Behera</t>
        </is>
      </c>
      <c r="H539" s="8" t="n">
        <v>8917436223</v>
      </c>
      <c r="I539" s="10" t="inlineStr">
        <is>
          <t>PE06052602</t>
        </is>
      </c>
      <c r="J539" s="8" t="inlineStr">
        <is>
          <t>Diode Bypass Module Issue</t>
        </is>
      </c>
      <c r="K539" s="8" t="inlineStr">
        <is>
          <t>Bhavnagar</t>
        </is>
      </c>
      <c r="L539" s="8" t="inlineStr">
        <is>
          <t>Gujarat</t>
        </is>
      </c>
      <c r="M539" s="2" t="inlineStr">
        <is>
          <t>PS</t>
        </is>
      </c>
      <c r="N539" s="1" t="inlineStr">
        <is>
          <t>Cold Soldering</t>
        </is>
      </c>
      <c r="O539" s="11" t="n">
        <v>540</v>
      </c>
      <c r="P539" s="2" t="inlineStr">
        <is>
          <t>NSMP2305194377</t>
        </is>
      </c>
      <c r="Q539" s="14">
        <f>MID(P539,5,2)</f>
        <v/>
      </c>
      <c r="R539" s="14">
        <f>MID(P539,7,2)</f>
        <v/>
      </c>
      <c r="S539" s="1" t="inlineStr">
        <is>
          <t>G2B</t>
        </is>
      </c>
      <c r="T539" s="1" t="inlineStr">
        <is>
          <t>P2 - PEPPL</t>
        </is>
      </c>
      <c r="U539" s="1" t="inlineStr">
        <is>
          <t>P JB Cold Soldering</t>
        </is>
      </c>
      <c r="V539" s="1" t="inlineStr">
        <is>
          <t>Soldering</t>
        </is>
      </c>
      <c r="W539" s="1" t="inlineStr">
        <is>
          <t>Repair</t>
        </is>
      </c>
      <c r="X539" s="5" t="n">
        <v>46177</v>
      </c>
      <c r="Y539" s="1">
        <f>IF(X539="","",X539-A539)</f>
        <v/>
      </c>
      <c r="Z539" s="5" t="n">
        <v>46177</v>
      </c>
      <c r="AA539" s="3" t="n"/>
      <c r="AB539" s="3" t="n"/>
      <c r="AE539" s="146">
        <f>IF(AND(F539="Closed",X539&gt;=DATE(2026,6,1),X539&lt;=DATE(2026,6,30)),"Closed in June","other")</f>
        <v/>
      </c>
    </row>
    <row r="540" hidden="1">
      <c r="A540" s="9" t="n">
        <v>46148</v>
      </c>
      <c r="B540" s="1" t="n">
        <v>2026</v>
      </c>
      <c r="C540" s="8" t="inlineStr">
        <is>
          <t>Continuum</t>
        </is>
      </c>
      <c r="D540" s="1" t="inlineStr">
        <is>
          <t>Utility and C&amp;I</t>
        </is>
      </c>
      <c r="E540" s="1" t="n"/>
      <c r="F540" s="1" t="inlineStr">
        <is>
          <t>Closed</t>
        </is>
      </c>
      <c r="G540" s="8" t="inlineStr">
        <is>
          <t>Amiya Ranjan Behera</t>
        </is>
      </c>
      <c r="H540" s="8" t="n">
        <v>8917436223</v>
      </c>
      <c r="I540" s="10" t="inlineStr">
        <is>
          <t>PE06052602</t>
        </is>
      </c>
      <c r="J540" s="8" t="inlineStr">
        <is>
          <t>Diode Bypass Module Issue</t>
        </is>
      </c>
      <c r="K540" s="8" t="inlineStr">
        <is>
          <t>Bhavnagar</t>
        </is>
      </c>
      <c r="L540" s="8" t="inlineStr">
        <is>
          <t>Gujarat</t>
        </is>
      </c>
      <c r="M540" s="2" t="inlineStr">
        <is>
          <t>PS</t>
        </is>
      </c>
      <c r="N540" s="1" t="inlineStr">
        <is>
          <t>Cold Soldering</t>
        </is>
      </c>
      <c r="O540" s="11" t="n">
        <v>540</v>
      </c>
      <c r="P540" s="2" t="inlineStr">
        <is>
          <t>NSMP2305192312</t>
        </is>
      </c>
      <c r="Q540" s="14">
        <f>MID(P540,5,2)</f>
        <v/>
      </c>
      <c r="R540" s="14">
        <f>MID(P540,7,2)</f>
        <v/>
      </c>
      <c r="S540" s="1" t="inlineStr">
        <is>
          <t>G2B</t>
        </is>
      </c>
      <c r="T540" s="1" t="inlineStr">
        <is>
          <t>P2 - PEPPL</t>
        </is>
      </c>
      <c r="U540" s="1" t="inlineStr">
        <is>
          <t>P JB Cold Soldering</t>
        </is>
      </c>
      <c r="V540" s="1" t="inlineStr">
        <is>
          <t>Soldering</t>
        </is>
      </c>
      <c r="W540" s="1" t="inlineStr">
        <is>
          <t>Repair</t>
        </is>
      </c>
      <c r="X540" s="5" t="n">
        <v>46177</v>
      </c>
      <c r="Y540" s="1">
        <f>IF(X540="","",X540-A540)</f>
        <v/>
      </c>
      <c r="Z540" s="5" t="n">
        <v>46177</v>
      </c>
      <c r="AA540" s="3" t="n"/>
      <c r="AB540" s="3" t="n"/>
      <c r="AE540" s="146">
        <f>IF(AND(F540="Closed",X540&gt;=DATE(2026,6,1),X540&lt;=DATE(2026,6,30)),"Closed in June","other")</f>
        <v/>
      </c>
    </row>
    <row r="541" hidden="1">
      <c r="A541" s="9" t="n">
        <v>46148</v>
      </c>
      <c r="B541" s="1" t="n">
        <v>2026</v>
      </c>
      <c r="C541" s="8" t="inlineStr">
        <is>
          <t>Continuum</t>
        </is>
      </c>
      <c r="D541" s="1" t="inlineStr">
        <is>
          <t>Utility and C&amp;I</t>
        </is>
      </c>
      <c r="E541" s="1" t="n"/>
      <c r="F541" s="1" t="inlineStr">
        <is>
          <t>Closed</t>
        </is>
      </c>
      <c r="G541" s="8" t="inlineStr">
        <is>
          <t>Amiya Ranjan Behera</t>
        </is>
      </c>
      <c r="H541" s="8" t="n">
        <v>8917436223</v>
      </c>
      <c r="I541" s="10" t="inlineStr">
        <is>
          <t>PE06052602</t>
        </is>
      </c>
      <c r="J541" s="8" t="inlineStr">
        <is>
          <t>Diode Bypass Module Issue</t>
        </is>
      </c>
      <c r="K541" s="8" t="inlineStr">
        <is>
          <t>Bhavnagar</t>
        </is>
      </c>
      <c r="L541" s="8" t="inlineStr">
        <is>
          <t>Gujarat</t>
        </is>
      </c>
      <c r="M541" s="2" t="inlineStr">
        <is>
          <t>PS</t>
        </is>
      </c>
      <c r="N541" s="1" t="inlineStr">
        <is>
          <t>Cold Soldering</t>
        </is>
      </c>
      <c r="O541" s="11" t="n">
        <v>540</v>
      </c>
      <c r="P541" s="2" t="inlineStr">
        <is>
          <t>NSMP2305191465</t>
        </is>
      </c>
      <c r="Q541" s="14">
        <f>MID(P541,5,2)</f>
        <v/>
      </c>
      <c r="R541" s="14">
        <f>MID(P541,7,2)</f>
        <v/>
      </c>
      <c r="S541" s="1" t="inlineStr">
        <is>
          <t>G2B</t>
        </is>
      </c>
      <c r="T541" s="1" t="inlineStr">
        <is>
          <t>P2 - PEPPL</t>
        </is>
      </c>
      <c r="U541" s="1" t="inlineStr">
        <is>
          <t>P JB Cold Soldering</t>
        </is>
      </c>
      <c r="V541" s="1" t="inlineStr">
        <is>
          <t>Soldering</t>
        </is>
      </c>
      <c r="W541" s="1" t="inlineStr">
        <is>
          <t>Repair</t>
        </is>
      </c>
      <c r="X541" s="5" t="n">
        <v>46177</v>
      </c>
      <c r="Y541" s="1">
        <f>IF(X541="","",X541-A541)</f>
        <v/>
      </c>
      <c r="Z541" s="5" t="n">
        <v>46177</v>
      </c>
      <c r="AA541" s="3" t="n"/>
      <c r="AB541" s="3" t="n"/>
      <c r="AE541" s="146">
        <f>IF(AND(F541="Closed",X541&gt;=DATE(2026,6,1),X541&lt;=DATE(2026,6,30)),"Closed in June","other")</f>
        <v/>
      </c>
    </row>
    <row r="542" hidden="1">
      <c r="A542" s="9" t="n">
        <v>46148</v>
      </c>
      <c r="B542" s="1" t="n">
        <v>2026</v>
      </c>
      <c r="C542" s="8" t="inlineStr">
        <is>
          <t>Continuum</t>
        </is>
      </c>
      <c r="D542" s="1" t="inlineStr">
        <is>
          <t>Utility and C&amp;I</t>
        </is>
      </c>
      <c r="E542" s="1" t="n"/>
      <c r="F542" s="1" t="inlineStr">
        <is>
          <t>Closed</t>
        </is>
      </c>
      <c r="G542" s="8" t="inlineStr">
        <is>
          <t>Amiya Ranjan Behera</t>
        </is>
      </c>
      <c r="H542" s="8" t="n">
        <v>8917436223</v>
      </c>
      <c r="I542" s="10" t="inlineStr">
        <is>
          <t>PE06052602</t>
        </is>
      </c>
      <c r="J542" s="8" t="inlineStr">
        <is>
          <t>Diode Bypass Module Issue</t>
        </is>
      </c>
      <c r="K542" s="8" t="inlineStr">
        <is>
          <t>Bhavnagar</t>
        </is>
      </c>
      <c r="L542" s="8" t="inlineStr">
        <is>
          <t>Gujarat</t>
        </is>
      </c>
      <c r="M542" s="2" t="inlineStr">
        <is>
          <t>PS</t>
        </is>
      </c>
      <c r="N542" s="1" t="inlineStr">
        <is>
          <t>Cold Soldering</t>
        </is>
      </c>
      <c r="O542" s="11" t="n">
        <v>540</v>
      </c>
      <c r="P542" s="2" t="inlineStr">
        <is>
          <t>NSMP2305191433</t>
        </is>
      </c>
      <c r="Q542" s="14">
        <f>MID(P542,5,2)</f>
        <v/>
      </c>
      <c r="R542" s="14">
        <f>MID(P542,7,2)</f>
        <v/>
      </c>
      <c r="S542" s="1" t="inlineStr">
        <is>
          <t>G2B</t>
        </is>
      </c>
      <c r="T542" s="1" t="inlineStr">
        <is>
          <t>P2 - PEPPL</t>
        </is>
      </c>
      <c r="U542" s="1" t="inlineStr">
        <is>
          <t>P JB Cold Soldering</t>
        </is>
      </c>
      <c r="V542" s="1" t="inlineStr">
        <is>
          <t>Soldering</t>
        </is>
      </c>
      <c r="W542" s="1" t="inlineStr">
        <is>
          <t>Repair</t>
        </is>
      </c>
      <c r="X542" s="5" t="n">
        <v>46177</v>
      </c>
      <c r="Y542" s="1">
        <f>IF(X542="","",X542-A542)</f>
        <v/>
      </c>
      <c r="Z542" s="5" t="n">
        <v>46177</v>
      </c>
      <c r="AA542" s="3" t="n"/>
      <c r="AB542" s="3" t="n"/>
      <c r="AE542" s="146">
        <f>IF(AND(F542="Closed",X542&gt;=DATE(2026,6,1),X542&lt;=DATE(2026,6,30)),"Closed in June","other")</f>
        <v/>
      </c>
    </row>
    <row r="543" hidden="1">
      <c r="A543" s="9" t="n">
        <v>46148</v>
      </c>
      <c r="B543" s="1" t="n">
        <v>2026</v>
      </c>
      <c r="C543" s="8" t="inlineStr">
        <is>
          <t>Continuum</t>
        </is>
      </c>
      <c r="D543" s="1" t="inlineStr">
        <is>
          <t>Utility and C&amp;I</t>
        </is>
      </c>
      <c r="E543" s="1" t="n"/>
      <c r="F543" s="1" t="inlineStr">
        <is>
          <t>Closed</t>
        </is>
      </c>
      <c r="G543" s="8" t="inlineStr">
        <is>
          <t>Amiya Ranjan Behera</t>
        </is>
      </c>
      <c r="H543" s="8" t="n">
        <v>8917436223</v>
      </c>
      <c r="I543" s="10" t="inlineStr">
        <is>
          <t>PE06052602</t>
        </is>
      </c>
      <c r="J543" s="8" t="inlineStr">
        <is>
          <t>Diode Bypass Module Issue</t>
        </is>
      </c>
      <c r="K543" s="8" t="inlineStr">
        <is>
          <t>Bhavnagar</t>
        </is>
      </c>
      <c r="L543" s="8" t="inlineStr">
        <is>
          <t>Gujarat</t>
        </is>
      </c>
      <c r="M543" s="2" t="inlineStr">
        <is>
          <t>PS</t>
        </is>
      </c>
      <c r="N543" s="1" t="inlineStr">
        <is>
          <t>Cold Soldering</t>
        </is>
      </c>
      <c r="O543" s="11" t="n">
        <v>540</v>
      </c>
      <c r="P543" s="2" t="inlineStr">
        <is>
          <t>NSMP2305191415</t>
        </is>
      </c>
      <c r="Q543" s="14">
        <f>MID(P543,5,2)</f>
        <v/>
      </c>
      <c r="R543" s="14">
        <f>MID(P543,7,2)</f>
        <v/>
      </c>
      <c r="S543" s="1" t="inlineStr">
        <is>
          <t>G2B</t>
        </is>
      </c>
      <c r="T543" s="1" t="inlineStr">
        <is>
          <t>P2 - PEPPL</t>
        </is>
      </c>
      <c r="U543" s="1" t="inlineStr">
        <is>
          <t>P JB Cold Soldering</t>
        </is>
      </c>
      <c r="V543" s="1" t="inlineStr">
        <is>
          <t>Soldering</t>
        </is>
      </c>
      <c r="W543" s="1" t="inlineStr">
        <is>
          <t>Repair</t>
        </is>
      </c>
      <c r="X543" s="5" t="n">
        <v>46177</v>
      </c>
      <c r="Y543" s="1">
        <f>IF(X543="","",X543-A543)</f>
        <v/>
      </c>
      <c r="Z543" s="5" t="n">
        <v>46177</v>
      </c>
      <c r="AA543" s="3" t="n"/>
      <c r="AB543" s="3" t="n"/>
      <c r="AE543" s="146">
        <f>IF(AND(F543="Closed",X543&gt;=DATE(2026,6,1),X543&lt;=DATE(2026,6,30)),"Closed in June","other")</f>
        <v/>
      </c>
    </row>
    <row r="544" hidden="1">
      <c r="A544" s="9" t="n">
        <v>46148</v>
      </c>
      <c r="B544" s="1" t="n">
        <v>2026</v>
      </c>
      <c r="C544" s="8" t="inlineStr">
        <is>
          <t>Continuum</t>
        </is>
      </c>
      <c r="D544" s="1" t="inlineStr">
        <is>
          <t>Utility and C&amp;I</t>
        </is>
      </c>
      <c r="E544" s="1" t="n"/>
      <c r="F544" s="1" t="inlineStr">
        <is>
          <t>Closed</t>
        </is>
      </c>
      <c r="G544" s="8" t="inlineStr">
        <is>
          <t>Amiya Ranjan Behera</t>
        </is>
      </c>
      <c r="H544" s="8" t="n">
        <v>8917436223</v>
      </c>
      <c r="I544" s="10" t="inlineStr">
        <is>
          <t>PE06052602</t>
        </is>
      </c>
      <c r="J544" s="8" t="inlineStr">
        <is>
          <t>Diode Bypass Module Issue</t>
        </is>
      </c>
      <c r="K544" s="8" t="inlineStr">
        <is>
          <t>Bhavnagar</t>
        </is>
      </c>
      <c r="L544" s="8" t="inlineStr">
        <is>
          <t>Gujarat</t>
        </is>
      </c>
      <c r="M544" s="2" t="inlineStr">
        <is>
          <t>PS</t>
        </is>
      </c>
      <c r="N544" s="1" t="inlineStr">
        <is>
          <t>Cold Soldering</t>
        </is>
      </c>
      <c r="O544" s="11" t="n">
        <v>540</v>
      </c>
      <c r="P544" s="2" t="inlineStr">
        <is>
          <t>NSMP2305191420</t>
        </is>
      </c>
      <c r="Q544" s="14">
        <f>MID(P544,5,2)</f>
        <v/>
      </c>
      <c r="R544" s="14">
        <f>MID(P544,7,2)</f>
        <v/>
      </c>
      <c r="S544" s="1" t="inlineStr">
        <is>
          <t>G2B</t>
        </is>
      </c>
      <c r="T544" s="1" t="inlineStr">
        <is>
          <t>P2 - PEPPL</t>
        </is>
      </c>
      <c r="U544" s="1" t="inlineStr">
        <is>
          <t>P JB Cold Soldering</t>
        </is>
      </c>
      <c r="V544" s="1" t="inlineStr">
        <is>
          <t>Soldering</t>
        </is>
      </c>
      <c r="W544" s="1" t="inlineStr">
        <is>
          <t>Repair</t>
        </is>
      </c>
      <c r="X544" s="5" t="n">
        <v>46177</v>
      </c>
      <c r="Y544" s="1">
        <f>IF(X544="","",X544-A544)</f>
        <v/>
      </c>
      <c r="Z544" s="5" t="n">
        <v>46177</v>
      </c>
      <c r="AA544" s="3" t="n"/>
      <c r="AB544" s="3" t="n"/>
      <c r="AE544" s="146">
        <f>IF(AND(F544="Closed",X544&gt;=DATE(2026,6,1),X544&lt;=DATE(2026,6,30)),"Closed in June","other")</f>
        <v/>
      </c>
    </row>
    <row r="545" hidden="1">
      <c r="A545" s="9" t="n">
        <v>46148</v>
      </c>
      <c r="B545" s="1" t="n">
        <v>2026</v>
      </c>
      <c r="C545" s="8" t="inlineStr">
        <is>
          <t>Continuum</t>
        </is>
      </c>
      <c r="D545" s="1" t="inlineStr">
        <is>
          <t>Utility and C&amp;I</t>
        </is>
      </c>
      <c r="E545" s="1" t="n"/>
      <c r="F545" s="1" t="inlineStr">
        <is>
          <t>Closed</t>
        </is>
      </c>
      <c r="G545" s="8" t="inlineStr">
        <is>
          <t>Amiya Ranjan Behera</t>
        </is>
      </c>
      <c r="H545" s="8" t="n">
        <v>8917436223</v>
      </c>
      <c r="I545" s="10" t="inlineStr">
        <is>
          <t>PE06052602</t>
        </is>
      </c>
      <c r="J545" s="8" t="inlineStr">
        <is>
          <t>Diode Bypass Module Issue</t>
        </is>
      </c>
      <c r="K545" s="8" t="inlineStr">
        <is>
          <t>Bhavnagar</t>
        </is>
      </c>
      <c r="L545" s="8" t="inlineStr">
        <is>
          <t>Gujarat</t>
        </is>
      </c>
      <c r="M545" s="2" t="inlineStr">
        <is>
          <t>PS</t>
        </is>
      </c>
      <c r="N545" s="1" t="inlineStr">
        <is>
          <t>Cold Soldering</t>
        </is>
      </c>
      <c r="O545" s="11" t="n">
        <v>540</v>
      </c>
      <c r="P545" s="2" t="inlineStr">
        <is>
          <t>NSMP2305191324</t>
        </is>
      </c>
      <c r="Q545" s="14">
        <f>MID(P545,5,2)</f>
        <v/>
      </c>
      <c r="R545" s="14">
        <f>MID(P545,7,2)</f>
        <v/>
      </c>
      <c r="S545" s="1" t="inlineStr">
        <is>
          <t>G2B</t>
        </is>
      </c>
      <c r="T545" s="1" t="inlineStr">
        <is>
          <t>P2 - PEPPL</t>
        </is>
      </c>
      <c r="U545" s="1" t="inlineStr">
        <is>
          <t>P JB Cold Soldering</t>
        </is>
      </c>
      <c r="V545" s="1" t="inlineStr">
        <is>
          <t>Soldering</t>
        </is>
      </c>
      <c r="W545" s="1" t="inlineStr">
        <is>
          <t>Repair</t>
        </is>
      </c>
      <c r="X545" s="5" t="n">
        <v>46177</v>
      </c>
      <c r="Y545" s="1">
        <f>IF(X545="","",X545-A545)</f>
        <v/>
      </c>
      <c r="Z545" s="5" t="n">
        <v>46177</v>
      </c>
      <c r="AA545" s="3" t="n"/>
      <c r="AB545" s="3" t="n"/>
      <c r="AE545" s="146">
        <f>IF(AND(F545="Closed",X545&gt;=DATE(2026,6,1),X545&lt;=DATE(2026,6,30)),"Closed in June","other")</f>
        <v/>
      </c>
    </row>
    <row r="546" hidden="1">
      <c r="A546" s="9" t="n">
        <v>46148</v>
      </c>
      <c r="B546" s="1" t="n">
        <v>2026</v>
      </c>
      <c r="C546" s="8" t="inlineStr">
        <is>
          <t>Continuum</t>
        </is>
      </c>
      <c r="D546" s="1" t="inlineStr">
        <is>
          <t>Utility and C&amp;I</t>
        </is>
      </c>
      <c r="E546" s="1" t="n"/>
      <c r="F546" s="1" t="inlineStr">
        <is>
          <t>Closed</t>
        </is>
      </c>
      <c r="G546" s="8" t="inlineStr">
        <is>
          <t>Amiya Ranjan Behera</t>
        </is>
      </c>
      <c r="H546" s="8" t="n">
        <v>8917436223</v>
      </c>
      <c r="I546" s="10" t="inlineStr">
        <is>
          <t>PE06052602</t>
        </is>
      </c>
      <c r="J546" s="8" t="inlineStr">
        <is>
          <t>Diode Bypass Module Issue</t>
        </is>
      </c>
      <c r="K546" s="8" t="inlineStr">
        <is>
          <t>Bhavnagar</t>
        </is>
      </c>
      <c r="L546" s="8" t="inlineStr">
        <is>
          <t>Gujarat</t>
        </is>
      </c>
      <c r="M546" s="2" t="inlineStr">
        <is>
          <t>PS</t>
        </is>
      </c>
      <c r="N546" s="1" t="inlineStr">
        <is>
          <t>Cold Soldering</t>
        </is>
      </c>
      <c r="O546" s="11" t="n">
        <v>540</v>
      </c>
      <c r="P546" s="2" t="inlineStr">
        <is>
          <t>NSMP2305191455</t>
        </is>
      </c>
      <c r="Q546" s="14">
        <f>MID(P546,5,2)</f>
        <v/>
      </c>
      <c r="R546" s="14">
        <f>MID(P546,7,2)</f>
        <v/>
      </c>
      <c r="S546" s="1" t="inlineStr">
        <is>
          <t>G2B</t>
        </is>
      </c>
      <c r="T546" s="1" t="inlineStr">
        <is>
          <t>P2 - PEPPL</t>
        </is>
      </c>
      <c r="U546" s="1" t="inlineStr">
        <is>
          <t>P JB Cold Soldering</t>
        </is>
      </c>
      <c r="V546" s="1" t="inlineStr">
        <is>
          <t>Soldering</t>
        </is>
      </c>
      <c r="W546" s="1" t="inlineStr">
        <is>
          <t>Repair</t>
        </is>
      </c>
      <c r="X546" s="5" t="n">
        <v>46177</v>
      </c>
      <c r="Y546" s="1">
        <f>IF(X546="","",X546-A546)</f>
        <v/>
      </c>
      <c r="Z546" s="5" t="n">
        <v>46177</v>
      </c>
      <c r="AA546" s="3" t="n"/>
      <c r="AB546" s="3" t="n"/>
      <c r="AE546" s="146">
        <f>IF(AND(F546="Closed",X546&gt;=DATE(2026,6,1),X546&lt;=DATE(2026,6,30)),"Closed in June","other")</f>
        <v/>
      </c>
    </row>
    <row r="547" hidden="1">
      <c r="A547" s="9" t="n">
        <v>46148</v>
      </c>
      <c r="B547" s="1" t="n">
        <v>2026</v>
      </c>
      <c r="C547" s="8" t="inlineStr">
        <is>
          <t>Continuum</t>
        </is>
      </c>
      <c r="D547" s="1" t="inlineStr">
        <is>
          <t>Utility and C&amp;I</t>
        </is>
      </c>
      <c r="E547" s="1" t="n"/>
      <c r="F547" s="1" t="inlineStr">
        <is>
          <t>Closed</t>
        </is>
      </c>
      <c r="G547" s="8" t="inlineStr">
        <is>
          <t>Amiya Ranjan Behera</t>
        </is>
      </c>
      <c r="H547" s="8" t="n">
        <v>8917436223</v>
      </c>
      <c r="I547" s="10" t="inlineStr">
        <is>
          <t>PE06052602</t>
        </is>
      </c>
      <c r="J547" s="8" t="inlineStr">
        <is>
          <t>Diode Bypass Module Issue</t>
        </is>
      </c>
      <c r="K547" s="8" t="inlineStr">
        <is>
          <t>Bhavnagar</t>
        </is>
      </c>
      <c r="L547" s="8" t="inlineStr">
        <is>
          <t>Gujarat</t>
        </is>
      </c>
      <c r="M547" s="2" t="inlineStr">
        <is>
          <t>PS</t>
        </is>
      </c>
      <c r="N547" s="1" t="inlineStr">
        <is>
          <t>Cold Soldering</t>
        </is>
      </c>
      <c r="O547" s="11" t="n">
        <v>540</v>
      </c>
      <c r="P547" s="2" t="inlineStr">
        <is>
          <t>NSMP2305191504</t>
        </is>
      </c>
      <c r="Q547" s="14">
        <f>MID(P547,5,2)</f>
        <v/>
      </c>
      <c r="R547" s="14">
        <f>MID(P547,7,2)</f>
        <v/>
      </c>
      <c r="S547" s="1" t="inlineStr">
        <is>
          <t>G2B</t>
        </is>
      </c>
      <c r="T547" s="1" t="inlineStr">
        <is>
          <t>P2 - PEPPL</t>
        </is>
      </c>
      <c r="U547" s="1" t="inlineStr">
        <is>
          <t>P JB Cold Soldering</t>
        </is>
      </c>
      <c r="V547" s="1" t="inlineStr">
        <is>
          <t>Soldering</t>
        </is>
      </c>
      <c r="W547" s="1" t="inlineStr">
        <is>
          <t>Repair</t>
        </is>
      </c>
      <c r="X547" s="5" t="n">
        <v>46177</v>
      </c>
      <c r="Y547" s="1">
        <f>IF(X547="","",X547-A547)</f>
        <v/>
      </c>
      <c r="Z547" s="5" t="n">
        <v>46177</v>
      </c>
      <c r="AA547" s="3" t="n"/>
      <c r="AB547" s="3" t="n"/>
      <c r="AE547" s="146">
        <f>IF(AND(F547="Closed",X547&gt;=DATE(2026,6,1),X547&lt;=DATE(2026,6,30)),"Closed in June","other")</f>
        <v/>
      </c>
    </row>
    <row r="548" hidden="1">
      <c r="A548" s="9" t="n">
        <v>46148</v>
      </c>
      <c r="B548" s="1" t="n">
        <v>2026</v>
      </c>
      <c r="C548" s="8" t="inlineStr">
        <is>
          <t>Continuum</t>
        </is>
      </c>
      <c r="D548" s="1" t="inlineStr">
        <is>
          <t>Utility and C&amp;I</t>
        </is>
      </c>
      <c r="E548" s="1" t="n"/>
      <c r="F548" s="1" t="inlineStr">
        <is>
          <t>Closed</t>
        </is>
      </c>
      <c r="G548" s="8" t="inlineStr">
        <is>
          <t>Amiya Ranjan Behera</t>
        </is>
      </c>
      <c r="H548" s="8" t="n">
        <v>8917436223</v>
      </c>
      <c r="I548" s="10" t="inlineStr">
        <is>
          <t>PE06052602</t>
        </is>
      </c>
      <c r="J548" s="8" t="inlineStr">
        <is>
          <t>Diode Bypass Module Issue</t>
        </is>
      </c>
      <c r="K548" s="8" t="inlineStr">
        <is>
          <t>Bhavnagar</t>
        </is>
      </c>
      <c r="L548" s="8" t="inlineStr">
        <is>
          <t>Gujarat</t>
        </is>
      </c>
      <c r="M548" s="2" t="inlineStr">
        <is>
          <t>PS</t>
        </is>
      </c>
      <c r="N548" s="1" t="inlineStr">
        <is>
          <t>Cold Soldering</t>
        </is>
      </c>
      <c r="O548" s="11" t="n">
        <v>540</v>
      </c>
      <c r="P548" s="2" t="inlineStr">
        <is>
          <t>NSMP2305191487</t>
        </is>
      </c>
      <c r="Q548" s="14">
        <f>MID(P548,5,2)</f>
        <v/>
      </c>
      <c r="R548" s="14">
        <f>MID(P548,7,2)</f>
        <v/>
      </c>
      <c r="S548" s="1" t="inlineStr">
        <is>
          <t>G2B</t>
        </is>
      </c>
      <c r="T548" s="1" t="inlineStr">
        <is>
          <t>P2 - PEPPL</t>
        </is>
      </c>
      <c r="U548" s="1" t="inlineStr">
        <is>
          <t>P JB Cold Soldering</t>
        </is>
      </c>
      <c r="V548" s="1" t="inlineStr">
        <is>
          <t>Soldering</t>
        </is>
      </c>
      <c r="W548" s="1" t="inlineStr">
        <is>
          <t>Repair</t>
        </is>
      </c>
      <c r="X548" s="5" t="n">
        <v>46177</v>
      </c>
      <c r="Y548" s="1">
        <f>IF(X548="","",X548-A548)</f>
        <v/>
      </c>
      <c r="Z548" s="5" t="n">
        <v>46177</v>
      </c>
      <c r="AA548" s="3" t="n"/>
      <c r="AB548" s="3" t="n"/>
      <c r="AE548" s="146">
        <f>IF(AND(F548="Closed",X548&gt;=DATE(2026,6,1),X548&lt;=DATE(2026,6,30)),"Closed in June","other")</f>
        <v/>
      </c>
    </row>
    <row r="549" hidden="1">
      <c r="A549" s="9" t="n">
        <v>46148</v>
      </c>
      <c r="B549" s="1" t="n">
        <v>2026</v>
      </c>
      <c r="C549" s="8" t="inlineStr">
        <is>
          <t>Continuum</t>
        </is>
      </c>
      <c r="D549" s="1" t="inlineStr">
        <is>
          <t>Utility and C&amp;I</t>
        </is>
      </c>
      <c r="E549" s="1" t="n"/>
      <c r="F549" s="1" t="inlineStr">
        <is>
          <t>Closed</t>
        </is>
      </c>
      <c r="G549" s="8" t="inlineStr">
        <is>
          <t>Amiya Ranjan Behera</t>
        </is>
      </c>
      <c r="H549" s="8" t="n">
        <v>8917436223</v>
      </c>
      <c r="I549" s="10" t="inlineStr">
        <is>
          <t>PE06052602</t>
        </is>
      </c>
      <c r="J549" s="8" t="inlineStr">
        <is>
          <t>Diode Bypass Module Issue</t>
        </is>
      </c>
      <c r="K549" s="8" t="inlineStr">
        <is>
          <t>Bhavnagar</t>
        </is>
      </c>
      <c r="L549" s="8" t="inlineStr">
        <is>
          <t>Gujarat</t>
        </is>
      </c>
      <c r="M549" s="2" t="inlineStr">
        <is>
          <t>PS</t>
        </is>
      </c>
      <c r="N549" s="1" t="inlineStr">
        <is>
          <t>Cold Soldering</t>
        </is>
      </c>
      <c r="O549" s="11" t="n">
        <v>540</v>
      </c>
      <c r="P549" s="2" t="inlineStr">
        <is>
          <t>NSMP2305191479</t>
        </is>
      </c>
      <c r="Q549" s="14">
        <f>MID(P549,5,2)</f>
        <v/>
      </c>
      <c r="R549" s="14">
        <f>MID(P549,7,2)</f>
        <v/>
      </c>
      <c r="S549" s="1" t="inlineStr">
        <is>
          <t>G2B</t>
        </is>
      </c>
      <c r="T549" s="1" t="inlineStr">
        <is>
          <t>P2 - PEPPL</t>
        </is>
      </c>
      <c r="U549" s="1" t="inlineStr">
        <is>
          <t>P JB Cold Soldering</t>
        </is>
      </c>
      <c r="V549" s="1" t="inlineStr">
        <is>
          <t>Soldering</t>
        </is>
      </c>
      <c r="W549" s="1" t="inlineStr">
        <is>
          <t>Repair</t>
        </is>
      </c>
      <c r="X549" s="5" t="n">
        <v>46177</v>
      </c>
      <c r="Y549" s="1">
        <f>IF(X549="","",X549-A549)</f>
        <v/>
      </c>
      <c r="Z549" s="5" t="n">
        <v>46177</v>
      </c>
      <c r="AA549" s="3" t="n"/>
      <c r="AB549" s="3" t="n"/>
      <c r="AE549" s="146">
        <f>IF(AND(F549="Closed",X549&gt;=DATE(2026,6,1),X549&lt;=DATE(2026,6,30)),"Closed in June","other")</f>
        <v/>
      </c>
    </row>
    <row r="550" hidden="1">
      <c r="A550" s="9" t="n">
        <v>46148</v>
      </c>
      <c r="B550" s="1" t="n">
        <v>2026</v>
      </c>
      <c r="C550" s="8" t="inlineStr">
        <is>
          <t>Continuum</t>
        </is>
      </c>
      <c r="D550" s="1" t="inlineStr">
        <is>
          <t>Utility and C&amp;I</t>
        </is>
      </c>
      <c r="E550" s="1" t="n"/>
      <c r="F550" s="1" t="inlineStr">
        <is>
          <t>Closed</t>
        </is>
      </c>
      <c r="G550" s="8" t="inlineStr">
        <is>
          <t>Amiya Ranjan Behera</t>
        </is>
      </c>
      <c r="H550" s="8" t="n">
        <v>8917436223</v>
      </c>
      <c r="I550" s="10" t="inlineStr">
        <is>
          <t>PE06052602</t>
        </is>
      </c>
      <c r="J550" s="8" t="inlineStr">
        <is>
          <t>Diode Bypass Module Issue</t>
        </is>
      </c>
      <c r="K550" s="8" t="inlineStr">
        <is>
          <t>Bhavnagar</t>
        </is>
      </c>
      <c r="L550" s="8" t="inlineStr">
        <is>
          <t>Gujarat</t>
        </is>
      </c>
      <c r="M550" s="2" t="inlineStr">
        <is>
          <t>PS</t>
        </is>
      </c>
      <c r="N550" s="1" t="inlineStr">
        <is>
          <t>Cold Soldering</t>
        </is>
      </c>
      <c r="O550" s="11" t="n">
        <v>540</v>
      </c>
      <c r="P550" s="2" t="inlineStr">
        <is>
          <t>NSMP2305191304</t>
        </is>
      </c>
      <c r="Q550" s="14">
        <f>MID(P550,5,2)</f>
        <v/>
      </c>
      <c r="R550" s="14">
        <f>MID(P550,7,2)</f>
        <v/>
      </c>
      <c r="S550" s="1" t="inlineStr">
        <is>
          <t>G2B</t>
        </is>
      </c>
      <c r="T550" s="1" t="inlineStr">
        <is>
          <t>P2 - PEPPL</t>
        </is>
      </c>
      <c r="U550" s="1" t="inlineStr">
        <is>
          <t>P JB Cold Soldering</t>
        </is>
      </c>
      <c r="V550" s="1" t="inlineStr">
        <is>
          <t>Soldering</t>
        </is>
      </c>
      <c r="W550" s="1" t="inlineStr">
        <is>
          <t>Repair</t>
        </is>
      </c>
      <c r="X550" s="5" t="n">
        <v>46177</v>
      </c>
      <c r="Y550" s="1">
        <f>IF(X550="","",X550-A550)</f>
        <v/>
      </c>
      <c r="Z550" s="5" t="n">
        <v>46177</v>
      </c>
      <c r="AA550" s="3" t="n"/>
      <c r="AB550" s="3" t="n"/>
      <c r="AE550" s="146">
        <f>IF(AND(F550="Closed",X550&gt;=DATE(2026,6,1),X550&lt;=DATE(2026,6,30)),"Closed in June","other")</f>
        <v/>
      </c>
    </row>
    <row r="551" hidden="1">
      <c r="A551" s="9" t="n">
        <v>46148</v>
      </c>
      <c r="B551" s="1" t="n">
        <v>2026</v>
      </c>
      <c r="C551" s="8" t="inlineStr">
        <is>
          <t>Continuum</t>
        </is>
      </c>
      <c r="D551" s="1" t="inlineStr">
        <is>
          <t>Utility and C&amp;I</t>
        </is>
      </c>
      <c r="E551" s="1" t="n"/>
      <c r="F551" s="1" t="inlineStr">
        <is>
          <t>Closed</t>
        </is>
      </c>
      <c r="G551" s="8" t="inlineStr">
        <is>
          <t>Amiya Ranjan Behera</t>
        </is>
      </c>
      <c r="H551" s="8" t="n">
        <v>8917436223</v>
      </c>
      <c r="I551" s="10" t="inlineStr">
        <is>
          <t>PE06052602</t>
        </is>
      </c>
      <c r="J551" s="8" t="inlineStr">
        <is>
          <t>Diode Bypass Module Issue</t>
        </is>
      </c>
      <c r="K551" s="8" t="inlineStr">
        <is>
          <t>Bhavnagar</t>
        </is>
      </c>
      <c r="L551" s="8" t="inlineStr">
        <is>
          <t>Gujarat</t>
        </is>
      </c>
      <c r="M551" s="2" t="inlineStr">
        <is>
          <t>PS</t>
        </is>
      </c>
      <c r="N551" s="1" t="inlineStr">
        <is>
          <t>Cold Soldering</t>
        </is>
      </c>
      <c r="O551" s="11" t="n">
        <v>540</v>
      </c>
      <c r="P551" s="2" t="inlineStr">
        <is>
          <t>NSMP2305191349</t>
        </is>
      </c>
      <c r="Q551" s="14">
        <f>MID(P551,5,2)</f>
        <v/>
      </c>
      <c r="R551" s="14">
        <f>MID(P551,7,2)</f>
        <v/>
      </c>
      <c r="S551" s="1" t="inlineStr">
        <is>
          <t>G2B</t>
        </is>
      </c>
      <c r="T551" s="1" t="inlineStr">
        <is>
          <t>P2 - PEPPL</t>
        </is>
      </c>
      <c r="U551" s="1" t="inlineStr">
        <is>
          <t>P JB Cold Soldering</t>
        </is>
      </c>
      <c r="V551" s="1" t="inlineStr">
        <is>
          <t>Soldering</t>
        </is>
      </c>
      <c r="W551" s="1" t="inlineStr">
        <is>
          <t>Repair</t>
        </is>
      </c>
      <c r="X551" s="5" t="n">
        <v>46177</v>
      </c>
      <c r="Y551" s="1">
        <f>IF(X551="","",X551-A551)</f>
        <v/>
      </c>
      <c r="Z551" s="5" t="n">
        <v>46177</v>
      </c>
      <c r="AA551" s="3" t="n"/>
      <c r="AB551" s="3" t="n"/>
      <c r="AE551" s="146">
        <f>IF(AND(F551="Closed",X551&gt;=DATE(2026,6,1),X551&lt;=DATE(2026,6,30)),"Closed in June","other")</f>
        <v/>
      </c>
    </row>
    <row r="552" hidden="1">
      <c r="A552" s="9" t="n">
        <v>46148</v>
      </c>
      <c r="B552" s="1" t="n">
        <v>2026</v>
      </c>
      <c r="C552" s="8" t="inlineStr">
        <is>
          <t>Continuum</t>
        </is>
      </c>
      <c r="D552" s="1" t="inlineStr">
        <is>
          <t>Utility and C&amp;I</t>
        </is>
      </c>
      <c r="E552" s="1" t="n"/>
      <c r="F552" s="1" t="inlineStr">
        <is>
          <t>Closed</t>
        </is>
      </c>
      <c r="G552" s="8" t="inlineStr">
        <is>
          <t>Amiya Ranjan Behera</t>
        </is>
      </c>
      <c r="H552" s="8" t="n">
        <v>8917436223</v>
      </c>
      <c r="I552" s="10" t="inlineStr">
        <is>
          <t>PE06052602</t>
        </is>
      </c>
      <c r="J552" s="8" t="inlineStr">
        <is>
          <t>Diode Bypass Module Issue</t>
        </is>
      </c>
      <c r="K552" s="8" t="inlineStr">
        <is>
          <t>Bhavnagar</t>
        </is>
      </c>
      <c r="L552" s="8" t="inlineStr">
        <is>
          <t>Gujarat</t>
        </is>
      </c>
      <c r="M552" s="2" t="inlineStr">
        <is>
          <t>PS</t>
        </is>
      </c>
      <c r="N552" s="1" t="inlineStr">
        <is>
          <t>Cold Soldering</t>
        </is>
      </c>
      <c r="O552" s="11" t="n">
        <v>540</v>
      </c>
      <c r="P552" s="2" t="inlineStr">
        <is>
          <t>NSMP2305191394</t>
        </is>
      </c>
      <c r="Q552" s="14">
        <f>MID(P552,5,2)</f>
        <v/>
      </c>
      <c r="R552" s="14">
        <f>MID(P552,7,2)</f>
        <v/>
      </c>
      <c r="S552" s="1" t="inlineStr">
        <is>
          <t>G2B</t>
        </is>
      </c>
      <c r="T552" s="1" t="inlineStr">
        <is>
          <t>P2 - PEPPL</t>
        </is>
      </c>
      <c r="U552" s="1" t="inlineStr">
        <is>
          <t>P JB Cold Soldering</t>
        </is>
      </c>
      <c r="V552" s="1" t="inlineStr">
        <is>
          <t>Soldering</t>
        </is>
      </c>
      <c r="W552" s="1" t="inlineStr">
        <is>
          <t>Repair</t>
        </is>
      </c>
      <c r="X552" s="5" t="n">
        <v>46177</v>
      </c>
      <c r="Y552" s="1">
        <f>IF(X552="","",X552-A552)</f>
        <v/>
      </c>
      <c r="Z552" s="5" t="n">
        <v>46177</v>
      </c>
      <c r="AA552" s="3" t="n"/>
      <c r="AB552" s="3" t="n"/>
      <c r="AE552" s="146">
        <f>IF(AND(F552="Closed",X552&gt;=DATE(2026,6,1),X552&lt;=DATE(2026,6,30)),"Closed in June","other")</f>
        <v/>
      </c>
    </row>
    <row r="553" hidden="1">
      <c r="A553" s="9" t="n">
        <v>46148</v>
      </c>
      <c r="B553" s="1" t="n">
        <v>2026</v>
      </c>
      <c r="C553" s="8" t="inlineStr">
        <is>
          <t>Continuum</t>
        </is>
      </c>
      <c r="D553" s="1" t="inlineStr">
        <is>
          <t>Utility and C&amp;I</t>
        </is>
      </c>
      <c r="E553" s="1" t="n"/>
      <c r="F553" s="1" t="inlineStr">
        <is>
          <t>Closed</t>
        </is>
      </c>
      <c r="G553" s="8" t="inlineStr">
        <is>
          <t>Amiya Ranjan Behera</t>
        </is>
      </c>
      <c r="H553" s="8" t="n">
        <v>8917436223</v>
      </c>
      <c r="I553" s="10" t="inlineStr">
        <is>
          <t>PE06052602</t>
        </is>
      </c>
      <c r="J553" s="8" t="inlineStr">
        <is>
          <t>Diode Bypass Module Issue</t>
        </is>
      </c>
      <c r="K553" s="8" t="inlineStr">
        <is>
          <t>Bhavnagar</t>
        </is>
      </c>
      <c r="L553" s="8" t="inlineStr">
        <is>
          <t>Gujarat</t>
        </is>
      </c>
      <c r="M553" s="2" t="inlineStr">
        <is>
          <t>PS</t>
        </is>
      </c>
      <c r="N553" s="1" t="inlineStr">
        <is>
          <t>Cold Soldering</t>
        </is>
      </c>
      <c r="O553" s="11" t="n">
        <v>540</v>
      </c>
      <c r="P553" s="2" t="inlineStr">
        <is>
          <t>NSMP2305194515</t>
        </is>
      </c>
      <c r="Q553" s="14">
        <f>MID(P553,5,2)</f>
        <v/>
      </c>
      <c r="R553" s="14">
        <f>MID(P553,7,2)</f>
        <v/>
      </c>
      <c r="S553" s="1" t="inlineStr">
        <is>
          <t>G2B</t>
        </is>
      </c>
      <c r="T553" s="1" t="inlineStr">
        <is>
          <t>P2 - PEPPL</t>
        </is>
      </c>
      <c r="U553" s="1" t="inlineStr">
        <is>
          <t>P JB Cold Soldering</t>
        </is>
      </c>
      <c r="V553" s="1" t="inlineStr">
        <is>
          <t>Soldering</t>
        </is>
      </c>
      <c r="W553" s="1" t="inlineStr">
        <is>
          <t>Repair</t>
        </is>
      </c>
      <c r="X553" s="5" t="n">
        <v>46177</v>
      </c>
      <c r="Y553" s="1">
        <f>IF(X553="","",X553-A553)</f>
        <v/>
      </c>
      <c r="Z553" s="5" t="n">
        <v>46177</v>
      </c>
      <c r="AA553" s="3" t="n"/>
      <c r="AB553" s="3" t="n"/>
      <c r="AE553" s="146">
        <f>IF(AND(F553="Closed",X553&gt;=DATE(2026,6,1),X553&lt;=DATE(2026,6,30)),"Closed in June","other")</f>
        <v/>
      </c>
    </row>
    <row r="554" hidden="1">
      <c r="A554" s="9" t="n">
        <v>46148</v>
      </c>
      <c r="B554" s="1" t="n">
        <v>2026</v>
      </c>
      <c r="C554" s="8" t="inlineStr">
        <is>
          <t>Continuum</t>
        </is>
      </c>
      <c r="D554" s="1" t="inlineStr">
        <is>
          <t>Utility and C&amp;I</t>
        </is>
      </c>
      <c r="E554" s="1" t="n"/>
      <c r="F554" s="1" t="inlineStr">
        <is>
          <t>Closed</t>
        </is>
      </c>
      <c r="G554" s="8" t="inlineStr">
        <is>
          <t>Amiya Ranjan Behera</t>
        </is>
      </c>
      <c r="H554" s="8" t="n">
        <v>8917436223</v>
      </c>
      <c r="I554" s="10" t="inlineStr">
        <is>
          <t>PE06052602</t>
        </is>
      </c>
      <c r="J554" s="8" t="inlineStr">
        <is>
          <t>Diode Bypass Module Issue</t>
        </is>
      </c>
      <c r="K554" s="8" t="inlineStr">
        <is>
          <t>Bhavnagar</t>
        </is>
      </c>
      <c r="L554" s="8" t="inlineStr">
        <is>
          <t>Gujarat</t>
        </is>
      </c>
      <c r="M554" s="2" t="inlineStr">
        <is>
          <t>PS</t>
        </is>
      </c>
      <c r="N554" s="1" t="inlineStr">
        <is>
          <t>Cold Soldering</t>
        </is>
      </c>
      <c r="O554" s="11" t="n">
        <v>540</v>
      </c>
      <c r="P554" s="2" t="inlineStr">
        <is>
          <t>NSMP2305189889</t>
        </is>
      </c>
      <c r="Q554" s="14">
        <f>MID(P554,5,2)</f>
        <v/>
      </c>
      <c r="R554" s="14">
        <f>MID(P554,7,2)</f>
        <v/>
      </c>
      <c r="S554" s="1" t="inlineStr">
        <is>
          <t>G2B</t>
        </is>
      </c>
      <c r="T554" s="1" t="inlineStr">
        <is>
          <t>P2 - PEPPL</t>
        </is>
      </c>
      <c r="U554" s="1" t="inlineStr">
        <is>
          <t>P JB Cold Soldering</t>
        </is>
      </c>
      <c r="V554" s="1" t="inlineStr">
        <is>
          <t>Soldering</t>
        </is>
      </c>
      <c r="W554" s="1" t="inlineStr">
        <is>
          <t>Repair</t>
        </is>
      </c>
      <c r="X554" s="5" t="n">
        <v>46177</v>
      </c>
      <c r="Y554" s="1">
        <f>IF(X554="","",X554-A554)</f>
        <v/>
      </c>
      <c r="Z554" s="5" t="n">
        <v>46177</v>
      </c>
      <c r="AA554" s="3" t="n"/>
      <c r="AB554" s="3" t="n"/>
      <c r="AE554" s="146">
        <f>IF(AND(F554="Closed",X554&gt;=DATE(2026,6,1),X554&lt;=DATE(2026,6,30)),"Closed in June","other")</f>
        <v/>
      </c>
    </row>
    <row r="555" hidden="1">
      <c r="A555" s="9" t="n">
        <v>46148</v>
      </c>
      <c r="B555" s="1" t="n">
        <v>2026</v>
      </c>
      <c r="C555" s="8" t="inlineStr">
        <is>
          <t>Continuum</t>
        </is>
      </c>
      <c r="D555" s="1" t="inlineStr">
        <is>
          <t>Utility and C&amp;I</t>
        </is>
      </c>
      <c r="E555" s="1" t="n"/>
      <c r="F555" s="1" t="inlineStr">
        <is>
          <t>Closed</t>
        </is>
      </c>
      <c r="G555" s="8" t="inlineStr">
        <is>
          <t>Amiya Ranjan Behera</t>
        </is>
      </c>
      <c r="H555" s="8" t="n">
        <v>8917436223</v>
      </c>
      <c r="I555" s="10" t="inlineStr">
        <is>
          <t>PE06052602</t>
        </is>
      </c>
      <c r="J555" s="8" t="inlineStr">
        <is>
          <t>Diode Bypass Module Issue</t>
        </is>
      </c>
      <c r="K555" s="8" t="inlineStr">
        <is>
          <t>Bhavnagar</t>
        </is>
      </c>
      <c r="L555" s="8" t="inlineStr">
        <is>
          <t>Gujarat</t>
        </is>
      </c>
      <c r="M555" s="2" t="inlineStr">
        <is>
          <t>PS</t>
        </is>
      </c>
      <c r="N555" s="1" t="inlineStr">
        <is>
          <t>Cold Soldering</t>
        </is>
      </c>
      <c r="O555" s="11" t="n">
        <v>540</v>
      </c>
      <c r="P555" s="2" t="inlineStr">
        <is>
          <t>NSMP2305189851</t>
        </is>
      </c>
      <c r="Q555" s="14">
        <f>MID(P555,5,2)</f>
        <v/>
      </c>
      <c r="R555" s="14">
        <f>MID(P555,7,2)</f>
        <v/>
      </c>
      <c r="S555" s="1" t="inlineStr">
        <is>
          <t>G2B</t>
        </is>
      </c>
      <c r="T555" s="1" t="inlineStr">
        <is>
          <t>P2 - PEPPL</t>
        </is>
      </c>
      <c r="U555" s="1" t="inlineStr">
        <is>
          <t>P JB Cold Soldering</t>
        </is>
      </c>
      <c r="V555" s="1" t="inlineStr">
        <is>
          <t>Soldering</t>
        </is>
      </c>
      <c r="W555" s="1" t="inlineStr">
        <is>
          <t>Repair</t>
        </is>
      </c>
      <c r="X555" s="5" t="n">
        <v>46177</v>
      </c>
      <c r="Y555" s="1">
        <f>IF(X555="","",X555-A555)</f>
        <v/>
      </c>
      <c r="Z555" s="5" t="n">
        <v>46177</v>
      </c>
      <c r="AA555" s="3" t="n"/>
      <c r="AB555" s="3" t="n"/>
      <c r="AE555" s="146">
        <f>IF(AND(F555="Closed",X555&gt;=DATE(2026,6,1),X555&lt;=DATE(2026,6,30)),"Closed in June","other")</f>
        <v/>
      </c>
    </row>
    <row r="556" hidden="1">
      <c r="A556" s="9" t="n">
        <v>46148</v>
      </c>
      <c r="B556" s="1" t="n">
        <v>2026</v>
      </c>
      <c r="C556" s="8" t="inlineStr">
        <is>
          <t>Continuum</t>
        </is>
      </c>
      <c r="D556" s="1" t="inlineStr">
        <is>
          <t>Utility and C&amp;I</t>
        </is>
      </c>
      <c r="E556" s="1" t="n"/>
      <c r="F556" s="1" t="inlineStr">
        <is>
          <t>Closed</t>
        </is>
      </c>
      <c r="G556" s="8" t="inlineStr">
        <is>
          <t>Amiya Ranjan Behera</t>
        </is>
      </c>
      <c r="H556" s="8" t="n">
        <v>8917436223</v>
      </c>
      <c r="I556" s="10" t="inlineStr">
        <is>
          <t>PE06052602</t>
        </is>
      </c>
      <c r="J556" s="8" t="inlineStr">
        <is>
          <t>Diode Bypass Module Issue</t>
        </is>
      </c>
      <c r="K556" s="8" t="inlineStr">
        <is>
          <t>Bhavnagar</t>
        </is>
      </c>
      <c r="L556" s="8" t="inlineStr">
        <is>
          <t>Gujarat</t>
        </is>
      </c>
      <c r="M556" s="2" t="inlineStr">
        <is>
          <t>PS</t>
        </is>
      </c>
      <c r="N556" s="1" t="inlineStr">
        <is>
          <t>Cold Soldering</t>
        </is>
      </c>
      <c r="O556" s="11" t="n">
        <v>540</v>
      </c>
      <c r="P556" s="2" t="inlineStr">
        <is>
          <t>NSMP2305189905</t>
        </is>
      </c>
      <c r="Q556" s="14">
        <f>MID(P556,5,2)</f>
        <v/>
      </c>
      <c r="R556" s="14">
        <f>MID(P556,7,2)</f>
        <v/>
      </c>
      <c r="S556" s="1" t="inlineStr">
        <is>
          <t>G2B</t>
        </is>
      </c>
      <c r="T556" s="1" t="inlineStr">
        <is>
          <t>P2 - PEPPL</t>
        </is>
      </c>
      <c r="U556" s="1" t="inlineStr">
        <is>
          <t>P JB Cold Soldering</t>
        </is>
      </c>
      <c r="V556" s="1" t="inlineStr">
        <is>
          <t>Soldering</t>
        </is>
      </c>
      <c r="W556" s="1" t="inlineStr">
        <is>
          <t>Repair</t>
        </is>
      </c>
      <c r="X556" s="5" t="n">
        <v>46177</v>
      </c>
      <c r="Y556" s="1">
        <f>IF(X556="","",X556-A556)</f>
        <v/>
      </c>
      <c r="Z556" s="5" t="n">
        <v>46177</v>
      </c>
      <c r="AA556" s="3" t="n"/>
      <c r="AB556" s="3" t="n"/>
      <c r="AE556" s="146">
        <f>IF(AND(F556="Closed",X556&gt;=DATE(2026,6,1),X556&lt;=DATE(2026,6,30)),"Closed in June","other")</f>
        <v/>
      </c>
    </row>
    <row r="557" hidden="1">
      <c r="A557" s="9" t="n">
        <v>46148</v>
      </c>
      <c r="B557" s="1" t="n">
        <v>2026</v>
      </c>
      <c r="C557" s="8" t="inlineStr">
        <is>
          <t>Continuum</t>
        </is>
      </c>
      <c r="D557" s="1" t="inlineStr">
        <is>
          <t>Utility and C&amp;I</t>
        </is>
      </c>
      <c r="E557" s="1" t="n"/>
      <c r="F557" s="1" t="inlineStr">
        <is>
          <t>Closed</t>
        </is>
      </c>
      <c r="G557" s="8" t="inlineStr">
        <is>
          <t>Amiya Ranjan Behera</t>
        </is>
      </c>
      <c r="H557" s="8" t="n">
        <v>8917436223</v>
      </c>
      <c r="I557" s="10" t="inlineStr">
        <is>
          <t>PE06052602</t>
        </is>
      </c>
      <c r="J557" s="8" t="inlineStr">
        <is>
          <t>Diode Bypass Module Issue</t>
        </is>
      </c>
      <c r="K557" s="8" t="inlineStr">
        <is>
          <t>Bhavnagar</t>
        </is>
      </c>
      <c r="L557" s="8" t="inlineStr">
        <is>
          <t>Gujarat</t>
        </is>
      </c>
      <c r="M557" s="2" t="inlineStr">
        <is>
          <t>PS</t>
        </is>
      </c>
      <c r="N557" s="1" t="inlineStr">
        <is>
          <t>Cold Soldering</t>
        </is>
      </c>
      <c r="O557" s="11" t="n">
        <v>540</v>
      </c>
      <c r="P557" s="2" t="inlineStr">
        <is>
          <t>NSMP2305189887</t>
        </is>
      </c>
      <c r="Q557" s="14">
        <f>MID(P557,5,2)</f>
        <v/>
      </c>
      <c r="R557" s="14">
        <f>MID(P557,7,2)</f>
        <v/>
      </c>
      <c r="S557" s="1" t="inlineStr">
        <is>
          <t>G2B</t>
        </is>
      </c>
      <c r="T557" s="1" t="inlineStr">
        <is>
          <t>P2 - PEPPL</t>
        </is>
      </c>
      <c r="U557" s="1" t="inlineStr">
        <is>
          <t>P JB Cold Soldering</t>
        </is>
      </c>
      <c r="V557" s="1" t="inlineStr">
        <is>
          <t>Soldering</t>
        </is>
      </c>
      <c r="W557" s="1" t="inlineStr">
        <is>
          <t>Repair</t>
        </is>
      </c>
      <c r="X557" s="5" t="n">
        <v>46177</v>
      </c>
      <c r="Y557" s="1">
        <f>IF(X557="","",X557-A557)</f>
        <v/>
      </c>
      <c r="Z557" s="5" t="n">
        <v>46177</v>
      </c>
      <c r="AA557" s="3" t="n"/>
      <c r="AB557" s="3" t="n"/>
      <c r="AE557" s="146">
        <f>IF(AND(F557="Closed",X557&gt;=DATE(2026,6,1),X557&lt;=DATE(2026,6,30)),"Closed in June","other")</f>
        <v/>
      </c>
    </row>
    <row r="558" hidden="1">
      <c r="A558" s="9" t="n">
        <v>46148</v>
      </c>
      <c r="B558" s="1" t="n">
        <v>2026</v>
      </c>
      <c r="C558" s="8" t="inlineStr">
        <is>
          <t>Continuum</t>
        </is>
      </c>
      <c r="D558" s="1" t="inlineStr">
        <is>
          <t>Utility and C&amp;I</t>
        </is>
      </c>
      <c r="E558" s="1" t="n"/>
      <c r="F558" s="1" t="inlineStr">
        <is>
          <t>Closed</t>
        </is>
      </c>
      <c r="G558" s="8" t="inlineStr">
        <is>
          <t>Amiya Ranjan Behera</t>
        </is>
      </c>
      <c r="H558" s="8" t="n">
        <v>8917436223</v>
      </c>
      <c r="I558" s="10" t="inlineStr">
        <is>
          <t>PE06052602</t>
        </is>
      </c>
      <c r="J558" s="8" t="inlineStr">
        <is>
          <t>Diode Bypass Module Issue</t>
        </is>
      </c>
      <c r="K558" s="8" t="inlineStr">
        <is>
          <t>Bhavnagar</t>
        </is>
      </c>
      <c r="L558" s="8" t="inlineStr">
        <is>
          <t>Gujarat</t>
        </is>
      </c>
      <c r="M558" s="2" t="inlineStr">
        <is>
          <t>PS</t>
        </is>
      </c>
      <c r="N558" s="1" t="inlineStr">
        <is>
          <t>Cold Soldering</t>
        </is>
      </c>
      <c r="O558" s="11" t="n">
        <v>540</v>
      </c>
      <c r="P558" s="2" t="inlineStr">
        <is>
          <t>NSMP2305189903</t>
        </is>
      </c>
      <c r="Q558" s="14">
        <f>MID(P558,5,2)</f>
        <v/>
      </c>
      <c r="R558" s="14">
        <f>MID(P558,7,2)</f>
        <v/>
      </c>
      <c r="S558" s="1" t="inlineStr">
        <is>
          <t>G2B</t>
        </is>
      </c>
      <c r="T558" s="1" t="inlineStr">
        <is>
          <t>P2 - PEPPL</t>
        </is>
      </c>
      <c r="U558" s="1" t="inlineStr">
        <is>
          <t>P JB Cold Soldering</t>
        </is>
      </c>
      <c r="V558" s="1" t="inlineStr">
        <is>
          <t>Soldering</t>
        </is>
      </c>
      <c r="W558" s="1" t="inlineStr">
        <is>
          <t>Repair</t>
        </is>
      </c>
      <c r="X558" s="5" t="n">
        <v>46177</v>
      </c>
      <c r="Y558" s="1">
        <f>IF(X558="","",X558-A558)</f>
        <v/>
      </c>
      <c r="Z558" s="5" t="n">
        <v>46177</v>
      </c>
      <c r="AA558" s="3" t="n"/>
      <c r="AB558" s="3" t="n"/>
      <c r="AE558" s="146">
        <f>IF(AND(F558="Closed",X558&gt;=DATE(2026,6,1),X558&lt;=DATE(2026,6,30)),"Closed in June","other")</f>
        <v/>
      </c>
    </row>
    <row r="559" hidden="1">
      <c r="A559" s="9" t="n">
        <v>46148</v>
      </c>
      <c r="B559" s="1" t="n">
        <v>2026</v>
      </c>
      <c r="C559" s="8" t="inlineStr">
        <is>
          <t>Continuum</t>
        </is>
      </c>
      <c r="D559" s="1" t="inlineStr">
        <is>
          <t>Utility and C&amp;I</t>
        </is>
      </c>
      <c r="E559" s="1" t="n"/>
      <c r="F559" s="1" t="inlineStr">
        <is>
          <t>Closed</t>
        </is>
      </c>
      <c r="G559" s="8" t="inlineStr">
        <is>
          <t>Amiya Ranjan Behera</t>
        </is>
      </c>
      <c r="H559" s="8" t="n">
        <v>8917436223</v>
      </c>
      <c r="I559" s="10" t="inlineStr">
        <is>
          <t>PE06052602</t>
        </is>
      </c>
      <c r="J559" s="8" t="inlineStr">
        <is>
          <t>Diode Bypass Module Issue</t>
        </is>
      </c>
      <c r="K559" s="8" t="inlineStr">
        <is>
          <t>Bhavnagar</t>
        </is>
      </c>
      <c r="L559" s="8" t="inlineStr">
        <is>
          <t>Gujarat</t>
        </is>
      </c>
      <c r="M559" s="2" t="inlineStr">
        <is>
          <t>PS</t>
        </is>
      </c>
      <c r="N559" s="1" t="inlineStr">
        <is>
          <t>Cold Soldering</t>
        </is>
      </c>
      <c r="O559" s="11" t="n">
        <v>540</v>
      </c>
      <c r="P559" s="2" t="inlineStr">
        <is>
          <t>NSMP2305190406</t>
        </is>
      </c>
      <c r="Q559" s="14">
        <f>MID(P559,5,2)</f>
        <v/>
      </c>
      <c r="R559" s="14">
        <f>MID(P559,7,2)</f>
        <v/>
      </c>
      <c r="S559" s="1" t="inlineStr">
        <is>
          <t>G2B</t>
        </is>
      </c>
      <c r="T559" s="1" t="inlineStr">
        <is>
          <t>P2 - PEPPL</t>
        </is>
      </c>
      <c r="U559" s="1" t="inlineStr">
        <is>
          <t>P JB Cold Soldering</t>
        </is>
      </c>
      <c r="V559" s="1" t="inlineStr">
        <is>
          <t>Soldering</t>
        </is>
      </c>
      <c r="W559" s="1" t="inlineStr">
        <is>
          <t>Repair</t>
        </is>
      </c>
      <c r="X559" s="5" t="n">
        <v>46177</v>
      </c>
      <c r="Y559" s="1">
        <f>IF(X559="","",X559-A559)</f>
        <v/>
      </c>
      <c r="Z559" s="5" t="n">
        <v>46177</v>
      </c>
      <c r="AA559" s="3" t="n"/>
      <c r="AB559" s="3" t="n"/>
      <c r="AE559" s="146">
        <f>IF(AND(F559="Closed",X559&gt;=DATE(2026,6,1),X559&lt;=DATE(2026,6,30)),"Closed in June","other")</f>
        <v/>
      </c>
    </row>
    <row r="560" hidden="1">
      <c r="A560" s="9" t="n">
        <v>46148</v>
      </c>
      <c r="B560" s="1" t="n">
        <v>2026</v>
      </c>
      <c r="C560" s="8" t="inlineStr">
        <is>
          <t>Continuum</t>
        </is>
      </c>
      <c r="D560" s="1" t="inlineStr">
        <is>
          <t>Utility and C&amp;I</t>
        </is>
      </c>
      <c r="E560" s="1" t="n"/>
      <c r="F560" s="1" t="inlineStr">
        <is>
          <t>Closed</t>
        </is>
      </c>
      <c r="G560" s="8" t="inlineStr">
        <is>
          <t>Amiya Ranjan Behera</t>
        </is>
      </c>
      <c r="H560" s="8" t="n">
        <v>8917436223</v>
      </c>
      <c r="I560" s="10" t="inlineStr">
        <is>
          <t>PE06052602</t>
        </is>
      </c>
      <c r="J560" s="8" t="inlineStr">
        <is>
          <t>Diode Bypass Module Issue</t>
        </is>
      </c>
      <c r="K560" s="8" t="inlineStr">
        <is>
          <t>Bhavnagar</t>
        </is>
      </c>
      <c r="L560" s="8" t="inlineStr">
        <is>
          <t>Gujarat</t>
        </is>
      </c>
      <c r="M560" s="2" t="inlineStr">
        <is>
          <t>PS</t>
        </is>
      </c>
      <c r="N560" s="1" t="inlineStr">
        <is>
          <t>Cold Soldering</t>
        </is>
      </c>
      <c r="O560" s="11" t="n">
        <v>540</v>
      </c>
      <c r="P560" s="2" t="inlineStr">
        <is>
          <t>NSMP2305191788</t>
        </is>
      </c>
      <c r="Q560" s="14">
        <f>MID(P560,5,2)</f>
        <v/>
      </c>
      <c r="R560" s="14">
        <f>MID(P560,7,2)</f>
        <v/>
      </c>
      <c r="S560" s="1" t="inlineStr">
        <is>
          <t>G2B</t>
        </is>
      </c>
      <c r="T560" s="1" t="inlineStr">
        <is>
          <t>P2 - PEPPL</t>
        </is>
      </c>
      <c r="U560" s="1" t="inlineStr">
        <is>
          <t>P JB Cold Soldering</t>
        </is>
      </c>
      <c r="V560" s="1" t="inlineStr">
        <is>
          <t>Soldering</t>
        </is>
      </c>
      <c r="W560" s="1" t="inlineStr">
        <is>
          <t>Repair</t>
        </is>
      </c>
      <c r="X560" s="5" t="n">
        <v>46177</v>
      </c>
      <c r="Y560" s="1">
        <f>IF(X560="","",X560-A560)</f>
        <v/>
      </c>
      <c r="Z560" s="5" t="n">
        <v>46177</v>
      </c>
      <c r="AA560" s="3" t="n"/>
      <c r="AB560" s="3" t="n"/>
      <c r="AE560" s="146">
        <f>IF(AND(F560="Closed",X560&gt;=DATE(2026,6,1),X560&lt;=DATE(2026,6,30)),"Closed in June","other")</f>
        <v/>
      </c>
    </row>
    <row r="561" hidden="1">
      <c r="A561" s="9" t="n">
        <v>46148</v>
      </c>
      <c r="B561" s="1" t="n">
        <v>2026</v>
      </c>
      <c r="C561" s="8" t="inlineStr">
        <is>
          <t>Continuum</t>
        </is>
      </c>
      <c r="D561" s="1" t="inlineStr">
        <is>
          <t>Utility and C&amp;I</t>
        </is>
      </c>
      <c r="E561" s="1" t="n"/>
      <c r="F561" s="1" t="inlineStr">
        <is>
          <t>Closed</t>
        </is>
      </c>
      <c r="G561" s="8" t="inlineStr">
        <is>
          <t>Amiya Ranjan Behera</t>
        </is>
      </c>
      <c r="H561" s="8" t="n">
        <v>8917436223</v>
      </c>
      <c r="I561" s="10" t="inlineStr">
        <is>
          <t>PE06052602</t>
        </is>
      </c>
      <c r="J561" s="8" t="inlineStr">
        <is>
          <t>Diode Bypass Module Issue</t>
        </is>
      </c>
      <c r="K561" s="8" t="inlineStr">
        <is>
          <t>Bhavnagar</t>
        </is>
      </c>
      <c r="L561" s="8" t="inlineStr">
        <is>
          <t>Gujarat</t>
        </is>
      </c>
      <c r="M561" s="2" t="inlineStr">
        <is>
          <t>OK</t>
        </is>
      </c>
      <c r="N561" s="2" t="inlineStr">
        <is>
          <t>No Issue Found</t>
        </is>
      </c>
      <c r="O561" s="11" t="n">
        <v>540</v>
      </c>
      <c r="P561" s="2" t="inlineStr">
        <is>
          <t>NSMP2305191784</t>
        </is>
      </c>
      <c r="Q561" s="14">
        <f>MID(P561,5,2)</f>
        <v/>
      </c>
      <c r="R561" s="14">
        <f>MID(P561,7,2)</f>
        <v/>
      </c>
      <c r="S561" s="1" t="inlineStr">
        <is>
          <t>G2B</t>
        </is>
      </c>
      <c r="T561" s="1" t="inlineStr">
        <is>
          <t>P2 - PEPPL</t>
        </is>
      </c>
      <c r="U561" s="6" t="inlineStr">
        <is>
          <t>No Issue Found</t>
        </is>
      </c>
      <c r="V561" s="6" t="inlineStr">
        <is>
          <t>Inspection</t>
        </is>
      </c>
      <c r="W561" s="1" t="inlineStr">
        <is>
          <t>Rejected</t>
        </is>
      </c>
      <c r="X561" s="5" t="n">
        <v>46177</v>
      </c>
      <c r="Y561" s="1">
        <f>IF(X561="","",X561-A561)</f>
        <v/>
      </c>
      <c r="Z561" s="5" t="n">
        <v>46177</v>
      </c>
      <c r="AA561" s="3" t="n"/>
      <c r="AB561" s="3" t="n"/>
      <c r="AE561" s="146">
        <f>IF(AND(F561="Closed",X561&gt;=DATE(2026,6,1),X561&lt;=DATE(2026,6,30)),"Closed in June","other")</f>
        <v/>
      </c>
    </row>
    <row r="562" hidden="1">
      <c r="A562" s="9" t="n">
        <v>46148</v>
      </c>
      <c r="B562" s="1" t="n">
        <v>2026</v>
      </c>
      <c r="C562" s="8" t="inlineStr">
        <is>
          <t>Continuum</t>
        </is>
      </c>
      <c r="D562" s="1" t="inlineStr">
        <is>
          <t>Utility and C&amp;I</t>
        </is>
      </c>
      <c r="E562" s="1" t="n"/>
      <c r="F562" s="1" t="inlineStr">
        <is>
          <t>Closed</t>
        </is>
      </c>
      <c r="G562" s="8" t="inlineStr">
        <is>
          <t>Amiya Ranjan Behera</t>
        </is>
      </c>
      <c r="H562" s="8" t="n">
        <v>8917436223</v>
      </c>
      <c r="I562" s="10" t="inlineStr">
        <is>
          <t>PE06052602</t>
        </is>
      </c>
      <c r="J562" s="8" t="inlineStr">
        <is>
          <t>Diode Bypass Module Issue</t>
        </is>
      </c>
      <c r="K562" s="8" t="inlineStr">
        <is>
          <t>Bhavnagar</t>
        </is>
      </c>
      <c r="L562" s="8" t="inlineStr">
        <is>
          <t>Gujarat</t>
        </is>
      </c>
      <c r="M562" s="2" t="inlineStr">
        <is>
          <t>PS</t>
        </is>
      </c>
      <c r="N562" s="1" t="inlineStr">
        <is>
          <t>Cold Soldering</t>
        </is>
      </c>
      <c r="O562" s="11" t="n">
        <v>540</v>
      </c>
      <c r="P562" s="2" t="inlineStr">
        <is>
          <t>NSMP2305191628</t>
        </is>
      </c>
      <c r="Q562" s="14">
        <f>MID(P562,5,2)</f>
        <v/>
      </c>
      <c r="R562" s="14">
        <f>MID(P562,7,2)</f>
        <v/>
      </c>
      <c r="S562" s="1" t="inlineStr">
        <is>
          <t>G2B</t>
        </is>
      </c>
      <c r="T562" s="1" t="inlineStr">
        <is>
          <t>P2 - PEPPL</t>
        </is>
      </c>
      <c r="U562" s="1" t="inlineStr">
        <is>
          <t>P JB Cold Soldering</t>
        </is>
      </c>
      <c r="V562" s="1" t="inlineStr">
        <is>
          <t>Soldering</t>
        </is>
      </c>
      <c r="W562" s="1" t="inlineStr">
        <is>
          <t>Repair</t>
        </is>
      </c>
      <c r="X562" s="5" t="n">
        <v>46177</v>
      </c>
      <c r="Y562" s="1">
        <f>IF(X562="","",X562-A562)</f>
        <v/>
      </c>
      <c r="Z562" s="5" t="n">
        <v>46177</v>
      </c>
      <c r="AA562" s="3" t="n"/>
      <c r="AB562" s="3" t="n"/>
      <c r="AE562" s="146">
        <f>IF(AND(F562="Closed",X562&gt;=DATE(2026,6,1),X562&lt;=DATE(2026,6,30)),"Closed in June","other")</f>
        <v/>
      </c>
    </row>
    <row r="563" hidden="1">
      <c r="A563" s="9" t="n">
        <v>46148</v>
      </c>
      <c r="B563" s="1" t="n">
        <v>2026</v>
      </c>
      <c r="C563" s="8" t="inlineStr">
        <is>
          <t>Continuum</t>
        </is>
      </c>
      <c r="D563" s="1" t="inlineStr">
        <is>
          <t>Utility and C&amp;I</t>
        </is>
      </c>
      <c r="E563" s="1" t="n"/>
      <c r="F563" s="1" t="inlineStr">
        <is>
          <t>Closed</t>
        </is>
      </c>
      <c r="G563" s="8" t="inlineStr">
        <is>
          <t>Amiya Ranjan Behera</t>
        </is>
      </c>
      <c r="H563" s="8" t="n">
        <v>8917436223</v>
      </c>
      <c r="I563" s="10" t="inlineStr">
        <is>
          <t>PE06052602</t>
        </is>
      </c>
      <c r="J563" s="8" t="inlineStr">
        <is>
          <t>Diode Bypass Module Issue</t>
        </is>
      </c>
      <c r="K563" s="8" t="inlineStr">
        <is>
          <t>Bhavnagar</t>
        </is>
      </c>
      <c r="L563" s="8" t="inlineStr">
        <is>
          <t>Gujarat</t>
        </is>
      </c>
      <c r="M563" s="2" t="inlineStr">
        <is>
          <t>PS</t>
        </is>
      </c>
      <c r="N563" s="1" t="inlineStr">
        <is>
          <t>Cold Soldering</t>
        </is>
      </c>
      <c r="O563" s="11" t="n">
        <v>540</v>
      </c>
      <c r="P563" s="2" t="inlineStr">
        <is>
          <t>NSMP2305191488</t>
        </is>
      </c>
      <c r="Q563" s="14">
        <f>MID(P563,5,2)</f>
        <v/>
      </c>
      <c r="R563" s="14">
        <f>MID(P563,7,2)</f>
        <v/>
      </c>
      <c r="S563" s="1" t="inlineStr">
        <is>
          <t>G2B</t>
        </is>
      </c>
      <c r="T563" s="1" t="inlineStr">
        <is>
          <t>P2 - PEPPL</t>
        </is>
      </c>
      <c r="U563" s="1" t="inlineStr">
        <is>
          <t>P JB Cold Soldering</t>
        </is>
      </c>
      <c r="V563" s="1" t="inlineStr">
        <is>
          <t>Soldering</t>
        </is>
      </c>
      <c r="W563" s="1" t="inlineStr">
        <is>
          <t>Repair</t>
        </is>
      </c>
      <c r="X563" s="5" t="n">
        <v>46177</v>
      </c>
      <c r="Y563" s="1">
        <f>IF(X563="","",X563-A563)</f>
        <v/>
      </c>
      <c r="Z563" s="5" t="n">
        <v>46177</v>
      </c>
      <c r="AA563" s="3" t="n"/>
      <c r="AB563" s="3" t="n"/>
      <c r="AE563" s="146">
        <f>IF(AND(F563="Closed",X563&gt;=DATE(2026,6,1),X563&lt;=DATE(2026,6,30)),"Closed in June","other")</f>
        <v/>
      </c>
    </row>
    <row r="564" hidden="1">
      <c r="A564" s="9" t="n">
        <v>46148</v>
      </c>
      <c r="B564" s="1" t="n">
        <v>2026</v>
      </c>
      <c r="C564" s="8" t="inlineStr">
        <is>
          <t>Continuum</t>
        </is>
      </c>
      <c r="D564" s="1" t="inlineStr">
        <is>
          <t>Utility and C&amp;I</t>
        </is>
      </c>
      <c r="E564" s="1" t="n"/>
      <c r="F564" s="1" t="inlineStr">
        <is>
          <t>Closed</t>
        </is>
      </c>
      <c r="G564" s="8" t="inlineStr">
        <is>
          <t>Amiya Ranjan Behera</t>
        </is>
      </c>
      <c r="H564" s="8" t="n">
        <v>8917436223</v>
      </c>
      <c r="I564" s="10" t="inlineStr">
        <is>
          <t>PE06052602</t>
        </is>
      </c>
      <c r="J564" s="8" t="inlineStr">
        <is>
          <t>Diode Bypass Module Issue</t>
        </is>
      </c>
      <c r="K564" s="8" t="inlineStr">
        <is>
          <t>Bhavnagar</t>
        </is>
      </c>
      <c r="L564" s="8" t="inlineStr">
        <is>
          <t>Gujarat</t>
        </is>
      </c>
      <c r="M564" s="2" t="inlineStr">
        <is>
          <t>PS</t>
        </is>
      </c>
      <c r="N564" s="1" t="inlineStr">
        <is>
          <t>Cold Soldering</t>
        </is>
      </c>
      <c r="O564" s="11" t="n">
        <v>540</v>
      </c>
      <c r="P564" s="2" t="inlineStr">
        <is>
          <t>NSMP2305191765</t>
        </is>
      </c>
      <c r="Q564" s="14">
        <f>MID(P564,5,2)</f>
        <v/>
      </c>
      <c r="R564" s="14">
        <f>MID(P564,7,2)</f>
        <v/>
      </c>
      <c r="S564" s="1" t="inlineStr">
        <is>
          <t>G2B</t>
        </is>
      </c>
      <c r="T564" s="1" t="inlineStr">
        <is>
          <t>P2 - PEPPL</t>
        </is>
      </c>
      <c r="U564" s="1" t="inlineStr">
        <is>
          <t>P JB Cold Soldering</t>
        </is>
      </c>
      <c r="V564" s="1" t="inlineStr">
        <is>
          <t>Soldering</t>
        </is>
      </c>
      <c r="W564" s="1" t="inlineStr">
        <is>
          <t>Repair</t>
        </is>
      </c>
      <c r="X564" s="5" t="n">
        <v>46177</v>
      </c>
      <c r="Y564" s="1">
        <f>IF(X564="","",X564-A564)</f>
        <v/>
      </c>
      <c r="Z564" s="5" t="n">
        <v>46177</v>
      </c>
      <c r="AA564" s="3" t="n"/>
      <c r="AB564" s="3" t="n"/>
      <c r="AE564" s="146">
        <f>IF(AND(F564="Closed",X564&gt;=DATE(2026,6,1),X564&lt;=DATE(2026,6,30)),"Closed in June","other")</f>
        <v/>
      </c>
    </row>
    <row r="565" hidden="1">
      <c r="A565" s="9" t="n">
        <v>46148</v>
      </c>
      <c r="B565" s="1" t="n">
        <v>2026</v>
      </c>
      <c r="C565" s="8" t="inlineStr">
        <is>
          <t>Continuum</t>
        </is>
      </c>
      <c r="D565" s="1" t="inlineStr">
        <is>
          <t>Utility and C&amp;I</t>
        </is>
      </c>
      <c r="E565" s="1" t="n"/>
      <c r="F565" s="1" t="inlineStr">
        <is>
          <t>Closed</t>
        </is>
      </c>
      <c r="G565" s="8" t="inlineStr">
        <is>
          <t>Amiya Ranjan Behera</t>
        </is>
      </c>
      <c r="H565" s="8" t="n">
        <v>8917436223</v>
      </c>
      <c r="I565" s="10" t="inlineStr">
        <is>
          <t>PE06052602</t>
        </is>
      </c>
      <c r="J565" s="8" t="inlineStr">
        <is>
          <t>Diode Bypass Module Issue</t>
        </is>
      </c>
      <c r="K565" s="8" t="inlineStr">
        <is>
          <t>Bhavnagar</t>
        </is>
      </c>
      <c r="L565" s="8" t="inlineStr">
        <is>
          <t>Gujarat</t>
        </is>
      </c>
      <c r="M565" s="2" t="inlineStr">
        <is>
          <t>PS</t>
        </is>
      </c>
      <c r="N565" s="1" t="inlineStr">
        <is>
          <t>Cold Soldering</t>
        </is>
      </c>
      <c r="O565" s="11" t="n">
        <v>540</v>
      </c>
      <c r="P565" s="2" t="inlineStr">
        <is>
          <t>NSMP2305191701</t>
        </is>
      </c>
      <c r="Q565" s="14">
        <f>MID(P565,5,2)</f>
        <v/>
      </c>
      <c r="R565" s="14">
        <f>MID(P565,7,2)</f>
        <v/>
      </c>
      <c r="S565" s="1" t="inlineStr">
        <is>
          <t>G2B</t>
        </is>
      </c>
      <c r="T565" s="1" t="inlineStr">
        <is>
          <t>P2 - PEPPL</t>
        </is>
      </c>
      <c r="U565" s="1" t="inlineStr">
        <is>
          <t>P JB Cold Soldering</t>
        </is>
      </c>
      <c r="V565" s="1" t="inlineStr">
        <is>
          <t>Soldering</t>
        </is>
      </c>
      <c r="W565" s="1" t="inlineStr">
        <is>
          <t>Repair</t>
        </is>
      </c>
      <c r="X565" s="5" t="n">
        <v>46177</v>
      </c>
      <c r="Y565" s="1">
        <f>IF(X565="","",X565-A565)</f>
        <v/>
      </c>
      <c r="Z565" s="5" t="n">
        <v>46177</v>
      </c>
      <c r="AA565" s="3" t="n"/>
      <c r="AB565" s="3" t="n"/>
      <c r="AE565" s="146">
        <f>IF(AND(F565="Closed",X565&gt;=DATE(2026,6,1),X565&lt;=DATE(2026,6,30)),"Closed in June","other")</f>
        <v/>
      </c>
    </row>
    <row r="566" hidden="1">
      <c r="A566" s="9" t="n">
        <v>46148</v>
      </c>
      <c r="B566" s="1" t="n">
        <v>2026</v>
      </c>
      <c r="C566" s="8" t="inlineStr">
        <is>
          <t>Continuum</t>
        </is>
      </c>
      <c r="D566" s="1" t="inlineStr">
        <is>
          <t>Utility and C&amp;I</t>
        </is>
      </c>
      <c r="E566" s="1" t="n"/>
      <c r="F566" s="1" t="inlineStr">
        <is>
          <t>Closed</t>
        </is>
      </c>
      <c r="G566" s="8" t="inlineStr">
        <is>
          <t>Amiya Ranjan Behera</t>
        </is>
      </c>
      <c r="H566" s="8" t="n">
        <v>8917436223</v>
      </c>
      <c r="I566" s="10" t="inlineStr">
        <is>
          <t>PE06052602</t>
        </is>
      </c>
      <c r="J566" s="8" t="inlineStr">
        <is>
          <t>Diode Bypass Module Issue</t>
        </is>
      </c>
      <c r="K566" s="8" t="inlineStr">
        <is>
          <t>Bhavnagar</t>
        </is>
      </c>
      <c r="L566" s="8" t="inlineStr">
        <is>
          <t>Gujarat</t>
        </is>
      </c>
      <c r="M566" s="2" t="inlineStr">
        <is>
          <t>PS</t>
        </is>
      </c>
      <c r="N566" s="1" t="inlineStr">
        <is>
          <t>Cold Soldering</t>
        </is>
      </c>
      <c r="O566" s="11" t="n">
        <v>540</v>
      </c>
      <c r="P566" s="2" t="inlineStr">
        <is>
          <t>NSMP2305191700</t>
        </is>
      </c>
      <c r="Q566" s="14">
        <f>MID(P566,5,2)</f>
        <v/>
      </c>
      <c r="R566" s="14">
        <f>MID(P566,7,2)</f>
        <v/>
      </c>
      <c r="S566" s="1" t="inlineStr">
        <is>
          <t>G2B</t>
        </is>
      </c>
      <c r="T566" s="1" t="inlineStr">
        <is>
          <t>P2 - PEPPL</t>
        </is>
      </c>
      <c r="U566" s="1" t="inlineStr">
        <is>
          <t>P JB Cold Soldering</t>
        </is>
      </c>
      <c r="V566" s="1" t="inlineStr">
        <is>
          <t>Soldering</t>
        </is>
      </c>
      <c r="W566" s="1" t="inlineStr">
        <is>
          <t>Repair</t>
        </is>
      </c>
      <c r="X566" s="5" t="n">
        <v>46177</v>
      </c>
      <c r="Y566" s="1">
        <f>IF(X566="","",X566-A566)</f>
        <v/>
      </c>
      <c r="Z566" s="5" t="n">
        <v>46177</v>
      </c>
      <c r="AA566" s="3" t="n"/>
      <c r="AB566" s="3" t="n"/>
      <c r="AE566" s="146">
        <f>IF(AND(F566="Closed",X566&gt;=DATE(2026,6,1),X566&lt;=DATE(2026,6,30)),"Closed in June","other")</f>
        <v/>
      </c>
    </row>
    <row r="567" hidden="1">
      <c r="A567" s="9" t="n">
        <v>46148</v>
      </c>
      <c r="B567" s="1" t="n">
        <v>2026</v>
      </c>
      <c r="C567" s="8" t="inlineStr">
        <is>
          <t>Continuum</t>
        </is>
      </c>
      <c r="D567" s="1" t="inlineStr">
        <is>
          <t>Utility and C&amp;I</t>
        </is>
      </c>
      <c r="E567" s="1" t="n"/>
      <c r="F567" s="1" t="inlineStr">
        <is>
          <t>Closed</t>
        </is>
      </c>
      <c r="G567" s="8" t="inlineStr">
        <is>
          <t>Amiya Ranjan Behera</t>
        </is>
      </c>
      <c r="H567" s="8" t="n">
        <v>8917436223</v>
      </c>
      <c r="I567" s="10" t="inlineStr">
        <is>
          <t>PE06052602</t>
        </is>
      </c>
      <c r="J567" s="8" t="inlineStr">
        <is>
          <t>Diode Bypass Module Issue</t>
        </is>
      </c>
      <c r="K567" s="8" t="inlineStr">
        <is>
          <t>Bhavnagar</t>
        </is>
      </c>
      <c r="L567" s="8" t="inlineStr">
        <is>
          <t>Gujarat</t>
        </is>
      </c>
      <c r="M567" s="2" t="inlineStr">
        <is>
          <t>PS</t>
        </is>
      </c>
      <c r="N567" s="1" t="inlineStr">
        <is>
          <t>Cold Soldering</t>
        </is>
      </c>
      <c r="O567" s="11" t="n">
        <v>540</v>
      </c>
      <c r="P567" s="2" t="inlineStr">
        <is>
          <t>NSMP2305191689</t>
        </is>
      </c>
      <c r="Q567" s="14">
        <f>MID(P567,5,2)</f>
        <v/>
      </c>
      <c r="R567" s="14">
        <f>MID(P567,7,2)</f>
        <v/>
      </c>
      <c r="S567" s="1" t="inlineStr">
        <is>
          <t>G2B</t>
        </is>
      </c>
      <c r="T567" s="1" t="inlineStr">
        <is>
          <t>P2 - PEPPL</t>
        </is>
      </c>
      <c r="U567" s="1" t="inlineStr">
        <is>
          <t>P JB Cold Soldering</t>
        </is>
      </c>
      <c r="V567" s="1" t="inlineStr">
        <is>
          <t>Soldering</t>
        </is>
      </c>
      <c r="W567" s="1" t="inlineStr">
        <is>
          <t>Repair</t>
        </is>
      </c>
      <c r="X567" s="5" t="n">
        <v>46177</v>
      </c>
      <c r="Y567" s="1">
        <f>IF(X567="","",X567-A567)</f>
        <v/>
      </c>
      <c r="Z567" s="5" t="n">
        <v>46177</v>
      </c>
      <c r="AA567" s="3" t="n"/>
      <c r="AB567" s="3" t="n"/>
      <c r="AE567" s="146">
        <f>IF(AND(F567="Closed",X567&gt;=DATE(2026,6,1),X567&lt;=DATE(2026,6,30)),"Closed in June","other")</f>
        <v/>
      </c>
    </row>
    <row r="568" hidden="1">
      <c r="A568" s="9" t="n">
        <v>46148</v>
      </c>
      <c r="B568" s="1" t="n">
        <v>2026</v>
      </c>
      <c r="C568" s="8" t="inlineStr">
        <is>
          <t>Continuum</t>
        </is>
      </c>
      <c r="D568" s="1" t="inlineStr">
        <is>
          <t>Utility and C&amp;I</t>
        </is>
      </c>
      <c r="E568" s="1" t="n"/>
      <c r="F568" s="1" t="inlineStr">
        <is>
          <t>Closed</t>
        </is>
      </c>
      <c r="G568" s="8" t="inlineStr">
        <is>
          <t>Amiya Ranjan Behera</t>
        </is>
      </c>
      <c r="H568" s="8" t="n">
        <v>8917436223</v>
      </c>
      <c r="I568" s="10" t="inlineStr">
        <is>
          <t>PE06052602</t>
        </is>
      </c>
      <c r="J568" s="8" t="inlineStr">
        <is>
          <t>Diode Bypass Module Issue</t>
        </is>
      </c>
      <c r="K568" s="8" t="inlineStr">
        <is>
          <t>Bhavnagar</t>
        </is>
      </c>
      <c r="L568" s="8" t="inlineStr">
        <is>
          <t>Gujarat</t>
        </is>
      </c>
      <c r="M568" s="2" t="inlineStr">
        <is>
          <t>PS</t>
        </is>
      </c>
      <c r="N568" s="1" t="inlineStr">
        <is>
          <t>Cold Soldering</t>
        </is>
      </c>
      <c r="O568" s="11" t="n">
        <v>540</v>
      </c>
      <c r="P568" s="2" t="inlineStr">
        <is>
          <t>NSMP2305192579</t>
        </is>
      </c>
      <c r="Q568" s="14">
        <f>MID(P568,5,2)</f>
        <v/>
      </c>
      <c r="R568" s="14">
        <f>MID(P568,7,2)</f>
        <v/>
      </c>
      <c r="S568" s="1" t="inlineStr">
        <is>
          <t>G2B</t>
        </is>
      </c>
      <c r="T568" s="1" t="inlineStr">
        <is>
          <t>P2 - PEPPL</t>
        </is>
      </c>
      <c r="U568" s="1" t="inlineStr">
        <is>
          <t>P JB Cold Soldering</t>
        </is>
      </c>
      <c r="V568" s="1" t="inlineStr">
        <is>
          <t>Soldering</t>
        </is>
      </c>
      <c r="W568" s="1" t="inlineStr">
        <is>
          <t>Repair</t>
        </is>
      </c>
      <c r="X568" s="5" t="n">
        <v>46177</v>
      </c>
      <c r="Y568" s="1">
        <f>IF(X568="","",X568-A568)</f>
        <v/>
      </c>
      <c r="Z568" s="5" t="n">
        <v>46177</v>
      </c>
      <c r="AA568" s="3" t="n"/>
      <c r="AB568" s="3" t="n"/>
      <c r="AE568" s="146">
        <f>IF(AND(F568="Closed",X568&gt;=DATE(2026,6,1),X568&lt;=DATE(2026,6,30)),"Closed in June","other")</f>
        <v/>
      </c>
    </row>
    <row r="569" hidden="1">
      <c r="A569" s="9" t="n">
        <v>46148</v>
      </c>
      <c r="B569" s="1" t="n">
        <v>2026</v>
      </c>
      <c r="C569" s="8" t="inlineStr">
        <is>
          <t>Continuum</t>
        </is>
      </c>
      <c r="D569" s="1" t="inlineStr">
        <is>
          <t>Utility and C&amp;I</t>
        </is>
      </c>
      <c r="E569" s="1" t="n"/>
      <c r="F569" s="1" t="inlineStr">
        <is>
          <t>Closed</t>
        </is>
      </c>
      <c r="G569" s="8" t="inlineStr">
        <is>
          <t>Amiya Ranjan Behera</t>
        </is>
      </c>
      <c r="H569" s="8" t="n">
        <v>8917436223</v>
      </c>
      <c r="I569" s="10" t="inlineStr">
        <is>
          <t>PE06052602</t>
        </is>
      </c>
      <c r="J569" s="8" t="inlineStr">
        <is>
          <t>Diode Bypass Module Issue</t>
        </is>
      </c>
      <c r="K569" s="8" t="inlineStr">
        <is>
          <t>Bhavnagar</t>
        </is>
      </c>
      <c r="L569" s="8" t="inlineStr">
        <is>
          <t>Gujarat</t>
        </is>
      </c>
      <c r="M569" s="2" t="inlineStr">
        <is>
          <t>PS</t>
        </is>
      </c>
      <c r="N569" s="1" t="inlineStr">
        <is>
          <t>Cold Soldering</t>
        </is>
      </c>
      <c r="O569" s="11" t="n">
        <v>540</v>
      </c>
      <c r="P569" s="2" t="inlineStr">
        <is>
          <t>NSMP2305192651</t>
        </is>
      </c>
      <c r="Q569" s="14">
        <f>MID(P569,5,2)</f>
        <v/>
      </c>
      <c r="R569" s="14">
        <f>MID(P569,7,2)</f>
        <v/>
      </c>
      <c r="S569" s="1" t="inlineStr">
        <is>
          <t>G2B</t>
        </is>
      </c>
      <c r="T569" s="1" t="inlineStr">
        <is>
          <t>P2 - PEPPL</t>
        </is>
      </c>
      <c r="U569" s="1" t="inlineStr">
        <is>
          <t>P JB Cold Soldering</t>
        </is>
      </c>
      <c r="V569" s="1" t="inlineStr">
        <is>
          <t>Soldering</t>
        </is>
      </c>
      <c r="W569" s="1" t="inlineStr">
        <is>
          <t>Repair</t>
        </is>
      </c>
      <c r="X569" s="5" t="n">
        <v>46177</v>
      </c>
      <c r="Y569" s="1">
        <f>IF(X569="","",X569-A569)</f>
        <v/>
      </c>
      <c r="Z569" s="5" t="n">
        <v>46177</v>
      </c>
      <c r="AA569" s="3" t="n"/>
      <c r="AB569" s="3" t="n"/>
      <c r="AE569" s="146">
        <f>IF(AND(F569="Closed",X569&gt;=DATE(2026,6,1),X569&lt;=DATE(2026,6,30)),"Closed in June","other")</f>
        <v/>
      </c>
    </row>
    <row r="570" hidden="1">
      <c r="A570" s="9" t="n">
        <v>46148</v>
      </c>
      <c r="B570" s="1" t="n">
        <v>2026</v>
      </c>
      <c r="C570" s="8" t="inlineStr">
        <is>
          <t>Continuum</t>
        </is>
      </c>
      <c r="D570" s="1" t="inlineStr">
        <is>
          <t>Utility and C&amp;I</t>
        </is>
      </c>
      <c r="E570" s="1" t="n"/>
      <c r="F570" s="1" t="inlineStr">
        <is>
          <t>Closed</t>
        </is>
      </c>
      <c r="G570" s="8" t="inlineStr">
        <is>
          <t>Amiya Ranjan Behera</t>
        </is>
      </c>
      <c r="H570" s="8" t="n">
        <v>8917436223</v>
      </c>
      <c r="I570" s="10" t="inlineStr">
        <is>
          <t>PE06052602</t>
        </is>
      </c>
      <c r="J570" s="8" t="inlineStr">
        <is>
          <t>Diode Bypass Module Issue</t>
        </is>
      </c>
      <c r="K570" s="8" t="inlineStr">
        <is>
          <t>Bhavnagar</t>
        </is>
      </c>
      <c r="L570" s="8" t="inlineStr">
        <is>
          <t>Gujarat</t>
        </is>
      </c>
      <c r="M570" s="2" t="inlineStr">
        <is>
          <t>PS</t>
        </is>
      </c>
      <c r="N570" s="1" t="inlineStr">
        <is>
          <t>Cold Soldering</t>
        </is>
      </c>
      <c r="O570" s="11" t="n">
        <v>540</v>
      </c>
      <c r="P570" s="2" t="inlineStr">
        <is>
          <t>NSMP2305189914</t>
        </is>
      </c>
      <c r="Q570" s="14">
        <f>MID(P570,5,2)</f>
        <v/>
      </c>
      <c r="R570" s="14">
        <f>MID(P570,7,2)</f>
        <v/>
      </c>
      <c r="S570" s="1" t="inlineStr">
        <is>
          <t>G2B</t>
        </is>
      </c>
      <c r="T570" s="1" t="inlineStr">
        <is>
          <t>P2 - PEPPL</t>
        </is>
      </c>
      <c r="U570" s="1" t="inlineStr">
        <is>
          <t>P JB Cold Soldering</t>
        </is>
      </c>
      <c r="V570" s="1" t="inlineStr">
        <is>
          <t>Soldering</t>
        </is>
      </c>
      <c r="W570" s="1" t="inlineStr">
        <is>
          <t>Repair</t>
        </is>
      </c>
      <c r="X570" s="5" t="n">
        <v>46177</v>
      </c>
      <c r="Y570" s="1">
        <f>IF(X570="","",X570-A570)</f>
        <v/>
      </c>
      <c r="Z570" s="5" t="n">
        <v>46177</v>
      </c>
      <c r="AA570" s="3" t="n"/>
      <c r="AB570" s="3" t="n"/>
      <c r="AE570" s="146">
        <f>IF(AND(F570="Closed",X570&gt;=DATE(2026,6,1),X570&lt;=DATE(2026,6,30)),"Closed in June","other")</f>
        <v/>
      </c>
    </row>
    <row r="571" hidden="1">
      <c r="A571" s="9" t="n">
        <v>46148</v>
      </c>
      <c r="B571" s="1" t="n">
        <v>2026</v>
      </c>
      <c r="C571" s="8" t="inlineStr">
        <is>
          <t>Continuum</t>
        </is>
      </c>
      <c r="D571" s="1" t="inlineStr">
        <is>
          <t>Utility and C&amp;I</t>
        </is>
      </c>
      <c r="E571" s="1" t="n"/>
      <c r="F571" s="1" t="inlineStr">
        <is>
          <t>Closed</t>
        </is>
      </c>
      <c r="G571" s="8" t="inlineStr">
        <is>
          <t>Amiya Ranjan Behera</t>
        </is>
      </c>
      <c r="H571" s="8" t="n">
        <v>8917436223</v>
      </c>
      <c r="I571" s="10" t="inlineStr">
        <is>
          <t>PE06052602</t>
        </is>
      </c>
      <c r="J571" s="8" t="inlineStr">
        <is>
          <t>Diode Bypass Module Issue</t>
        </is>
      </c>
      <c r="K571" s="8" t="inlineStr">
        <is>
          <t>Bhavnagar</t>
        </is>
      </c>
      <c r="L571" s="8" t="inlineStr">
        <is>
          <t>Gujarat</t>
        </is>
      </c>
      <c r="M571" s="2" t="inlineStr">
        <is>
          <t>PS</t>
        </is>
      </c>
      <c r="N571" s="1" t="inlineStr">
        <is>
          <t>Cold Soldering</t>
        </is>
      </c>
      <c r="O571" s="11" t="n">
        <v>540</v>
      </c>
      <c r="P571" s="2" t="inlineStr">
        <is>
          <t>NSMP2305189928</t>
        </is>
      </c>
      <c r="Q571" s="14">
        <f>MID(P571,5,2)</f>
        <v/>
      </c>
      <c r="R571" s="14">
        <f>MID(P571,7,2)</f>
        <v/>
      </c>
      <c r="S571" s="1" t="inlineStr">
        <is>
          <t>G2B</t>
        </is>
      </c>
      <c r="T571" s="1" t="inlineStr">
        <is>
          <t>P2 - PEPPL</t>
        </is>
      </c>
      <c r="U571" s="1" t="inlineStr">
        <is>
          <t>P JB Cold Soldering</t>
        </is>
      </c>
      <c r="V571" s="1" t="inlineStr">
        <is>
          <t>Soldering</t>
        </is>
      </c>
      <c r="W571" s="1" t="inlineStr">
        <is>
          <t>Repair</t>
        </is>
      </c>
      <c r="X571" s="5" t="n">
        <v>46177</v>
      </c>
      <c r="Y571" s="1">
        <f>IF(X571="","",X571-A571)</f>
        <v/>
      </c>
      <c r="Z571" s="5" t="n">
        <v>46177</v>
      </c>
      <c r="AA571" s="3" t="n"/>
      <c r="AB571" s="3" t="n"/>
      <c r="AE571" s="146">
        <f>IF(AND(F571="Closed",X571&gt;=DATE(2026,6,1),X571&lt;=DATE(2026,6,30)),"Closed in June","other")</f>
        <v/>
      </c>
    </row>
    <row r="572" hidden="1">
      <c r="A572" s="9" t="n">
        <v>46148</v>
      </c>
      <c r="B572" s="1" t="n">
        <v>2026</v>
      </c>
      <c r="C572" s="8" t="inlineStr">
        <is>
          <t>Continuum</t>
        </is>
      </c>
      <c r="D572" s="1" t="inlineStr">
        <is>
          <t>Utility and C&amp;I</t>
        </is>
      </c>
      <c r="E572" s="1" t="n"/>
      <c r="F572" s="1" t="inlineStr">
        <is>
          <t>Closed</t>
        </is>
      </c>
      <c r="G572" s="8" t="inlineStr">
        <is>
          <t>Amiya Ranjan Behera</t>
        </is>
      </c>
      <c r="H572" s="8" t="n">
        <v>8917436223</v>
      </c>
      <c r="I572" s="10" t="inlineStr">
        <is>
          <t>PE06052602</t>
        </is>
      </c>
      <c r="J572" s="8" t="inlineStr">
        <is>
          <t>Diode Bypass Module Issue</t>
        </is>
      </c>
      <c r="K572" s="8" t="inlineStr">
        <is>
          <t>Bhavnagar</t>
        </is>
      </c>
      <c r="L572" s="8" t="inlineStr">
        <is>
          <t>Gujarat</t>
        </is>
      </c>
      <c r="M572" s="2" t="inlineStr">
        <is>
          <t>PS</t>
        </is>
      </c>
      <c r="N572" s="1" t="inlineStr">
        <is>
          <t>Cold Soldering</t>
        </is>
      </c>
      <c r="O572" s="11" t="n">
        <v>540</v>
      </c>
      <c r="P572" s="2" t="inlineStr">
        <is>
          <t>NSMP2305190729</t>
        </is>
      </c>
      <c r="Q572" s="14">
        <f>MID(P572,5,2)</f>
        <v/>
      </c>
      <c r="R572" s="14">
        <f>MID(P572,7,2)</f>
        <v/>
      </c>
      <c r="S572" s="1" t="inlineStr">
        <is>
          <t>G2B</t>
        </is>
      </c>
      <c r="T572" s="1" t="inlineStr">
        <is>
          <t>P2 - PEPPL</t>
        </is>
      </c>
      <c r="U572" s="1" t="inlineStr">
        <is>
          <t>P JB Cold Soldering</t>
        </is>
      </c>
      <c r="V572" s="1" t="inlineStr">
        <is>
          <t>Soldering</t>
        </is>
      </c>
      <c r="W572" s="1" t="inlineStr">
        <is>
          <t>Repair</t>
        </is>
      </c>
      <c r="X572" s="5" t="n">
        <v>46177</v>
      </c>
      <c r="Y572" s="1">
        <f>IF(X572="","",X572-A572)</f>
        <v/>
      </c>
      <c r="Z572" s="5" t="n">
        <v>46177</v>
      </c>
      <c r="AA572" s="3" t="n"/>
      <c r="AB572" s="3" t="n"/>
      <c r="AE572" s="146">
        <f>IF(AND(F572="Closed",X572&gt;=DATE(2026,6,1),X572&lt;=DATE(2026,6,30)),"Closed in June","other")</f>
        <v/>
      </c>
    </row>
    <row r="573" hidden="1">
      <c r="A573" s="9" t="n">
        <v>46148</v>
      </c>
      <c r="B573" s="1" t="n">
        <v>2026</v>
      </c>
      <c r="C573" s="8" t="inlineStr">
        <is>
          <t>Continuum</t>
        </is>
      </c>
      <c r="D573" s="1" t="inlineStr">
        <is>
          <t>Utility and C&amp;I</t>
        </is>
      </c>
      <c r="E573" s="1" t="n"/>
      <c r="F573" s="1" t="inlineStr">
        <is>
          <t>Closed</t>
        </is>
      </c>
      <c r="G573" s="8" t="inlineStr">
        <is>
          <t>Amiya Ranjan Behera</t>
        </is>
      </c>
      <c r="H573" s="8" t="n">
        <v>8917436223</v>
      </c>
      <c r="I573" s="10" t="inlineStr">
        <is>
          <t>PE06052602</t>
        </is>
      </c>
      <c r="J573" s="8" t="inlineStr">
        <is>
          <t>Diode Bypass Module Issue</t>
        </is>
      </c>
      <c r="K573" s="8" t="inlineStr">
        <is>
          <t>Bhavnagar</t>
        </is>
      </c>
      <c r="L573" s="8" t="inlineStr">
        <is>
          <t>Gujarat</t>
        </is>
      </c>
      <c r="M573" s="2" t="inlineStr">
        <is>
          <t>PS</t>
        </is>
      </c>
      <c r="N573" s="1" t="inlineStr">
        <is>
          <t>Cold Soldering</t>
        </is>
      </c>
      <c r="O573" s="11" t="n">
        <v>540</v>
      </c>
      <c r="P573" s="2" t="inlineStr">
        <is>
          <t>NSMP2305190692</t>
        </is>
      </c>
      <c r="Q573" s="14">
        <f>MID(P573,5,2)</f>
        <v/>
      </c>
      <c r="R573" s="14">
        <f>MID(P573,7,2)</f>
        <v/>
      </c>
      <c r="S573" s="1" t="inlineStr">
        <is>
          <t>G2B</t>
        </is>
      </c>
      <c r="T573" s="1" t="inlineStr">
        <is>
          <t>P2 - PEPPL</t>
        </is>
      </c>
      <c r="U573" s="1" t="inlineStr">
        <is>
          <t>P JB Cold Soldering</t>
        </is>
      </c>
      <c r="V573" s="1" t="inlineStr">
        <is>
          <t>Soldering</t>
        </is>
      </c>
      <c r="W573" s="1" t="inlineStr">
        <is>
          <t>Repair</t>
        </is>
      </c>
      <c r="X573" s="5" t="n">
        <v>46177</v>
      </c>
      <c r="Y573" s="1">
        <f>IF(X573="","",X573-A573)</f>
        <v/>
      </c>
      <c r="Z573" s="5" t="n">
        <v>46177</v>
      </c>
      <c r="AA573" s="3" t="n"/>
      <c r="AB573" s="3" t="n"/>
      <c r="AE573" s="146">
        <f>IF(AND(F573="Closed",X573&gt;=DATE(2026,6,1),X573&lt;=DATE(2026,6,30)),"Closed in June","other")</f>
        <v/>
      </c>
    </row>
    <row r="574" hidden="1">
      <c r="A574" s="9" t="n">
        <v>46148</v>
      </c>
      <c r="B574" s="1" t="n">
        <v>2026</v>
      </c>
      <c r="C574" s="8" t="inlineStr">
        <is>
          <t>Continuum</t>
        </is>
      </c>
      <c r="D574" s="1" t="inlineStr">
        <is>
          <t>Utility and C&amp;I</t>
        </is>
      </c>
      <c r="E574" s="1" t="n"/>
      <c r="F574" s="1" t="inlineStr">
        <is>
          <t>Closed</t>
        </is>
      </c>
      <c r="G574" s="8" t="inlineStr">
        <is>
          <t>Amiya Ranjan Behera</t>
        </is>
      </c>
      <c r="H574" s="8" t="n">
        <v>8917436223</v>
      </c>
      <c r="I574" s="10" t="inlineStr">
        <is>
          <t>PE06052602</t>
        </is>
      </c>
      <c r="J574" s="8" t="inlineStr">
        <is>
          <t>Diode Bypass Module Issue</t>
        </is>
      </c>
      <c r="K574" s="8" t="inlineStr">
        <is>
          <t>Bhavnagar</t>
        </is>
      </c>
      <c r="L574" s="8" t="inlineStr">
        <is>
          <t>Gujarat</t>
        </is>
      </c>
      <c r="M574" s="2" t="inlineStr">
        <is>
          <t>PS</t>
        </is>
      </c>
      <c r="N574" s="1" t="inlineStr">
        <is>
          <t>Cold Soldering</t>
        </is>
      </c>
      <c r="O574" s="11" t="n">
        <v>540</v>
      </c>
      <c r="P574" s="2" t="inlineStr">
        <is>
          <t>NSMP2305190665</t>
        </is>
      </c>
      <c r="Q574" s="14">
        <f>MID(P574,5,2)</f>
        <v/>
      </c>
      <c r="R574" s="14">
        <f>MID(P574,7,2)</f>
        <v/>
      </c>
      <c r="S574" s="1" t="inlineStr">
        <is>
          <t>G2B</t>
        </is>
      </c>
      <c r="T574" s="1" t="inlineStr">
        <is>
          <t>P2 - PEPPL</t>
        </is>
      </c>
      <c r="U574" s="1" t="inlineStr">
        <is>
          <t>P JB Cold Soldering</t>
        </is>
      </c>
      <c r="V574" s="1" t="inlineStr">
        <is>
          <t>Soldering</t>
        </is>
      </c>
      <c r="W574" s="1" t="inlineStr">
        <is>
          <t>Repair</t>
        </is>
      </c>
      <c r="X574" s="5" t="n">
        <v>46177</v>
      </c>
      <c r="Y574" s="1">
        <f>IF(X574="","",X574-A574)</f>
        <v/>
      </c>
      <c r="Z574" s="5" t="n">
        <v>46177</v>
      </c>
      <c r="AA574" s="3" t="n"/>
      <c r="AB574" s="3" t="n"/>
      <c r="AE574" s="146">
        <f>IF(AND(F574="Closed",X574&gt;=DATE(2026,6,1),X574&lt;=DATE(2026,6,30)),"Closed in June","other")</f>
        <v/>
      </c>
    </row>
    <row r="575" hidden="1">
      <c r="A575" s="9" t="n">
        <v>46148</v>
      </c>
      <c r="B575" s="1" t="n">
        <v>2026</v>
      </c>
      <c r="C575" s="8" t="inlineStr">
        <is>
          <t>Continuum</t>
        </is>
      </c>
      <c r="D575" s="1" t="inlineStr">
        <is>
          <t>Utility and C&amp;I</t>
        </is>
      </c>
      <c r="E575" s="1" t="n"/>
      <c r="F575" s="1" t="inlineStr">
        <is>
          <t>Closed</t>
        </is>
      </c>
      <c r="G575" s="8" t="inlineStr">
        <is>
          <t>Amiya Ranjan Behera</t>
        </is>
      </c>
      <c r="H575" s="8" t="n">
        <v>8917436223</v>
      </c>
      <c r="I575" s="10" t="inlineStr">
        <is>
          <t>PE06052602</t>
        </is>
      </c>
      <c r="J575" s="8" t="inlineStr">
        <is>
          <t>Diode Bypass Module Issue</t>
        </is>
      </c>
      <c r="K575" s="8" t="inlineStr">
        <is>
          <t>Bhavnagar</t>
        </is>
      </c>
      <c r="L575" s="8" t="inlineStr">
        <is>
          <t>Gujarat</t>
        </is>
      </c>
      <c r="M575" s="2" t="inlineStr">
        <is>
          <t>PS</t>
        </is>
      </c>
      <c r="N575" s="1" t="inlineStr">
        <is>
          <t>Cold Soldering</t>
        </is>
      </c>
      <c r="O575" s="11" t="n">
        <v>540</v>
      </c>
      <c r="P575" s="2" t="inlineStr">
        <is>
          <t>NSMP2305190686</t>
        </is>
      </c>
      <c r="Q575" s="14">
        <f>MID(P575,5,2)</f>
        <v/>
      </c>
      <c r="R575" s="14">
        <f>MID(P575,7,2)</f>
        <v/>
      </c>
      <c r="S575" s="1" t="inlineStr">
        <is>
          <t>G2B</t>
        </is>
      </c>
      <c r="T575" s="1" t="inlineStr">
        <is>
          <t>P2 - PEPPL</t>
        </is>
      </c>
      <c r="U575" s="1" t="inlineStr">
        <is>
          <t>P JB Cold Soldering</t>
        </is>
      </c>
      <c r="V575" s="1" t="inlineStr">
        <is>
          <t>Soldering</t>
        </is>
      </c>
      <c r="W575" s="1" t="inlineStr">
        <is>
          <t>Repair</t>
        </is>
      </c>
      <c r="X575" s="5" t="n">
        <v>46177</v>
      </c>
      <c r="Y575" s="1">
        <f>IF(X575="","",X575-A575)</f>
        <v/>
      </c>
      <c r="Z575" s="5" t="n">
        <v>46177</v>
      </c>
      <c r="AA575" s="3" t="n"/>
      <c r="AB575" s="3" t="n"/>
      <c r="AE575" s="146">
        <f>IF(AND(F575="Closed",X575&gt;=DATE(2026,6,1),X575&lt;=DATE(2026,6,30)),"Closed in June","other")</f>
        <v/>
      </c>
    </row>
    <row r="576" hidden="1">
      <c r="A576" s="9" t="n">
        <v>46148</v>
      </c>
      <c r="B576" s="1" t="n">
        <v>2026</v>
      </c>
      <c r="C576" s="8" t="inlineStr">
        <is>
          <t>Continuum</t>
        </is>
      </c>
      <c r="D576" s="1" t="inlineStr">
        <is>
          <t>Utility and C&amp;I</t>
        </is>
      </c>
      <c r="E576" s="1" t="n"/>
      <c r="F576" s="1" t="inlineStr">
        <is>
          <t>Closed</t>
        </is>
      </c>
      <c r="G576" s="8" t="inlineStr">
        <is>
          <t>Amiya Ranjan Behera</t>
        </is>
      </c>
      <c r="H576" s="8" t="n">
        <v>8917436223</v>
      </c>
      <c r="I576" s="10" t="inlineStr">
        <is>
          <t>PE06052602</t>
        </is>
      </c>
      <c r="J576" s="8" t="inlineStr">
        <is>
          <t>Diode Bypass Module Issue</t>
        </is>
      </c>
      <c r="K576" s="8" t="inlineStr">
        <is>
          <t>Bhavnagar</t>
        </is>
      </c>
      <c r="L576" s="8" t="inlineStr">
        <is>
          <t>Gujarat</t>
        </is>
      </c>
      <c r="M576" s="2" t="inlineStr">
        <is>
          <t>PS</t>
        </is>
      </c>
      <c r="N576" s="1" t="inlineStr">
        <is>
          <t>Cold Soldering</t>
        </is>
      </c>
      <c r="O576" s="11" t="n">
        <v>540</v>
      </c>
      <c r="P576" s="2" t="inlineStr">
        <is>
          <t>NSMP2305190706</t>
        </is>
      </c>
      <c r="Q576" s="14">
        <f>MID(P576,5,2)</f>
        <v/>
      </c>
      <c r="R576" s="14">
        <f>MID(P576,7,2)</f>
        <v/>
      </c>
      <c r="S576" s="1" t="inlineStr">
        <is>
          <t>G2B</t>
        </is>
      </c>
      <c r="T576" s="1" t="inlineStr">
        <is>
          <t>P2 - PEPPL</t>
        </is>
      </c>
      <c r="U576" s="1" t="inlineStr">
        <is>
          <t>P JB Cold Soldering</t>
        </is>
      </c>
      <c r="V576" s="1" t="inlineStr">
        <is>
          <t>Soldering</t>
        </is>
      </c>
      <c r="W576" s="1" t="inlineStr">
        <is>
          <t>Repair</t>
        </is>
      </c>
      <c r="X576" s="5" t="n">
        <v>46177</v>
      </c>
      <c r="Y576" s="1">
        <f>IF(X576="","",X576-A576)</f>
        <v/>
      </c>
      <c r="Z576" s="5" t="n">
        <v>46177</v>
      </c>
      <c r="AA576" s="3" t="n"/>
      <c r="AB576" s="3" t="n"/>
      <c r="AE576" s="146">
        <f>IF(AND(F576="Closed",X576&gt;=DATE(2026,6,1),X576&lt;=DATE(2026,6,30)),"Closed in June","other")</f>
        <v/>
      </c>
    </row>
    <row r="577" hidden="1">
      <c r="A577" s="9" t="n">
        <v>46148</v>
      </c>
      <c r="B577" s="1" t="n">
        <v>2026</v>
      </c>
      <c r="C577" s="8" t="inlineStr">
        <is>
          <t>Continuum</t>
        </is>
      </c>
      <c r="D577" s="1" t="inlineStr">
        <is>
          <t>Utility and C&amp;I</t>
        </is>
      </c>
      <c r="E577" s="1" t="n"/>
      <c r="F577" s="1" t="inlineStr">
        <is>
          <t>Closed</t>
        </is>
      </c>
      <c r="G577" s="8" t="inlineStr">
        <is>
          <t>Amiya Ranjan Behera</t>
        </is>
      </c>
      <c r="H577" s="8" t="n">
        <v>8917436223</v>
      </c>
      <c r="I577" s="10" t="inlineStr">
        <is>
          <t>PE06052602</t>
        </is>
      </c>
      <c r="J577" s="8" t="inlineStr">
        <is>
          <t>Diode Bypass Module Issue</t>
        </is>
      </c>
      <c r="K577" s="8" t="inlineStr">
        <is>
          <t>Bhavnagar</t>
        </is>
      </c>
      <c r="L577" s="8" t="inlineStr">
        <is>
          <t>Gujarat</t>
        </is>
      </c>
      <c r="M577" s="2" t="inlineStr">
        <is>
          <t>PS</t>
        </is>
      </c>
      <c r="N577" s="1" t="inlineStr">
        <is>
          <t>Cold Soldering</t>
        </is>
      </c>
      <c r="O577" s="11" t="n">
        <v>540</v>
      </c>
      <c r="P577" s="2" t="inlineStr">
        <is>
          <t>NSMP2305123196</t>
        </is>
      </c>
      <c r="Q577" s="14">
        <f>MID(P577,5,2)</f>
        <v/>
      </c>
      <c r="R577" s="14">
        <f>MID(P577,7,2)</f>
        <v/>
      </c>
      <c r="S577" s="1" t="inlineStr">
        <is>
          <t>G2B</t>
        </is>
      </c>
      <c r="T577" s="1" t="inlineStr">
        <is>
          <t>P2 - PEPPL</t>
        </is>
      </c>
      <c r="U577" s="1" t="inlineStr">
        <is>
          <t>P JB Cold Soldering</t>
        </is>
      </c>
      <c r="V577" s="1" t="inlineStr">
        <is>
          <t>Soldering</t>
        </is>
      </c>
      <c r="W577" s="1" t="inlineStr">
        <is>
          <t>Repair</t>
        </is>
      </c>
      <c r="X577" s="5" t="n">
        <v>46177</v>
      </c>
      <c r="Y577" s="1">
        <f>IF(X577="","",X577-A577)</f>
        <v/>
      </c>
      <c r="Z577" s="5" t="n">
        <v>46177</v>
      </c>
      <c r="AA577" s="3" t="n"/>
      <c r="AB577" s="3" t="n"/>
      <c r="AE577" s="146">
        <f>IF(AND(F577="Closed",X577&gt;=DATE(2026,6,1),X577&lt;=DATE(2026,6,30)),"Closed in June","other")</f>
        <v/>
      </c>
    </row>
    <row r="578" hidden="1">
      <c r="A578" s="9" t="n">
        <v>46148</v>
      </c>
      <c r="B578" s="1" t="n">
        <v>2026</v>
      </c>
      <c r="C578" s="8" t="inlineStr">
        <is>
          <t>Continuum</t>
        </is>
      </c>
      <c r="D578" s="1" t="inlineStr">
        <is>
          <t>Utility and C&amp;I</t>
        </is>
      </c>
      <c r="E578" s="1" t="n"/>
      <c r="F578" s="1" t="inlineStr">
        <is>
          <t>Closed</t>
        </is>
      </c>
      <c r="G578" s="8" t="inlineStr">
        <is>
          <t>Amiya Ranjan Behera</t>
        </is>
      </c>
      <c r="H578" s="8" t="n">
        <v>8917436223</v>
      </c>
      <c r="I578" s="10" t="inlineStr">
        <is>
          <t>PE06052602</t>
        </is>
      </c>
      <c r="J578" s="8" t="inlineStr">
        <is>
          <t>Diode Bypass Module Issue</t>
        </is>
      </c>
      <c r="K578" s="8" t="inlineStr">
        <is>
          <t>Bhavnagar</t>
        </is>
      </c>
      <c r="L578" s="8" t="inlineStr">
        <is>
          <t>Gujarat</t>
        </is>
      </c>
      <c r="M578" s="2" t="inlineStr">
        <is>
          <t>PS</t>
        </is>
      </c>
      <c r="N578" s="1" t="inlineStr">
        <is>
          <t>Cold Soldering</t>
        </is>
      </c>
      <c r="O578" s="11" t="n">
        <v>540</v>
      </c>
      <c r="P578" s="2" t="inlineStr">
        <is>
          <t>NSMP2305123169</t>
        </is>
      </c>
      <c r="Q578" s="14">
        <f>MID(P578,5,2)</f>
        <v/>
      </c>
      <c r="R578" s="14">
        <f>MID(P578,7,2)</f>
        <v/>
      </c>
      <c r="S578" s="1" t="inlineStr">
        <is>
          <t>G2B</t>
        </is>
      </c>
      <c r="T578" s="1" t="inlineStr">
        <is>
          <t>P2 - PEPPL</t>
        </is>
      </c>
      <c r="U578" s="1" t="inlineStr">
        <is>
          <t>P JB Cold Soldering</t>
        </is>
      </c>
      <c r="V578" s="1" t="inlineStr">
        <is>
          <t>Soldering</t>
        </is>
      </c>
      <c r="W578" s="1" t="inlineStr">
        <is>
          <t>Repair</t>
        </is>
      </c>
      <c r="X578" s="5" t="n">
        <v>46177</v>
      </c>
      <c r="Y578" s="1">
        <f>IF(X578="","",X578-A578)</f>
        <v/>
      </c>
      <c r="Z578" s="5" t="n">
        <v>46177</v>
      </c>
      <c r="AA578" s="3" t="n"/>
      <c r="AB578" s="3" t="n"/>
      <c r="AE578" s="146">
        <f>IF(AND(F578="Closed",X578&gt;=DATE(2026,6,1),X578&lt;=DATE(2026,6,30)),"Closed in June","other")</f>
        <v/>
      </c>
    </row>
    <row r="579" hidden="1">
      <c r="A579" s="9" t="n">
        <v>46148</v>
      </c>
      <c r="B579" s="1" t="n">
        <v>2026</v>
      </c>
      <c r="C579" s="8" t="inlineStr">
        <is>
          <t>Continuum</t>
        </is>
      </c>
      <c r="D579" s="1" t="inlineStr">
        <is>
          <t>Utility and C&amp;I</t>
        </is>
      </c>
      <c r="E579" s="1" t="n"/>
      <c r="F579" s="1" t="inlineStr">
        <is>
          <t>Closed</t>
        </is>
      </c>
      <c r="G579" s="8" t="inlineStr">
        <is>
          <t>Amiya Ranjan Behera</t>
        </is>
      </c>
      <c r="H579" s="8" t="n">
        <v>8917436223</v>
      </c>
      <c r="I579" s="10" t="inlineStr">
        <is>
          <t>PE06052602</t>
        </is>
      </c>
      <c r="J579" s="8" t="inlineStr">
        <is>
          <t>Diode Bypass Module Issue</t>
        </is>
      </c>
      <c r="K579" s="8" t="inlineStr">
        <is>
          <t>Bhavnagar</t>
        </is>
      </c>
      <c r="L579" s="8" t="inlineStr">
        <is>
          <t>Gujarat</t>
        </is>
      </c>
      <c r="M579" s="2" t="inlineStr">
        <is>
          <t>PS</t>
        </is>
      </c>
      <c r="N579" s="1" t="inlineStr">
        <is>
          <t>Cold Soldering</t>
        </is>
      </c>
      <c r="O579" s="11" t="n">
        <v>540</v>
      </c>
      <c r="P579" s="2" t="inlineStr">
        <is>
          <t>NSMP2305189571</t>
        </is>
      </c>
      <c r="Q579" s="14">
        <f>MID(P579,5,2)</f>
        <v/>
      </c>
      <c r="R579" s="14">
        <f>MID(P579,7,2)</f>
        <v/>
      </c>
      <c r="S579" s="1" t="inlineStr">
        <is>
          <t>G2B</t>
        </is>
      </c>
      <c r="T579" s="1" t="inlineStr">
        <is>
          <t>P2 - PEPPL</t>
        </is>
      </c>
      <c r="U579" s="1" t="inlineStr">
        <is>
          <t>P JB Cold Soldering</t>
        </is>
      </c>
      <c r="V579" s="1" t="inlineStr">
        <is>
          <t>Soldering</t>
        </is>
      </c>
      <c r="W579" s="1" t="inlineStr">
        <is>
          <t>Repair</t>
        </is>
      </c>
      <c r="X579" s="5" t="n">
        <v>46177</v>
      </c>
      <c r="Y579" s="1">
        <f>IF(X579="","",X579-A579)</f>
        <v/>
      </c>
      <c r="Z579" s="5" t="n">
        <v>46177</v>
      </c>
      <c r="AA579" s="3" t="n"/>
      <c r="AB579" s="3" t="n"/>
      <c r="AE579" s="146">
        <f>IF(AND(F579="Closed",X579&gt;=DATE(2026,6,1),X579&lt;=DATE(2026,6,30)),"Closed in June","other")</f>
        <v/>
      </c>
    </row>
    <row r="580" hidden="1">
      <c r="A580" s="9" t="n">
        <v>46148</v>
      </c>
      <c r="B580" s="1" t="n">
        <v>2026</v>
      </c>
      <c r="C580" s="8" t="inlineStr">
        <is>
          <t>Continuum</t>
        </is>
      </c>
      <c r="D580" s="1" t="inlineStr">
        <is>
          <t>Utility and C&amp;I</t>
        </is>
      </c>
      <c r="E580" s="1" t="n"/>
      <c r="F580" s="1" t="inlineStr">
        <is>
          <t>Closed</t>
        </is>
      </c>
      <c r="G580" s="8" t="inlineStr">
        <is>
          <t>Amiya Ranjan Behera</t>
        </is>
      </c>
      <c r="H580" s="8" t="n">
        <v>8917436223</v>
      </c>
      <c r="I580" s="10" t="inlineStr">
        <is>
          <t>PE06052602</t>
        </is>
      </c>
      <c r="J580" s="8" t="inlineStr">
        <is>
          <t>Diode Bypass Module Issue</t>
        </is>
      </c>
      <c r="K580" s="8" t="inlineStr">
        <is>
          <t>Bhavnagar</t>
        </is>
      </c>
      <c r="L580" s="8" t="inlineStr">
        <is>
          <t>Gujarat</t>
        </is>
      </c>
      <c r="M580" s="2" t="inlineStr">
        <is>
          <t>PS</t>
        </is>
      </c>
      <c r="N580" s="1" t="inlineStr">
        <is>
          <t>Cold Soldering</t>
        </is>
      </c>
      <c r="O580" s="11" t="n">
        <v>540</v>
      </c>
      <c r="P580" s="2" t="inlineStr">
        <is>
          <t>NSMP2305189499</t>
        </is>
      </c>
      <c r="Q580" s="14">
        <f>MID(P580,5,2)</f>
        <v/>
      </c>
      <c r="R580" s="14">
        <f>MID(P580,7,2)</f>
        <v/>
      </c>
      <c r="S580" s="1" t="inlineStr">
        <is>
          <t>G2B</t>
        </is>
      </c>
      <c r="T580" s="1" t="inlineStr">
        <is>
          <t>P2 - PEPPL</t>
        </is>
      </c>
      <c r="U580" s="1" t="inlineStr">
        <is>
          <t>P JB Cold Soldering</t>
        </is>
      </c>
      <c r="V580" s="1" t="inlineStr">
        <is>
          <t>Soldering</t>
        </is>
      </c>
      <c r="W580" s="1" t="inlineStr">
        <is>
          <t>Repair</t>
        </is>
      </c>
      <c r="X580" s="5" t="n">
        <v>46177</v>
      </c>
      <c r="Y580" s="1">
        <f>IF(X580="","",X580-A580)</f>
        <v/>
      </c>
      <c r="Z580" s="5" t="n">
        <v>46177</v>
      </c>
      <c r="AA580" s="3" t="n"/>
      <c r="AB580" s="3" t="n"/>
      <c r="AE580" s="146">
        <f>IF(AND(F580="Closed",X580&gt;=DATE(2026,6,1),X580&lt;=DATE(2026,6,30)),"Closed in June","other")</f>
        <v/>
      </c>
    </row>
    <row r="581" hidden="1">
      <c r="A581" s="9" t="n">
        <v>46148</v>
      </c>
      <c r="B581" s="1" t="n">
        <v>2026</v>
      </c>
      <c r="C581" s="8" t="inlineStr">
        <is>
          <t>Continuum</t>
        </is>
      </c>
      <c r="D581" s="1" t="inlineStr">
        <is>
          <t>Utility and C&amp;I</t>
        </is>
      </c>
      <c r="E581" s="1" t="n"/>
      <c r="F581" s="1" t="inlineStr">
        <is>
          <t>Closed</t>
        </is>
      </c>
      <c r="G581" s="8" t="inlineStr">
        <is>
          <t>Amiya Ranjan Behera</t>
        </is>
      </c>
      <c r="H581" s="8" t="n">
        <v>8917436223</v>
      </c>
      <c r="I581" s="10" t="inlineStr">
        <is>
          <t>PE06052602</t>
        </is>
      </c>
      <c r="J581" s="8" t="inlineStr">
        <is>
          <t>Diode Bypass Module Issue</t>
        </is>
      </c>
      <c r="K581" s="8" t="inlineStr">
        <is>
          <t>Bhavnagar</t>
        </is>
      </c>
      <c r="L581" s="8" t="inlineStr">
        <is>
          <t>Gujarat</t>
        </is>
      </c>
      <c r="M581" s="2" t="inlineStr">
        <is>
          <t>PS</t>
        </is>
      </c>
      <c r="N581" s="1" t="inlineStr">
        <is>
          <t>Cold Soldering</t>
        </is>
      </c>
      <c r="O581" s="11" t="n">
        <v>540</v>
      </c>
      <c r="P581" s="2" t="inlineStr">
        <is>
          <t>NSMP2305188570</t>
        </is>
      </c>
      <c r="Q581" s="14">
        <f>MID(P581,5,2)</f>
        <v/>
      </c>
      <c r="R581" s="14">
        <f>MID(P581,7,2)</f>
        <v/>
      </c>
      <c r="S581" s="1" t="inlineStr">
        <is>
          <t>G2B</t>
        </is>
      </c>
      <c r="T581" s="1" t="inlineStr">
        <is>
          <t>P2 - PEPPL</t>
        </is>
      </c>
      <c r="U581" s="1" t="inlineStr">
        <is>
          <t>P JB Cold Soldering</t>
        </is>
      </c>
      <c r="V581" s="1" t="inlineStr">
        <is>
          <t>Soldering</t>
        </is>
      </c>
      <c r="W581" s="1" t="inlineStr">
        <is>
          <t>Repair</t>
        </is>
      </c>
      <c r="X581" s="5" t="n">
        <v>46177</v>
      </c>
      <c r="Y581" s="1">
        <f>IF(X581="","",X581-A581)</f>
        <v/>
      </c>
      <c r="Z581" s="5" t="n">
        <v>46177</v>
      </c>
      <c r="AA581" s="3" t="n"/>
      <c r="AB581" s="3" t="n"/>
      <c r="AE581" s="146">
        <f>IF(AND(F581="Closed",X581&gt;=DATE(2026,6,1),X581&lt;=DATE(2026,6,30)),"Closed in June","other")</f>
        <v/>
      </c>
    </row>
    <row r="582" hidden="1">
      <c r="A582" s="9" t="n">
        <v>46148</v>
      </c>
      <c r="B582" s="1" t="n">
        <v>2026</v>
      </c>
      <c r="C582" s="8" t="inlineStr">
        <is>
          <t>Continuum</t>
        </is>
      </c>
      <c r="D582" s="1" t="inlineStr">
        <is>
          <t>Utility and C&amp;I</t>
        </is>
      </c>
      <c r="E582" s="1" t="n"/>
      <c r="F582" s="1" t="inlineStr">
        <is>
          <t>Closed</t>
        </is>
      </c>
      <c r="G582" s="8" t="inlineStr">
        <is>
          <t>Amiya Ranjan Behera</t>
        </is>
      </c>
      <c r="H582" s="8" t="n">
        <v>8917436223</v>
      </c>
      <c r="I582" s="10" t="inlineStr">
        <is>
          <t>PE06052602</t>
        </is>
      </c>
      <c r="J582" s="8" t="inlineStr">
        <is>
          <t>Diode Bypass Module Issue</t>
        </is>
      </c>
      <c r="K582" s="8" t="inlineStr">
        <is>
          <t>Bhavnagar</t>
        </is>
      </c>
      <c r="L582" s="8" t="inlineStr">
        <is>
          <t>Gujarat</t>
        </is>
      </c>
      <c r="M582" s="2" t="inlineStr">
        <is>
          <t>PR</t>
        </is>
      </c>
      <c r="N582" s="1" t="inlineStr">
        <is>
          <t>JB Issue</t>
        </is>
      </c>
      <c r="O582" s="11" t="n">
        <v>540</v>
      </c>
      <c r="P582" s="2" t="inlineStr">
        <is>
          <t>NSMP2305189921</t>
        </is>
      </c>
      <c r="Q582" s="14">
        <f>MID(P582,5,2)</f>
        <v/>
      </c>
      <c r="R582" s="14">
        <f>MID(P582,7,2)</f>
        <v/>
      </c>
      <c r="S582" s="1" t="inlineStr">
        <is>
          <t>G2B</t>
        </is>
      </c>
      <c r="T582" s="1" t="inlineStr">
        <is>
          <t>P2 - PEPPL</t>
        </is>
      </c>
      <c r="U582" s="1" t="inlineStr">
        <is>
          <t>P JB Issue</t>
        </is>
      </c>
      <c r="V582" s="3" t="inlineStr">
        <is>
          <t>JB Changed</t>
        </is>
      </c>
      <c r="W582" s="1" t="inlineStr">
        <is>
          <t>Repair</t>
        </is>
      </c>
      <c r="X582" s="5" t="n">
        <v>46177</v>
      </c>
      <c r="Y582" s="1">
        <f>IF(X582="","",X582-A582)</f>
        <v/>
      </c>
      <c r="Z582" s="5" t="n">
        <v>46177</v>
      </c>
      <c r="AA582" s="3" t="n"/>
      <c r="AB582" s="3" t="n"/>
      <c r="AE582" s="146">
        <f>IF(AND(F582="Closed",X582&gt;=DATE(2026,6,1),X582&lt;=DATE(2026,6,30)),"Closed in June","other")</f>
        <v/>
      </c>
    </row>
    <row r="583" hidden="1">
      <c r="A583" s="9" t="n">
        <v>46148</v>
      </c>
      <c r="B583" s="1" t="n">
        <v>2026</v>
      </c>
      <c r="C583" s="8" t="inlineStr">
        <is>
          <t>Continuum</t>
        </is>
      </c>
      <c r="D583" s="1" t="inlineStr">
        <is>
          <t>Utility and C&amp;I</t>
        </is>
      </c>
      <c r="E583" s="1" t="n"/>
      <c r="F583" s="1" t="inlineStr">
        <is>
          <t>Closed</t>
        </is>
      </c>
      <c r="G583" s="8" t="inlineStr">
        <is>
          <t>Amiya Ranjan Behera</t>
        </is>
      </c>
      <c r="H583" s="8" t="n">
        <v>8917436223</v>
      </c>
      <c r="I583" s="10" t="inlineStr">
        <is>
          <t>PE06052602</t>
        </is>
      </c>
      <c r="J583" s="8" t="inlineStr">
        <is>
          <t>Diode Bypass Module Issue</t>
        </is>
      </c>
      <c r="K583" s="8" t="inlineStr">
        <is>
          <t>Bhavnagar</t>
        </is>
      </c>
      <c r="L583" s="8" t="inlineStr">
        <is>
          <t>Gujarat</t>
        </is>
      </c>
      <c r="M583" s="2" t="inlineStr">
        <is>
          <t>PS</t>
        </is>
      </c>
      <c r="N583" s="1" t="inlineStr">
        <is>
          <t>Cold Soldering</t>
        </is>
      </c>
      <c r="O583" s="11" t="n">
        <v>540</v>
      </c>
      <c r="P583" s="2" t="inlineStr">
        <is>
          <t>NSMP2305188477</t>
        </is>
      </c>
      <c r="Q583" s="14">
        <f>MID(P583,5,2)</f>
        <v/>
      </c>
      <c r="R583" s="14">
        <f>MID(P583,7,2)</f>
        <v/>
      </c>
      <c r="S583" s="1" t="inlineStr">
        <is>
          <t>G2B</t>
        </is>
      </c>
      <c r="T583" s="1" t="inlineStr">
        <is>
          <t>P2 - PEPPL</t>
        </is>
      </c>
      <c r="U583" s="1" t="inlineStr">
        <is>
          <t>P JB Cold Soldering</t>
        </is>
      </c>
      <c r="V583" s="1" t="inlineStr">
        <is>
          <t>Soldering</t>
        </is>
      </c>
      <c r="W583" s="1" t="inlineStr">
        <is>
          <t>Repair</t>
        </is>
      </c>
      <c r="X583" s="5" t="n">
        <v>46177</v>
      </c>
      <c r="Y583" s="1">
        <f>IF(X583="","",X583-A583)</f>
        <v/>
      </c>
      <c r="Z583" s="5" t="n">
        <v>46177</v>
      </c>
      <c r="AA583" s="3" t="n"/>
      <c r="AB583" s="3" t="n"/>
      <c r="AE583" s="146">
        <f>IF(AND(F583="Closed",X583&gt;=DATE(2026,6,1),X583&lt;=DATE(2026,6,30)),"Closed in June","other")</f>
        <v/>
      </c>
    </row>
    <row r="584" hidden="1">
      <c r="A584" s="9" t="n">
        <v>46148</v>
      </c>
      <c r="B584" s="1" t="n">
        <v>2026</v>
      </c>
      <c r="C584" s="8" t="inlineStr">
        <is>
          <t>Continuum</t>
        </is>
      </c>
      <c r="D584" s="1" t="inlineStr">
        <is>
          <t>Utility and C&amp;I</t>
        </is>
      </c>
      <c r="E584" s="1" t="n"/>
      <c r="F584" s="1" t="inlineStr">
        <is>
          <t>Closed</t>
        </is>
      </c>
      <c r="G584" s="8" t="inlineStr">
        <is>
          <t>Amiya Ranjan Behera</t>
        </is>
      </c>
      <c r="H584" s="8" t="n">
        <v>8917436223</v>
      </c>
      <c r="I584" s="10" t="inlineStr">
        <is>
          <t>PE06052602</t>
        </is>
      </c>
      <c r="J584" s="8" t="inlineStr">
        <is>
          <t>Diode Bypass Module Issue</t>
        </is>
      </c>
      <c r="K584" s="8" t="inlineStr">
        <is>
          <t>Bhavnagar</t>
        </is>
      </c>
      <c r="L584" s="8" t="inlineStr">
        <is>
          <t>Gujarat</t>
        </is>
      </c>
      <c r="M584" s="2" t="inlineStr">
        <is>
          <t>PS</t>
        </is>
      </c>
      <c r="N584" s="1" t="inlineStr">
        <is>
          <t>Cold Soldering</t>
        </is>
      </c>
      <c r="O584" s="11" t="n">
        <v>540</v>
      </c>
      <c r="P584" s="2" t="inlineStr">
        <is>
          <t>NSMP2305188668</t>
        </is>
      </c>
      <c r="Q584" s="14">
        <f>MID(P584,5,2)</f>
        <v/>
      </c>
      <c r="R584" s="14">
        <f>MID(P584,7,2)</f>
        <v/>
      </c>
      <c r="S584" s="1" t="inlineStr">
        <is>
          <t>G2B</t>
        </is>
      </c>
      <c r="T584" s="1" t="inlineStr">
        <is>
          <t>P2 - PEPPL</t>
        </is>
      </c>
      <c r="U584" s="1" t="inlineStr">
        <is>
          <t>P JB Cold Soldering</t>
        </is>
      </c>
      <c r="V584" s="1" t="inlineStr">
        <is>
          <t>Soldering</t>
        </is>
      </c>
      <c r="W584" s="1" t="inlineStr">
        <is>
          <t>Repair</t>
        </is>
      </c>
      <c r="X584" s="5" t="n">
        <v>46177</v>
      </c>
      <c r="Y584" s="1">
        <f>IF(X584="","",X584-A584)</f>
        <v/>
      </c>
      <c r="Z584" s="5" t="n">
        <v>46177</v>
      </c>
      <c r="AA584" s="3" t="n"/>
      <c r="AB584" s="3" t="n"/>
      <c r="AE584" s="146">
        <f>IF(AND(F584="Closed",X584&gt;=DATE(2026,6,1),X584&lt;=DATE(2026,6,30)),"Closed in June","other")</f>
        <v/>
      </c>
    </row>
    <row r="585" hidden="1">
      <c r="A585" s="9" t="n">
        <v>46148</v>
      </c>
      <c r="B585" s="1" t="n">
        <v>2026</v>
      </c>
      <c r="C585" s="8" t="inlineStr">
        <is>
          <t>Continuum</t>
        </is>
      </c>
      <c r="D585" s="1" t="inlineStr">
        <is>
          <t>Utility and C&amp;I</t>
        </is>
      </c>
      <c r="E585" s="1" t="n"/>
      <c r="F585" s="1" t="inlineStr">
        <is>
          <t>Closed</t>
        </is>
      </c>
      <c r="G585" s="8" t="inlineStr">
        <is>
          <t>Amiya Ranjan Behera</t>
        </is>
      </c>
      <c r="H585" s="8" t="n">
        <v>8917436223</v>
      </c>
      <c r="I585" s="10" t="inlineStr">
        <is>
          <t>PE06052602</t>
        </is>
      </c>
      <c r="J585" s="8" t="inlineStr">
        <is>
          <t>Diode Bypass Module Issue</t>
        </is>
      </c>
      <c r="K585" s="8" t="inlineStr">
        <is>
          <t>Bhavnagar</t>
        </is>
      </c>
      <c r="L585" s="8" t="inlineStr">
        <is>
          <t>Gujarat</t>
        </is>
      </c>
      <c r="M585" s="2" t="inlineStr">
        <is>
          <t>PS</t>
        </is>
      </c>
      <c r="N585" s="1" t="inlineStr">
        <is>
          <t>Cold Soldering</t>
        </is>
      </c>
      <c r="O585" s="11" t="n">
        <v>540</v>
      </c>
      <c r="P585" s="2" t="inlineStr">
        <is>
          <t>NSMP2305188659</t>
        </is>
      </c>
      <c r="Q585" s="14">
        <f>MID(P585,5,2)</f>
        <v/>
      </c>
      <c r="R585" s="14">
        <f>MID(P585,7,2)</f>
        <v/>
      </c>
      <c r="S585" s="1" t="inlineStr">
        <is>
          <t>G2B</t>
        </is>
      </c>
      <c r="T585" s="1" t="inlineStr">
        <is>
          <t>P2 - PEPPL</t>
        </is>
      </c>
      <c r="U585" s="1" t="inlineStr">
        <is>
          <t>P JB Cold Soldering</t>
        </is>
      </c>
      <c r="V585" s="1" t="inlineStr">
        <is>
          <t>Soldering</t>
        </is>
      </c>
      <c r="W585" s="1" t="inlineStr">
        <is>
          <t>Repair</t>
        </is>
      </c>
      <c r="X585" s="5" t="n">
        <v>46177</v>
      </c>
      <c r="Y585" s="1">
        <f>IF(X585="","",X585-A585)</f>
        <v/>
      </c>
      <c r="Z585" s="5" t="n">
        <v>46177</v>
      </c>
      <c r="AA585" s="3" t="n"/>
      <c r="AB585" s="3" t="n"/>
      <c r="AE585" s="146">
        <f>IF(AND(F585="Closed",X585&gt;=DATE(2026,6,1),X585&lt;=DATE(2026,6,30)),"Closed in June","other")</f>
        <v/>
      </c>
    </row>
    <row r="586" hidden="1">
      <c r="A586" s="9" t="n">
        <v>46148</v>
      </c>
      <c r="B586" s="1" t="n">
        <v>2026</v>
      </c>
      <c r="C586" s="8" t="inlineStr">
        <is>
          <t>Continuum</t>
        </is>
      </c>
      <c r="D586" s="1" t="inlineStr">
        <is>
          <t>Utility and C&amp;I</t>
        </is>
      </c>
      <c r="E586" s="1" t="n"/>
      <c r="F586" s="1" t="inlineStr">
        <is>
          <t>Closed</t>
        </is>
      </c>
      <c r="G586" s="8" t="inlineStr">
        <is>
          <t>Amiya Ranjan Behera</t>
        </is>
      </c>
      <c r="H586" s="8" t="n">
        <v>8917436223</v>
      </c>
      <c r="I586" s="10" t="inlineStr">
        <is>
          <t>PE06052602</t>
        </is>
      </c>
      <c r="J586" s="8" t="inlineStr">
        <is>
          <t>Diode Bypass Module Issue</t>
        </is>
      </c>
      <c r="K586" s="8" t="inlineStr">
        <is>
          <t>Bhavnagar</t>
        </is>
      </c>
      <c r="L586" s="8" t="inlineStr">
        <is>
          <t>Gujarat</t>
        </is>
      </c>
      <c r="M586" s="2" t="inlineStr">
        <is>
          <t>PS</t>
        </is>
      </c>
      <c r="N586" s="1" t="inlineStr">
        <is>
          <t>Cold Soldering</t>
        </is>
      </c>
      <c r="O586" s="11" t="n">
        <v>540</v>
      </c>
      <c r="P586" s="2" t="inlineStr">
        <is>
          <t>NSMP2305188720</t>
        </is>
      </c>
      <c r="Q586" s="14">
        <f>MID(P586,5,2)</f>
        <v/>
      </c>
      <c r="R586" s="14">
        <f>MID(P586,7,2)</f>
        <v/>
      </c>
      <c r="S586" s="1" t="inlineStr">
        <is>
          <t>G2B</t>
        </is>
      </c>
      <c r="T586" s="1" t="inlineStr">
        <is>
          <t>P2 - PEPPL</t>
        </is>
      </c>
      <c r="U586" s="1" t="inlineStr">
        <is>
          <t>P JB Cold Soldering</t>
        </is>
      </c>
      <c r="V586" s="1" t="inlineStr">
        <is>
          <t>Soldering</t>
        </is>
      </c>
      <c r="W586" s="1" t="inlineStr">
        <is>
          <t>Repair</t>
        </is>
      </c>
      <c r="X586" s="5" t="n">
        <v>46177</v>
      </c>
      <c r="Y586" s="1">
        <f>IF(X586="","",X586-A586)</f>
        <v/>
      </c>
      <c r="Z586" s="5" t="n">
        <v>46177</v>
      </c>
      <c r="AA586" s="3" t="n"/>
      <c r="AB586" s="3" t="n"/>
      <c r="AE586" s="146">
        <f>IF(AND(F586="Closed",X586&gt;=DATE(2026,6,1),X586&lt;=DATE(2026,6,30)),"Closed in June","other")</f>
        <v/>
      </c>
    </row>
    <row r="587" hidden="1">
      <c r="A587" s="9" t="n">
        <v>46148</v>
      </c>
      <c r="B587" s="1" t="n">
        <v>2026</v>
      </c>
      <c r="C587" s="8" t="inlineStr">
        <is>
          <t>Continuum</t>
        </is>
      </c>
      <c r="D587" s="1" t="inlineStr">
        <is>
          <t>Utility and C&amp;I</t>
        </is>
      </c>
      <c r="E587" s="1" t="n"/>
      <c r="F587" s="1" t="inlineStr">
        <is>
          <t>Closed</t>
        </is>
      </c>
      <c r="G587" s="8" t="inlineStr">
        <is>
          <t>Amiya Ranjan Behera</t>
        </is>
      </c>
      <c r="H587" s="8" t="n">
        <v>8917436223</v>
      </c>
      <c r="I587" s="10" t="inlineStr">
        <is>
          <t>PE06052602</t>
        </is>
      </c>
      <c r="J587" s="8" t="inlineStr">
        <is>
          <t>Diode Bypass Module Issue</t>
        </is>
      </c>
      <c r="K587" s="8" t="inlineStr">
        <is>
          <t>Bhavnagar</t>
        </is>
      </c>
      <c r="L587" s="8" t="inlineStr">
        <is>
          <t>Gujarat</t>
        </is>
      </c>
      <c r="M587" s="2" t="inlineStr">
        <is>
          <t>PS</t>
        </is>
      </c>
      <c r="N587" s="1" t="inlineStr">
        <is>
          <t>Cold Soldering</t>
        </is>
      </c>
      <c r="O587" s="11" t="n">
        <v>540</v>
      </c>
      <c r="P587" s="2" t="inlineStr">
        <is>
          <t>NSMP2305189808</t>
        </is>
      </c>
      <c r="Q587" s="14">
        <f>MID(P587,5,2)</f>
        <v/>
      </c>
      <c r="R587" s="14">
        <f>MID(P587,7,2)</f>
        <v/>
      </c>
      <c r="S587" s="1" t="inlineStr">
        <is>
          <t>G2B</t>
        </is>
      </c>
      <c r="T587" s="1" t="inlineStr">
        <is>
          <t>P2 - PEPPL</t>
        </is>
      </c>
      <c r="U587" s="1" t="inlineStr">
        <is>
          <t>P JB Cold Soldering</t>
        </is>
      </c>
      <c r="V587" s="1" t="inlineStr">
        <is>
          <t>Soldering</t>
        </is>
      </c>
      <c r="W587" s="1" t="inlineStr">
        <is>
          <t>Repair</t>
        </is>
      </c>
      <c r="X587" s="5" t="n">
        <v>46177</v>
      </c>
      <c r="Y587" s="1">
        <f>IF(X587="","",X587-A587)</f>
        <v/>
      </c>
      <c r="Z587" s="5" t="n">
        <v>46177</v>
      </c>
      <c r="AA587" s="3" t="n"/>
      <c r="AB587" s="3" t="n"/>
      <c r="AE587" s="146">
        <f>IF(AND(F587="Closed",X587&gt;=DATE(2026,6,1),X587&lt;=DATE(2026,6,30)),"Closed in June","other")</f>
        <v/>
      </c>
    </row>
    <row r="588" hidden="1">
      <c r="A588" s="9" t="n">
        <v>46148</v>
      </c>
      <c r="B588" s="1" t="n">
        <v>2026</v>
      </c>
      <c r="C588" s="8" t="inlineStr">
        <is>
          <t>Continuum</t>
        </is>
      </c>
      <c r="D588" s="1" t="inlineStr">
        <is>
          <t>Utility and C&amp;I</t>
        </is>
      </c>
      <c r="E588" s="1" t="n"/>
      <c r="F588" s="1" t="inlineStr">
        <is>
          <t>Closed</t>
        </is>
      </c>
      <c r="G588" s="8" t="inlineStr">
        <is>
          <t>Amiya Ranjan Behera</t>
        </is>
      </c>
      <c r="H588" s="8" t="n">
        <v>8917436223</v>
      </c>
      <c r="I588" s="10" t="inlineStr">
        <is>
          <t>PE06052602</t>
        </is>
      </c>
      <c r="J588" s="8" t="inlineStr">
        <is>
          <t>Diode Bypass Module Issue</t>
        </is>
      </c>
      <c r="K588" s="8" t="inlineStr">
        <is>
          <t>Bhavnagar</t>
        </is>
      </c>
      <c r="L588" s="8" t="inlineStr">
        <is>
          <t>Gujarat</t>
        </is>
      </c>
      <c r="M588" s="2" t="inlineStr">
        <is>
          <t>PS</t>
        </is>
      </c>
      <c r="N588" s="1" t="inlineStr">
        <is>
          <t>Cold Soldering</t>
        </is>
      </c>
      <c r="O588" s="11" t="n">
        <v>540</v>
      </c>
      <c r="P588" s="2" t="inlineStr">
        <is>
          <t>NSMP2305189812</t>
        </is>
      </c>
      <c r="Q588" s="14">
        <f>MID(P588,5,2)</f>
        <v/>
      </c>
      <c r="R588" s="14">
        <f>MID(P588,7,2)</f>
        <v/>
      </c>
      <c r="S588" s="1" t="inlineStr">
        <is>
          <t>G2B</t>
        </is>
      </c>
      <c r="T588" s="1" t="inlineStr">
        <is>
          <t>P2 - PEPPL</t>
        </is>
      </c>
      <c r="U588" s="1" t="inlineStr">
        <is>
          <t>P JB Cold Soldering</t>
        </is>
      </c>
      <c r="V588" s="1" t="inlineStr">
        <is>
          <t>Soldering</t>
        </is>
      </c>
      <c r="W588" s="1" t="inlineStr">
        <is>
          <t>Repair</t>
        </is>
      </c>
      <c r="X588" s="5" t="n">
        <v>46177</v>
      </c>
      <c r="Y588" s="1">
        <f>IF(X588="","",X588-A588)</f>
        <v/>
      </c>
      <c r="Z588" s="5" t="n">
        <v>46177</v>
      </c>
      <c r="AA588" s="3" t="n"/>
      <c r="AB588" s="3" t="n"/>
      <c r="AE588" s="146">
        <f>IF(AND(F588="Closed",X588&gt;=DATE(2026,6,1),X588&lt;=DATE(2026,6,30)),"Closed in June","other")</f>
        <v/>
      </c>
    </row>
    <row r="589" hidden="1">
      <c r="A589" s="9" t="n">
        <v>46148</v>
      </c>
      <c r="B589" s="1" t="n">
        <v>2026</v>
      </c>
      <c r="C589" s="8" t="inlineStr">
        <is>
          <t>Continuum</t>
        </is>
      </c>
      <c r="D589" s="1" t="inlineStr">
        <is>
          <t>Utility and C&amp;I</t>
        </is>
      </c>
      <c r="E589" s="1" t="n"/>
      <c r="F589" s="1" t="inlineStr">
        <is>
          <t>Closed</t>
        </is>
      </c>
      <c r="G589" s="8" t="inlineStr">
        <is>
          <t>Amiya Ranjan Behera</t>
        </is>
      </c>
      <c r="H589" s="8" t="n">
        <v>8917436223</v>
      </c>
      <c r="I589" s="10" t="inlineStr">
        <is>
          <t>PE06052602</t>
        </is>
      </c>
      <c r="J589" s="8" t="inlineStr">
        <is>
          <t>Diode Bypass Module Issue</t>
        </is>
      </c>
      <c r="K589" s="8" t="inlineStr">
        <is>
          <t>Bhavnagar</t>
        </is>
      </c>
      <c r="L589" s="8" t="inlineStr">
        <is>
          <t>Gujarat</t>
        </is>
      </c>
      <c r="M589" s="2" t="inlineStr">
        <is>
          <t>PS</t>
        </is>
      </c>
      <c r="N589" s="1" t="inlineStr">
        <is>
          <t>Cold Soldering</t>
        </is>
      </c>
      <c r="O589" s="11" t="n">
        <v>540</v>
      </c>
      <c r="P589" s="2" t="inlineStr">
        <is>
          <t>NSMP2305132496</t>
        </is>
      </c>
      <c r="Q589" s="14">
        <f>MID(P589,5,2)</f>
        <v/>
      </c>
      <c r="R589" s="14">
        <f>MID(P589,7,2)</f>
        <v/>
      </c>
      <c r="S589" s="1" t="inlineStr">
        <is>
          <t>G2B</t>
        </is>
      </c>
      <c r="T589" s="1" t="inlineStr">
        <is>
          <t>P2 - PEPPL</t>
        </is>
      </c>
      <c r="U589" s="1" t="inlineStr">
        <is>
          <t>P JB Cold Soldering</t>
        </is>
      </c>
      <c r="V589" s="1" t="inlineStr">
        <is>
          <t>Soldering</t>
        </is>
      </c>
      <c r="W589" s="1" t="inlineStr">
        <is>
          <t>Repair</t>
        </is>
      </c>
      <c r="X589" s="5" t="n">
        <v>46177</v>
      </c>
      <c r="Y589" s="1">
        <f>IF(X589="","",X589-A589)</f>
        <v/>
      </c>
      <c r="Z589" s="5" t="n">
        <v>46177</v>
      </c>
      <c r="AA589" s="3" t="n"/>
      <c r="AB589" s="3" t="n"/>
      <c r="AE589" s="146">
        <f>IF(AND(F589="Closed",X589&gt;=DATE(2026,6,1),X589&lt;=DATE(2026,6,30)),"Closed in June","other")</f>
        <v/>
      </c>
    </row>
    <row r="590" hidden="1">
      <c r="A590" s="9" t="n">
        <v>46148</v>
      </c>
      <c r="B590" s="1" t="n">
        <v>2026</v>
      </c>
      <c r="C590" s="8" t="inlineStr">
        <is>
          <t>Continuum</t>
        </is>
      </c>
      <c r="D590" s="1" t="inlineStr">
        <is>
          <t>Utility and C&amp;I</t>
        </is>
      </c>
      <c r="E590" s="1" t="n"/>
      <c r="F590" s="1" t="inlineStr">
        <is>
          <t>Closed</t>
        </is>
      </c>
      <c r="G590" s="8" t="inlineStr">
        <is>
          <t>Amiya Ranjan Behera</t>
        </is>
      </c>
      <c r="H590" s="8" t="n">
        <v>8917436223</v>
      </c>
      <c r="I590" s="10" t="inlineStr">
        <is>
          <t>PE06052602</t>
        </is>
      </c>
      <c r="J590" s="8" t="inlineStr">
        <is>
          <t>Diode Bypass Module Issue</t>
        </is>
      </c>
      <c r="K590" s="8" t="inlineStr">
        <is>
          <t>Bhavnagar</t>
        </is>
      </c>
      <c r="L590" s="8" t="inlineStr">
        <is>
          <t>Gujarat</t>
        </is>
      </c>
      <c r="M590" s="2" t="inlineStr">
        <is>
          <t>PS</t>
        </is>
      </c>
      <c r="N590" s="1" t="inlineStr">
        <is>
          <t>Cold Soldering</t>
        </is>
      </c>
      <c r="O590" s="11" t="n">
        <v>540</v>
      </c>
      <c r="P590" s="2" t="inlineStr">
        <is>
          <t>NSMP2305194591</t>
        </is>
      </c>
      <c r="Q590" s="14">
        <f>MID(P590,5,2)</f>
        <v/>
      </c>
      <c r="R590" s="14">
        <f>MID(P590,7,2)</f>
        <v/>
      </c>
      <c r="S590" s="1" t="inlineStr">
        <is>
          <t>G2B</t>
        </is>
      </c>
      <c r="T590" s="1" t="inlineStr">
        <is>
          <t>P2 - PEPPL</t>
        </is>
      </c>
      <c r="U590" s="1" t="inlineStr">
        <is>
          <t>P JB Cold Soldering</t>
        </is>
      </c>
      <c r="V590" s="1" t="inlineStr">
        <is>
          <t>Soldering</t>
        </is>
      </c>
      <c r="W590" s="1" t="inlineStr">
        <is>
          <t>Repair</t>
        </is>
      </c>
      <c r="X590" s="5" t="n">
        <v>46177</v>
      </c>
      <c r="Y590" s="1">
        <f>IF(X590="","",X590-A590)</f>
        <v/>
      </c>
      <c r="Z590" s="5" t="n">
        <v>46177</v>
      </c>
      <c r="AA590" s="3" t="n"/>
      <c r="AB590" s="3" t="n"/>
      <c r="AE590" s="146">
        <f>IF(AND(F590="Closed",X590&gt;=DATE(2026,6,1),X590&lt;=DATE(2026,6,30)),"Closed in June","other")</f>
        <v/>
      </c>
    </row>
    <row r="591" hidden="1">
      <c r="A591" s="9" t="n">
        <v>46148</v>
      </c>
      <c r="B591" s="1" t="n">
        <v>2026</v>
      </c>
      <c r="C591" s="8" t="inlineStr">
        <is>
          <t>Continuum</t>
        </is>
      </c>
      <c r="D591" s="1" t="inlineStr">
        <is>
          <t>Utility and C&amp;I</t>
        </is>
      </c>
      <c r="E591" s="1" t="n"/>
      <c r="F591" s="1" t="inlineStr">
        <is>
          <t>Closed</t>
        </is>
      </c>
      <c r="G591" s="8" t="inlineStr">
        <is>
          <t>Amiya Ranjan Behera</t>
        </is>
      </c>
      <c r="H591" s="8" t="n">
        <v>8917436223</v>
      </c>
      <c r="I591" s="10" t="inlineStr">
        <is>
          <t>PE06052602</t>
        </is>
      </c>
      <c r="J591" s="8" t="inlineStr">
        <is>
          <t>Diode Bypass Module Issue</t>
        </is>
      </c>
      <c r="K591" s="8" t="inlineStr">
        <is>
          <t>Bhavnagar</t>
        </is>
      </c>
      <c r="L591" s="8" t="inlineStr">
        <is>
          <t>Gujarat</t>
        </is>
      </c>
      <c r="M591" s="2" t="inlineStr">
        <is>
          <t>PS</t>
        </is>
      </c>
      <c r="N591" s="1" t="inlineStr">
        <is>
          <t>Cold Soldering</t>
        </is>
      </c>
      <c r="O591" s="11" t="n">
        <v>540</v>
      </c>
      <c r="P591" s="2" t="inlineStr">
        <is>
          <t>NSMP2305194271</t>
        </is>
      </c>
      <c r="Q591" s="14">
        <f>MID(P591,5,2)</f>
        <v/>
      </c>
      <c r="R591" s="14">
        <f>MID(P591,7,2)</f>
        <v/>
      </c>
      <c r="S591" s="1" t="inlineStr">
        <is>
          <t>G2B</t>
        </is>
      </c>
      <c r="T591" s="1" t="inlineStr">
        <is>
          <t>P2 - PEPPL</t>
        </is>
      </c>
      <c r="U591" s="1" t="inlineStr">
        <is>
          <t>P JB Cold Soldering</t>
        </is>
      </c>
      <c r="V591" s="1" t="inlineStr">
        <is>
          <t>Soldering</t>
        </is>
      </c>
      <c r="W591" s="1" t="inlineStr">
        <is>
          <t>Repair</t>
        </is>
      </c>
      <c r="X591" s="5" t="n">
        <v>46177</v>
      </c>
      <c r="Y591" s="1">
        <f>IF(X591="","",X591-A591)</f>
        <v/>
      </c>
      <c r="Z591" s="5" t="n">
        <v>46177</v>
      </c>
      <c r="AA591" s="3" t="n"/>
      <c r="AB591" s="3" t="n"/>
      <c r="AE591" s="146">
        <f>IF(AND(F591="Closed",X591&gt;=DATE(2026,6,1),X591&lt;=DATE(2026,6,30)),"Closed in June","other")</f>
        <v/>
      </c>
    </row>
    <row r="592" hidden="1">
      <c r="A592" s="9" t="n">
        <v>46148</v>
      </c>
      <c r="B592" s="1" t="n">
        <v>2026</v>
      </c>
      <c r="C592" s="8" t="inlineStr">
        <is>
          <t>Continuum</t>
        </is>
      </c>
      <c r="D592" s="1" t="inlineStr">
        <is>
          <t>Utility and C&amp;I</t>
        </is>
      </c>
      <c r="E592" s="1" t="n"/>
      <c r="F592" s="1" t="inlineStr">
        <is>
          <t>Closed</t>
        </is>
      </c>
      <c r="G592" s="8" t="inlineStr">
        <is>
          <t>Amiya Ranjan Behera</t>
        </is>
      </c>
      <c r="H592" s="8" t="n">
        <v>8917436223</v>
      </c>
      <c r="I592" s="10" t="inlineStr">
        <is>
          <t>PE06052602</t>
        </is>
      </c>
      <c r="J592" s="8" t="inlineStr">
        <is>
          <t>Diode Bypass Module Issue</t>
        </is>
      </c>
      <c r="K592" s="8" t="inlineStr">
        <is>
          <t>Bhavnagar</t>
        </is>
      </c>
      <c r="L592" s="8" t="inlineStr">
        <is>
          <t>Gujarat</t>
        </is>
      </c>
      <c r="M592" s="2" t="inlineStr">
        <is>
          <t>PS</t>
        </is>
      </c>
      <c r="N592" s="1" t="inlineStr">
        <is>
          <t>Cold Soldering</t>
        </is>
      </c>
      <c r="O592" s="11" t="n">
        <v>540</v>
      </c>
      <c r="P592" s="2" t="inlineStr">
        <is>
          <t>NSMP2305132340</t>
        </is>
      </c>
      <c r="Q592" s="14">
        <f>MID(P592,5,2)</f>
        <v/>
      </c>
      <c r="R592" s="14">
        <f>MID(P592,7,2)</f>
        <v/>
      </c>
      <c r="S592" s="1" t="inlineStr">
        <is>
          <t>G2B</t>
        </is>
      </c>
      <c r="T592" s="1" t="inlineStr">
        <is>
          <t>P2 - PEPPL</t>
        </is>
      </c>
      <c r="U592" s="1" t="inlineStr">
        <is>
          <t>P JB Cold Soldering</t>
        </is>
      </c>
      <c r="V592" s="1" t="inlineStr">
        <is>
          <t>Soldering</t>
        </is>
      </c>
      <c r="W592" s="1" t="inlineStr">
        <is>
          <t>Repair</t>
        </is>
      </c>
      <c r="X592" s="5" t="n">
        <v>46177</v>
      </c>
      <c r="Y592" s="1">
        <f>IF(X592="","",X592-A592)</f>
        <v/>
      </c>
      <c r="Z592" s="5" t="n">
        <v>46177</v>
      </c>
      <c r="AA592" s="3" t="n"/>
      <c r="AB592" s="3" t="n"/>
      <c r="AE592" s="146">
        <f>IF(AND(F592="Closed",X592&gt;=DATE(2026,6,1),X592&lt;=DATE(2026,6,30)),"Closed in June","other")</f>
        <v/>
      </c>
    </row>
    <row r="593" hidden="1">
      <c r="A593" s="9" t="n">
        <v>46148</v>
      </c>
      <c r="B593" s="1" t="n">
        <v>2026</v>
      </c>
      <c r="C593" s="8" t="inlineStr">
        <is>
          <t>Continuum</t>
        </is>
      </c>
      <c r="D593" s="1" t="inlineStr">
        <is>
          <t>Utility and C&amp;I</t>
        </is>
      </c>
      <c r="E593" s="1" t="n"/>
      <c r="F593" s="1" t="inlineStr">
        <is>
          <t>Closed</t>
        </is>
      </c>
      <c r="G593" s="8" t="inlineStr">
        <is>
          <t>Amiya Ranjan Behera</t>
        </is>
      </c>
      <c r="H593" s="8" t="n">
        <v>8917436223</v>
      </c>
      <c r="I593" s="10" t="inlineStr">
        <is>
          <t>PE06052602</t>
        </is>
      </c>
      <c r="J593" s="8" t="inlineStr">
        <is>
          <t>Diode Bypass Module Issue</t>
        </is>
      </c>
      <c r="K593" s="8" t="inlineStr">
        <is>
          <t>Bhavnagar</t>
        </is>
      </c>
      <c r="L593" s="8" t="inlineStr">
        <is>
          <t>Gujarat</t>
        </is>
      </c>
      <c r="M593" s="2" t="inlineStr">
        <is>
          <t>PS</t>
        </is>
      </c>
      <c r="N593" s="1" t="inlineStr">
        <is>
          <t>Cold Soldering</t>
        </is>
      </c>
      <c r="O593" s="11" t="n">
        <v>540</v>
      </c>
      <c r="P593" s="2" t="inlineStr">
        <is>
          <t>NSMP2305194612</t>
        </is>
      </c>
      <c r="Q593" s="14">
        <f>MID(P593,5,2)</f>
        <v/>
      </c>
      <c r="R593" s="14">
        <f>MID(P593,7,2)</f>
        <v/>
      </c>
      <c r="S593" s="1" t="inlineStr">
        <is>
          <t>G2B</t>
        </is>
      </c>
      <c r="T593" s="1" t="inlineStr">
        <is>
          <t>P2 - PEPPL</t>
        </is>
      </c>
      <c r="U593" s="1" t="inlineStr">
        <is>
          <t>P JB Cold Soldering</t>
        </is>
      </c>
      <c r="V593" s="1" t="inlineStr">
        <is>
          <t>Soldering</t>
        </is>
      </c>
      <c r="W593" s="1" t="inlineStr">
        <is>
          <t>Repair</t>
        </is>
      </c>
      <c r="X593" s="5" t="n">
        <v>46177</v>
      </c>
      <c r="Y593" s="1">
        <f>IF(X593="","",X593-A593)</f>
        <v/>
      </c>
      <c r="Z593" s="5" t="n">
        <v>46177</v>
      </c>
      <c r="AA593" s="3" t="n"/>
      <c r="AB593" s="3" t="n"/>
      <c r="AE593" s="146">
        <f>IF(AND(F593="Closed",X593&gt;=DATE(2026,6,1),X593&lt;=DATE(2026,6,30)),"Closed in June","other")</f>
        <v/>
      </c>
    </row>
    <row r="594" hidden="1">
      <c r="A594" s="9" t="n">
        <v>46148</v>
      </c>
      <c r="B594" s="1" t="n">
        <v>2026</v>
      </c>
      <c r="C594" s="8" t="inlineStr">
        <is>
          <t>Continuum</t>
        </is>
      </c>
      <c r="D594" s="1" t="inlineStr">
        <is>
          <t>Utility and C&amp;I</t>
        </is>
      </c>
      <c r="E594" s="1" t="n"/>
      <c r="F594" s="1" t="inlineStr">
        <is>
          <t>Closed</t>
        </is>
      </c>
      <c r="G594" s="8" t="inlineStr">
        <is>
          <t>Amiya Ranjan Behera</t>
        </is>
      </c>
      <c r="H594" s="8" t="n">
        <v>8917436223</v>
      </c>
      <c r="I594" s="10" t="inlineStr">
        <is>
          <t>PE06052602</t>
        </is>
      </c>
      <c r="J594" s="8" t="inlineStr">
        <is>
          <t>Diode Bypass Module Issue</t>
        </is>
      </c>
      <c r="K594" s="8" t="inlineStr">
        <is>
          <t>Bhavnagar</t>
        </is>
      </c>
      <c r="L594" s="8" t="inlineStr">
        <is>
          <t>Gujarat</t>
        </is>
      </c>
      <c r="M594" s="2" t="inlineStr">
        <is>
          <t>PS</t>
        </is>
      </c>
      <c r="N594" s="1" t="inlineStr">
        <is>
          <t>Cold Soldering</t>
        </is>
      </c>
      <c r="O594" s="11" t="n">
        <v>540</v>
      </c>
      <c r="P594" s="2" t="inlineStr">
        <is>
          <t>NSMP2305132610</t>
        </is>
      </c>
      <c r="Q594" s="14">
        <f>MID(P594,5,2)</f>
        <v/>
      </c>
      <c r="R594" s="14">
        <f>MID(P594,7,2)</f>
        <v/>
      </c>
      <c r="S594" s="1" t="inlineStr">
        <is>
          <t>G2B</t>
        </is>
      </c>
      <c r="T594" s="1" t="inlineStr">
        <is>
          <t>P2 - PEPPL</t>
        </is>
      </c>
      <c r="U594" s="1" t="inlineStr">
        <is>
          <t>P JB Cold Soldering</t>
        </is>
      </c>
      <c r="V594" s="1" t="inlineStr">
        <is>
          <t>Soldering</t>
        </is>
      </c>
      <c r="W594" s="1" t="inlineStr">
        <is>
          <t>Repair</t>
        </is>
      </c>
      <c r="X594" s="5" t="n">
        <v>46177</v>
      </c>
      <c r="Y594" s="1">
        <f>IF(X594="","",X594-A594)</f>
        <v/>
      </c>
      <c r="Z594" s="5" t="n">
        <v>46177</v>
      </c>
      <c r="AA594" s="3" t="n"/>
      <c r="AB594" s="3" t="n"/>
      <c r="AE594" s="146">
        <f>IF(AND(F594="Closed",X594&gt;=DATE(2026,6,1),X594&lt;=DATE(2026,6,30)),"Closed in June","other")</f>
        <v/>
      </c>
    </row>
    <row r="595" hidden="1">
      <c r="A595" s="9" t="n">
        <v>46148</v>
      </c>
      <c r="B595" s="1" t="n">
        <v>2026</v>
      </c>
      <c r="C595" s="8" t="inlineStr">
        <is>
          <t>Continuum</t>
        </is>
      </c>
      <c r="D595" s="1" t="inlineStr">
        <is>
          <t>Utility and C&amp;I</t>
        </is>
      </c>
      <c r="E595" s="1" t="n"/>
      <c r="F595" s="1" t="inlineStr">
        <is>
          <t>Closed</t>
        </is>
      </c>
      <c r="G595" s="8" t="inlineStr">
        <is>
          <t>Amiya Ranjan Behera</t>
        </is>
      </c>
      <c r="H595" s="8" t="n">
        <v>8917436223</v>
      </c>
      <c r="I595" s="10" t="inlineStr">
        <is>
          <t>PE06052602</t>
        </is>
      </c>
      <c r="J595" s="8" t="inlineStr">
        <is>
          <t>Diode Bypass Module Issue</t>
        </is>
      </c>
      <c r="K595" s="8" t="inlineStr">
        <is>
          <t>Bhavnagar</t>
        </is>
      </c>
      <c r="L595" s="8" t="inlineStr">
        <is>
          <t>Gujarat</t>
        </is>
      </c>
      <c r="M595" s="2" t="inlineStr">
        <is>
          <t>PS</t>
        </is>
      </c>
      <c r="N595" s="1" t="inlineStr">
        <is>
          <t>Cold Soldering</t>
        </is>
      </c>
      <c r="O595" s="11" t="n">
        <v>540</v>
      </c>
      <c r="P595" s="2" t="inlineStr">
        <is>
          <t>NSMP2305194369</t>
        </is>
      </c>
      <c r="Q595" s="14">
        <f>MID(P595,5,2)</f>
        <v/>
      </c>
      <c r="R595" s="14">
        <f>MID(P595,7,2)</f>
        <v/>
      </c>
      <c r="S595" s="1" t="inlineStr">
        <is>
          <t>G2B</t>
        </is>
      </c>
      <c r="T595" s="1" t="inlineStr">
        <is>
          <t>P2 - PEPPL</t>
        </is>
      </c>
      <c r="U595" s="1" t="inlineStr">
        <is>
          <t>P JB Cold Soldering</t>
        </is>
      </c>
      <c r="V595" s="1" t="inlineStr">
        <is>
          <t>Soldering</t>
        </is>
      </c>
      <c r="W595" s="1" t="inlineStr">
        <is>
          <t>Repair</t>
        </is>
      </c>
      <c r="X595" s="5" t="n">
        <v>46177</v>
      </c>
      <c r="Y595" s="1">
        <f>IF(X595="","",X595-A595)</f>
        <v/>
      </c>
      <c r="Z595" s="5" t="n">
        <v>46177</v>
      </c>
      <c r="AA595" s="3" t="n"/>
      <c r="AB595" s="3" t="n"/>
      <c r="AE595" s="146">
        <f>IF(AND(F595="Closed",X595&gt;=DATE(2026,6,1),X595&lt;=DATE(2026,6,30)),"Closed in June","other")</f>
        <v/>
      </c>
    </row>
    <row r="596" hidden="1">
      <c r="A596" s="9" t="n">
        <v>46148</v>
      </c>
      <c r="B596" s="1" t="n">
        <v>2026</v>
      </c>
      <c r="C596" s="8" t="inlineStr">
        <is>
          <t>Continuum</t>
        </is>
      </c>
      <c r="D596" s="1" t="inlineStr">
        <is>
          <t>Utility and C&amp;I</t>
        </is>
      </c>
      <c r="E596" s="1" t="n"/>
      <c r="F596" s="1" t="inlineStr">
        <is>
          <t>Closed</t>
        </is>
      </c>
      <c r="G596" s="8" t="inlineStr">
        <is>
          <t>Amiya Ranjan Behera</t>
        </is>
      </c>
      <c r="H596" s="8" t="n">
        <v>8917436223</v>
      </c>
      <c r="I596" s="10" t="inlineStr">
        <is>
          <t>PE06052602</t>
        </is>
      </c>
      <c r="J596" s="8" t="inlineStr">
        <is>
          <t>Diode Bypass Module Issue</t>
        </is>
      </c>
      <c r="K596" s="8" t="inlineStr">
        <is>
          <t>Bhavnagar</t>
        </is>
      </c>
      <c r="L596" s="8" t="inlineStr">
        <is>
          <t>Gujarat</t>
        </is>
      </c>
      <c r="M596" s="2" t="inlineStr">
        <is>
          <t>PS</t>
        </is>
      </c>
      <c r="N596" s="1" t="inlineStr">
        <is>
          <t>Cold Soldering</t>
        </is>
      </c>
      <c r="O596" s="11" t="n">
        <v>540</v>
      </c>
      <c r="P596" s="2" t="inlineStr">
        <is>
          <t>NSMP2305132539</t>
        </is>
      </c>
      <c r="Q596" s="14">
        <f>MID(P596,5,2)</f>
        <v/>
      </c>
      <c r="R596" s="14">
        <f>MID(P596,7,2)</f>
        <v/>
      </c>
      <c r="S596" s="1" t="inlineStr">
        <is>
          <t>G2B</t>
        </is>
      </c>
      <c r="T596" s="1" t="inlineStr">
        <is>
          <t>P2 - PEPPL</t>
        </is>
      </c>
      <c r="U596" s="1" t="inlineStr">
        <is>
          <t>P JB Cold Soldering</t>
        </is>
      </c>
      <c r="V596" s="1" t="inlineStr">
        <is>
          <t>Soldering</t>
        </is>
      </c>
      <c r="W596" s="1" t="inlineStr">
        <is>
          <t>Repair</t>
        </is>
      </c>
      <c r="X596" s="5" t="n">
        <v>46177</v>
      </c>
      <c r="Y596" s="1">
        <f>IF(X596="","",X596-A596)</f>
        <v/>
      </c>
      <c r="Z596" s="5" t="n">
        <v>46177</v>
      </c>
      <c r="AA596" s="3" t="n"/>
      <c r="AB596" s="3" t="n"/>
      <c r="AE596" s="146">
        <f>IF(AND(F596="Closed",X596&gt;=DATE(2026,6,1),X596&lt;=DATE(2026,6,30)),"Closed in June","other")</f>
        <v/>
      </c>
    </row>
    <row r="597" hidden="1">
      <c r="A597" s="9" t="n">
        <v>46148</v>
      </c>
      <c r="B597" s="1" t="n">
        <v>2026</v>
      </c>
      <c r="C597" s="8" t="inlineStr">
        <is>
          <t>Continuum</t>
        </is>
      </c>
      <c r="D597" s="1" t="inlineStr">
        <is>
          <t>Utility and C&amp;I</t>
        </is>
      </c>
      <c r="E597" s="1" t="n"/>
      <c r="F597" s="1" t="inlineStr">
        <is>
          <t>Closed</t>
        </is>
      </c>
      <c r="G597" s="8" t="inlineStr">
        <is>
          <t>Amiya Ranjan Behera</t>
        </is>
      </c>
      <c r="H597" s="8" t="n">
        <v>8917436223</v>
      </c>
      <c r="I597" s="10" t="inlineStr">
        <is>
          <t>PE06052602</t>
        </is>
      </c>
      <c r="J597" s="8" t="inlineStr">
        <is>
          <t>Diode Bypass Module Issue</t>
        </is>
      </c>
      <c r="K597" s="8" t="inlineStr">
        <is>
          <t>Bhavnagar</t>
        </is>
      </c>
      <c r="L597" s="8" t="inlineStr">
        <is>
          <t>Gujarat</t>
        </is>
      </c>
      <c r="M597" s="2" t="inlineStr">
        <is>
          <t>PS</t>
        </is>
      </c>
      <c r="N597" s="1" t="inlineStr">
        <is>
          <t>Cold Soldering</t>
        </is>
      </c>
      <c r="O597" s="11" t="n">
        <v>540</v>
      </c>
      <c r="P597" s="2" t="inlineStr">
        <is>
          <t>NSMP2305132544</t>
        </is>
      </c>
      <c r="Q597" s="14">
        <f>MID(P597,5,2)</f>
        <v/>
      </c>
      <c r="R597" s="14">
        <f>MID(P597,7,2)</f>
        <v/>
      </c>
      <c r="S597" s="1" t="inlineStr">
        <is>
          <t>G2B</t>
        </is>
      </c>
      <c r="T597" s="1" t="inlineStr">
        <is>
          <t>P2 - PEPPL</t>
        </is>
      </c>
      <c r="U597" s="1" t="inlineStr">
        <is>
          <t>P JB Cold Soldering</t>
        </is>
      </c>
      <c r="V597" s="1" t="inlineStr">
        <is>
          <t>Soldering</t>
        </is>
      </c>
      <c r="W597" s="1" t="inlineStr">
        <is>
          <t>Repair</t>
        </is>
      </c>
      <c r="X597" s="5" t="n">
        <v>46177</v>
      </c>
      <c r="Y597" s="1">
        <f>IF(X597="","",X597-A597)</f>
        <v/>
      </c>
      <c r="Z597" s="5" t="n">
        <v>46177</v>
      </c>
      <c r="AA597" s="3" t="n"/>
      <c r="AB597" s="3" t="n"/>
      <c r="AE597" s="146">
        <f>IF(AND(F597="Closed",X597&gt;=DATE(2026,6,1),X597&lt;=DATE(2026,6,30)),"Closed in June","other")</f>
        <v/>
      </c>
    </row>
    <row r="598" hidden="1">
      <c r="A598" s="9" t="n">
        <v>46148</v>
      </c>
      <c r="B598" s="1" t="n">
        <v>2026</v>
      </c>
      <c r="C598" s="8" t="inlineStr">
        <is>
          <t>Continuum</t>
        </is>
      </c>
      <c r="D598" s="1" t="inlineStr">
        <is>
          <t>Utility and C&amp;I</t>
        </is>
      </c>
      <c r="E598" s="1" t="n"/>
      <c r="F598" s="1" t="inlineStr">
        <is>
          <t>Closed</t>
        </is>
      </c>
      <c r="G598" s="8" t="inlineStr">
        <is>
          <t>Amiya Ranjan Behera</t>
        </is>
      </c>
      <c r="H598" s="8" t="n">
        <v>8917436223</v>
      </c>
      <c r="I598" s="10" t="inlineStr">
        <is>
          <t>PE06052602</t>
        </is>
      </c>
      <c r="J598" s="8" t="inlineStr">
        <is>
          <t>Diode Bypass Module Issue</t>
        </is>
      </c>
      <c r="K598" s="8" t="inlineStr">
        <is>
          <t>Bhavnagar</t>
        </is>
      </c>
      <c r="L598" s="8" t="inlineStr">
        <is>
          <t>Gujarat</t>
        </is>
      </c>
      <c r="M598" s="2" t="inlineStr">
        <is>
          <t>PS</t>
        </is>
      </c>
      <c r="N598" s="1" t="inlineStr">
        <is>
          <t>Cold Soldering</t>
        </is>
      </c>
      <c r="O598" s="11" t="n">
        <v>540</v>
      </c>
      <c r="P598" s="2" t="inlineStr">
        <is>
          <t>NSMP2305132523</t>
        </is>
      </c>
      <c r="Q598" s="14">
        <f>MID(P598,5,2)</f>
        <v/>
      </c>
      <c r="R598" s="14">
        <f>MID(P598,7,2)</f>
        <v/>
      </c>
      <c r="S598" s="1" t="inlineStr">
        <is>
          <t>G2B</t>
        </is>
      </c>
      <c r="T598" s="1" t="inlineStr">
        <is>
          <t>P2 - PEPPL</t>
        </is>
      </c>
      <c r="U598" s="1" t="inlineStr">
        <is>
          <t>P JB Cold Soldering</t>
        </is>
      </c>
      <c r="V598" s="1" t="inlineStr">
        <is>
          <t>Soldering</t>
        </is>
      </c>
      <c r="W598" s="1" t="inlineStr">
        <is>
          <t>Repair</t>
        </is>
      </c>
      <c r="X598" s="5" t="n">
        <v>46177</v>
      </c>
      <c r="Y598" s="1">
        <f>IF(X598="","",X598-A598)</f>
        <v/>
      </c>
      <c r="Z598" s="5" t="n">
        <v>46177</v>
      </c>
      <c r="AA598" s="3" t="n"/>
      <c r="AB598" s="3" t="n"/>
      <c r="AE598" s="146">
        <f>IF(AND(F598="Closed",X598&gt;=DATE(2026,6,1),X598&lt;=DATE(2026,6,30)),"Closed in June","other")</f>
        <v/>
      </c>
    </row>
    <row r="599" hidden="1">
      <c r="A599" s="9" t="n">
        <v>46143</v>
      </c>
      <c r="B599" s="1" t="n">
        <v>2026</v>
      </c>
      <c r="C599" s="8" t="inlineStr">
        <is>
          <t>Yanara Power</t>
        </is>
      </c>
      <c r="D599" s="1" t="inlineStr">
        <is>
          <t>Utility and C&amp;I</t>
        </is>
      </c>
      <c r="E599" s="1" t="n"/>
      <c r="F599" s="1" t="inlineStr">
        <is>
          <t>Closed</t>
        </is>
      </c>
      <c r="G599" s="2" t="inlineStr">
        <is>
          <t xml:space="preserve">Ashish Jindal </t>
        </is>
      </c>
      <c r="H599" s="8" t="n">
        <v>9983975581</v>
      </c>
      <c r="I599" s="10" t="inlineStr">
        <is>
          <t>PE01052601</t>
        </is>
      </c>
      <c r="J599" s="8" t="inlineStr">
        <is>
          <t>Multiple Issues</t>
        </is>
      </c>
      <c r="K599" s="11" t="inlineStr">
        <is>
          <t>Holi</t>
        </is>
      </c>
      <c r="L599" s="11" t="inlineStr">
        <is>
          <t>Maharashtra</t>
        </is>
      </c>
      <c r="M599" s="2" t="inlineStr">
        <is>
          <t>PS</t>
        </is>
      </c>
      <c r="N599" s="1" t="inlineStr">
        <is>
          <t>Cold Soldering</t>
        </is>
      </c>
      <c r="O599" s="11" t="n">
        <v>575</v>
      </c>
      <c r="P599" s="2" t="inlineStr">
        <is>
          <t>NSMI24070192336</t>
        </is>
      </c>
      <c r="Q599" s="14">
        <f>MID(P599,5,2)</f>
        <v/>
      </c>
      <c r="R599" s="14">
        <f>MID(P599,7,2)</f>
        <v/>
      </c>
      <c r="S599" s="1" t="inlineStr">
        <is>
          <t>G2G</t>
        </is>
      </c>
      <c r="T599" s="1" t="inlineStr">
        <is>
          <t>P4 - PEIPL</t>
        </is>
      </c>
      <c r="U599" s="6" t="inlineStr">
        <is>
          <t>P JB Cold Soldering</t>
        </is>
      </c>
      <c r="V599" s="6" t="inlineStr">
        <is>
          <t>Soldering</t>
        </is>
      </c>
      <c r="W599" s="1" t="inlineStr">
        <is>
          <t>Repair</t>
        </is>
      </c>
      <c r="X599" s="5" t="n">
        <v>46177</v>
      </c>
      <c r="Y599" s="1">
        <f>IF(X599="","",X599-A599)</f>
        <v/>
      </c>
      <c r="Z599" s="5" t="n">
        <v>46177</v>
      </c>
      <c r="AA599" s="3" t="n"/>
      <c r="AB599" s="3" t="n"/>
      <c r="AE599" s="146">
        <f>IF(AND(F599="Closed",X599&gt;=DATE(2026,6,1),X599&lt;=DATE(2026,6,30)),"Closed in June","other")</f>
        <v/>
      </c>
    </row>
    <row r="600" hidden="1">
      <c r="A600" s="9" t="n">
        <v>46143</v>
      </c>
      <c r="B600" s="1" t="n">
        <v>2026</v>
      </c>
      <c r="C600" s="8" t="inlineStr">
        <is>
          <t>Yanara Power</t>
        </is>
      </c>
      <c r="D600" s="1" t="inlineStr">
        <is>
          <t>Utility and C&amp;I</t>
        </is>
      </c>
      <c r="E600" s="1" t="n"/>
      <c r="F600" s="1" t="inlineStr">
        <is>
          <t>Closed</t>
        </is>
      </c>
      <c r="G600" s="2" t="inlineStr">
        <is>
          <t xml:space="preserve">Ashish Jindal </t>
        </is>
      </c>
      <c r="H600" s="8" t="n">
        <v>9983975581</v>
      </c>
      <c r="I600" s="10" t="inlineStr">
        <is>
          <t>PE01052601</t>
        </is>
      </c>
      <c r="J600" s="8" t="inlineStr">
        <is>
          <t>Multiple Issues</t>
        </is>
      </c>
      <c r="K600" s="11" t="inlineStr">
        <is>
          <t>Holi</t>
        </is>
      </c>
      <c r="L600" s="11" t="inlineStr">
        <is>
          <t>Maharashtra</t>
        </is>
      </c>
      <c r="M600" s="2" t="inlineStr">
        <is>
          <t>PS</t>
        </is>
      </c>
      <c r="N600" s="1" t="inlineStr">
        <is>
          <t>Cold Soldering</t>
        </is>
      </c>
      <c r="O600" s="11" t="n">
        <v>575</v>
      </c>
      <c r="P600" s="2" t="inlineStr">
        <is>
          <t>NSMI24070201526</t>
        </is>
      </c>
      <c r="Q600" s="14">
        <f>MID(P600,5,2)</f>
        <v/>
      </c>
      <c r="R600" s="14">
        <f>MID(P600,7,2)</f>
        <v/>
      </c>
      <c r="S600" s="1" t="inlineStr">
        <is>
          <t>G2G</t>
        </is>
      </c>
      <c r="T600" s="1" t="inlineStr">
        <is>
          <t>P4 - PEIPL</t>
        </is>
      </c>
      <c r="U600" s="6" t="inlineStr">
        <is>
          <t>P JB Cold Soldering</t>
        </is>
      </c>
      <c r="V600" s="6" t="inlineStr">
        <is>
          <t>Soldering</t>
        </is>
      </c>
      <c r="W600" s="1" t="inlineStr">
        <is>
          <t>Repair</t>
        </is>
      </c>
      <c r="X600" s="5" t="n">
        <v>46177</v>
      </c>
      <c r="Y600" s="1">
        <f>IF(X600="","",X600-A600)</f>
        <v/>
      </c>
      <c r="Z600" s="5" t="n">
        <v>46177</v>
      </c>
      <c r="AA600" s="3" t="n"/>
      <c r="AB600" s="3" t="n"/>
      <c r="AE600" s="146">
        <f>IF(AND(F600="Closed",X600&gt;=DATE(2026,6,1),X600&lt;=DATE(2026,6,30)),"Closed in June","other")</f>
        <v/>
      </c>
    </row>
    <row r="601" hidden="1">
      <c r="A601" s="9" t="n">
        <v>46143</v>
      </c>
      <c r="B601" s="1" t="n">
        <v>2026</v>
      </c>
      <c r="C601" s="8" t="inlineStr">
        <is>
          <t>Yanara Power</t>
        </is>
      </c>
      <c r="D601" s="1" t="inlineStr">
        <is>
          <t>Utility and C&amp;I</t>
        </is>
      </c>
      <c r="E601" s="1" t="n"/>
      <c r="F601" s="1" t="inlineStr">
        <is>
          <t>Closed</t>
        </is>
      </c>
      <c r="G601" s="2" t="inlineStr">
        <is>
          <t xml:space="preserve">Ashish Jindal </t>
        </is>
      </c>
      <c r="H601" s="8" t="n">
        <v>9983975581</v>
      </c>
      <c r="I601" s="10" t="inlineStr">
        <is>
          <t>PE01052601</t>
        </is>
      </c>
      <c r="J601" s="8" t="inlineStr">
        <is>
          <t>Multiple Issues</t>
        </is>
      </c>
      <c r="K601" s="11" t="inlineStr">
        <is>
          <t>Holi</t>
        </is>
      </c>
      <c r="L601" s="11" t="inlineStr">
        <is>
          <t>Maharashtra</t>
        </is>
      </c>
      <c r="M601" s="2" t="inlineStr">
        <is>
          <t>NS</t>
        </is>
      </c>
      <c r="N601" s="1" t="inlineStr">
        <is>
          <t>Cold Soldering</t>
        </is>
      </c>
      <c r="O601" s="11" t="n">
        <v>575</v>
      </c>
      <c r="P601" s="2" t="inlineStr">
        <is>
          <t>NSMI24070201663</t>
        </is>
      </c>
      <c r="Q601" s="14">
        <f>MID(P601,5,2)</f>
        <v/>
      </c>
      <c r="R601" s="14">
        <f>MID(P601,7,2)</f>
        <v/>
      </c>
      <c r="S601" s="1" t="inlineStr">
        <is>
          <t>G2G</t>
        </is>
      </c>
      <c r="T601" s="1" t="inlineStr">
        <is>
          <t>P4 - PEIPL</t>
        </is>
      </c>
      <c r="U601" s="1" t="inlineStr">
        <is>
          <t>N JB Cold Soldering</t>
        </is>
      </c>
      <c r="V601" s="1" t="inlineStr">
        <is>
          <t>Soldering</t>
        </is>
      </c>
      <c r="W601" s="1" t="inlineStr">
        <is>
          <t>Repair</t>
        </is>
      </c>
      <c r="X601" s="5" t="n">
        <v>46177</v>
      </c>
      <c r="Y601" s="1">
        <f>IF(X601="","",X601-A601)</f>
        <v/>
      </c>
      <c r="Z601" s="5" t="n">
        <v>46177</v>
      </c>
      <c r="AA601" s="3" t="n"/>
      <c r="AB601" s="3" t="n"/>
      <c r="AE601" s="146">
        <f>IF(AND(F601="Closed",X601&gt;=DATE(2026,6,1),X601&lt;=DATE(2026,6,30)),"Closed in June","other")</f>
        <v/>
      </c>
    </row>
    <row r="602" hidden="1">
      <c r="A602" s="9" t="n">
        <v>46143</v>
      </c>
      <c r="B602" s="1" t="n">
        <v>2026</v>
      </c>
      <c r="C602" s="8" t="inlineStr">
        <is>
          <t>Yanara Power</t>
        </is>
      </c>
      <c r="D602" s="1" t="inlineStr">
        <is>
          <t>Utility and C&amp;I</t>
        </is>
      </c>
      <c r="E602" s="1" t="n"/>
      <c r="F602" s="1" t="inlineStr">
        <is>
          <t>Closed</t>
        </is>
      </c>
      <c r="G602" s="2" t="inlineStr">
        <is>
          <t xml:space="preserve">Ashish Jindal </t>
        </is>
      </c>
      <c r="H602" s="8" t="n">
        <v>9983975581</v>
      </c>
      <c r="I602" s="10" t="inlineStr">
        <is>
          <t>PE01052601</t>
        </is>
      </c>
      <c r="J602" s="8" t="inlineStr">
        <is>
          <t>Multiple Issues</t>
        </is>
      </c>
      <c r="K602" s="11" t="inlineStr">
        <is>
          <t>Holi</t>
        </is>
      </c>
      <c r="L602" s="11" t="inlineStr">
        <is>
          <t>Maharashtra</t>
        </is>
      </c>
      <c r="M602" s="2" t="inlineStr">
        <is>
          <t>PS</t>
        </is>
      </c>
      <c r="N602" s="1" t="inlineStr">
        <is>
          <t>Cold Soldering</t>
        </is>
      </c>
      <c r="O602" s="11" t="n">
        <v>575</v>
      </c>
      <c r="P602" s="2" t="inlineStr">
        <is>
          <t>NSMI24070186671</t>
        </is>
      </c>
      <c r="Q602" s="14">
        <f>MID(P602,5,2)</f>
        <v/>
      </c>
      <c r="R602" s="14">
        <f>MID(P602,7,2)</f>
        <v/>
      </c>
      <c r="S602" s="1" t="inlineStr">
        <is>
          <t>G2G</t>
        </is>
      </c>
      <c r="T602" s="1" t="inlineStr">
        <is>
          <t>P4 - PEIPL</t>
        </is>
      </c>
      <c r="U602" s="6" t="inlineStr">
        <is>
          <t>P JB Cold Soldering</t>
        </is>
      </c>
      <c r="V602" s="6" t="inlineStr">
        <is>
          <t>Soldering</t>
        </is>
      </c>
      <c r="W602" s="1" t="inlineStr">
        <is>
          <t>Repair</t>
        </is>
      </c>
      <c r="X602" s="5" t="n">
        <v>46177</v>
      </c>
      <c r="Y602" s="1">
        <f>IF(X602="","",X602-A602)</f>
        <v/>
      </c>
      <c r="Z602" s="5" t="n">
        <v>46177</v>
      </c>
      <c r="AA602" s="3" t="n"/>
      <c r="AB602" s="3" t="n"/>
      <c r="AE602" s="146">
        <f>IF(AND(F602="Closed",X602&gt;=DATE(2026,6,1),X602&lt;=DATE(2026,6,30)),"Closed in June","other")</f>
        <v/>
      </c>
    </row>
    <row r="603" hidden="1">
      <c r="A603" s="9" t="n">
        <v>46143</v>
      </c>
      <c r="B603" s="1" t="n">
        <v>2026</v>
      </c>
      <c r="C603" s="8" t="inlineStr">
        <is>
          <t>Yanara Power</t>
        </is>
      </c>
      <c r="D603" s="1" t="inlineStr">
        <is>
          <t>Utility and C&amp;I</t>
        </is>
      </c>
      <c r="E603" s="1" t="n"/>
      <c r="F603" s="1" t="inlineStr">
        <is>
          <t>Closed</t>
        </is>
      </c>
      <c r="G603" s="2" t="inlineStr">
        <is>
          <t xml:space="preserve">Ashish Jindal </t>
        </is>
      </c>
      <c r="H603" s="8" t="n">
        <v>9983975581</v>
      </c>
      <c r="I603" s="10" t="inlineStr">
        <is>
          <t>PE01052601</t>
        </is>
      </c>
      <c r="J603" s="8" t="inlineStr">
        <is>
          <t>Multiple Issues</t>
        </is>
      </c>
      <c r="K603" s="11" t="inlineStr">
        <is>
          <t>Holi</t>
        </is>
      </c>
      <c r="L603" s="11" t="inlineStr">
        <is>
          <t>Maharashtra</t>
        </is>
      </c>
      <c r="M603" s="2" t="inlineStr">
        <is>
          <t>PS</t>
        </is>
      </c>
      <c r="N603" s="1" t="inlineStr">
        <is>
          <t>Cold Soldering</t>
        </is>
      </c>
      <c r="O603" s="11" t="n">
        <v>575</v>
      </c>
      <c r="P603" s="2" t="inlineStr">
        <is>
          <t>NSMI24070186629</t>
        </is>
      </c>
      <c r="Q603" s="14">
        <f>MID(P603,5,2)</f>
        <v/>
      </c>
      <c r="R603" s="14">
        <f>MID(P603,7,2)</f>
        <v/>
      </c>
      <c r="S603" s="1" t="inlineStr">
        <is>
          <t>G2G</t>
        </is>
      </c>
      <c r="T603" s="1" t="inlineStr">
        <is>
          <t>P4 - PEIPL</t>
        </is>
      </c>
      <c r="U603" s="6" t="inlineStr">
        <is>
          <t>P JB Cold Soldering</t>
        </is>
      </c>
      <c r="V603" s="6" t="inlineStr">
        <is>
          <t>Soldering</t>
        </is>
      </c>
      <c r="W603" s="1" t="inlineStr">
        <is>
          <t>Repair</t>
        </is>
      </c>
      <c r="X603" s="5" t="n">
        <v>46177</v>
      </c>
      <c r="Y603" s="1">
        <f>IF(X603="","",X603-A603)</f>
        <v/>
      </c>
      <c r="Z603" s="5" t="n">
        <v>46177</v>
      </c>
      <c r="AA603" s="3" t="n"/>
      <c r="AB603" s="3" t="n"/>
      <c r="AE603" s="146">
        <f>IF(AND(F603="Closed",X603&gt;=DATE(2026,6,1),X603&lt;=DATE(2026,6,30)),"Closed in June","other")</f>
        <v/>
      </c>
    </row>
    <row r="604" hidden="1">
      <c r="A604" s="9" t="n">
        <v>46143</v>
      </c>
      <c r="B604" s="1" t="n">
        <v>2026</v>
      </c>
      <c r="C604" s="8" t="inlineStr">
        <is>
          <t>Yanara Power</t>
        </is>
      </c>
      <c r="D604" s="1" t="inlineStr">
        <is>
          <t>Utility and C&amp;I</t>
        </is>
      </c>
      <c r="E604" s="1" t="n"/>
      <c r="F604" s="1" t="inlineStr">
        <is>
          <t>Closed</t>
        </is>
      </c>
      <c r="G604" s="2" t="inlineStr">
        <is>
          <t xml:space="preserve">Ashish Jindal </t>
        </is>
      </c>
      <c r="H604" s="8" t="n">
        <v>9983975581</v>
      </c>
      <c r="I604" s="10" t="inlineStr">
        <is>
          <t>PE01052601</t>
        </is>
      </c>
      <c r="J604" s="8" t="inlineStr">
        <is>
          <t>Multiple Issues</t>
        </is>
      </c>
      <c r="K604" s="11" t="inlineStr">
        <is>
          <t>Holi</t>
        </is>
      </c>
      <c r="L604" s="11" t="inlineStr">
        <is>
          <t>Maharashtra</t>
        </is>
      </c>
      <c r="M604" s="2" t="inlineStr">
        <is>
          <t>PS</t>
        </is>
      </c>
      <c r="N604" s="1" t="inlineStr">
        <is>
          <t>Cold Soldering</t>
        </is>
      </c>
      <c r="O604" s="11" t="n">
        <v>575</v>
      </c>
      <c r="P604" s="2" t="inlineStr">
        <is>
          <t>NSMI24070186676</t>
        </is>
      </c>
      <c r="Q604" s="14">
        <f>MID(P604,5,2)</f>
        <v/>
      </c>
      <c r="R604" s="14">
        <f>MID(P604,7,2)</f>
        <v/>
      </c>
      <c r="S604" s="1" t="inlineStr">
        <is>
          <t>G2G</t>
        </is>
      </c>
      <c r="T604" s="1" t="inlineStr">
        <is>
          <t>P4 - PEIPL</t>
        </is>
      </c>
      <c r="U604" s="6" t="inlineStr">
        <is>
          <t>P JB Cold Soldering</t>
        </is>
      </c>
      <c r="V604" s="6" t="inlineStr">
        <is>
          <t>Soldering</t>
        </is>
      </c>
      <c r="W604" s="1" t="inlineStr">
        <is>
          <t>Repair</t>
        </is>
      </c>
      <c r="X604" s="5" t="n">
        <v>46177</v>
      </c>
      <c r="Y604" s="1">
        <f>IF(X604="","",X604-A604)</f>
        <v/>
      </c>
      <c r="Z604" s="5" t="n">
        <v>46177</v>
      </c>
      <c r="AA604" s="3" t="n"/>
      <c r="AB604" s="3" t="n"/>
      <c r="AE604" s="146">
        <f>IF(AND(F604="Closed",X604&gt;=DATE(2026,6,1),X604&lt;=DATE(2026,6,30)),"Closed in June","other")</f>
        <v/>
      </c>
    </row>
    <row r="605" hidden="1">
      <c r="A605" s="9" t="n">
        <v>46143</v>
      </c>
      <c r="B605" s="1" t="n">
        <v>2026</v>
      </c>
      <c r="C605" s="8" t="inlineStr">
        <is>
          <t>Yanara Power</t>
        </is>
      </c>
      <c r="D605" s="1" t="inlineStr">
        <is>
          <t>Utility and C&amp;I</t>
        </is>
      </c>
      <c r="E605" s="1" t="n"/>
      <c r="F605" s="1" t="inlineStr">
        <is>
          <t>Closed</t>
        </is>
      </c>
      <c r="G605" s="2" t="inlineStr">
        <is>
          <t xml:space="preserve">Ashish Jindal </t>
        </is>
      </c>
      <c r="H605" s="8" t="n">
        <v>9983975581</v>
      </c>
      <c r="I605" s="10" t="inlineStr">
        <is>
          <t>PE01052601</t>
        </is>
      </c>
      <c r="J605" s="8" t="inlineStr">
        <is>
          <t>Multiple Issues</t>
        </is>
      </c>
      <c r="K605" s="11" t="inlineStr">
        <is>
          <t>Holi</t>
        </is>
      </c>
      <c r="L605" s="11" t="inlineStr">
        <is>
          <t>Maharashtra</t>
        </is>
      </c>
      <c r="M605" s="2" t="inlineStr">
        <is>
          <t>PS</t>
        </is>
      </c>
      <c r="N605" s="1" t="inlineStr">
        <is>
          <t>Cold Soldering</t>
        </is>
      </c>
      <c r="O605" s="11" t="n">
        <v>575</v>
      </c>
      <c r="P605" s="2" t="inlineStr">
        <is>
          <t>NSMI24070186026</t>
        </is>
      </c>
      <c r="Q605" s="14">
        <f>MID(P605,5,2)</f>
        <v/>
      </c>
      <c r="R605" s="14">
        <f>MID(P605,7,2)</f>
        <v/>
      </c>
      <c r="S605" s="1" t="inlineStr">
        <is>
          <t>G2G</t>
        </is>
      </c>
      <c r="T605" s="1" t="inlineStr">
        <is>
          <t>P4 - PEIPL</t>
        </is>
      </c>
      <c r="U605" s="6" t="inlineStr">
        <is>
          <t>P JB Cold Soldering</t>
        </is>
      </c>
      <c r="V605" s="6" t="inlineStr">
        <is>
          <t>Soldering</t>
        </is>
      </c>
      <c r="W605" s="1" t="inlineStr">
        <is>
          <t>Repair</t>
        </is>
      </c>
      <c r="X605" s="5" t="n">
        <v>46177</v>
      </c>
      <c r="Y605" s="1">
        <f>IF(X605="","",X605-A605)</f>
        <v/>
      </c>
      <c r="Z605" s="5" t="n">
        <v>46177</v>
      </c>
      <c r="AA605" s="3" t="n"/>
      <c r="AB605" s="3" t="n"/>
      <c r="AE605" s="146">
        <f>IF(AND(F605="Closed",X605&gt;=DATE(2026,6,1),X605&lt;=DATE(2026,6,30)),"Closed in June","other")</f>
        <v/>
      </c>
    </row>
    <row r="606" hidden="1">
      <c r="A606" s="9" t="n">
        <v>46143</v>
      </c>
      <c r="B606" s="1" t="n">
        <v>2026</v>
      </c>
      <c r="C606" s="8" t="inlineStr">
        <is>
          <t>Yanara Power</t>
        </is>
      </c>
      <c r="D606" s="1" t="inlineStr">
        <is>
          <t>Utility and C&amp;I</t>
        </is>
      </c>
      <c r="E606" s="1" t="n"/>
      <c r="F606" s="1" t="inlineStr">
        <is>
          <t>Closed</t>
        </is>
      </c>
      <c r="G606" s="2" t="inlineStr">
        <is>
          <t xml:space="preserve">Ashish Jindal </t>
        </is>
      </c>
      <c r="H606" s="8" t="n">
        <v>9983975581</v>
      </c>
      <c r="I606" s="10" t="inlineStr">
        <is>
          <t>PE01052601</t>
        </is>
      </c>
      <c r="J606" s="8" t="inlineStr">
        <is>
          <t>Multiple Issues</t>
        </is>
      </c>
      <c r="K606" s="11" t="inlineStr">
        <is>
          <t>Holi</t>
        </is>
      </c>
      <c r="L606" s="11" t="inlineStr">
        <is>
          <t>Maharashtra</t>
        </is>
      </c>
      <c r="M606" s="2" t="inlineStr">
        <is>
          <t>PS</t>
        </is>
      </c>
      <c r="N606" s="1" t="inlineStr">
        <is>
          <t>Cold Soldering</t>
        </is>
      </c>
      <c r="O606" s="11" t="n">
        <v>575</v>
      </c>
      <c r="P606" s="2" t="inlineStr">
        <is>
          <t>NSMI24070186062</t>
        </is>
      </c>
      <c r="Q606" s="14">
        <f>MID(P606,5,2)</f>
        <v/>
      </c>
      <c r="R606" s="14">
        <f>MID(P606,7,2)</f>
        <v/>
      </c>
      <c r="S606" s="1" t="inlineStr">
        <is>
          <t>G2G</t>
        </is>
      </c>
      <c r="T606" s="1" t="inlineStr">
        <is>
          <t>P4 - PEIPL</t>
        </is>
      </c>
      <c r="U606" s="6" t="inlineStr">
        <is>
          <t>P JB Cold Soldering</t>
        </is>
      </c>
      <c r="V606" s="6" t="inlineStr">
        <is>
          <t>Soldering</t>
        </is>
      </c>
      <c r="W606" s="1" t="inlineStr">
        <is>
          <t>Repair</t>
        </is>
      </c>
      <c r="X606" s="5" t="n">
        <v>46177</v>
      </c>
      <c r="Y606" s="1">
        <f>IF(X606="","",X606-A606)</f>
        <v/>
      </c>
      <c r="Z606" s="5" t="n">
        <v>46177</v>
      </c>
      <c r="AA606" s="3" t="n"/>
      <c r="AB606" s="3" t="n"/>
      <c r="AE606" s="146">
        <f>IF(AND(F606="Closed",X606&gt;=DATE(2026,6,1),X606&lt;=DATE(2026,6,30)),"Closed in June","other")</f>
        <v/>
      </c>
    </row>
    <row r="607" hidden="1">
      <c r="A607" s="9" t="n">
        <v>46143</v>
      </c>
      <c r="B607" s="1" t="n">
        <v>2026</v>
      </c>
      <c r="C607" s="8" t="inlineStr">
        <is>
          <t>Yanara Power</t>
        </is>
      </c>
      <c r="D607" s="1" t="inlineStr">
        <is>
          <t>Utility and C&amp;I</t>
        </is>
      </c>
      <c r="E607" s="1" t="n"/>
      <c r="F607" s="1" t="inlineStr">
        <is>
          <t>Closed</t>
        </is>
      </c>
      <c r="G607" s="2" t="inlineStr">
        <is>
          <t xml:space="preserve">Ashish Jindal </t>
        </is>
      </c>
      <c r="H607" s="8" t="n">
        <v>9983975581</v>
      </c>
      <c r="I607" s="10" t="inlineStr">
        <is>
          <t>PE01052601</t>
        </is>
      </c>
      <c r="J607" s="8" t="inlineStr">
        <is>
          <t>Multiple Issues</t>
        </is>
      </c>
      <c r="K607" s="11" t="inlineStr">
        <is>
          <t>Holi</t>
        </is>
      </c>
      <c r="L607" s="11" t="inlineStr">
        <is>
          <t>Maharashtra</t>
        </is>
      </c>
      <c r="M607" s="2" t="inlineStr">
        <is>
          <t>NS</t>
        </is>
      </c>
      <c r="N607" s="1" t="inlineStr">
        <is>
          <t>Cold Soldering</t>
        </is>
      </c>
      <c r="O607" s="11" t="n">
        <v>575</v>
      </c>
      <c r="P607" s="2" t="inlineStr">
        <is>
          <t>NSMI24070185093</t>
        </is>
      </c>
      <c r="Q607" s="14">
        <f>MID(P607,5,2)</f>
        <v/>
      </c>
      <c r="R607" s="14">
        <f>MID(P607,7,2)</f>
        <v/>
      </c>
      <c r="S607" s="1" t="inlineStr">
        <is>
          <t>G2G</t>
        </is>
      </c>
      <c r="T607" s="1" t="inlineStr">
        <is>
          <t>P4 - PEIPL</t>
        </is>
      </c>
      <c r="U607" s="1" t="inlineStr">
        <is>
          <t>N JB Cold Soldering</t>
        </is>
      </c>
      <c r="V607" s="1" t="inlineStr">
        <is>
          <t>Soldering</t>
        </is>
      </c>
      <c r="W607" s="1" t="inlineStr">
        <is>
          <t>Repair</t>
        </is>
      </c>
      <c r="X607" s="5" t="n">
        <v>46177</v>
      </c>
      <c r="Y607" s="1">
        <f>IF(X607="","",X607-A607)</f>
        <v/>
      </c>
      <c r="Z607" s="5" t="n">
        <v>46177</v>
      </c>
      <c r="AA607" s="3" t="n"/>
      <c r="AB607" s="3" t="n"/>
      <c r="AE607" s="146">
        <f>IF(AND(F607="Closed",X607&gt;=DATE(2026,6,1),X607&lt;=DATE(2026,6,30)),"Closed in June","other")</f>
        <v/>
      </c>
    </row>
    <row r="608" hidden="1">
      <c r="A608" s="9" t="n">
        <v>46143</v>
      </c>
      <c r="B608" s="1" t="n">
        <v>2026</v>
      </c>
      <c r="C608" s="8" t="inlineStr">
        <is>
          <t>Yanara Power</t>
        </is>
      </c>
      <c r="D608" s="1" t="inlineStr">
        <is>
          <t>Utility and C&amp;I</t>
        </is>
      </c>
      <c r="E608" s="1" t="n"/>
      <c r="F608" s="1" t="inlineStr">
        <is>
          <t>Closed</t>
        </is>
      </c>
      <c r="G608" s="2" t="inlineStr">
        <is>
          <t xml:space="preserve">Ashish Jindal </t>
        </is>
      </c>
      <c r="H608" s="8" t="n">
        <v>9983975581</v>
      </c>
      <c r="I608" s="10" t="inlineStr">
        <is>
          <t>PE01052601</t>
        </is>
      </c>
      <c r="J608" s="8" t="inlineStr">
        <is>
          <t>Multiple Issues</t>
        </is>
      </c>
      <c r="K608" s="11" t="inlineStr">
        <is>
          <t>Holi</t>
        </is>
      </c>
      <c r="L608" s="11" t="inlineStr">
        <is>
          <t>Maharashtra</t>
        </is>
      </c>
      <c r="M608" s="2" t="inlineStr">
        <is>
          <t>NS</t>
        </is>
      </c>
      <c r="N608" s="1" t="inlineStr">
        <is>
          <t>Cold Soldering</t>
        </is>
      </c>
      <c r="O608" s="11" t="n">
        <v>575</v>
      </c>
      <c r="P608" s="2" t="inlineStr">
        <is>
          <t>NSMI24070217315</t>
        </is>
      </c>
      <c r="Q608" s="14">
        <f>MID(P608,5,2)</f>
        <v/>
      </c>
      <c r="R608" s="14">
        <f>MID(P608,7,2)</f>
        <v/>
      </c>
      <c r="S608" s="1" t="inlineStr">
        <is>
          <t>G2G</t>
        </is>
      </c>
      <c r="T608" s="1" t="inlineStr">
        <is>
          <t>P4 - PEIPL</t>
        </is>
      </c>
      <c r="U608" s="1" t="inlineStr">
        <is>
          <t>N JB Cold Soldering</t>
        </is>
      </c>
      <c r="V608" s="1" t="inlineStr">
        <is>
          <t>Soldering</t>
        </is>
      </c>
      <c r="W608" s="1" t="inlineStr">
        <is>
          <t>Repair</t>
        </is>
      </c>
      <c r="X608" s="5" t="n">
        <v>46177</v>
      </c>
      <c r="Y608" s="1">
        <f>IF(X608="","",X608-A608)</f>
        <v/>
      </c>
      <c r="Z608" s="5" t="n">
        <v>46177</v>
      </c>
      <c r="AA608" s="3" t="n"/>
      <c r="AB608" s="3" t="n"/>
      <c r="AE608" s="146">
        <f>IF(AND(F608="Closed",X608&gt;=DATE(2026,6,1),X608&lt;=DATE(2026,6,30)),"Closed in June","other")</f>
        <v/>
      </c>
    </row>
    <row r="609" hidden="1">
      <c r="A609" s="9" t="n">
        <v>46143</v>
      </c>
      <c r="B609" s="1" t="n">
        <v>2026</v>
      </c>
      <c r="C609" s="8" t="inlineStr">
        <is>
          <t>Yanara Power</t>
        </is>
      </c>
      <c r="D609" s="1" t="inlineStr">
        <is>
          <t>Utility and C&amp;I</t>
        </is>
      </c>
      <c r="E609" s="1" t="n"/>
      <c r="F609" s="1" t="inlineStr">
        <is>
          <t>Closed</t>
        </is>
      </c>
      <c r="G609" s="2" t="inlineStr">
        <is>
          <t xml:space="preserve">Ashish Jindal </t>
        </is>
      </c>
      <c r="H609" s="8" t="n">
        <v>9983975581</v>
      </c>
      <c r="I609" s="10" t="inlineStr">
        <is>
          <t>PE01052601</t>
        </is>
      </c>
      <c r="J609" s="8" t="inlineStr">
        <is>
          <t>Multiple Issues</t>
        </is>
      </c>
      <c r="K609" s="11" t="inlineStr">
        <is>
          <t>Holi</t>
        </is>
      </c>
      <c r="L609" s="11" t="inlineStr">
        <is>
          <t>Maharashtra</t>
        </is>
      </c>
      <c r="M609" s="2" t="inlineStr">
        <is>
          <t>PS</t>
        </is>
      </c>
      <c r="N609" s="1" t="inlineStr">
        <is>
          <t>Cold Soldering</t>
        </is>
      </c>
      <c r="O609" s="11" t="n">
        <v>575</v>
      </c>
      <c r="P609" s="2" t="inlineStr">
        <is>
          <t>NSMI24070217307</t>
        </is>
      </c>
      <c r="Q609" s="14">
        <f>MID(P609,5,2)</f>
        <v/>
      </c>
      <c r="R609" s="14">
        <f>MID(P609,7,2)</f>
        <v/>
      </c>
      <c r="S609" s="1" t="inlineStr">
        <is>
          <t>G2G</t>
        </is>
      </c>
      <c r="T609" s="1" t="inlineStr">
        <is>
          <t>P4 - PEIPL</t>
        </is>
      </c>
      <c r="U609" s="6" t="inlineStr">
        <is>
          <t>P JB Cold Soldering</t>
        </is>
      </c>
      <c r="V609" s="6" t="inlineStr">
        <is>
          <t>Soldering</t>
        </is>
      </c>
      <c r="W609" s="1" t="inlineStr">
        <is>
          <t>Repair</t>
        </is>
      </c>
      <c r="X609" s="5" t="n">
        <v>46177</v>
      </c>
      <c r="Y609" s="1">
        <f>IF(X609="","",X609-A609)</f>
        <v/>
      </c>
      <c r="Z609" s="5" t="n">
        <v>46177</v>
      </c>
      <c r="AA609" s="3" t="n"/>
      <c r="AB609" s="3" t="n"/>
      <c r="AE609" s="146">
        <f>IF(AND(F609="Closed",X609&gt;=DATE(2026,6,1),X609&lt;=DATE(2026,6,30)),"Closed in June","other")</f>
        <v/>
      </c>
    </row>
    <row r="610" hidden="1">
      <c r="A610" s="9" t="n">
        <v>46143</v>
      </c>
      <c r="B610" s="1" t="n">
        <v>2026</v>
      </c>
      <c r="C610" s="8" t="inlineStr">
        <is>
          <t>Yanara Power</t>
        </is>
      </c>
      <c r="D610" s="1" t="inlineStr">
        <is>
          <t>Utility and C&amp;I</t>
        </is>
      </c>
      <c r="E610" s="1" t="n"/>
      <c r="F610" s="1" t="inlineStr">
        <is>
          <t>Closed</t>
        </is>
      </c>
      <c r="G610" s="2" t="inlineStr">
        <is>
          <t xml:space="preserve">Ashish Jindal </t>
        </is>
      </c>
      <c r="H610" s="8" t="n">
        <v>9983975581</v>
      </c>
      <c r="I610" s="10" t="inlineStr">
        <is>
          <t>PE01052601</t>
        </is>
      </c>
      <c r="J610" s="8" t="inlineStr">
        <is>
          <t>Multiple Issues</t>
        </is>
      </c>
      <c r="K610" s="11" t="inlineStr">
        <is>
          <t>Holi</t>
        </is>
      </c>
      <c r="L610" s="11" t="inlineStr">
        <is>
          <t>Maharashtra</t>
        </is>
      </c>
      <c r="M610" s="2" t="inlineStr">
        <is>
          <t>PS</t>
        </is>
      </c>
      <c r="N610" s="1" t="inlineStr">
        <is>
          <t>Cold Soldering</t>
        </is>
      </c>
      <c r="O610" s="11" t="n">
        <v>575</v>
      </c>
      <c r="P610" s="2" t="inlineStr">
        <is>
          <t>NSMI24070181852</t>
        </is>
      </c>
      <c r="Q610" s="14">
        <f>MID(P610,5,2)</f>
        <v/>
      </c>
      <c r="R610" s="14">
        <f>MID(P610,7,2)</f>
        <v/>
      </c>
      <c r="S610" s="1" t="inlineStr">
        <is>
          <t>G2G</t>
        </is>
      </c>
      <c r="T610" s="1" t="inlineStr">
        <is>
          <t>P4 - PEIPL</t>
        </is>
      </c>
      <c r="U610" s="6" t="inlineStr">
        <is>
          <t>P JB Cold Soldering</t>
        </is>
      </c>
      <c r="V610" s="6" t="inlineStr">
        <is>
          <t>Soldering</t>
        </is>
      </c>
      <c r="W610" s="1" t="inlineStr">
        <is>
          <t>Repair</t>
        </is>
      </c>
      <c r="X610" s="5" t="n">
        <v>46177</v>
      </c>
      <c r="Y610" s="1">
        <f>IF(X610="","",X610-A610)</f>
        <v/>
      </c>
      <c r="Z610" s="5" t="n">
        <v>46177</v>
      </c>
      <c r="AA610" s="3" t="n"/>
      <c r="AB610" s="3" t="n"/>
      <c r="AE610" s="146">
        <f>IF(AND(F610="Closed",X610&gt;=DATE(2026,6,1),X610&lt;=DATE(2026,6,30)),"Closed in June","other")</f>
        <v/>
      </c>
    </row>
    <row r="611" hidden="1">
      <c r="A611" s="9" t="n">
        <v>46143</v>
      </c>
      <c r="B611" s="1" t="n">
        <v>2026</v>
      </c>
      <c r="C611" s="8" t="inlineStr">
        <is>
          <t>Yanara Power</t>
        </is>
      </c>
      <c r="D611" s="1" t="inlineStr">
        <is>
          <t>Utility and C&amp;I</t>
        </is>
      </c>
      <c r="E611" s="1" t="n"/>
      <c r="F611" s="1" t="inlineStr">
        <is>
          <t>Closed</t>
        </is>
      </c>
      <c r="G611" s="2" t="inlineStr">
        <is>
          <t xml:space="preserve">Ashish Jindal </t>
        </is>
      </c>
      <c r="H611" s="8" t="n">
        <v>9983975581</v>
      </c>
      <c r="I611" s="10" t="inlineStr">
        <is>
          <t>PE01052601</t>
        </is>
      </c>
      <c r="J611" s="8" t="inlineStr">
        <is>
          <t>Multiple Issues</t>
        </is>
      </c>
      <c r="K611" s="11" t="inlineStr">
        <is>
          <t>Holi</t>
        </is>
      </c>
      <c r="L611" s="11" t="inlineStr">
        <is>
          <t>Maharashtra</t>
        </is>
      </c>
      <c r="M611" s="2" t="inlineStr">
        <is>
          <t>PS</t>
        </is>
      </c>
      <c r="N611" s="1" t="inlineStr">
        <is>
          <t>Cold Soldering</t>
        </is>
      </c>
      <c r="O611" s="11" t="n">
        <v>575</v>
      </c>
      <c r="P611" s="2" t="inlineStr">
        <is>
          <t>NSMI24070176637</t>
        </is>
      </c>
      <c r="Q611" s="14">
        <f>MID(P611,5,2)</f>
        <v/>
      </c>
      <c r="R611" s="14">
        <f>MID(P611,7,2)</f>
        <v/>
      </c>
      <c r="S611" s="1" t="inlineStr">
        <is>
          <t>G2G</t>
        </is>
      </c>
      <c r="T611" s="1" t="inlineStr">
        <is>
          <t>P4 - PEIPL</t>
        </is>
      </c>
      <c r="U611" s="6" t="inlineStr">
        <is>
          <t>P JB Cold Soldering</t>
        </is>
      </c>
      <c r="V611" s="6" t="inlineStr">
        <is>
          <t>Soldering</t>
        </is>
      </c>
      <c r="W611" s="1" t="inlineStr">
        <is>
          <t>Repair</t>
        </is>
      </c>
      <c r="X611" s="5" t="n">
        <v>46177</v>
      </c>
      <c r="Y611" s="1">
        <f>IF(X611="","",X611-A611)</f>
        <v/>
      </c>
      <c r="Z611" s="5" t="n">
        <v>46177</v>
      </c>
      <c r="AA611" s="3" t="n"/>
      <c r="AB611" s="3" t="n"/>
      <c r="AE611" s="146">
        <f>IF(AND(F611="Closed",X611&gt;=DATE(2026,6,1),X611&lt;=DATE(2026,6,30)),"Closed in June","other")</f>
        <v/>
      </c>
    </row>
    <row r="612" hidden="1">
      <c r="A612" s="9" t="n">
        <v>46143</v>
      </c>
      <c r="B612" s="1" t="n">
        <v>2026</v>
      </c>
      <c r="C612" s="8" t="inlineStr">
        <is>
          <t>Yanara Power</t>
        </is>
      </c>
      <c r="D612" s="1" t="inlineStr">
        <is>
          <t>Utility and C&amp;I</t>
        </is>
      </c>
      <c r="E612" s="1" t="n"/>
      <c r="F612" s="1" t="inlineStr">
        <is>
          <t>Closed</t>
        </is>
      </c>
      <c r="G612" s="2" t="inlineStr">
        <is>
          <t xml:space="preserve">Ashish Jindal </t>
        </is>
      </c>
      <c r="H612" s="8" t="n">
        <v>9983975581</v>
      </c>
      <c r="I612" s="10" t="inlineStr">
        <is>
          <t>PE01052601</t>
        </is>
      </c>
      <c r="J612" s="8" t="inlineStr">
        <is>
          <t>Multiple Issues</t>
        </is>
      </c>
      <c r="K612" s="11" t="inlineStr">
        <is>
          <t>Holi</t>
        </is>
      </c>
      <c r="L612" s="11" t="inlineStr">
        <is>
          <t>Maharashtra</t>
        </is>
      </c>
      <c r="M612" s="2" t="inlineStr">
        <is>
          <t>NS</t>
        </is>
      </c>
      <c r="N612" s="1" t="inlineStr">
        <is>
          <t>Cold Soldering</t>
        </is>
      </c>
      <c r="O612" s="11" t="n">
        <v>575</v>
      </c>
      <c r="P612" s="2" t="inlineStr">
        <is>
          <t>NSMI24070182428</t>
        </is>
      </c>
      <c r="Q612" s="14">
        <f>MID(P612,5,2)</f>
        <v/>
      </c>
      <c r="R612" s="14">
        <f>MID(P612,7,2)</f>
        <v/>
      </c>
      <c r="S612" s="1" t="inlineStr">
        <is>
          <t>G2G</t>
        </is>
      </c>
      <c r="T612" s="1" t="inlineStr">
        <is>
          <t>P4 - PEIPL</t>
        </is>
      </c>
      <c r="U612" s="1" t="inlineStr">
        <is>
          <t>N JB Cold Soldering</t>
        </is>
      </c>
      <c r="V612" s="1" t="inlineStr">
        <is>
          <t>Soldering</t>
        </is>
      </c>
      <c r="W612" s="1" t="inlineStr">
        <is>
          <t>Repair</t>
        </is>
      </c>
      <c r="X612" s="5" t="n">
        <v>46177</v>
      </c>
      <c r="Y612" s="1">
        <f>IF(X612="","",X612-A612)</f>
        <v/>
      </c>
      <c r="Z612" s="5" t="n">
        <v>46177</v>
      </c>
      <c r="AA612" s="3" t="n"/>
      <c r="AB612" s="3" t="n"/>
      <c r="AE612" s="146">
        <f>IF(AND(F612="Closed",X612&gt;=DATE(2026,6,1),X612&lt;=DATE(2026,6,30)),"Closed in June","other")</f>
        <v/>
      </c>
    </row>
    <row r="613" hidden="1">
      <c r="A613" s="9" t="n">
        <v>46143</v>
      </c>
      <c r="B613" s="1" t="n">
        <v>2026</v>
      </c>
      <c r="C613" s="8" t="inlineStr">
        <is>
          <t>Yanara Power</t>
        </is>
      </c>
      <c r="D613" s="1" t="inlineStr">
        <is>
          <t>Utility and C&amp;I</t>
        </is>
      </c>
      <c r="E613" s="1" t="n"/>
      <c r="F613" s="1" t="inlineStr">
        <is>
          <t>Closed</t>
        </is>
      </c>
      <c r="G613" s="2" t="inlineStr">
        <is>
          <t xml:space="preserve">Ashish Jindal </t>
        </is>
      </c>
      <c r="H613" s="8" t="n">
        <v>9983975581</v>
      </c>
      <c r="I613" s="10" t="inlineStr">
        <is>
          <t>PE01052601</t>
        </is>
      </c>
      <c r="J613" s="8" t="inlineStr">
        <is>
          <t>Multiple Issues</t>
        </is>
      </c>
      <c r="K613" s="11" t="inlineStr">
        <is>
          <t>Holi</t>
        </is>
      </c>
      <c r="L613" s="11" t="inlineStr">
        <is>
          <t>Maharashtra</t>
        </is>
      </c>
      <c r="M613" s="2" t="inlineStr">
        <is>
          <t>NS</t>
        </is>
      </c>
      <c r="N613" s="1" t="inlineStr">
        <is>
          <t>Cold Soldering</t>
        </is>
      </c>
      <c r="O613" s="11" t="n">
        <v>575</v>
      </c>
      <c r="P613" s="2" t="inlineStr">
        <is>
          <t>NSMI24070181840</t>
        </is>
      </c>
      <c r="Q613" s="14">
        <f>MID(P613,5,2)</f>
        <v/>
      </c>
      <c r="R613" s="14">
        <f>MID(P613,7,2)</f>
        <v/>
      </c>
      <c r="S613" s="1" t="inlineStr">
        <is>
          <t>G2G</t>
        </is>
      </c>
      <c r="T613" s="1" t="inlineStr">
        <is>
          <t>P4 - PEIPL</t>
        </is>
      </c>
      <c r="U613" s="1" t="inlineStr">
        <is>
          <t>N JB Cold Soldering</t>
        </is>
      </c>
      <c r="V613" s="1" t="inlineStr">
        <is>
          <t>Soldering</t>
        </is>
      </c>
      <c r="W613" s="1" t="inlineStr">
        <is>
          <t>Repair</t>
        </is>
      </c>
      <c r="X613" s="5" t="n">
        <v>46177</v>
      </c>
      <c r="Y613" s="1">
        <f>IF(X613="","",X613-A613)</f>
        <v/>
      </c>
      <c r="Z613" s="5" t="n">
        <v>46177</v>
      </c>
      <c r="AA613" s="3" t="n"/>
      <c r="AB613" s="3" t="n"/>
      <c r="AE613" s="146">
        <f>IF(AND(F613="Closed",X613&gt;=DATE(2026,6,1),X613&lt;=DATE(2026,6,30)),"Closed in June","other")</f>
        <v/>
      </c>
    </row>
    <row r="614" hidden="1">
      <c r="A614" s="9" t="n">
        <v>46143</v>
      </c>
      <c r="B614" s="1" t="n">
        <v>2026</v>
      </c>
      <c r="C614" s="8" t="inlineStr">
        <is>
          <t>Yanara Power</t>
        </is>
      </c>
      <c r="D614" s="1" t="inlineStr">
        <is>
          <t>Utility and C&amp;I</t>
        </is>
      </c>
      <c r="E614" s="1" t="n"/>
      <c r="F614" s="1" t="inlineStr">
        <is>
          <t>Closed</t>
        </is>
      </c>
      <c r="G614" s="2" t="inlineStr">
        <is>
          <t xml:space="preserve">Ashish Jindal </t>
        </is>
      </c>
      <c r="H614" s="8" t="n">
        <v>9983975581</v>
      </c>
      <c r="I614" s="10" t="inlineStr">
        <is>
          <t>PE01052601</t>
        </is>
      </c>
      <c r="J614" s="8" t="inlineStr">
        <is>
          <t>Multiple Issues</t>
        </is>
      </c>
      <c r="K614" s="11" t="inlineStr">
        <is>
          <t>Holi</t>
        </is>
      </c>
      <c r="L614" s="11" t="inlineStr">
        <is>
          <t>Maharashtra</t>
        </is>
      </c>
      <c r="M614" s="2" t="inlineStr">
        <is>
          <t>PS</t>
        </is>
      </c>
      <c r="N614" s="1" t="inlineStr">
        <is>
          <t>Cold Soldering</t>
        </is>
      </c>
      <c r="O614" s="11" t="n">
        <v>575</v>
      </c>
      <c r="P614" s="2" t="inlineStr">
        <is>
          <t>NSMI24070181733</t>
        </is>
      </c>
      <c r="Q614" s="14">
        <f>MID(P614,5,2)</f>
        <v/>
      </c>
      <c r="R614" s="14">
        <f>MID(P614,7,2)</f>
        <v/>
      </c>
      <c r="S614" s="1" t="inlineStr">
        <is>
          <t>G2G</t>
        </is>
      </c>
      <c r="T614" s="1" t="inlineStr">
        <is>
          <t>P4 - PEIPL</t>
        </is>
      </c>
      <c r="U614" s="6" t="inlineStr">
        <is>
          <t>P JB Cold Soldering</t>
        </is>
      </c>
      <c r="V614" s="6" t="inlineStr">
        <is>
          <t>Soldering</t>
        </is>
      </c>
      <c r="W614" s="1" t="inlineStr">
        <is>
          <t>Repair</t>
        </is>
      </c>
      <c r="X614" s="5" t="n">
        <v>46177</v>
      </c>
      <c r="Y614" s="1">
        <f>IF(X614="","",X614-A614)</f>
        <v/>
      </c>
      <c r="Z614" s="5" t="n">
        <v>46177</v>
      </c>
      <c r="AA614" s="3" t="n"/>
      <c r="AB614" s="3" t="n"/>
      <c r="AE614" s="146">
        <f>IF(AND(F614="Closed",X614&gt;=DATE(2026,6,1),X614&lt;=DATE(2026,6,30)),"Closed in June","other")</f>
        <v/>
      </c>
    </row>
    <row r="615" hidden="1">
      <c r="A615" s="9" t="n">
        <v>46143</v>
      </c>
      <c r="B615" s="1" t="n">
        <v>2026</v>
      </c>
      <c r="C615" s="8" t="inlineStr">
        <is>
          <t>Yanara Power</t>
        </is>
      </c>
      <c r="D615" s="1" t="inlineStr">
        <is>
          <t>Utility and C&amp;I</t>
        </is>
      </c>
      <c r="E615" s="1" t="n"/>
      <c r="F615" s="1" t="inlineStr">
        <is>
          <t>Closed</t>
        </is>
      </c>
      <c r="G615" s="2" t="inlineStr">
        <is>
          <t xml:space="preserve">Ashish Jindal </t>
        </is>
      </c>
      <c r="H615" s="8" t="n">
        <v>9983975581</v>
      </c>
      <c r="I615" s="10" t="inlineStr">
        <is>
          <t>PE01052601</t>
        </is>
      </c>
      <c r="J615" s="8" t="inlineStr">
        <is>
          <t>Multiple Issues</t>
        </is>
      </c>
      <c r="K615" s="11" t="inlineStr">
        <is>
          <t>Holi</t>
        </is>
      </c>
      <c r="L615" s="11" t="inlineStr">
        <is>
          <t>Maharashtra</t>
        </is>
      </c>
      <c r="M615" s="2" t="inlineStr">
        <is>
          <t>PS</t>
        </is>
      </c>
      <c r="N615" s="1" t="inlineStr">
        <is>
          <t>Cold Soldering</t>
        </is>
      </c>
      <c r="O615" s="11" t="n">
        <v>575</v>
      </c>
      <c r="P615" s="2" t="inlineStr">
        <is>
          <t>NSMI24070178548</t>
        </is>
      </c>
      <c r="Q615" s="14">
        <f>MID(P615,5,2)</f>
        <v/>
      </c>
      <c r="R615" s="14">
        <f>MID(P615,7,2)</f>
        <v/>
      </c>
      <c r="S615" s="1" t="inlineStr">
        <is>
          <t>G2G</t>
        </is>
      </c>
      <c r="T615" s="1" t="inlineStr">
        <is>
          <t>P4 - PEIPL</t>
        </is>
      </c>
      <c r="U615" s="6" t="inlineStr">
        <is>
          <t>P JB Cold Soldering</t>
        </is>
      </c>
      <c r="V615" s="6" t="inlineStr">
        <is>
          <t>Soldering</t>
        </is>
      </c>
      <c r="W615" s="1" t="inlineStr">
        <is>
          <t>Repair</t>
        </is>
      </c>
      <c r="X615" s="5" t="n">
        <v>46177</v>
      </c>
      <c r="Y615" s="1">
        <f>IF(X615="","",X615-A615)</f>
        <v/>
      </c>
      <c r="Z615" s="5" t="n">
        <v>46177</v>
      </c>
      <c r="AA615" s="3" t="n"/>
      <c r="AB615" s="3" t="n"/>
      <c r="AE615" s="146">
        <f>IF(AND(F615="Closed",X615&gt;=DATE(2026,6,1),X615&lt;=DATE(2026,6,30)),"Closed in June","other")</f>
        <v/>
      </c>
    </row>
    <row r="616" hidden="1">
      <c r="A616" s="9" t="n">
        <v>46143</v>
      </c>
      <c r="B616" s="1" t="n">
        <v>2026</v>
      </c>
      <c r="C616" s="8" t="inlineStr">
        <is>
          <t>Yanara Power</t>
        </is>
      </c>
      <c r="D616" s="1" t="inlineStr">
        <is>
          <t>Utility and C&amp;I</t>
        </is>
      </c>
      <c r="E616" s="1" t="n"/>
      <c r="F616" s="1" t="inlineStr">
        <is>
          <t>Closed</t>
        </is>
      </c>
      <c r="G616" s="2" t="inlineStr">
        <is>
          <t xml:space="preserve">Ashish Jindal </t>
        </is>
      </c>
      <c r="H616" s="8" t="n">
        <v>9983975581</v>
      </c>
      <c r="I616" s="10" t="inlineStr">
        <is>
          <t>PE01052601</t>
        </is>
      </c>
      <c r="J616" s="8" t="inlineStr">
        <is>
          <t>Multiple Issues</t>
        </is>
      </c>
      <c r="K616" s="11" t="inlineStr">
        <is>
          <t>Holi</t>
        </is>
      </c>
      <c r="L616" s="11" t="inlineStr">
        <is>
          <t>Maharashtra</t>
        </is>
      </c>
      <c r="M616" s="2" t="inlineStr">
        <is>
          <t>NS</t>
        </is>
      </c>
      <c r="N616" s="1" t="inlineStr">
        <is>
          <t>Cold Soldering</t>
        </is>
      </c>
      <c r="O616" s="11" t="n">
        <v>575</v>
      </c>
      <c r="P616" s="2" t="inlineStr">
        <is>
          <t>NSMI24070195989</t>
        </is>
      </c>
      <c r="Q616" s="14">
        <f>MID(P616,5,2)</f>
        <v/>
      </c>
      <c r="R616" s="14">
        <f>MID(P616,7,2)</f>
        <v/>
      </c>
      <c r="S616" s="1" t="inlineStr">
        <is>
          <t>G2G</t>
        </is>
      </c>
      <c r="T616" s="1" t="inlineStr">
        <is>
          <t>P4 - PEIPL</t>
        </is>
      </c>
      <c r="U616" s="1" t="inlineStr">
        <is>
          <t>N JB Cold Soldering</t>
        </is>
      </c>
      <c r="V616" s="1" t="inlineStr">
        <is>
          <t>Soldering</t>
        </is>
      </c>
      <c r="W616" s="1" t="inlineStr">
        <is>
          <t>Repair</t>
        </is>
      </c>
      <c r="X616" s="5" t="n">
        <v>46177</v>
      </c>
      <c r="Y616" s="1">
        <f>IF(X616="","",X616-A616)</f>
        <v/>
      </c>
      <c r="Z616" s="5" t="n">
        <v>46177</v>
      </c>
      <c r="AA616" s="3" t="n"/>
      <c r="AB616" s="3" t="n"/>
      <c r="AE616" s="146">
        <f>IF(AND(F616="Closed",X616&gt;=DATE(2026,6,1),X616&lt;=DATE(2026,6,30)),"Closed in June","other")</f>
        <v/>
      </c>
    </row>
    <row r="617" hidden="1">
      <c r="A617" s="9" t="n">
        <v>46143</v>
      </c>
      <c r="B617" s="1" t="n">
        <v>2026</v>
      </c>
      <c r="C617" s="8" t="inlineStr">
        <is>
          <t>Yanara Power</t>
        </is>
      </c>
      <c r="D617" s="1" t="inlineStr">
        <is>
          <t>Utility and C&amp;I</t>
        </is>
      </c>
      <c r="E617" s="1" t="n"/>
      <c r="F617" s="1" t="inlineStr">
        <is>
          <t>Closed</t>
        </is>
      </c>
      <c r="G617" s="2" t="inlineStr">
        <is>
          <t xml:space="preserve">Ashish Jindal </t>
        </is>
      </c>
      <c r="H617" s="8" t="n">
        <v>9983975581</v>
      </c>
      <c r="I617" s="10" t="inlineStr">
        <is>
          <t>PE01052601</t>
        </is>
      </c>
      <c r="J617" s="8" t="inlineStr">
        <is>
          <t>Multiple Issues</t>
        </is>
      </c>
      <c r="K617" s="11" t="inlineStr">
        <is>
          <t>Holi</t>
        </is>
      </c>
      <c r="L617" s="11" t="inlineStr">
        <is>
          <t>Maharashtra</t>
        </is>
      </c>
      <c r="M617" s="2" t="inlineStr">
        <is>
          <t>NS</t>
        </is>
      </c>
      <c r="N617" s="1" t="inlineStr">
        <is>
          <t>Cold Soldering</t>
        </is>
      </c>
      <c r="O617" s="11" t="n">
        <v>575</v>
      </c>
      <c r="P617" s="2" t="inlineStr">
        <is>
          <t>NSMI24070195959</t>
        </is>
      </c>
      <c r="Q617" s="14">
        <f>MID(P617,5,2)</f>
        <v/>
      </c>
      <c r="R617" s="14">
        <f>MID(P617,7,2)</f>
        <v/>
      </c>
      <c r="S617" s="1" t="inlineStr">
        <is>
          <t>G2G</t>
        </is>
      </c>
      <c r="T617" s="1" t="inlineStr">
        <is>
          <t>P4 - PEIPL</t>
        </is>
      </c>
      <c r="U617" s="1" t="inlineStr">
        <is>
          <t>N JB Cold Soldering</t>
        </is>
      </c>
      <c r="V617" s="1" t="inlineStr">
        <is>
          <t>Soldering</t>
        </is>
      </c>
      <c r="W617" s="1" t="inlineStr">
        <is>
          <t>Repair</t>
        </is>
      </c>
      <c r="X617" s="5" t="n">
        <v>46177</v>
      </c>
      <c r="Y617" s="1">
        <f>IF(X617="","",X617-A617)</f>
        <v/>
      </c>
      <c r="Z617" s="5" t="n">
        <v>46177</v>
      </c>
      <c r="AA617" s="3" t="n"/>
      <c r="AB617" s="3" t="n"/>
      <c r="AE617" s="146">
        <f>IF(AND(F617="Closed",X617&gt;=DATE(2026,6,1),X617&lt;=DATE(2026,6,30)),"Closed in June","other")</f>
        <v/>
      </c>
    </row>
    <row r="618" hidden="1">
      <c r="A618" s="9" t="n">
        <v>46143</v>
      </c>
      <c r="B618" s="1" t="n">
        <v>2026</v>
      </c>
      <c r="C618" s="8" t="inlineStr">
        <is>
          <t>Yanara Power</t>
        </is>
      </c>
      <c r="D618" s="1" t="inlineStr">
        <is>
          <t>Utility and C&amp;I</t>
        </is>
      </c>
      <c r="E618" s="1" t="n"/>
      <c r="F618" s="1" t="inlineStr">
        <is>
          <t>Closed</t>
        </is>
      </c>
      <c r="G618" s="2" t="inlineStr">
        <is>
          <t xml:space="preserve">Ashish Jindal </t>
        </is>
      </c>
      <c r="H618" s="8" t="n">
        <v>9983975581</v>
      </c>
      <c r="I618" s="10" t="inlineStr">
        <is>
          <t>PE01052601</t>
        </is>
      </c>
      <c r="J618" s="8" t="inlineStr">
        <is>
          <t>Multiple Issues</t>
        </is>
      </c>
      <c r="K618" s="11" t="inlineStr">
        <is>
          <t>Holi</t>
        </is>
      </c>
      <c r="L618" s="11" t="inlineStr">
        <is>
          <t>Maharashtra</t>
        </is>
      </c>
      <c r="M618" s="2" t="inlineStr">
        <is>
          <t>NS</t>
        </is>
      </c>
      <c r="N618" s="1" t="inlineStr">
        <is>
          <t>Cold Soldering</t>
        </is>
      </c>
      <c r="O618" s="11" t="n">
        <v>575</v>
      </c>
      <c r="P618" s="2" t="inlineStr">
        <is>
          <t>NSMI24070195974</t>
        </is>
      </c>
      <c r="Q618" s="14">
        <f>MID(P618,5,2)</f>
        <v/>
      </c>
      <c r="R618" s="14">
        <f>MID(P618,7,2)</f>
        <v/>
      </c>
      <c r="S618" s="1" t="inlineStr">
        <is>
          <t>G2G</t>
        </is>
      </c>
      <c r="T618" s="1" t="inlineStr">
        <is>
          <t>P4 - PEIPL</t>
        </is>
      </c>
      <c r="U618" s="1" t="inlineStr">
        <is>
          <t>N JB Cold Soldering</t>
        </is>
      </c>
      <c r="V618" s="1" t="inlineStr">
        <is>
          <t>Soldering</t>
        </is>
      </c>
      <c r="W618" s="1" t="inlineStr">
        <is>
          <t>Repair</t>
        </is>
      </c>
      <c r="X618" s="5" t="n">
        <v>46177</v>
      </c>
      <c r="Y618" s="1">
        <f>IF(X618="","",X618-A618)</f>
        <v/>
      </c>
      <c r="Z618" s="5" t="n">
        <v>46177</v>
      </c>
      <c r="AA618" s="3" t="n"/>
      <c r="AB618" s="3" t="n"/>
      <c r="AE618" s="146">
        <f>IF(AND(F618="Closed",X618&gt;=DATE(2026,6,1),X618&lt;=DATE(2026,6,30)),"Closed in June","other")</f>
        <v/>
      </c>
    </row>
    <row r="619" hidden="1">
      <c r="A619" s="9" t="n">
        <v>46143</v>
      </c>
      <c r="B619" s="1" t="n">
        <v>2026</v>
      </c>
      <c r="C619" s="8" t="inlineStr">
        <is>
          <t>Yanara Power</t>
        </is>
      </c>
      <c r="D619" s="1" t="inlineStr">
        <is>
          <t>Utility and C&amp;I</t>
        </is>
      </c>
      <c r="E619" s="1" t="n"/>
      <c r="F619" s="1" t="inlineStr">
        <is>
          <t>Closed</t>
        </is>
      </c>
      <c r="G619" s="2" t="inlineStr">
        <is>
          <t xml:space="preserve">Ashish Jindal </t>
        </is>
      </c>
      <c r="H619" s="8" t="n">
        <v>9983975581</v>
      </c>
      <c r="I619" s="10" t="inlineStr">
        <is>
          <t>PE01052601</t>
        </is>
      </c>
      <c r="J619" s="8" t="inlineStr">
        <is>
          <t>Multiple Issues</t>
        </is>
      </c>
      <c r="K619" s="11" t="inlineStr">
        <is>
          <t>Holi</t>
        </is>
      </c>
      <c r="L619" s="11" t="inlineStr">
        <is>
          <t>Maharashtra</t>
        </is>
      </c>
      <c r="M619" s="2" t="inlineStr">
        <is>
          <t>NS</t>
        </is>
      </c>
      <c r="N619" s="1" t="inlineStr">
        <is>
          <t>Cold Soldering</t>
        </is>
      </c>
      <c r="O619" s="11" t="n">
        <v>575</v>
      </c>
      <c r="P619" s="2" t="inlineStr">
        <is>
          <t>NSMI24070195997</t>
        </is>
      </c>
      <c r="Q619" s="14">
        <f>MID(P619,5,2)</f>
        <v/>
      </c>
      <c r="R619" s="14">
        <f>MID(P619,7,2)</f>
        <v/>
      </c>
      <c r="S619" s="1" t="inlineStr">
        <is>
          <t>G2G</t>
        </is>
      </c>
      <c r="T619" s="1" t="inlineStr">
        <is>
          <t>P4 - PEIPL</t>
        </is>
      </c>
      <c r="U619" s="1" t="inlineStr">
        <is>
          <t>N JB Cold Soldering</t>
        </is>
      </c>
      <c r="V619" s="1" t="inlineStr">
        <is>
          <t>Soldering</t>
        </is>
      </c>
      <c r="W619" s="1" t="inlineStr">
        <is>
          <t>Repair</t>
        </is>
      </c>
      <c r="X619" s="5" t="n">
        <v>46177</v>
      </c>
      <c r="Y619" s="1">
        <f>IF(X619="","",X619-A619)</f>
        <v/>
      </c>
      <c r="Z619" s="5" t="n">
        <v>46177</v>
      </c>
      <c r="AA619" s="3" t="n"/>
      <c r="AB619" s="3" t="n"/>
      <c r="AE619" s="146">
        <f>IF(AND(F619="Closed",X619&gt;=DATE(2026,6,1),X619&lt;=DATE(2026,6,30)),"Closed in June","other")</f>
        <v/>
      </c>
    </row>
    <row r="620" hidden="1">
      <c r="A620" s="9" t="n">
        <v>46143</v>
      </c>
      <c r="B620" s="1" t="n">
        <v>2026</v>
      </c>
      <c r="C620" s="8" t="inlineStr">
        <is>
          <t>Yanara Power</t>
        </is>
      </c>
      <c r="D620" s="1" t="inlineStr">
        <is>
          <t>Utility and C&amp;I</t>
        </is>
      </c>
      <c r="E620" s="1" t="n"/>
      <c r="F620" s="1" t="inlineStr">
        <is>
          <t>Closed</t>
        </is>
      </c>
      <c r="G620" s="2" t="inlineStr">
        <is>
          <t xml:space="preserve">Ashish Jindal </t>
        </is>
      </c>
      <c r="H620" s="8" t="n">
        <v>9983975581</v>
      </c>
      <c r="I620" s="10" t="inlineStr">
        <is>
          <t>PE01052601</t>
        </is>
      </c>
      <c r="J620" s="8" t="inlineStr">
        <is>
          <t>Multiple Issues</t>
        </is>
      </c>
      <c r="K620" s="11" t="inlineStr">
        <is>
          <t>Holi</t>
        </is>
      </c>
      <c r="L620" s="11" t="inlineStr">
        <is>
          <t>Maharashtra</t>
        </is>
      </c>
      <c r="M620" s="2" t="inlineStr">
        <is>
          <t>NS</t>
        </is>
      </c>
      <c r="N620" s="1" t="inlineStr">
        <is>
          <t>Cold Soldering</t>
        </is>
      </c>
      <c r="O620" s="11" t="n">
        <v>575</v>
      </c>
      <c r="P620" s="2" t="inlineStr">
        <is>
          <t>NSMI24070195991</t>
        </is>
      </c>
      <c r="Q620" s="14">
        <f>MID(P620,5,2)</f>
        <v/>
      </c>
      <c r="R620" s="14">
        <f>MID(P620,7,2)</f>
        <v/>
      </c>
      <c r="S620" s="1" t="inlineStr">
        <is>
          <t>G2G</t>
        </is>
      </c>
      <c r="T620" s="1" t="inlineStr">
        <is>
          <t>P4 - PEIPL</t>
        </is>
      </c>
      <c r="U620" s="1" t="inlineStr">
        <is>
          <t>N JB Cold Soldering</t>
        </is>
      </c>
      <c r="V620" s="1" t="inlineStr">
        <is>
          <t>Soldering</t>
        </is>
      </c>
      <c r="W620" s="1" t="inlineStr">
        <is>
          <t>Repair</t>
        </is>
      </c>
      <c r="X620" s="5" t="n">
        <v>46177</v>
      </c>
      <c r="Y620" s="1">
        <f>IF(X620="","",X620-A620)</f>
        <v/>
      </c>
      <c r="Z620" s="5" t="n">
        <v>46177</v>
      </c>
      <c r="AA620" s="3" t="n"/>
      <c r="AB620" s="3" t="n"/>
      <c r="AE620" s="146">
        <f>IF(AND(F620="Closed",X620&gt;=DATE(2026,6,1),X620&lt;=DATE(2026,6,30)),"Closed in June","other")</f>
        <v/>
      </c>
    </row>
    <row r="621" hidden="1">
      <c r="A621" s="9" t="n">
        <v>46143</v>
      </c>
      <c r="B621" s="1" t="n">
        <v>2026</v>
      </c>
      <c r="C621" s="8" t="inlineStr">
        <is>
          <t>Yanara Power</t>
        </is>
      </c>
      <c r="D621" s="1" t="inlineStr">
        <is>
          <t>Utility and C&amp;I</t>
        </is>
      </c>
      <c r="E621" s="1" t="n"/>
      <c r="F621" s="1" t="inlineStr">
        <is>
          <t>Closed</t>
        </is>
      </c>
      <c r="G621" s="2" t="inlineStr">
        <is>
          <t xml:space="preserve">Ashish Jindal </t>
        </is>
      </c>
      <c r="H621" s="8" t="n">
        <v>9983975581</v>
      </c>
      <c r="I621" s="10" t="inlineStr">
        <is>
          <t>PE01052601</t>
        </is>
      </c>
      <c r="J621" s="8" t="inlineStr">
        <is>
          <t>Multiple Issues</t>
        </is>
      </c>
      <c r="K621" s="11" t="inlineStr">
        <is>
          <t>Holi</t>
        </is>
      </c>
      <c r="L621" s="11" t="inlineStr">
        <is>
          <t>Maharashtra</t>
        </is>
      </c>
      <c r="M621" s="2" t="inlineStr">
        <is>
          <t>NS</t>
        </is>
      </c>
      <c r="N621" s="1" t="inlineStr">
        <is>
          <t>Cold Soldering</t>
        </is>
      </c>
      <c r="O621" s="11" t="n">
        <v>575</v>
      </c>
      <c r="P621" s="2" t="inlineStr">
        <is>
          <t>NSMI24070195985</t>
        </is>
      </c>
      <c r="Q621" s="14">
        <f>MID(P621,5,2)</f>
        <v/>
      </c>
      <c r="R621" s="14">
        <f>MID(P621,7,2)</f>
        <v/>
      </c>
      <c r="S621" s="1" t="inlineStr">
        <is>
          <t>G2G</t>
        </is>
      </c>
      <c r="T621" s="1" t="inlineStr">
        <is>
          <t>P4 - PEIPL</t>
        </is>
      </c>
      <c r="U621" s="1" t="inlineStr">
        <is>
          <t>N JB Cold Soldering</t>
        </is>
      </c>
      <c r="V621" s="1" t="inlineStr">
        <is>
          <t>Soldering</t>
        </is>
      </c>
      <c r="W621" s="1" t="inlineStr">
        <is>
          <t>Repair</t>
        </is>
      </c>
      <c r="X621" s="5" t="n">
        <v>46177</v>
      </c>
      <c r="Y621" s="1">
        <f>IF(X621="","",X621-A621)</f>
        <v/>
      </c>
      <c r="Z621" s="5" t="n">
        <v>46177</v>
      </c>
      <c r="AA621" s="3" t="n"/>
      <c r="AB621" s="3" t="n"/>
      <c r="AE621" s="146">
        <f>IF(AND(F621="Closed",X621&gt;=DATE(2026,6,1),X621&lt;=DATE(2026,6,30)),"Closed in June","other")</f>
        <v/>
      </c>
    </row>
    <row r="622" hidden="1">
      <c r="A622" s="9" t="n">
        <v>46143</v>
      </c>
      <c r="B622" s="1" t="n">
        <v>2026</v>
      </c>
      <c r="C622" s="8" t="inlineStr">
        <is>
          <t>Yanara Power</t>
        </is>
      </c>
      <c r="D622" s="1" t="inlineStr">
        <is>
          <t>Utility and C&amp;I</t>
        </is>
      </c>
      <c r="E622" s="1" t="n"/>
      <c r="F622" s="1" t="inlineStr">
        <is>
          <t>Closed</t>
        </is>
      </c>
      <c r="G622" s="2" t="inlineStr">
        <is>
          <t xml:space="preserve">Ashish Jindal </t>
        </is>
      </c>
      <c r="H622" s="8" t="n">
        <v>9983975581</v>
      </c>
      <c r="I622" s="10" t="inlineStr">
        <is>
          <t>PE01052601</t>
        </is>
      </c>
      <c r="J622" s="8" t="inlineStr">
        <is>
          <t>Multiple Issues</t>
        </is>
      </c>
      <c r="K622" s="11" t="inlineStr">
        <is>
          <t>Holi</t>
        </is>
      </c>
      <c r="L622" s="11" t="inlineStr">
        <is>
          <t>Maharashtra</t>
        </is>
      </c>
      <c r="M622" s="2" t="inlineStr">
        <is>
          <t>PS</t>
        </is>
      </c>
      <c r="N622" s="1" t="inlineStr">
        <is>
          <t>Cold Soldering</t>
        </is>
      </c>
      <c r="O622" s="11" t="n">
        <v>575</v>
      </c>
      <c r="P622" s="2" t="inlineStr">
        <is>
          <t>NSMI24070186451</t>
        </is>
      </c>
      <c r="Q622" s="14">
        <f>MID(P622,5,2)</f>
        <v/>
      </c>
      <c r="R622" s="14">
        <f>MID(P622,7,2)</f>
        <v/>
      </c>
      <c r="S622" s="1" t="inlineStr">
        <is>
          <t>G2G</t>
        </is>
      </c>
      <c r="T622" s="1" t="inlineStr">
        <is>
          <t>P4 - PEIPL</t>
        </is>
      </c>
      <c r="U622" s="6" t="inlineStr">
        <is>
          <t>P JB Cold Soldering</t>
        </is>
      </c>
      <c r="V622" s="6" t="inlineStr">
        <is>
          <t>Soldering</t>
        </is>
      </c>
      <c r="W622" s="1" t="inlineStr">
        <is>
          <t>Repair</t>
        </is>
      </c>
      <c r="X622" s="5" t="n">
        <v>46177</v>
      </c>
      <c r="Y622" s="1">
        <f>IF(X622="","",X622-A622)</f>
        <v/>
      </c>
      <c r="Z622" s="5" t="n">
        <v>46177</v>
      </c>
      <c r="AA622" s="3" t="n"/>
      <c r="AB622" s="3" t="n"/>
      <c r="AE622" s="146">
        <f>IF(AND(F622="Closed",X622&gt;=DATE(2026,6,1),X622&lt;=DATE(2026,6,30)),"Closed in June","other")</f>
        <v/>
      </c>
    </row>
    <row r="623" hidden="1">
      <c r="A623" s="9" t="n">
        <v>46143</v>
      </c>
      <c r="B623" s="1" t="n">
        <v>2026</v>
      </c>
      <c r="C623" s="8" t="inlineStr">
        <is>
          <t>Yanara Power</t>
        </is>
      </c>
      <c r="D623" s="1" t="inlineStr">
        <is>
          <t>Utility and C&amp;I</t>
        </is>
      </c>
      <c r="E623" s="1" t="n"/>
      <c r="F623" s="1" t="inlineStr">
        <is>
          <t>Closed</t>
        </is>
      </c>
      <c r="G623" s="2" t="inlineStr">
        <is>
          <t xml:space="preserve">Ashish Jindal </t>
        </is>
      </c>
      <c r="H623" s="8" t="n">
        <v>9983975581</v>
      </c>
      <c r="I623" s="10" t="inlineStr">
        <is>
          <t>PE01052601</t>
        </is>
      </c>
      <c r="J623" s="8" t="inlineStr">
        <is>
          <t>Multiple Issues</t>
        </is>
      </c>
      <c r="K623" s="11" t="inlineStr">
        <is>
          <t>Holi</t>
        </is>
      </c>
      <c r="L623" s="11" t="inlineStr">
        <is>
          <t>Maharashtra</t>
        </is>
      </c>
      <c r="M623" s="2" t="inlineStr">
        <is>
          <t>PS</t>
        </is>
      </c>
      <c r="N623" s="1" t="inlineStr">
        <is>
          <t>Cold Soldering</t>
        </is>
      </c>
      <c r="O623" s="11" t="n">
        <v>575</v>
      </c>
      <c r="P623" s="2" t="inlineStr">
        <is>
          <t>NSMI24070195023</t>
        </is>
      </c>
      <c r="Q623" s="14">
        <f>MID(P623,5,2)</f>
        <v/>
      </c>
      <c r="R623" s="14">
        <f>MID(P623,7,2)</f>
        <v/>
      </c>
      <c r="S623" s="1" t="inlineStr">
        <is>
          <t>G2G</t>
        </is>
      </c>
      <c r="T623" s="1" t="inlineStr">
        <is>
          <t>P4 - PEIPL</t>
        </is>
      </c>
      <c r="U623" s="6" t="inlineStr">
        <is>
          <t>P JB Cold Soldering</t>
        </is>
      </c>
      <c r="V623" s="6" t="inlineStr">
        <is>
          <t>Soldering</t>
        </is>
      </c>
      <c r="W623" s="1" t="inlineStr">
        <is>
          <t>Repair</t>
        </is>
      </c>
      <c r="X623" s="5" t="n">
        <v>46177</v>
      </c>
      <c r="Y623" s="1">
        <f>IF(X623="","",X623-A623)</f>
        <v/>
      </c>
      <c r="Z623" s="5" t="n">
        <v>46177</v>
      </c>
      <c r="AA623" s="3" t="n"/>
      <c r="AB623" s="3" t="n"/>
      <c r="AE623" s="146">
        <f>IF(AND(F623="Closed",X623&gt;=DATE(2026,6,1),X623&lt;=DATE(2026,6,30)),"Closed in June","other")</f>
        <v/>
      </c>
    </row>
    <row r="624" hidden="1">
      <c r="A624" s="9" t="n">
        <v>46143</v>
      </c>
      <c r="B624" s="1" t="n">
        <v>2026</v>
      </c>
      <c r="C624" s="8" t="inlineStr">
        <is>
          <t>Yanara Power</t>
        </is>
      </c>
      <c r="D624" s="1" t="inlineStr">
        <is>
          <t>Utility and C&amp;I</t>
        </is>
      </c>
      <c r="E624" s="1" t="n"/>
      <c r="F624" s="1" t="inlineStr">
        <is>
          <t>Closed</t>
        </is>
      </c>
      <c r="G624" s="2" t="inlineStr">
        <is>
          <t xml:space="preserve">Ashish Jindal </t>
        </is>
      </c>
      <c r="H624" s="8" t="n">
        <v>9983975581</v>
      </c>
      <c r="I624" s="10" t="inlineStr">
        <is>
          <t>PE01052601</t>
        </is>
      </c>
      <c r="J624" s="8" t="inlineStr">
        <is>
          <t>Multiple Issues</t>
        </is>
      </c>
      <c r="K624" s="11" t="inlineStr">
        <is>
          <t>Holi</t>
        </is>
      </c>
      <c r="L624" s="11" t="inlineStr">
        <is>
          <t>Maharashtra</t>
        </is>
      </c>
      <c r="M624" s="2" t="inlineStr">
        <is>
          <t>PS</t>
        </is>
      </c>
      <c r="N624" s="1" t="inlineStr">
        <is>
          <t>Cold Soldering</t>
        </is>
      </c>
      <c r="O624" s="11" t="n">
        <v>575</v>
      </c>
      <c r="P624" s="2" t="inlineStr">
        <is>
          <t>NSMI24070194520</t>
        </is>
      </c>
      <c r="Q624" s="14">
        <f>MID(P624,5,2)</f>
        <v/>
      </c>
      <c r="R624" s="14">
        <f>MID(P624,7,2)</f>
        <v/>
      </c>
      <c r="S624" s="1" t="inlineStr">
        <is>
          <t>G2G</t>
        </is>
      </c>
      <c r="T624" s="1" t="inlineStr">
        <is>
          <t>P4 - PEIPL</t>
        </is>
      </c>
      <c r="U624" s="6" t="inlineStr">
        <is>
          <t>P JB Cold Soldering</t>
        </is>
      </c>
      <c r="V624" s="6" t="inlineStr">
        <is>
          <t>Soldering</t>
        </is>
      </c>
      <c r="W624" s="1" t="inlineStr">
        <is>
          <t>Repair</t>
        </is>
      </c>
      <c r="X624" s="5" t="n">
        <v>46177</v>
      </c>
      <c r="Y624" s="1">
        <f>IF(X624="","",X624-A624)</f>
        <v/>
      </c>
      <c r="Z624" s="5" t="n">
        <v>46177</v>
      </c>
      <c r="AA624" s="3" t="n"/>
      <c r="AB624" s="3" t="n"/>
      <c r="AE624" s="146">
        <f>IF(AND(F624="Closed",X624&gt;=DATE(2026,6,1),X624&lt;=DATE(2026,6,30)),"Closed in June","other")</f>
        <v/>
      </c>
    </row>
    <row r="625" hidden="1">
      <c r="A625" s="9" t="n">
        <v>46143</v>
      </c>
      <c r="B625" s="1" t="n">
        <v>2026</v>
      </c>
      <c r="C625" s="8" t="inlineStr">
        <is>
          <t>Yanara Power</t>
        </is>
      </c>
      <c r="D625" s="1" t="inlineStr">
        <is>
          <t>Utility and C&amp;I</t>
        </is>
      </c>
      <c r="E625" s="1" t="n"/>
      <c r="F625" s="1" t="inlineStr">
        <is>
          <t>Closed</t>
        </is>
      </c>
      <c r="G625" s="2" t="inlineStr">
        <is>
          <t xml:space="preserve">Ashish Jindal </t>
        </is>
      </c>
      <c r="H625" s="8" t="n">
        <v>9983975581</v>
      </c>
      <c r="I625" s="10" t="inlineStr">
        <is>
          <t>PE01052601</t>
        </is>
      </c>
      <c r="J625" s="8" t="inlineStr">
        <is>
          <t>Multiple Issues</t>
        </is>
      </c>
      <c r="K625" s="11" t="inlineStr">
        <is>
          <t>Holi</t>
        </is>
      </c>
      <c r="L625" s="11" t="inlineStr">
        <is>
          <t>Maharashtra</t>
        </is>
      </c>
      <c r="M625" s="2" t="inlineStr">
        <is>
          <t>PS</t>
        </is>
      </c>
      <c r="N625" s="1" t="inlineStr">
        <is>
          <t>Cold Soldering</t>
        </is>
      </c>
      <c r="O625" s="11" t="n">
        <v>575</v>
      </c>
      <c r="P625" s="2" t="inlineStr">
        <is>
          <t>NSMI24070192224</t>
        </is>
      </c>
      <c r="Q625" s="14">
        <f>MID(P625,5,2)</f>
        <v/>
      </c>
      <c r="R625" s="14">
        <f>MID(P625,7,2)</f>
        <v/>
      </c>
      <c r="S625" s="1" t="inlineStr">
        <is>
          <t>G2G</t>
        </is>
      </c>
      <c r="T625" s="1" t="inlineStr">
        <is>
          <t>P4 - PEIPL</t>
        </is>
      </c>
      <c r="U625" s="6" t="inlineStr">
        <is>
          <t>P JB Cold Soldering</t>
        </is>
      </c>
      <c r="V625" s="6" t="inlineStr">
        <is>
          <t>Soldering</t>
        </is>
      </c>
      <c r="W625" s="1" t="inlineStr">
        <is>
          <t>Repair</t>
        </is>
      </c>
      <c r="X625" s="5" t="n">
        <v>46177</v>
      </c>
      <c r="Y625" s="1">
        <f>IF(X625="","",X625-A625)</f>
        <v/>
      </c>
      <c r="Z625" s="5" t="n">
        <v>46177</v>
      </c>
      <c r="AA625" s="3" t="n"/>
      <c r="AB625" s="3" t="n"/>
      <c r="AE625" s="146">
        <f>IF(AND(F625="Closed",X625&gt;=DATE(2026,6,1),X625&lt;=DATE(2026,6,30)),"Closed in June","other")</f>
        <v/>
      </c>
    </row>
    <row r="626" hidden="1">
      <c r="A626" s="9" t="n">
        <v>46143</v>
      </c>
      <c r="B626" s="1" t="n">
        <v>2026</v>
      </c>
      <c r="C626" s="8" t="inlineStr">
        <is>
          <t>Yanara Power</t>
        </is>
      </c>
      <c r="D626" s="1" t="inlineStr">
        <is>
          <t>Utility and C&amp;I</t>
        </is>
      </c>
      <c r="E626" s="1" t="n"/>
      <c r="F626" s="1" t="inlineStr">
        <is>
          <t>Closed</t>
        </is>
      </c>
      <c r="G626" s="2" t="inlineStr">
        <is>
          <t xml:space="preserve">Ashish Jindal </t>
        </is>
      </c>
      <c r="H626" s="8" t="n">
        <v>9983975581</v>
      </c>
      <c r="I626" s="10" t="inlineStr">
        <is>
          <t>PE01052601</t>
        </is>
      </c>
      <c r="J626" s="8" t="inlineStr">
        <is>
          <t>Multiple Issues</t>
        </is>
      </c>
      <c r="K626" s="11" t="inlineStr">
        <is>
          <t>Holi</t>
        </is>
      </c>
      <c r="L626" s="11" t="inlineStr">
        <is>
          <t>Maharashtra</t>
        </is>
      </c>
      <c r="M626" s="2" t="inlineStr">
        <is>
          <t>PS</t>
        </is>
      </c>
      <c r="N626" s="1" t="inlineStr">
        <is>
          <t>Cold Soldering</t>
        </is>
      </c>
      <c r="O626" s="11" t="n">
        <v>575</v>
      </c>
      <c r="P626" s="2" t="inlineStr">
        <is>
          <t>NSMI24070192665</t>
        </is>
      </c>
      <c r="Q626" s="14">
        <f>MID(P626,5,2)</f>
        <v/>
      </c>
      <c r="R626" s="14">
        <f>MID(P626,7,2)</f>
        <v/>
      </c>
      <c r="S626" s="1" t="inlineStr">
        <is>
          <t>G2G</t>
        </is>
      </c>
      <c r="T626" s="1" t="inlineStr">
        <is>
          <t>P4 - PEIPL</t>
        </is>
      </c>
      <c r="U626" s="6" t="inlineStr">
        <is>
          <t>P JB Cold Soldering</t>
        </is>
      </c>
      <c r="V626" s="6" t="inlineStr">
        <is>
          <t>Soldering</t>
        </is>
      </c>
      <c r="W626" s="1" t="inlineStr">
        <is>
          <t>Repair</t>
        </is>
      </c>
      <c r="X626" s="5" t="n">
        <v>46177</v>
      </c>
      <c r="Y626" s="1">
        <f>IF(X626="","",X626-A626)</f>
        <v/>
      </c>
      <c r="Z626" s="5" t="n">
        <v>46177</v>
      </c>
      <c r="AA626" s="3" t="n"/>
      <c r="AB626" s="3" t="n"/>
      <c r="AE626" s="146">
        <f>IF(AND(F626="Closed",X626&gt;=DATE(2026,6,1),X626&lt;=DATE(2026,6,30)),"Closed in June","other")</f>
        <v/>
      </c>
    </row>
    <row r="627" hidden="1">
      <c r="A627" s="9" t="n">
        <v>46143</v>
      </c>
      <c r="B627" s="1" t="n">
        <v>2026</v>
      </c>
      <c r="C627" s="8" t="inlineStr">
        <is>
          <t>Yanara Power</t>
        </is>
      </c>
      <c r="D627" s="1" t="inlineStr">
        <is>
          <t>Utility and C&amp;I</t>
        </is>
      </c>
      <c r="E627" s="1" t="n"/>
      <c r="F627" s="1" t="inlineStr">
        <is>
          <t>Closed</t>
        </is>
      </c>
      <c r="G627" s="2" t="inlineStr">
        <is>
          <t xml:space="preserve">Ashish Jindal </t>
        </is>
      </c>
      <c r="H627" s="8" t="n">
        <v>9983975581</v>
      </c>
      <c r="I627" s="10" t="inlineStr">
        <is>
          <t>PE01052601</t>
        </is>
      </c>
      <c r="J627" s="8" t="inlineStr">
        <is>
          <t>Multiple Issues</t>
        </is>
      </c>
      <c r="K627" s="11" t="inlineStr">
        <is>
          <t>Holi</t>
        </is>
      </c>
      <c r="L627" s="11" t="inlineStr">
        <is>
          <t>Maharashtra</t>
        </is>
      </c>
      <c r="M627" s="2" t="inlineStr">
        <is>
          <t>PS</t>
        </is>
      </c>
      <c r="N627" s="1" t="inlineStr">
        <is>
          <t>Cold Soldering</t>
        </is>
      </c>
      <c r="O627" s="11" t="n">
        <v>575</v>
      </c>
      <c r="P627" s="2" t="inlineStr">
        <is>
          <t>NSMI24070192663</t>
        </is>
      </c>
      <c r="Q627" s="14">
        <f>MID(P627,5,2)</f>
        <v/>
      </c>
      <c r="R627" s="14">
        <f>MID(P627,7,2)</f>
        <v/>
      </c>
      <c r="S627" s="1" t="inlineStr">
        <is>
          <t>G2G</t>
        </is>
      </c>
      <c r="T627" s="1" t="inlineStr">
        <is>
          <t>P4 - PEIPL</t>
        </is>
      </c>
      <c r="U627" s="6" t="inlineStr">
        <is>
          <t>P JB Cold Soldering</t>
        </is>
      </c>
      <c r="V627" s="6" t="inlineStr">
        <is>
          <t>Soldering</t>
        </is>
      </c>
      <c r="W627" s="1" t="inlineStr">
        <is>
          <t>Repair</t>
        </is>
      </c>
      <c r="X627" s="5" t="n">
        <v>46177</v>
      </c>
      <c r="Y627" s="1">
        <f>IF(X627="","",X627-A627)</f>
        <v/>
      </c>
      <c r="Z627" s="5" t="n">
        <v>46177</v>
      </c>
      <c r="AA627" s="3" t="n"/>
      <c r="AB627" s="3" t="n"/>
      <c r="AE627" s="146">
        <f>IF(AND(F627="Closed",X627&gt;=DATE(2026,6,1),X627&lt;=DATE(2026,6,30)),"Closed in June","other")</f>
        <v/>
      </c>
    </row>
    <row r="628" hidden="1">
      <c r="A628" s="9" t="n">
        <v>46143</v>
      </c>
      <c r="B628" s="1" t="n">
        <v>2026</v>
      </c>
      <c r="C628" s="8" t="inlineStr">
        <is>
          <t>Yanara Power</t>
        </is>
      </c>
      <c r="D628" s="1" t="inlineStr">
        <is>
          <t>Utility and C&amp;I</t>
        </is>
      </c>
      <c r="E628" s="1" t="n"/>
      <c r="F628" s="1" t="inlineStr">
        <is>
          <t>Closed</t>
        </is>
      </c>
      <c r="G628" s="2" t="inlineStr">
        <is>
          <t xml:space="preserve">Ashish Jindal </t>
        </is>
      </c>
      <c r="H628" s="8" t="n">
        <v>9983975581</v>
      </c>
      <c r="I628" s="10" t="inlineStr">
        <is>
          <t>PE01052601</t>
        </is>
      </c>
      <c r="J628" s="8" t="inlineStr">
        <is>
          <t>Multiple Issues</t>
        </is>
      </c>
      <c r="K628" s="11" t="inlineStr">
        <is>
          <t>Holi</t>
        </is>
      </c>
      <c r="L628" s="11" t="inlineStr">
        <is>
          <t>Maharashtra</t>
        </is>
      </c>
      <c r="M628" s="2" t="inlineStr">
        <is>
          <t>PS</t>
        </is>
      </c>
      <c r="N628" s="1" t="inlineStr">
        <is>
          <t>Cold Soldering</t>
        </is>
      </c>
      <c r="O628" s="11" t="n">
        <v>575</v>
      </c>
      <c r="P628" s="2" t="inlineStr">
        <is>
          <t>NSMI24070185460</t>
        </is>
      </c>
      <c r="Q628" s="14">
        <f>MID(P628,5,2)</f>
        <v/>
      </c>
      <c r="R628" s="14">
        <f>MID(P628,7,2)</f>
        <v/>
      </c>
      <c r="S628" s="1" t="inlineStr">
        <is>
          <t>G2G</t>
        </is>
      </c>
      <c r="T628" s="1" t="inlineStr">
        <is>
          <t>P4 - PEIPL</t>
        </is>
      </c>
      <c r="U628" s="6" t="inlineStr">
        <is>
          <t>P JB Cold Soldering</t>
        </is>
      </c>
      <c r="V628" s="6" t="inlineStr">
        <is>
          <t>Soldering</t>
        </is>
      </c>
      <c r="W628" s="1" t="inlineStr">
        <is>
          <t>Repair</t>
        </is>
      </c>
      <c r="X628" s="5" t="n">
        <v>46177</v>
      </c>
      <c r="Y628" s="1">
        <f>IF(X628="","",X628-A628)</f>
        <v/>
      </c>
      <c r="Z628" s="5" t="n">
        <v>46177</v>
      </c>
      <c r="AA628" s="3" t="n"/>
      <c r="AB628" s="3" t="n"/>
      <c r="AE628" s="146">
        <f>IF(AND(F628="Closed",X628&gt;=DATE(2026,6,1),X628&lt;=DATE(2026,6,30)),"Closed in June","other")</f>
        <v/>
      </c>
    </row>
    <row r="629" hidden="1">
      <c r="A629" s="9" t="n">
        <v>46143</v>
      </c>
      <c r="B629" s="1" t="n">
        <v>2026</v>
      </c>
      <c r="C629" s="8" t="inlineStr">
        <is>
          <t>Yanara Power</t>
        </is>
      </c>
      <c r="D629" s="1" t="inlineStr">
        <is>
          <t>Utility and C&amp;I</t>
        </is>
      </c>
      <c r="E629" s="1" t="n"/>
      <c r="F629" s="1" t="inlineStr">
        <is>
          <t>Closed</t>
        </is>
      </c>
      <c r="G629" s="2" t="inlineStr">
        <is>
          <t xml:space="preserve">Ashish Jindal </t>
        </is>
      </c>
      <c r="H629" s="8" t="n">
        <v>9983975581</v>
      </c>
      <c r="I629" s="10" t="inlineStr">
        <is>
          <t>PE01052601</t>
        </is>
      </c>
      <c r="J629" s="8" t="inlineStr">
        <is>
          <t>Multiple Issues</t>
        </is>
      </c>
      <c r="K629" s="11" t="inlineStr">
        <is>
          <t>Holi</t>
        </is>
      </c>
      <c r="L629" s="11" t="inlineStr">
        <is>
          <t>Maharashtra</t>
        </is>
      </c>
      <c r="M629" s="2" t="inlineStr">
        <is>
          <t>PS</t>
        </is>
      </c>
      <c r="N629" s="1" t="inlineStr">
        <is>
          <t>Cold Soldering</t>
        </is>
      </c>
      <c r="O629" s="11" t="n">
        <v>575</v>
      </c>
      <c r="P629" s="2" t="inlineStr">
        <is>
          <t>NSMI24070185185</t>
        </is>
      </c>
      <c r="Q629" s="14">
        <f>MID(P629,5,2)</f>
        <v/>
      </c>
      <c r="R629" s="14">
        <f>MID(P629,7,2)</f>
        <v/>
      </c>
      <c r="S629" s="1" t="inlineStr">
        <is>
          <t>G2G</t>
        </is>
      </c>
      <c r="T629" s="1" t="inlineStr">
        <is>
          <t>P4 - PEIPL</t>
        </is>
      </c>
      <c r="U629" s="6" t="inlineStr">
        <is>
          <t>P JB Cold Soldering</t>
        </is>
      </c>
      <c r="V629" s="6" t="inlineStr">
        <is>
          <t>Soldering</t>
        </is>
      </c>
      <c r="W629" s="1" t="inlineStr">
        <is>
          <t>Repair</t>
        </is>
      </c>
      <c r="X629" s="5" t="n">
        <v>46177</v>
      </c>
      <c r="Y629" s="1">
        <f>IF(X629="","",X629-A629)</f>
        <v/>
      </c>
      <c r="Z629" s="5" t="n">
        <v>46177</v>
      </c>
      <c r="AA629" s="3" t="n"/>
      <c r="AB629" s="3" t="n"/>
      <c r="AE629" s="146">
        <f>IF(AND(F629="Closed",X629&gt;=DATE(2026,6,1),X629&lt;=DATE(2026,6,30)),"Closed in June","other")</f>
        <v/>
      </c>
    </row>
    <row r="630" hidden="1">
      <c r="A630" s="9" t="n">
        <v>46143</v>
      </c>
      <c r="B630" s="1" t="n">
        <v>2026</v>
      </c>
      <c r="C630" s="8" t="inlineStr">
        <is>
          <t>Yanara Power</t>
        </is>
      </c>
      <c r="D630" s="1" t="inlineStr">
        <is>
          <t>Utility and C&amp;I</t>
        </is>
      </c>
      <c r="E630" s="1" t="n"/>
      <c r="F630" s="1" t="inlineStr">
        <is>
          <t>Closed</t>
        </is>
      </c>
      <c r="G630" s="2" t="inlineStr">
        <is>
          <t xml:space="preserve">Ashish Jindal </t>
        </is>
      </c>
      <c r="H630" s="8" t="n">
        <v>9983975581</v>
      </c>
      <c r="I630" s="10" t="inlineStr">
        <is>
          <t>PE01052601</t>
        </is>
      </c>
      <c r="J630" s="8" t="inlineStr">
        <is>
          <t>Multiple Issues</t>
        </is>
      </c>
      <c r="K630" s="11" t="inlineStr">
        <is>
          <t>Holi</t>
        </is>
      </c>
      <c r="L630" s="11" t="inlineStr">
        <is>
          <t>Maharashtra</t>
        </is>
      </c>
      <c r="M630" s="2" t="inlineStr">
        <is>
          <t>PS</t>
        </is>
      </c>
      <c r="N630" s="1" t="inlineStr">
        <is>
          <t>Cold Soldering</t>
        </is>
      </c>
      <c r="O630" s="11" t="n">
        <v>575</v>
      </c>
      <c r="P630" s="2" t="inlineStr">
        <is>
          <t>NSMI24070200525</t>
        </is>
      </c>
      <c r="Q630" s="14">
        <f>MID(P630,5,2)</f>
        <v/>
      </c>
      <c r="R630" s="14">
        <f>MID(P630,7,2)</f>
        <v/>
      </c>
      <c r="S630" s="1" t="inlineStr">
        <is>
          <t>G2G</t>
        </is>
      </c>
      <c r="T630" s="1" t="inlineStr">
        <is>
          <t>P4 - PEIPL</t>
        </is>
      </c>
      <c r="U630" s="6" t="inlineStr">
        <is>
          <t>P JB Cold Soldering</t>
        </is>
      </c>
      <c r="V630" s="6" t="inlineStr">
        <is>
          <t>Soldering</t>
        </is>
      </c>
      <c r="W630" s="1" t="inlineStr">
        <is>
          <t>Repair</t>
        </is>
      </c>
      <c r="X630" s="5" t="n">
        <v>46177</v>
      </c>
      <c r="Y630" s="1">
        <f>IF(X630="","",X630-A630)</f>
        <v/>
      </c>
      <c r="Z630" s="5" t="n">
        <v>46177</v>
      </c>
      <c r="AA630" s="3" t="n"/>
      <c r="AB630" s="3" t="n"/>
      <c r="AE630" s="146">
        <f>IF(AND(F630="Closed",X630&gt;=DATE(2026,6,1),X630&lt;=DATE(2026,6,30)),"Closed in June","other")</f>
        <v/>
      </c>
    </row>
    <row r="631" hidden="1">
      <c r="A631" s="9" t="n">
        <v>46143</v>
      </c>
      <c r="B631" s="1" t="n">
        <v>2026</v>
      </c>
      <c r="C631" s="8" t="inlineStr">
        <is>
          <t>Yanara Power</t>
        </is>
      </c>
      <c r="D631" s="1" t="inlineStr">
        <is>
          <t>Utility and C&amp;I</t>
        </is>
      </c>
      <c r="E631" s="1" t="n"/>
      <c r="F631" s="1" t="inlineStr">
        <is>
          <t>Closed</t>
        </is>
      </c>
      <c r="G631" s="2" t="inlineStr">
        <is>
          <t xml:space="preserve">Ashish Jindal </t>
        </is>
      </c>
      <c r="H631" s="8" t="n">
        <v>9983975581</v>
      </c>
      <c r="I631" s="10" t="inlineStr">
        <is>
          <t>PE01052601</t>
        </is>
      </c>
      <c r="J631" s="8" t="inlineStr">
        <is>
          <t>Multiple Issues</t>
        </is>
      </c>
      <c r="K631" s="11" t="inlineStr">
        <is>
          <t>Holi</t>
        </is>
      </c>
      <c r="L631" s="11" t="inlineStr">
        <is>
          <t>Maharashtra</t>
        </is>
      </c>
      <c r="M631" s="2" t="inlineStr">
        <is>
          <t>NS</t>
        </is>
      </c>
      <c r="N631" s="1" t="inlineStr">
        <is>
          <t>Cold Soldering</t>
        </is>
      </c>
      <c r="O631" s="11" t="n">
        <v>575</v>
      </c>
      <c r="P631" s="2" t="inlineStr">
        <is>
          <t>NSMI24070200675</t>
        </is>
      </c>
      <c r="Q631" s="14">
        <f>MID(P631,5,2)</f>
        <v/>
      </c>
      <c r="R631" s="14">
        <f>MID(P631,7,2)</f>
        <v/>
      </c>
      <c r="S631" s="1" t="inlineStr">
        <is>
          <t>G2G</t>
        </is>
      </c>
      <c r="T631" s="1" t="inlineStr">
        <is>
          <t>P4 - PEIPL</t>
        </is>
      </c>
      <c r="U631" s="1" t="inlineStr">
        <is>
          <t>N JB Cold Soldering</t>
        </is>
      </c>
      <c r="V631" s="1" t="inlineStr">
        <is>
          <t>Soldering</t>
        </is>
      </c>
      <c r="W631" s="1" t="inlineStr">
        <is>
          <t>Repair</t>
        </is>
      </c>
      <c r="X631" s="5" t="n">
        <v>46177</v>
      </c>
      <c r="Y631" s="1">
        <f>IF(X631="","",X631-A631)</f>
        <v/>
      </c>
      <c r="Z631" s="5" t="n">
        <v>46177</v>
      </c>
      <c r="AA631" s="3" t="n"/>
      <c r="AB631" s="3" t="n"/>
      <c r="AE631" s="146">
        <f>IF(AND(F631="Closed",X631&gt;=DATE(2026,6,1),X631&lt;=DATE(2026,6,30)),"Closed in June","other")</f>
        <v/>
      </c>
    </row>
    <row r="632" hidden="1">
      <c r="A632" s="9" t="n">
        <v>46143</v>
      </c>
      <c r="B632" s="1" t="n">
        <v>2026</v>
      </c>
      <c r="C632" s="8" t="inlineStr">
        <is>
          <t>Yanara Power</t>
        </is>
      </c>
      <c r="D632" s="1" t="inlineStr">
        <is>
          <t>Utility and C&amp;I</t>
        </is>
      </c>
      <c r="E632" s="1" t="n"/>
      <c r="F632" s="1" t="inlineStr">
        <is>
          <t>Closed</t>
        </is>
      </c>
      <c r="G632" s="2" t="inlineStr">
        <is>
          <t xml:space="preserve">Ashish Jindal </t>
        </is>
      </c>
      <c r="H632" s="8" t="n">
        <v>9983975581</v>
      </c>
      <c r="I632" s="10" t="inlineStr">
        <is>
          <t>PE01052601</t>
        </is>
      </c>
      <c r="J632" s="8" t="inlineStr">
        <is>
          <t>Multiple Issues</t>
        </is>
      </c>
      <c r="K632" s="11" t="inlineStr">
        <is>
          <t>Holi</t>
        </is>
      </c>
      <c r="L632" s="11" t="inlineStr">
        <is>
          <t>Maharashtra</t>
        </is>
      </c>
      <c r="M632" s="2" t="inlineStr">
        <is>
          <t>PS</t>
        </is>
      </c>
      <c r="N632" s="1" t="inlineStr">
        <is>
          <t>Cold Soldering</t>
        </is>
      </c>
      <c r="O632" s="11" t="n">
        <v>575</v>
      </c>
      <c r="P632" s="2" t="inlineStr">
        <is>
          <t>NSMI24070195450</t>
        </is>
      </c>
      <c r="Q632" s="14">
        <f>MID(P632,5,2)</f>
        <v/>
      </c>
      <c r="R632" s="14">
        <f>MID(P632,7,2)</f>
        <v/>
      </c>
      <c r="S632" s="1" t="inlineStr">
        <is>
          <t>G2G</t>
        </is>
      </c>
      <c r="T632" s="1" t="inlineStr">
        <is>
          <t>P4 - PEIPL</t>
        </is>
      </c>
      <c r="U632" s="6" t="inlineStr">
        <is>
          <t>P JB Cold Soldering</t>
        </is>
      </c>
      <c r="V632" s="6" t="inlineStr">
        <is>
          <t>Soldering</t>
        </is>
      </c>
      <c r="W632" s="1" t="inlineStr">
        <is>
          <t>Repair</t>
        </is>
      </c>
      <c r="X632" s="5" t="n">
        <v>46177</v>
      </c>
      <c r="Y632" s="1">
        <f>IF(X632="","",X632-A632)</f>
        <v/>
      </c>
      <c r="Z632" s="5" t="n">
        <v>46177</v>
      </c>
      <c r="AA632" s="3" t="n"/>
      <c r="AB632" s="3" t="n"/>
      <c r="AE632" s="146">
        <f>IF(AND(F632="Closed",X632&gt;=DATE(2026,6,1),X632&lt;=DATE(2026,6,30)),"Closed in June","other")</f>
        <v/>
      </c>
    </row>
    <row r="633" hidden="1">
      <c r="A633" s="9" t="n">
        <v>46143</v>
      </c>
      <c r="B633" s="1" t="n">
        <v>2026</v>
      </c>
      <c r="C633" s="8" t="inlineStr">
        <is>
          <t>Yanara Power</t>
        </is>
      </c>
      <c r="D633" s="1" t="inlineStr">
        <is>
          <t>Utility and C&amp;I</t>
        </is>
      </c>
      <c r="E633" s="1" t="n"/>
      <c r="F633" s="1" t="inlineStr">
        <is>
          <t>Closed</t>
        </is>
      </c>
      <c r="G633" s="2" t="inlineStr">
        <is>
          <t xml:space="preserve">Ashish Jindal </t>
        </is>
      </c>
      <c r="H633" s="8" t="n">
        <v>9983975581</v>
      </c>
      <c r="I633" s="10" t="inlineStr">
        <is>
          <t>PE01052601</t>
        </is>
      </c>
      <c r="J633" s="8" t="inlineStr">
        <is>
          <t>Multiple Issues</t>
        </is>
      </c>
      <c r="K633" s="11" t="inlineStr">
        <is>
          <t>Holi</t>
        </is>
      </c>
      <c r="L633" s="11" t="inlineStr">
        <is>
          <t>Maharashtra</t>
        </is>
      </c>
      <c r="M633" s="2" t="inlineStr">
        <is>
          <t>PS</t>
        </is>
      </c>
      <c r="N633" s="1" t="inlineStr">
        <is>
          <t>Cold Soldering</t>
        </is>
      </c>
      <c r="O633" s="11" t="n">
        <v>575</v>
      </c>
      <c r="P633" s="2" t="inlineStr">
        <is>
          <t>NSMI24070195457</t>
        </is>
      </c>
      <c r="Q633" s="14">
        <f>MID(P633,5,2)</f>
        <v/>
      </c>
      <c r="R633" s="14">
        <f>MID(P633,7,2)</f>
        <v/>
      </c>
      <c r="S633" s="1" t="inlineStr">
        <is>
          <t>G2G</t>
        </is>
      </c>
      <c r="T633" s="1" t="inlineStr">
        <is>
          <t>P4 - PEIPL</t>
        </is>
      </c>
      <c r="U633" s="6" t="inlineStr">
        <is>
          <t>P JB Cold Soldering</t>
        </is>
      </c>
      <c r="V633" s="6" t="inlineStr">
        <is>
          <t>Soldering</t>
        </is>
      </c>
      <c r="W633" s="1" t="inlineStr">
        <is>
          <t>Repair</t>
        </is>
      </c>
      <c r="X633" s="5" t="n">
        <v>46177</v>
      </c>
      <c r="Y633" s="1">
        <f>IF(X633="","",X633-A633)</f>
        <v/>
      </c>
      <c r="Z633" s="5" t="n">
        <v>46177</v>
      </c>
      <c r="AA633" s="3" t="n"/>
      <c r="AB633" s="3" t="n"/>
      <c r="AE633" s="146">
        <f>IF(AND(F633="Closed",X633&gt;=DATE(2026,6,1),X633&lt;=DATE(2026,6,30)),"Closed in June","other")</f>
        <v/>
      </c>
    </row>
    <row r="634" hidden="1">
      <c r="A634" s="9" t="n">
        <v>46143</v>
      </c>
      <c r="B634" s="1" t="n">
        <v>2026</v>
      </c>
      <c r="C634" s="8" t="inlineStr">
        <is>
          <t>Yanara Power</t>
        </is>
      </c>
      <c r="D634" s="1" t="inlineStr">
        <is>
          <t>Utility and C&amp;I</t>
        </is>
      </c>
      <c r="E634" s="1" t="n"/>
      <c r="F634" s="1" t="inlineStr">
        <is>
          <t>Closed</t>
        </is>
      </c>
      <c r="G634" s="2" t="inlineStr">
        <is>
          <t xml:space="preserve">Ashish Jindal </t>
        </is>
      </c>
      <c r="H634" s="8" t="n">
        <v>9983975581</v>
      </c>
      <c r="I634" s="10" t="inlineStr">
        <is>
          <t>PE01052601</t>
        </is>
      </c>
      <c r="J634" s="8" t="inlineStr">
        <is>
          <t>Multiple Issues</t>
        </is>
      </c>
      <c r="K634" s="11" t="inlineStr">
        <is>
          <t>Holi</t>
        </is>
      </c>
      <c r="L634" s="11" t="inlineStr">
        <is>
          <t>Maharashtra</t>
        </is>
      </c>
      <c r="M634" s="2" t="inlineStr">
        <is>
          <t>PS</t>
        </is>
      </c>
      <c r="N634" s="1" t="inlineStr">
        <is>
          <t>Cold Soldering</t>
        </is>
      </c>
      <c r="O634" s="11" t="n">
        <v>575</v>
      </c>
      <c r="P634" s="2" t="inlineStr">
        <is>
          <t>NSMI24070200694</t>
        </is>
      </c>
      <c r="Q634" s="14">
        <f>MID(P634,5,2)</f>
        <v/>
      </c>
      <c r="R634" s="14">
        <f>MID(P634,7,2)</f>
        <v/>
      </c>
      <c r="S634" s="1" t="inlineStr">
        <is>
          <t>G2G</t>
        </is>
      </c>
      <c r="T634" s="1" t="inlineStr">
        <is>
          <t>P4 - PEIPL</t>
        </is>
      </c>
      <c r="U634" s="6" t="inlineStr">
        <is>
          <t>P JB Cold Soldering</t>
        </is>
      </c>
      <c r="V634" s="6" t="inlineStr">
        <is>
          <t>Soldering</t>
        </is>
      </c>
      <c r="W634" s="1" t="inlineStr">
        <is>
          <t>Repair</t>
        </is>
      </c>
      <c r="X634" s="5" t="n">
        <v>46177</v>
      </c>
      <c r="Y634" s="1">
        <f>IF(X634="","",X634-A634)</f>
        <v/>
      </c>
      <c r="Z634" s="5" t="n">
        <v>46177</v>
      </c>
      <c r="AA634" s="3" t="n"/>
      <c r="AB634" s="3" t="n"/>
      <c r="AE634" s="146">
        <f>IF(AND(F634="Closed",X634&gt;=DATE(2026,6,1),X634&lt;=DATE(2026,6,30)),"Closed in June","other")</f>
        <v/>
      </c>
    </row>
    <row r="635" hidden="1">
      <c r="A635" s="9" t="n">
        <v>46143</v>
      </c>
      <c r="B635" s="1" t="n">
        <v>2026</v>
      </c>
      <c r="C635" s="8" t="inlineStr">
        <is>
          <t>Yanara Power</t>
        </is>
      </c>
      <c r="D635" s="1" t="inlineStr">
        <is>
          <t>Utility and C&amp;I</t>
        </is>
      </c>
      <c r="E635" s="1" t="n"/>
      <c r="F635" s="1" t="inlineStr">
        <is>
          <t>Closed</t>
        </is>
      </c>
      <c r="G635" s="2" t="inlineStr">
        <is>
          <t xml:space="preserve">Ashish Jindal </t>
        </is>
      </c>
      <c r="H635" s="8" t="n">
        <v>9983975581</v>
      </c>
      <c r="I635" s="10" t="inlineStr">
        <is>
          <t>PE01052601</t>
        </is>
      </c>
      <c r="J635" s="8" t="inlineStr">
        <is>
          <t>Multiple Issues</t>
        </is>
      </c>
      <c r="K635" s="11" t="inlineStr">
        <is>
          <t>Holi</t>
        </is>
      </c>
      <c r="L635" s="11" t="inlineStr">
        <is>
          <t>Maharashtra</t>
        </is>
      </c>
      <c r="M635" s="2" t="inlineStr">
        <is>
          <t>PS</t>
        </is>
      </c>
      <c r="N635" s="1" t="inlineStr">
        <is>
          <t>Cold Soldering</t>
        </is>
      </c>
      <c r="O635" s="11" t="n">
        <v>575</v>
      </c>
      <c r="P635" s="2" t="inlineStr">
        <is>
          <t>NSMI24070200640</t>
        </is>
      </c>
      <c r="Q635" s="14">
        <f>MID(P635,5,2)</f>
        <v/>
      </c>
      <c r="R635" s="14">
        <f>MID(P635,7,2)</f>
        <v/>
      </c>
      <c r="S635" s="1" t="inlineStr">
        <is>
          <t>G2G</t>
        </is>
      </c>
      <c r="T635" s="1" t="inlineStr">
        <is>
          <t>P4 - PEIPL</t>
        </is>
      </c>
      <c r="U635" s="6" t="inlineStr">
        <is>
          <t>P JB Cold Soldering</t>
        </is>
      </c>
      <c r="V635" s="6" t="inlineStr">
        <is>
          <t>Soldering</t>
        </is>
      </c>
      <c r="W635" s="1" t="inlineStr">
        <is>
          <t>Repair</t>
        </is>
      </c>
      <c r="X635" s="5" t="n">
        <v>46177</v>
      </c>
      <c r="Y635" s="1">
        <f>IF(X635="","",X635-A635)</f>
        <v/>
      </c>
      <c r="Z635" s="5" t="n">
        <v>46177</v>
      </c>
      <c r="AA635" s="3" t="n"/>
      <c r="AB635" s="3" t="n"/>
      <c r="AE635" s="146">
        <f>IF(AND(F635="Closed",X635&gt;=DATE(2026,6,1),X635&lt;=DATE(2026,6,30)),"Closed in June","other")</f>
        <v/>
      </c>
    </row>
    <row r="636" hidden="1">
      <c r="A636" s="9" t="n">
        <v>46143</v>
      </c>
      <c r="B636" s="1" t="n">
        <v>2026</v>
      </c>
      <c r="C636" s="8" t="inlineStr">
        <is>
          <t>Yanara Power</t>
        </is>
      </c>
      <c r="D636" s="1" t="inlineStr">
        <is>
          <t>Utility and C&amp;I</t>
        </is>
      </c>
      <c r="E636" s="1" t="n"/>
      <c r="F636" s="1" t="inlineStr">
        <is>
          <t>Closed</t>
        </is>
      </c>
      <c r="G636" s="2" t="inlineStr">
        <is>
          <t xml:space="preserve">Ashish Jindal </t>
        </is>
      </c>
      <c r="H636" s="8" t="n">
        <v>9983975581</v>
      </c>
      <c r="I636" s="10" t="inlineStr">
        <is>
          <t>PE01052601</t>
        </is>
      </c>
      <c r="J636" s="8" t="inlineStr">
        <is>
          <t>Multiple Issues</t>
        </is>
      </c>
      <c r="K636" s="11" t="inlineStr">
        <is>
          <t>Holi</t>
        </is>
      </c>
      <c r="L636" s="11" t="inlineStr">
        <is>
          <t>Maharashtra</t>
        </is>
      </c>
      <c r="M636" s="2" t="inlineStr">
        <is>
          <t>PS</t>
        </is>
      </c>
      <c r="N636" s="1" t="inlineStr">
        <is>
          <t>Cold Soldering</t>
        </is>
      </c>
      <c r="O636" s="11" t="n">
        <v>575</v>
      </c>
      <c r="P636" s="2" t="inlineStr">
        <is>
          <t>NSMI24070201126</t>
        </is>
      </c>
      <c r="Q636" s="14">
        <f>MID(P636,5,2)</f>
        <v/>
      </c>
      <c r="R636" s="14">
        <f>MID(P636,7,2)</f>
        <v/>
      </c>
      <c r="S636" s="1" t="inlineStr">
        <is>
          <t>G2G</t>
        </is>
      </c>
      <c r="T636" s="1" t="inlineStr">
        <is>
          <t>P4 - PEIPL</t>
        </is>
      </c>
      <c r="U636" s="6" t="inlineStr">
        <is>
          <t>P JB Cold Soldering</t>
        </is>
      </c>
      <c r="V636" s="6" t="inlineStr">
        <is>
          <t>Soldering</t>
        </is>
      </c>
      <c r="W636" s="1" t="inlineStr">
        <is>
          <t>Repair</t>
        </is>
      </c>
      <c r="X636" s="5" t="n">
        <v>46177</v>
      </c>
      <c r="Y636" s="1">
        <f>IF(X636="","",X636-A636)</f>
        <v/>
      </c>
      <c r="Z636" s="5" t="n">
        <v>46177</v>
      </c>
      <c r="AA636" s="3" t="n"/>
      <c r="AB636" s="3" t="n"/>
      <c r="AE636" s="146">
        <f>IF(AND(F636="Closed",X636&gt;=DATE(2026,6,1),X636&lt;=DATE(2026,6,30)),"Closed in June","other")</f>
        <v/>
      </c>
    </row>
    <row r="637" hidden="1">
      <c r="A637" s="9" t="n">
        <v>46143</v>
      </c>
      <c r="B637" s="1" t="n">
        <v>2026</v>
      </c>
      <c r="C637" s="8" t="inlineStr">
        <is>
          <t>Yanara Power</t>
        </is>
      </c>
      <c r="D637" s="1" t="inlineStr">
        <is>
          <t>Utility and C&amp;I</t>
        </is>
      </c>
      <c r="E637" s="1" t="n"/>
      <c r="F637" s="1" t="inlineStr">
        <is>
          <t>Closed</t>
        </is>
      </c>
      <c r="G637" s="2" t="inlineStr">
        <is>
          <t xml:space="preserve">Ashish Jindal </t>
        </is>
      </c>
      <c r="H637" s="8" t="n">
        <v>9983975581</v>
      </c>
      <c r="I637" s="10" t="inlineStr">
        <is>
          <t>PE01052601</t>
        </is>
      </c>
      <c r="J637" s="8" t="inlineStr">
        <is>
          <t>Multiple Issues</t>
        </is>
      </c>
      <c r="K637" s="11" t="inlineStr">
        <is>
          <t>Holi</t>
        </is>
      </c>
      <c r="L637" s="11" t="inlineStr">
        <is>
          <t>Maharashtra</t>
        </is>
      </c>
      <c r="M637" s="2" t="inlineStr">
        <is>
          <t>PS</t>
        </is>
      </c>
      <c r="N637" s="1" t="inlineStr">
        <is>
          <t>Cold Soldering</t>
        </is>
      </c>
      <c r="O637" s="11" t="n">
        <v>575</v>
      </c>
      <c r="P637" s="2" t="inlineStr">
        <is>
          <t>NSMI24070200739</t>
        </is>
      </c>
      <c r="Q637" s="14">
        <f>MID(P637,5,2)</f>
        <v/>
      </c>
      <c r="R637" s="14">
        <f>MID(P637,7,2)</f>
        <v/>
      </c>
      <c r="S637" s="1" t="inlineStr">
        <is>
          <t>G2G</t>
        </is>
      </c>
      <c r="T637" s="1" t="inlineStr">
        <is>
          <t>P4 - PEIPL</t>
        </is>
      </c>
      <c r="U637" s="6" t="inlineStr">
        <is>
          <t>P JB Cold Soldering</t>
        </is>
      </c>
      <c r="V637" s="6" t="inlineStr">
        <is>
          <t>Soldering</t>
        </is>
      </c>
      <c r="W637" s="1" t="inlineStr">
        <is>
          <t>Repair</t>
        </is>
      </c>
      <c r="X637" s="5" t="n">
        <v>46177</v>
      </c>
      <c r="Y637" s="1">
        <f>IF(X637="","",X637-A637)</f>
        <v/>
      </c>
      <c r="Z637" s="5" t="n">
        <v>46177</v>
      </c>
      <c r="AA637" s="3" t="n"/>
      <c r="AB637" s="3" t="n"/>
      <c r="AE637" s="146">
        <f>IF(AND(F637="Closed",X637&gt;=DATE(2026,6,1),X637&lt;=DATE(2026,6,30)),"Closed in June","other")</f>
        <v/>
      </c>
    </row>
    <row r="638" hidden="1">
      <c r="A638" s="9" t="n">
        <v>46143</v>
      </c>
      <c r="B638" s="1" t="n">
        <v>2026</v>
      </c>
      <c r="C638" s="8" t="inlineStr">
        <is>
          <t>Yanara Power</t>
        </is>
      </c>
      <c r="D638" s="1" t="inlineStr">
        <is>
          <t>Utility and C&amp;I</t>
        </is>
      </c>
      <c r="E638" s="1" t="n"/>
      <c r="F638" s="1" t="inlineStr">
        <is>
          <t>Closed</t>
        </is>
      </c>
      <c r="G638" s="2" t="inlineStr">
        <is>
          <t xml:space="preserve">Ashish Jindal </t>
        </is>
      </c>
      <c r="H638" s="8" t="n">
        <v>9983975581</v>
      </c>
      <c r="I638" s="10" t="inlineStr">
        <is>
          <t>PE01052601</t>
        </is>
      </c>
      <c r="J638" s="8" t="inlineStr">
        <is>
          <t>Multiple Issues</t>
        </is>
      </c>
      <c r="K638" s="11" t="inlineStr">
        <is>
          <t>Holi</t>
        </is>
      </c>
      <c r="L638" s="11" t="inlineStr">
        <is>
          <t>Maharashtra</t>
        </is>
      </c>
      <c r="M638" s="2" t="inlineStr">
        <is>
          <t>NS</t>
        </is>
      </c>
      <c r="N638" s="1" t="inlineStr">
        <is>
          <t>Cold Soldering</t>
        </is>
      </c>
      <c r="O638" s="11" t="n">
        <v>575</v>
      </c>
      <c r="P638" s="2" t="inlineStr">
        <is>
          <t>NSMI24070200724</t>
        </is>
      </c>
      <c r="Q638" s="14">
        <f>MID(P638,5,2)</f>
        <v/>
      </c>
      <c r="R638" s="14">
        <f>MID(P638,7,2)</f>
        <v/>
      </c>
      <c r="S638" s="1" t="inlineStr">
        <is>
          <t>G2G</t>
        </is>
      </c>
      <c r="T638" s="1" t="inlineStr">
        <is>
          <t>P4 - PEIPL</t>
        </is>
      </c>
      <c r="U638" s="1" t="inlineStr">
        <is>
          <t>N JB Cold Soldering</t>
        </is>
      </c>
      <c r="V638" s="1" t="inlineStr">
        <is>
          <t>Soldering</t>
        </is>
      </c>
      <c r="W638" s="1" t="inlineStr">
        <is>
          <t>Repair</t>
        </is>
      </c>
      <c r="X638" s="5" t="n">
        <v>46177</v>
      </c>
      <c r="Y638" s="1">
        <f>IF(X638="","",X638-A638)</f>
        <v/>
      </c>
      <c r="Z638" s="5" t="n">
        <v>46177</v>
      </c>
      <c r="AA638" s="3" t="n"/>
      <c r="AB638" s="3" t="n"/>
      <c r="AE638" s="146">
        <f>IF(AND(F638="Closed",X638&gt;=DATE(2026,6,1),X638&lt;=DATE(2026,6,30)),"Closed in June","other")</f>
        <v/>
      </c>
    </row>
    <row r="639" hidden="1">
      <c r="A639" s="9" t="n">
        <v>46143</v>
      </c>
      <c r="B639" s="1" t="n">
        <v>2026</v>
      </c>
      <c r="C639" s="8" t="inlineStr">
        <is>
          <t>Yanara Power</t>
        </is>
      </c>
      <c r="D639" s="1" t="inlineStr">
        <is>
          <t>Utility and C&amp;I</t>
        </is>
      </c>
      <c r="E639" s="1" t="n"/>
      <c r="F639" s="1" t="inlineStr">
        <is>
          <t>Closed</t>
        </is>
      </c>
      <c r="G639" s="2" t="inlineStr">
        <is>
          <t xml:space="preserve">Ashish Jindal </t>
        </is>
      </c>
      <c r="H639" s="8" t="n">
        <v>9983975581</v>
      </c>
      <c r="I639" s="10" t="inlineStr">
        <is>
          <t>PE01052601</t>
        </is>
      </c>
      <c r="J639" s="8" t="inlineStr">
        <is>
          <t>Multiple Issues</t>
        </is>
      </c>
      <c r="K639" s="11" t="inlineStr">
        <is>
          <t>Holi</t>
        </is>
      </c>
      <c r="L639" s="11" t="inlineStr">
        <is>
          <t>Maharashtra</t>
        </is>
      </c>
      <c r="M639" s="2" t="inlineStr">
        <is>
          <t>NS</t>
        </is>
      </c>
      <c r="N639" s="1" t="inlineStr">
        <is>
          <t>Cold Soldering</t>
        </is>
      </c>
      <c r="O639" s="11" t="n">
        <v>575</v>
      </c>
      <c r="P639" s="2" t="inlineStr">
        <is>
          <t>NSMI24070183086</t>
        </is>
      </c>
      <c r="Q639" s="14">
        <f>MID(P639,5,2)</f>
        <v/>
      </c>
      <c r="R639" s="14">
        <f>MID(P639,7,2)</f>
        <v/>
      </c>
      <c r="S639" s="1" t="inlineStr">
        <is>
          <t>G2G</t>
        </is>
      </c>
      <c r="T639" s="1" t="inlineStr">
        <is>
          <t>P4 - PEIPL</t>
        </is>
      </c>
      <c r="U639" s="1" t="inlineStr">
        <is>
          <t>N JB Cold Soldering</t>
        </is>
      </c>
      <c r="V639" s="1" t="inlineStr">
        <is>
          <t>Soldering</t>
        </is>
      </c>
      <c r="W639" s="1" t="inlineStr">
        <is>
          <t>Repair</t>
        </is>
      </c>
      <c r="X639" s="5" t="n">
        <v>46177</v>
      </c>
      <c r="Y639" s="1">
        <f>IF(X639="","",X639-A639)</f>
        <v/>
      </c>
      <c r="Z639" s="5" t="n">
        <v>46177</v>
      </c>
      <c r="AA639" s="3" t="n"/>
      <c r="AB639" s="3" t="n"/>
      <c r="AE639" s="146">
        <f>IF(AND(F639="Closed",X639&gt;=DATE(2026,6,1),X639&lt;=DATE(2026,6,30)),"Closed in June","other")</f>
        <v/>
      </c>
    </row>
    <row r="640" hidden="1">
      <c r="A640" s="9" t="n">
        <v>46143</v>
      </c>
      <c r="B640" s="1" t="n">
        <v>2026</v>
      </c>
      <c r="C640" s="8" t="inlineStr">
        <is>
          <t>Yanara Power</t>
        </is>
      </c>
      <c r="D640" s="1" t="inlineStr">
        <is>
          <t>Utility and C&amp;I</t>
        </is>
      </c>
      <c r="E640" s="1" t="n"/>
      <c r="F640" s="1" t="inlineStr">
        <is>
          <t>Closed</t>
        </is>
      </c>
      <c r="G640" s="2" t="inlineStr">
        <is>
          <t xml:space="preserve">Ashish Jindal </t>
        </is>
      </c>
      <c r="H640" s="8" t="n">
        <v>9983975581</v>
      </c>
      <c r="I640" s="10" t="inlineStr">
        <is>
          <t>PE01052601</t>
        </is>
      </c>
      <c r="J640" s="8" t="inlineStr">
        <is>
          <t>Multiple Issues</t>
        </is>
      </c>
      <c r="K640" s="11" t="inlineStr">
        <is>
          <t>Holi</t>
        </is>
      </c>
      <c r="L640" s="11" t="inlineStr">
        <is>
          <t>Maharashtra</t>
        </is>
      </c>
      <c r="M640" s="2" t="inlineStr">
        <is>
          <t>PS</t>
        </is>
      </c>
      <c r="N640" s="1" t="inlineStr">
        <is>
          <t>Cold Soldering</t>
        </is>
      </c>
      <c r="O640" s="11" t="n">
        <v>575</v>
      </c>
      <c r="P640" s="2" t="inlineStr">
        <is>
          <t>NSMI24070181804</t>
        </is>
      </c>
      <c r="Q640" s="14">
        <f>MID(P640,5,2)</f>
        <v/>
      </c>
      <c r="R640" s="14">
        <f>MID(P640,7,2)</f>
        <v/>
      </c>
      <c r="S640" s="1" t="inlineStr">
        <is>
          <t>G2G</t>
        </is>
      </c>
      <c r="T640" s="1" t="inlineStr">
        <is>
          <t>P4 - PEIPL</t>
        </is>
      </c>
      <c r="U640" s="6" t="inlineStr">
        <is>
          <t>P JB Cold Soldering</t>
        </is>
      </c>
      <c r="V640" s="6" t="inlineStr">
        <is>
          <t>Soldering</t>
        </is>
      </c>
      <c r="W640" s="1" t="inlineStr">
        <is>
          <t>Repair</t>
        </is>
      </c>
      <c r="X640" s="5" t="n">
        <v>46177</v>
      </c>
      <c r="Y640" s="1">
        <f>IF(X640="","",X640-A640)</f>
        <v/>
      </c>
      <c r="Z640" s="5" t="n">
        <v>46177</v>
      </c>
      <c r="AA640" s="3" t="n"/>
      <c r="AB640" s="3" t="n"/>
      <c r="AE640" s="146">
        <f>IF(AND(F640="Closed",X640&gt;=DATE(2026,6,1),X640&lt;=DATE(2026,6,30)),"Closed in June","other")</f>
        <v/>
      </c>
    </row>
    <row r="641" hidden="1">
      <c r="A641" s="9" t="n">
        <v>46143</v>
      </c>
      <c r="B641" s="1" t="n">
        <v>2026</v>
      </c>
      <c r="C641" s="8" t="inlineStr">
        <is>
          <t>Yanara Power</t>
        </is>
      </c>
      <c r="D641" s="1" t="inlineStr">
        <is>
          <t>Utility and C&amp;I</t>
        </is>
      </c>
      <c r="E641" s="1" t="n"/>
      <c r="F641" s="1" t="inlineStr">
        <is>
          <t>Closed</t>
        </is>
      </c>
      <c r="G641" s="2" t="inlineStr">
        <is>
          <t xml:space="preserve">Ashish Jindal </t>
        </is>
      </c>
      <c r="H641" s="8" t="n">
        <v>9983975581</v>
      </c>
      <c r="I641" s="10" t="inlineStr">
        <is>
          <t>PE01052601</t>
        </is>
      </c>
      <c r="J641" s="8" t="inlineStr">
        <is>
          <t>Multiple Issues</t>
        </is>
      </c>
      <c r="K641" s="11" t="inlineStr">
        <is>
          <t>Holi</t>
        </is>
      </c>
      <c r="L641" s="11" t="inlineStr">
        <is>
          <t>Maharashtra</t>
        </is>
      </c>
      <c r="M641" s="2" t="inlineStr">
        <is>
          <t>PS</t>
        </is>
      </c>
      <c r="N641" s="1" t="inlineStr">
        <is>
          <t>Cold Soldering</t>
        </is>
      </c>
      <c r="O641" s="11" t="n">
        <v>575</v>
      </c>
      <c r="P641" s="2" t="inlineStr">
        <is>
          <t>NSMI24070181540</t>
        </is>
      </c>
      <c r="Q641" s="14">
        <f>MID(P641,5,2)</f>
        <v/>
      </c>
      <c r="R641" s="14">
        <f>MID(P641,7,2)</f>
        <v/>
      </c>
      <c r="S641" s="1" t="inlineStr">
        <is>
          <t>G2G</t>
        </is>
      </c>
      <c r="T641" s="1" t="inlineStr">
        <is>
          <t>P4 - PEIPL</t>
        </is>
      </c>
      <c r="U641" s="6" t="inlineStr">
        <is>
          <t>P JB Cold Soldering</t>
        </is>
      </c>
      <c r="V641" s="6" t="inlineStr">
        <is>
          <t>Soldering</t>
        </is>
      </c>
      <c r="W641" s="1" t="inlineStr">
        <is>
          <t>Repair</t>
        </is>
      </c>
      <c r="X641" s="5" t="n">
        <v>46177</v>
      </c>
      <c r="Y641" s="1">
        <f>IF(X641="","",X641-A641)</f>
        <v/>
      </c>
      <c r="Z641" s="5" t="n">
        <v>46177</v>
      </c>
      <c r="AA641" s="3" t="n"/>
      <c r="AB641" s="3" t="n"/>
      <c r="AE641" s="146">
        <f>IF(AND(F641="Closed",X641&gt;=DATE(2026,6,1),X641&lt;=DATE(2026,6,30)),"Closed in June","other")</f>
        <v/>
      </c>
    </row>
    <row r="642" hidden="1">
      <c r="A642" s="9" t="n">
        <v>46143</v>
      </c>
      <c r="B642" s="1" t="n">
        <v>2026</v>
      </c>
      <c r="C642" s="8" t="inlineStr">
        <is>
          <t>Yanara Power</t>
        </is>
      </c>
      <c r="D642" s="1" t="inlineStr">
        <is>
          <t>Utility and C&amp;I</t>
        </is>
      </c>
      <c r="E642" s="1" t="n"/>
      <c r="F642" s="1" t="inlineStr">
        <is>
          <t>Closed</t>
        </is>
      </c>
      <c r="G642" s="2" t="inlineStr">
        <is>
          <t xml:space="preserve">Ashish Jindal </t>
        </is>
      </c>
      <c r="H642" s="8" t="n">
        <v>9983975581</v>
      </c>
      <c r="I642" s="10" t="inlineStr">
        <is>
          <t>PE01052601</t>
        </is>
      </c>
      <c r="J642" s="8" t="inlineStr">
        <is>
          <t>Multiple Issues</t>
        </is>
      </c>
      <c r="K642" s="11" t="inlineStr">
        <is>
          <t>Holi</t>
        </is>
      </c>
      <c r="L642" s="11" t="inlineStr">
        <is>
          <t>Maharashtra</t>
        </is>
      </c>
      <c r="M642" s="2" t="inlineStr">
        <is>
          <t>PS</t>
        </is>
      </c>
      <c r="N642" s="1" t="inlineStr">
        <is>
          <t>Cold Soldering</t>
        </is>
      </c>
      <c r="O642" s="11" t="n">
        <v>575</v>
      </c>
      <c r="P642" s="2" t="inlineStr">
        <is>
          <t>NSMI24070183109</t>
        </is>
      </c>
      <c r="Q642" s="14">
        <f>MID(P642,5,2)</f>
        <v/>
      </c>
      <c r="R642" s="14">
        <f>MID(P642,7,2)</f>
        <v/>
      </c>
      <c r="S642" s="1" t="inlineStr">
        <is>
          <t>G2G</t>
        </is>
      </c>
      <c r="T642" s="1" t="inlineStr">
        <is>
          <t>P4 - PEIPL</t>
        </is>
      </c>
      <c r="U642" s="6" t="inlineStr">
        <is>
          <t>P JB Cold Soldering</t>
        </is>
      </c>
      <c r="V642" s="6" t="inlineStr">
        <is>
          <t>Soldering</t>
        </is>
      </c>
      <c r="W642" s="1" t="inlineStr">
        <is>
          <t>Repair</t>
        </is>
      </c>
      <c r="X642" s="5" t="n">
        <v>46177</v>
      </c>
      <c r="Y642" s="1">
        <f>IF(X642="","",X642-A642)</f>
        <v/>
      </c>
      <c r="Z642" s="5" t="n">
        <v>46177</v>
      </c>
      <c r="AA642" s="3" t="n"/>
      <c r="AB642" s="3" t="n"/>
      <c r="AE642" s="146">
        <f>IF(AND(F642="Closed",X642&gt;=DATE(2026,6,1),X642&lt;=DATE(2026,6,30)),"Closed in June","other")</f>
        <v/>
      </c>
    </row>
    <row r="643" hidden="1">
      <c r="A643" s="9" t="n">
        <v>46143</v>
      </c>
      <c r="B643" s="1" t="n">
        <v>2026</v>
      </c>
      <c r="C643" s="8" t="inlineStr">
        <is>
          <t>Yanara Power</t>
        </is>
      </c>
      <c r="D643" s="1" t="inlineStr">
        <is>
          <t>Utility and C&amp;I</t>
        </is>
      </c>
      <c r="E643" s="1" t="n"/>
      <c r="F643" s="1" t="inlineStr">
        <is>
          <t>Closed</t>
        </is>
      </c>
      <c r="G643" s="2" t="inlineStr">
        <is>
          <t xml:space="preserve">Ashish Jindal </t>
        </is>
      </c>
      <c r="H643" s="8" t="n">
        <v>9983975581</v>
      </c>
      <c r="I643" s="10" t="inlineStr">
        <is>
          <t>PE01052601</t>
        </is>
      </c>
      <c r="J643" s="8" t="inlineStr">
        <is>
          <t>Multiple Issues</t>
        </is>
      </c>
      <c r="K643" s="11" t="inlineStr">
        <is>
          <t>Holi</t>
        </is>
      </c>
      <c r="L643" s="11" t="inlineStr">
        <is>
          <t>Maharashtra</t>
        </is>
      </c>
      <c r="M643" s="2" t="inlineStr">
        <is>
          <t>PS</t>
        </is>
      </c>
      <c r="N643" s="1" t="inlineStr">
        <is>
          <t>Cold Soldering</t>
        </is>
      </c>
      <c r="O643" s="11" t="n">
        <v>575</v>
      </c>
      <c r="P643" s="2" t="inlineStr">
        <is>
          <t>NSMI24070183094</t>
        </is>
      </c>
      <c r="Q643" s="14">
        <f>MID(P643,5,2)</f>
        <v/>
      </c>
      <c r="R643" s="14">
        <f>MID(P643,7,2)</f>
        <v/>
      </c>
      <c r="S643" s="1" t="inlineStr">
        <is>
          <t>G2G</t>
        </is>
      </c>
      <c r="T643" s="1" t="inlineStr">
        <is>
          <t>P4 - PEIPL</t>
        </is>
      </c>
      <c r="U643" s="6" t="inlineStr">
        <is>
          <t>P JB Cold Soldering</t>
        </is>
      </c>
      <c r="V643" s="6" t="inlineStr">
        <is>
          <t>Soldering</t>
        </is>
      </c>
      <c r="W643" s="1" t="inlineStr">
        <is>
          <t>Repair</t>
        </is>
      </c>
      <c r="X643" s="5" t="n">
        <v>46177</v>
      </c>
      <c r="Y643" s="1">
        <f>IF(X643="","",X643-A643)</f>
        <v/>
      </c>
      <c r="Z643" s="5" t="n">
        <v>46177</v>
      </c>
      <c r="AA643" s="3" t="n"/>
      <c r="AB643" s="3" t="n"/>
      <c r="AE643" s="146">
        <f>IF(AND(F643="Closed",X643&gt;=DATE(2026,6,1),X643&lt;=DATE(2026,6,30)),"Closed in June","other")</f>
        <v/>
      </c>
    </row>
    <row r="644" hidden="1">
      <c r="A644" s="9" t="n">
        <v>46143</v>
      </c>
      <c r="B644" s="1" t="n">
        <v>2026</v>
      </c>
      <c r="C644" s="8" t="inlineStr">
        <is>
          <t>Yanara Power</t>
        </is>
      </c>
      <c r="D644" s="1" t="inlineStr">
        <is>
          <t>Utility and C&amp;I</t>
        </is>
      </c>
      <c r="E644" s="1" t="n"/>
      <c r="F644" s="1" t="inlineStr">
        <is>
          <t>Closed</t>
        </is>
      </c>
      <c r="G644" s="2" t="inlineStr">
        <is>
          <t xml:space="preserve">Ashish Jindal </t>
        </is>
      </c>
      <c r="H644" s="8" t="n">
        <v>9983975581</v>
      </c>
      <c r="I644" s="10" t="inlineStr">
        <is>
          <t>PE01052601</t>
        </is>
      </c>
      <c r="J644" s="8" t="inlineStr">
        <is>
          <t>Multiple Issues</t>
        </is>
      </c>
      <c r="K644" s="11" t="inlineStr">
        <is>
          <t>Holi</t>
        </is>
      </c>
      <c r="L644" s="11" t="inlineStr">
        <is>
          <t>Maharashtra</t>
        </is>
      </c>
      <c r="M644" s="2" t="inlineStr">
        <is>
          <t>PS</t>
        </is>
      </c>
      <c r="N644" s="1" t="inlineStr">
        <is>
          <t>Cold Soldering</t>
        </is>
      </c>
      <c r="O644" s="11" t="n">
        <v>575</v>
      </c>
      <c r="P644" s="2" t="inlineStr">
        <is>
          <t>NSMI24070214759</t>
        </is>
      </c>
      <c r="Q644" s="14">
        <f>MID(P644,5,2)</f>
        <v/>
      </c>
      <c r="R644" s="14">
        <f>MID(P644,7,2)</f>
        <v/>
      </c>
      <c r="S644" s="1" t="inlineStr">
        <is>
          <t>G2G</t>
        </is>
      </c>
      <c r="T644" s="1" t="inlineStr">
        <is>
          <t>P4 - PEIPL</t>
        </is>
      </c>
      <c r="U644" s="6" t="inlineStr">
        <is>
          <t>P JB Cold Soldering</t>
        </is>
      </c>
      <c r="V644" s="6" t="inlineStr">
        <is>
          <t>Soldering</t>
        </is>
      </c>
      <c r="W644" s="1" t="inlineStr">
        <is>
          <t>Repair</t>
        </is>
      </c>
      <c r="X644" s="5" t="n">
        <v>46177</v>
      </c>
      <c r="Y644" s="1">
        <f>IF(X644="","",X644-A644)</f>
        <v/>
      </c>
      <c r="Z644" s="5" t="n">
        <v>46177</v>
      </c>
      <c r="AA644" s="3" t="n"/>
      <c r="AB644" s="3" t="n"/>
      <c r="AE644" s="146">
        <f>IF(AND(F644="Closed",X644&gt;=DATE(2026,6,1),X644&lt;=DATE(2026,6,30)),"Closed in June","other")</f>
        <v/>
      </c>
    </row>
    <row r="645" hidden="1">
      <c r="A645" s="9" t="n">
        <v>46143</v>
      </c>
      <c r="B645" s="1" t="n">
        <v>2026</v>
      </c>
      <c r="C645" s="8" t="inlineStr">
        <is>
          <t>Yanara Power</t>
        </is>
      </c>
      <c r="D645" s="1" t="inlineStr">
        <is>
          <t>Utility and C&amp;I</t>
        </is>
      </c>
      <c r="E645" s="1" t="n"/>
      <c r="F645" s="1" t="inlineStr">
        <is>
          <t>Closed</t>
        </is>
      </c>
      <c r="G645" s="2" t="inlineStr">
        <is>
          <t xml:space="preserve">Ashish Jindal </t>
        </is>
      </c>
      <c r="H645" s="8" t="n">
        <v>9983975581</v>
      </c>
      <c r="I645" s="10" t="inlineStr">
        <is>
          <t>PE01052601</t>
        </is>
      </c>
      <c r="J645" s="8" t="inlineStr">
        <is>
          <t>Multiple Issues</t>
        </is>
      </c>
      <c r="K645" s="11" t="inlineStr">
        <is>
          <t>Holi</t>
        </is>
      </c>
      <c r="L645" s="11" t="inlineStr">
        <is>
          <t>Maharashtra</t>
        </is>
      </c>
      <c r="M645" s="2" t="inlineStr">
        <is>
          <t>NS</t>
        </is>
      </c>
      <c r="N645" s="1" t="inlineStr">
        <is>
          <t>Cold Soldering</t>
        </is>
      </c>
      <c r="O645" s="11" t="n">
        <v>575</v>
      </c>
      <c r="P645" s="2" t="inlineStr">
        <is>
          <t>NSMI24070179341</t>
        </is>
      </c>
      <c r="Q645" s="14">
        <f>MID(P645,5,2)</f>
        <v/>
      </c>
      <c r="R645" s="14">
        <f>MID(P645,7,2)</f>
        <v/>
      </c>
      <c r="S645" s="1" t="inlineStr">
        <is>
          <t>G2G</t>
        </is>
      </c>
      <c r="T645" s="1" t="inlineStr">
        <is>
          <t>P4 - PEIPL</t>
        </is>
      </c>
      <c r="U645" s="1" t="inlineStr">
        <is>
          <t>N JB Cold Soldering</t>
        </is>
      </c>
      <c r="V645" s="1" t="inlineStr">
        <is>
          <t>Soldering</t>
        </is>
      </c>
      <c r="W645" s="1" t="inlineStr">
        <is>
          <t>Repair</t>
        </is>
      </c>
      <c r="X645" s="5" t="n">
        <v>46177</v>
      </c>
      <c r="Y645" s="1">
        <f>IF(X645="","",X645-A645)</f>
        <v/>
      </c>
      <c r="Z645" s="5" t="n">
        <v>46177</v>
      </c>
      <c r="AA645" s="3" t="n"/>
      <c r="AB645" s="3" t="n"/>
      <c r="AE645" s="146">
        <f>IF(AND(F645="Closed",X645&gt;=DATE(2026,6,1),X645&lt;=DATE(2026,6,30)),"Closed in June","other")</f>
        <v/>
      </c>
    </row>
    <row r="646" hidden="1">
      <c r="A646" s="9" t="n">
        <v>46143</v>
      </c>
      <c r="B646" s="1" t="n">
        <v>2026</v>
      </c>
      <c r="C646" s="8" t="inlineStr">
        <is>
          <t>Yanara Power</t>
        </is>
      </c>
      <c r="D646" s="1" t="inlineStr">
        <is>
          <t>Utility and C&amp;I</t>
        </is>
      </c>
      <c r="E646" s="1" t="n"/>
      <c r="F646" s="1" t="inlineStr">
        <is>
          <t>Closed</t>
        </is>
      </c>
      <c r="G646" s="2" t="inlineStr">
        <is>
          <t xml:space="preserve">Ashish Jindal </t>
        </is>
      </c>
      <c r="H646" s="8" t="n">
        <v>9983975581</v>
      </c>
      <c r="I646" s="10" t="inlineStr">
        <is>
          <t>PE01052601</t>
        </is>
      </c>
      <c r="J646" s="8" t="inlineStr">
        <is>
          <t>Multiple Issues</t>
        </is>
      </c>
      <c r="K646" s="11" t="inlineStr">
        <is>
          <t>Holi</t>
        </is>
      </c>
      <c r="L646" s="11" t="inlineStr">
        <is>
          <t>Maharashtra</t>
        </is>
      </c>
      <c r="M646" s="2" t="inlineStr">
        <is>
          <t>PS</t>
        </is>
      </c>
      <c r="N646" s="1" t="inlineStr">
        <is>
          <t>Cold Soldering</t>
        </is>
      </c>
      <c r="O646" s="11" t="n">
        <v>575</v>
      </c>
      <c r="P646" s="2" t="inlineStr">
        <is>
          <t>NSMI24070204625</t>
        </is>
      </c>
      <c r="Q646" s="14">
        <f>MID(P646,5,2)</f>
        <v/>
      </c>
      <c r="R646" s="14">
        <f>MID(P646,7,2)</f>
        <v/>
      </c>
      <c r="S646" s="1" t="inlineStr">
        <is>
          <t>G2G</t>
        </is>
      </c>
      <c r="T646" s="1" t="inlineStr">
        <is>
          <t>P4 - PEIPL</t>
        </is>
      </c>
      <c r="U646" s="6" t="inlineStr">
        <is>
          <t>P JB Cold Soldering</t>
        </is>
      </c>
      <c r="V646" s="6" t="inlineStr">
        <is>
          <t>Soldering</t>
        </is>
      </c>
      <c r="W646" s="1" t="inlineStr">
        <is>
          <t>Repair</t>
        </is>
      </c>
      <c r="X646" s="5" t="n">
        <v>46177</v>
      </c>
      <c r="Y646" s="1">
        <f>IF(X646="","",X646-A646)</f>
        <v/>
      </c>
      <c r="Z646" s="5" t="n">
        <v>46177</v>
      </c>
      <c r="AA646" s="3" t="n"/>
      <c r="AB646" s="3" t="n"/>
      <c r="AE646" s="146">
        <f>IF(AND(F646="Closed",X646&gt;=DATE(2026,6,1),X646&lt;=DATE(2026,6,30)),"Closed in June","other")</f>
        <v/>
      </c>
    </row>
    <row r="647" hidden="1">
      <c r="A647" s="9" t="n">
        <v>46143</v>
      </c>
      <c r="B647" s="1" t="n">
        <v>2026</v>
      </c>
      <c r="C647" s="8" t="inlineStr">
        <is>
          <t>Yanara Power</t>
        </is>
      </c>
      <c r="D647" s="1" t="inlineStr">
        <is>
          <t>Utility and C&amp;I</t>
        </is>
      </c>
      <c r="E647" s="1" t="n"/>
      <c r="F647" s="1" t="inlineStr">
        <is>
          <t>Closed</t>
        </is>
      </c>
      <c r="G647" s="2" t="inlineStr">
        <is>
          <t xml:space="preserve">Ashish Jindal </t>
        </is>
      </c>
      <c r="H647" s="8" t="n">
        <v>9983975581</v>
      </c>
      <c r="I647" s="10" t="inlineStr">
        <is>
          <t>PE01052601</t>
        </is>
      </c>
      <c r="J647" s="8" t="inlineStr">
        <is>
          <t>Multiple Issues</t>
        </is>
      </c>
      <c r="K647" s="11" t="inlineStr">
        <is>
          <t>Holi</t>
        </is>
      </c>
      <c r="L647" s="11" t="inlineStr">
        <is>
          <t>Maharashtra</t>
        </is>
      </c>
      <c r="M647" s="2" t="inlineStr">
        <is>
          <t>PS</t>
        </is>
      </c>
      <c r="N647" s="1" t="inlineStr">
        <is>
          <t>Cold Soldering</t>
        </is>
      </c>
      <c r="O647" s="11" t="n">
        <v>575</v>
      </c>
      <c r="P647" s="2" t="inlineStr">
        <is>
          <t>NSMI24070204554</t>
        </is>
      </c>
      <c r="Q647" s="14">
        <f>MID(P647,5,2)</f>
        <v/>
      </c>
      <c r="R647" s="14">
        <f>MID(P647,7,2)</f>
        <v/>
      </c>
      <c r="S647" s="1" t="inlineStr">
        <is>
          <t>G2G</t>
        </is>
      </c>
      <c r="T647" s="1" t="inlineStr">
        <is>
          <t>P4 - PEIPL</t>
        </is>
      </c>
      <c r="U647" s="6" t="inlineStr">
        <is>
          <t>P JB Cold Soldering</t>
        </is>
      </c>
      <c r="V647" s="6" t="inlineStr">
        <is>
          <t>Soldering</t>
        </is>
      </c>
      <c r="W647" s="1" t="inlineStr">
        <is>
          <t>Repair</t>
        </is>
      </c>
      <c r="X647" s="5" t="n">
        <v>46177</v>
      </c>
      <c r="Y647" s="1">
        <f>IF(X647="","",X647-A647)</f>
        <v/>
      </c>
      <c r="Z647" s="5" t="n">
        <v>46177</v>
      </c>
      <c r="AA647" s="3" t="n"/>
      <c r="AB647" s="3" t="n"/>
      <c r="AE647" s="146">
        <f>IF(AND(F647="Closed",X647&gt;=DATE(2026,6,1),X647&lt;=DATE(2026,6,30)),"Closed in June","other")</f>
        <v/>
      </c>
    </row>
    <row r="648" hidden="1">
      <c r="A648" s="9" t="n">
        <v>46143</v>
      </c>
      <c r="B648" s="1" t="n">
        <v>2026</v>
      </c>
      <c r="C648" s="8" t="inlineStr">
        <is>
          <t>Yanara Power</t>
        </is>
      </c>
      <c r="D648" s="1" t="inlineStr">
        <is>
          <t>Utility and C&amp;I</t>
        </is>
      </c>
      <c r="E648" s="1" t="n"/>
      <c r="F648" s="1" t="inlineStr">
        <is>
          <t>Closed</t>
        </is>
      </c>
      <c r="G648" s="2" t="inlineStr">
        <is>
          <t xml:space="preserve">Ashish Jindal </t>
        </is>
      </c>
      <c r="H648" s="8" t="n">
        <v>9983975581</v>
      </c>
      <c r="I648" s="10" t="inlineStr">
        <is>
          <t>PE01052601</t>
        </is>
      </c>
      <c r="J648" s="8" t="inlineStr">
        <is>
          <t>Multiple Issues</t>
        </is>
      </c>
      <c r="K648" s="11" t="inlineStr">
        <is>
          <t>Holi</t>
        </is>
      </c>
      <c r="L648" s="11" t="inlineStr">
        <is>
          <t>Maharashtra</t>
        </is>
      </c>
      <c r="M648" s="2" t="inlineStr">
        <is>
          <t>PS</t>
        </is>
      </c>
      <c r="N648" s="1" t="inlineStr">
        <is>
          <t>Cold Soldering</t>
        </is>
      </c>
      <c r="O648" s="11" t="n">
        <v>575</v>
      </c>
      <c r="P648" s="2" t="inlineStr">
        <is>
          <t>NSMI24070182704</t>
        </is>
      </c>
      <c r="Q648" s="14">
        <f>MID(P648,5,2)</f>
        <v/>
      </c>
      <c r="R648" s="14">
        <f>MID(P648,7,2)</f>
        <v/>
      </c>
      <c r="S648" s="1" t="inlineStr">
        <is>
          <t>G2G</t>
        </is>
      </c>
      <c r="T648" s="1" t="inlineStr">
        <is>
          <t>P4 - PEIPL</t>
        </is>
      </c>
      <c r="U648" s="6" t="inlineStr">
        <is>
          <t>P JB Cold Soldering</t>
        </is>
      </c>
      <c r="V648" s="6" t="inlineStr">
        <is>
          <t>Soldering</t>
        </is>
      </c>
      <c r="W648" s="1" t="inlineStr">
        <is>
          <t>Repair</t>
        </is>
      </c>
      <c r="X648" s="5" t="n">
        <v>46177</v>
      </c>
      <c r="Y648" s="1">
        <f>IF(X648="","",X648-A648)</f>
        <v/>
      </c>
      <c r="Z648" s="5" t="n">
        <v>46177</v>
      </c>
      <c r="AA648" s="3" t="n"/>
      <c r="AB648" s="3" t="n"/>
      <c r="AE648" s="146">
        <f>IF(AND(F648="Closed",X648&gt;=DATE(2026,6,1),X648&lt;=DATE(2026,6,30)),"Closed in June","other")</f>
        <v/>
      </c>
    </row>
    <row r="649" hidden="1">
      <c r="A649" s="9" t="n">
        <v>46143</v>
      </c>
      <c r="B649" s="1" t="n">
        <v>2026</v>
      </c>
      <c r="C649" s="8" t="inlineStr">
        <is>
          <t>Yanara Power</t>
        </is>
      </c>
      <c r="D649" s="1" t="inlineStr">
        <is>
          <t>Utility and C&amp;I</t>
        </is>
      </c>
      <c r="E649" s="1" t="n"/>
      <c r="F649" s="1" t="inlineStr">
        <is>
          <t>Closed</t>
        </is>
      </c>
      <c r="G649" s="2" t="inlineStr">
        <is>
          <t xml:space="preserve">Ashish Jindal </t>
        </is>
      </c>
      <c r="H649" s="8" t="n">
        <v>9983975581</v>
      </c>
      <c r="I649" s="10" t="inlineStr">
        <is>
          <t>PE01052601</t>
        </is>
      </c>
      <c r="J649" s="8" t="inlineStr">
        <is>
          <t>Multiple Issues</t>
        </is>
      </c>
      <c r="K649" s="11" t="inlineStr">
        <is>
          <t>Holi</t>
        </is>
      </c>
      <c r="L649" s="11" t="inlineStr">
        <is>
          <t>Maharashtra</t>
        </is>
      </c>
      <c r="M649" s="2" t="inlineStr">
        <is>
          <t>NR</t>
        </is>
      </c>
      <c r="N649" s="1" t="inlineStr">
        <is>
          <t>JB Issue</t>
        </is>
      </c>
      <c r="O649" s="11" t="n">
        <v>575</v>
      </c>
      <c r="P649" s="2" t="inlineStr">
        <is>
          <t>NSMI24070214659</t>
        </is>
      </c>
      <c r="Q649" s="14">
        <f>MID(P649,5,2)</f>
        <v/>
      </c>
      <c r="R649" s="14">
        <f>MID(P649,7,2)</f>
        <v/>
      </c>
      <c r="S649" s="1" t="inlineStr">
        <is>
          <t>G2G</t>
        </is>
      </c>
      <c r="T649" s="1" t="inlineStr">
        <is>
          <t>P4 - PEIPL</t>
        </is>
      </c>
      <c r="U649" s="1" t="inlineStr">
        <is>
          <t>N JB Issue &amp; JB Burn</t>
        </is>
      </c>
      <c r="V649" s="1" t="inlineStr">
        <is>
          <t>JB Changed</t>
        </is>
      </c>
      <c r="W649" s="1" t="inlineStr">
        <is>
          <t>Repair</t>
        </is>
      </c>
      <c r="X649" s="5" t="n">
        <v>46177</v>
      </c>
      <c r="Y649" s="1">
        <f>IF(X649="","",X649-A649)</f>
        <v/>
      </c>
      <c r="Z649" s="5" t="n">
        <v>46177</v>
      </c>
      <c r="AA649" s="3" t="n"/>
      <c r="AB649" s="3" t="n"/>
      <c r="AE649" s="146">
        <f>IF(AND(F649="Closed",X649&gt;=DATE(2026,6,1),X649&lt;=DATE(2026,6,30)),"Closed in June","other")</f>
        <v/>
      </c>
    </row>
    <row r="650" hidden="1">
      <c r="A650" s="9" t="n">
        <v>46143</v>
      </c>
      <c r="B650" s="1" t="n">
        <v>2026</v>
      </c>
      <c r="C650" s="8" t="inlineStr">
        <is>
          <t>Yanara Power</t>
        </is>
      </c>
      <c r="D650" s="1" t="inlineStr">
        <is>
          <t>Utility and C&amp;I</t>
        </is>
      </c>
      <c r="E650" s="1" t="n"/>
      <c r="F650" s="1" t="inlineStr">
        <is>
          <t>Closed</t>
        </is>
      </c>
      <c r="G650" s="2" t="inlineStr">
        <is>
          <t xml:space="preserve">Ashish Jindal </t>
        </is>
      </c>
      <c r="H650" s="8" t="n">
        <v>9983975581</v>
      </c>
      <c r="I650" s="10" t="inlineStr">
        <is>
          <t>PE01052601</t>
        </is>
      </c>
      <c r="J650" s="8" t="inlineStr">
        <is>
          <t>Multiple Issues</t>
        </is>
      </c>
      <c r="K650" s="11" t="inlineStr">
        <is>
          <t>Holi</t>
        </is>
      </c>
      <c r="L650" s="11" t="inlineStr">
        <is>
          <t>Maharashtra</t>
        </is>
      </c>
      <c r="M650" s="2" t="inlineStr">
        <is>
          <t>PR</t>
        </is>
      </c>
      <c r="N650" s="1" t="inlineStr">
        <is>
          <t>JB Issue</t>
        </is>
      </c>
      <c r="O650" s="11" t="n">
        <v>575</v>
      </c>
      <c r="P650" s="2" t="inlineStr">
        <is>
          <t>NSMI24070214681</t>
        </is>
      </c>
      <c r="Q650" s="14">
        <f>MID(P650,5,2)</f>
        <v/>
      </c>
      <c r="R650" s="14">
        <f>MID(P650,7,2)</f>
        <v/>
      </c>
      <c r="S650" s="1" t="inlineStr">
        <is>
          <t>G2G</t>
        </is>
      </c>
      <c r="T650" s="1" t="inlineStr">
        <is>
          <t>P4 - PEIPL</t>
        </is>
      </c>
      <c r="U650" s="1" t="inlineStr">
        <is>
          <t>P JB Issue</t>
        </is>
      </c>
      <c r="V650" s="1" t="inlineStr">
        <is>
          <t>JB Changed</t>
        </is>
      </c>
      <c r="W650" s="1" t="inlineStr">
        <is>
          <t>Repair</t>
        </is>
      </c>
      <c r="X650" s="5" t="n">
        <v>46177</v>
      </c>
      <c r="Y650" s="1">
        <f>IF(X650="","",X650-A650)</f>
        <v/>
      </c>
      <c r="Z650" s="5" t="n">
        <v>46177</v>
      </c>
      <c r="AA650" s="3" t="n"/>
      <c r="AB650" s="3" t="n"/>
      <c r="AE650" s="146">
        <f>IF(AND(F650="Closed",X650&gt;=DATE(2026,6,1),X650&lt;=DATE(2026,6,30)),"Closed in June","other")</f>
        <v/>
      </c>
    </row>
    <row r="651" hidden="1">
      <c r="A651" s="9" t="n">
        <v>46143</v>
      </c>
      <c r="B651" s="1" t="n">
        <v>2026</v>
      </c>
      <c r="C651" s="8" t="inlineStr">
        <is>
          <t>Yanara Power</t>
        </is>
      </c>
      <c r="D651" s="1" t="inlineStr">
        <is>
          <t>Utility and C&amp;I</t>
        </is>
      </c>
      <c r="E651" s="1" t="n"/>
      <c r="F651" s="1" t="inlineStr">
        <is>
          <t>Closed</t>
        </is>
      </c>
      <c r="G651" s="2" t="inlineStr">
        <is>
          <t xml:space="preserve">Ashish Jindal </t>
        </is>
      </c>
      <c r="H651" s="8" t="n">
        <v>9983975581</v>
      </c>
      <c r="I651" s="10" t="inlineStr">
        <is>
          <t>PE01052601</t>
        </is>
      </c>
      <c r="J651" s="8" t="inlineStr">
        <is>
          <t>Multiple Issues</t>
        </is>
      </c>
      <c r="K651" s="11" t="inlineStr">
        <is>
          <t>Holi</t>
        </is>
      </c>
      <c r="L651" s="11" t="inlineStr">
        <is>
          <t>Maharashtra</t>
        </is>
      </c>
      <c r="M651" s="2" t="inlineStr">
        <is>
          <t>PS</t>
        </is>
      </c>
      <c r="N651" s="1" t="inlineStr">
        <is>
          <t>Cold Soldering</t>
        </is>
      </c>
      <c r="O651" s="11" t="n">
        <v>575</v>
      </c>
      <c r="P651" s="2" t="inlineStr">
        <is>
          <t>NSMI24070214699</t>
        </is>
      </c>
      <c r="Q651" s="14">
        <f>MID(P651,5,2)</f>
        <v/>
      </c>
      <c r="R651" s="14">
        <f>MID(P651,7,2)</f>
        <v/>
      </c>
      <c r="S651" s="1" t="inlineStr">
        <is>
          <t>G2G</t>
        </is>
      </c>
      <c r="T651" s="1" t="inlineStr">
        <is>
          <t>P4 - PEIPL</t>
        </is>
      </c>
      <c r="U651" s="6" t="inlineStr">
        <is>
          <t>P JB Cold Soldering</t>
        </is>
      </c>
      <c r="V651" s="6" t="inlineStr">
        <is>
          <t>Soldering</t>
        </is>
      </c>
      <c r="W651" s="1" t="inlineStr">
        <is>
          <t>Repair</t>
        </is>
      </c>
      <c r="X651" s="5" t="n">
        <v>46177</v>
      </c>
      <c r="Y651" s="1">
        <f>IF(X651="","",X651-A651)</f>
        <v/>
      </c>
      <c r="Z651" s="5" t="n">
        <v>46177</v>
      </c>
      <c r="AA651" s="3" t="n"/>
      <c r="AB651" s="3" t="n"/>
      <c r="AE651" s="146">
        <f>IF(AND(F651="Closed",X651&gt;=DATE(2026,6,1),X651&lt;=DATE(2026,6,30)),"Closed in June","other")</f>
        <v/>
      </c>
    </row>
    <row r="652" hidden="1">
      <c r="A652" s="9" t="n">
        <v>46143</v>
      </c>
      <c r="B652" s="1" t="n">
        <v>2026</v>
      </c>
      <c r="C652" s="8" t="inlineStr">
        <is>
          <t>Yanara Power</t>
        </is>
      </c>
      <c r="D652" s="1" t="inlineStr">
        <is>
          <t>Utility and C&amp;I</t>
        </is>
      </c>
      <c r="E652" s="1" t="n"/>
      <c r="F652" s="1" t="inlineStr">
        <is>
          <t>Closed</t>
        </is>
      </c>
      <c r="G652" s="2" t="inlineStr">
        <is>
          <t xml:space="preserve">Ashish Jindal </t>
        </is>
      </c>
      <c r="H652" s="8" t="n">
        <v>9983975581</v>
      </c>
      <c r="I652" s="10" t="inlineStr">
        <is>
          <t>PE01052601</t>
        </is>
      </c>
      <c r="J652" s="8" t="inlineStr">
        <is>
          <t>Multiple Issues</t>
        </is>
      </c>
      <c r="K652" s="11" t="inlineStr">
        <is>
          <t>Holi</t>
        </is>
      </c>
      <c r="L652" s="11" t="inlineStr">
        <is>
          <t>Maharashtra</t>
        </is>
      </c>
      <c r="M652" s="2" t="inlineStr">
        <is>
          <t>PS</t>
        </is>
      </c>
      <c r="N652" s="1" t="inlineStr">
        <is>
          <t>Cold Soldering</t>
        </is>
      </c>
      <c r="O652" s="11" t="n">
        <v>575</v>
      </c>
      <c r="P652" s="2" t="inlineStr">
        <is>
          <t>NSMI24070204626</t>
        </is>
      </c>
      <c r="Q652" s="14">
        <f>MID(P652,5,2)</f>
        <v/>
      </c>
      <c r="R652" s="14">
        <f>MID(P652,7,2)</f>
        <v/>
      </c>
      <c r="S652" s="1" t="inlineStr">
        <is>
          <t>G2G</t>
        </is>
      </c>
      <c r="T652" s="1" t="inlineStr">
        <is>
          <t>P4 - PEIPL</t>
        </is>
      </c>
      <c r="U652" s="6" t="inlineStr">
        <is>
          <t>P JB Cold Soldering</t>
        </is>
      </c>
      <c r="V652" s="6" t="inlineStr">
        <is>
          <t>Soldering</t>
        </is>
      </c>
      <c r="W652" s="1" t="inlineStr">
        <is>
          <t>Repair</t>
        </is>
      </c>
      <c r="X652" s="5" t="n">
        <v>46177</v>
      </c>
      <c r="Y652" s="1">
        <f>IF(X652="","",X652-A652)</f>
        <v/>
      </c>
      <c r="Z652" s="5" t="n">
        <v>46177</v>
      </c>
      <c r="AA652" s="3" t="n"/>
      <c r="AB652" s="3" t="n"/>
      <c r="AE652" s="146">
        <f>IF(AND(F652="Closed",X652&gt;=DATE(2026,6,1),X652&lt;=DATE(2026,6,30)),"Closed in June","other")</f>
        <v/>
      </c>
    </row>
    <row r="653" hidden="1">
      <c r="A653" s="9" t="n">
        <v>46143</v>
      </c>
      <c r="B653" s="1" t="n">
        <v>2026</v>
      </c>
      <c r="C653" s="8" t="inlineStr">
        <is>
          <t>Yanara Power</t>
        </is>
      </c>
      <c r="D653" s="1" t="inlineStr">
        <is>
          <t>Utility and C&amp;I</t>
        </is>
      </c>
      <c r="E653" s="1" t="n"/>
      <c r="F653" s="1" t="inlineStr">
        <is>
          <t>Closed</t>
        </is>
      </c>
      <c r="G653" s="2" t="inlineStr">
        <is>
          <t xml:space="preserve">Ashish Jindal </t>
        </is>
      </c>
      <c r="H653" s="8" t="n">
        <v>9983975581</v>
      </c>
      <c r="I653" s="10" t="inlineStr">
        <is>
          <t>PE01052601</t>
        </is>
      </c>
      <c r="J653" s="8" t="inlineStr">
        <is>
          <t>Multiple Issues</t>
        </is>
      </c>
      <c r="K653" s="11" t="inlineStr">
        <is>
          <t>Holi</t>
        </is>
      </c>
      <c r="L653" s="11" t="inlineStr">
        <is>
          <t>Maharashtra</t>
        </is>
      </c>
      <c r="M653" s="2" t="inlineStr">
        <is>
          <t>PS</t>
        </is>
      </c>
      <c r="N653" s="1" t="inlineStr">
        <is>
          <t>Cold Soldering</t>
        </is>
      </c>
      <c r="O653" s="11" t="n">
        <v>575</v>
      </c>
      <c r="P653" s="2" t="inlineStr">
        <is>
          <t>NSMI24070204628</t>
        </is>
      </c>
      <c r="Q653" s="14">
        <f>MID(P653,5,2)</f>
        <v/>
      </c>
      <c r="R653" s="14">
        <f>MID(P653,7,2)</f>
        <v/>
      </c>
      <c r="S653" s="1" t="inlineStr">
        <is>
          <t>G2G</t>
        </is>
      </c>
      <c r="T653" s="1" t="inlineStr">
        <is>
          <t>P4 - PEIPL</t>
        </is>
      </c>
      <c r="U653" s="6" t="inlineStr">
        <is>
          <t>P JB Cold Soldering</t>
        </is>
      </c>
      <c r="V653" s="6" t="inlineStr">
        <is>
          <t>Soldering</t>
        </is>
      </c>
      <c r="W653" s="1" t="inlineStr">
        <is>
          <t>Repair</t>
        </is>
      </c>
      <c r="X653" s="5" t="n">
        <v>46177</v>
      </c>
      <c r="Y653" s="1">
        <f>IF(X653="","",X653-A653)</f>
        <v/>
      </c>
      <c r="Z653" s="5" t="n">
        <v>46177</v>
      </c>
      <c r="AA653" s="3" t="n"/>
      <c r="AB653" s="3" t="n"/>
      <c r="AE653" s="146">
        <f>IF(AND(F653="Closed",X653&gt;=DATE(2026,6,1),X653&lt;=DATE(2026,6,30)),"Closed in June","other")</f>
        <v/>
      </c>
    </row>
    <row r="654" hidden="1">
      <c r="A654" s="9" t="n">
        <v>46143</v>
      </c>
      <c r="B654" s="1" t="n">
        <v>2026</v>
      </c>
      <c r="C654" s="8" t="inlineStr">
        <is>
          <t>Yanara Power</t>
        </is>
      </c>
      <c r="D654" s="1" t="inlineStr">
        <is>
          <t>Utility and C&amp;I</t>
        </is>
      </c>
      <c r="E654" s="1" t="n"/>
      <c r="F654" s="1" t="inlineStr">
        <is>
          <t>Closed</t>
        </is>
      </c>
      <c r="G654" s="2" t="inlineStr">
        <is>
          <t xml:space="preserve">Ashish Jindal </t>
        </is>
      </c>
      <c r="H654" s="8" t="n">
        <v>9983975581</v>
      </c>
      <c r="I654" s="10" t="inlineStr">
        <is>
          <t>PE01052601</t>
        </is>
      </c>
      <c r="J654" s="8" t="inlineStr">
        <is>
          <t>Multiple Issues</t>
        </is>
      </c>
      <c r="K654" s="11" t="inlineStr">
        <is>
          <t>Holi</t>
        </is>
      </c>
      <c r="L654" s="11" t="inlineStr">
        <is>
          <t>Maharashtra</t>
        </is>
      </c>
      <c r="M654" s="2" t="inlineStr">
        <is>
          <t>NS</t>
        </is>
      </c>
      <c r="N654" s="1" t="inlineStr">
        <is>
          <t>Cold Soldering</t>
        </is>
      </c>
      <c r="O654" s="11" t="n">
        <v>575</v>
      </c>
      <c r="P654" s="2" t="inlineStr">
        <is>
          <t>NSMI24070182713</t>
        </is>
      </c>
      <c r="Q654" s="14">
        <f>MID(P654,5,2)</f>
        <v/>
      </c>
      <c r="R654" s="14">
        <f>MID(P654,7,2)</f>
        <v/>
      </c>
      <c r="S654" s="1" t="inlineStr">
        <is>
          <t>G2G</t>
        </is>
      </c>
      <c r="T654" s="1" t="inlineStr">
        <is>
          <t>P4 - PEIPL</t>
        </is>
      </c>
      <c r="U654" s="1" t="inlineStr">
        <is>
          <t>N JB Cold Soldering</t>
        </is>
      </c>
      <c r="V654" s="1" t="inlineStr">
        <is>
          <t>Soldering</t>
        </is>
      </c>
      <c r="W654" s="1" t="inlineStr">
        <is>
          <t>Repair</t>
        </is>
      </c>
      <c r="X654" s="5" t="n">
        <v>46177</v>
      </c>
      <c r="Y654" s="1">
        <f>IF(X654="","",X654-A654)</f>
        <v/>
      </c>
      <c r="Z654" s="5" t="n">
        <v>46177</v>
      </c>
      <c r="AA654" s="3" t="n"/>
      <c r="AB654" s="3" t="n"/>
      <c r="AE654" s="146">
        <f>IF(AND(F654="Closed",X654&gt;=DATE(2026,6,1),X654&lt;=DATE(2026,6,30)),"Closed in June","other")</f>
        <v/>
      </c>
    </row>
    <row r="655" hidden="1">
      <c r="A655" s="9" t="n">
        <v>46143</v>
      </c>
      <c r="B655" s="1" t="n">
        <v>2026</v>
      </c>
      <c r="C655" s="8" t="inlineStr">
        <is>
          <t>Yanara Power</t>
        </is>
      </c>
      <c r="D655" s="1" t="inlineStr">
        <is>
          <t>Utility and C&amp;I</t>
        </is>
      </c>
      <c r="E655" s="1" t="n"/>
      <c r="F655" s="1" t="inlineStr">
        <is>
          <t>Closed</t>
        </is>
      </c>
      <c r="G655" s="2" t="inlineStr">
        <is>
          <t xml:space="preserve">Ashish Jindal </t>
        </is>
      </c>
      <c r="H655" s="8" t="n">
        <v>9983975581</v>
      </c>
      <c r="I655" s="10" t="inlineStr">
        <is>
          <t>PE01052601</t>
        </is>
      </c>
      <c r="J655" s="8" t="inlineStr">
        <is>
          <t>Multiple Issues</t>
        </is>
      </c>
      <c r="K655" s="11" t="inlineStr">
        <is>
          <t>Holi</t>
        </is>
      </c>
      <c r="L655" s="11" t="inlineStr">
        <is>
          <t>Maharashtra</t>
        </is>
      </c>
      <c r="M655" s="2" t="inlineStr">
        <is>
          <t>NS</t>
        </is>
      </c>
      <c r="N655" s="1" t="inlineStr">
        <is>
          <t>Cold Soldering</t>
        </is>
      </c>
      <c r="O655" s="11" t="n">
        <v>575</v>
      </c>
      <c r="P655" s="2" t="inlineStr">
        <is>
          <t>NSMI24070182693</t>
        </is>
      </c>
      <c r="Q655" s="14">
        <f>MID(P655,5,2)</f>
        <v/>
      </c>
      <c r="R655" s="14">
        <f>MID(P655,7,2)</f>
        <v/>
      </c>
      <c r="S655" s="1" t="inlineStr">
        <is>
          <t>G2G</t>
        </is>
      </c>
      <c r="T655" s="1" t="inlineStr">
        <is>
          <t>P4 - PEIPL</t>
        </is>
      </c>
      <c r="U655" s="1" t="inlineStr">
        <is>
          <t>N JB Cold Soldering</t>
        </is>
      </c>
      <c r="V655" s="1" t="inlineStr">
        <is>
          <t>Soldering</t>
        </is>
      </c>
      <c r="W655" s="1" t="inlineStr">
        <is>
          <t>Repair</t>
        </is>
      </c>
      <c r="X655" s="5" t="n">
        <v>46177</v>
      </c>
      <c r="Y655" s="1">
        <f>IF(X655="","",X655-A655)</f>
        <v/>
      </c>
      <c r="Z655" s="5" t="n">
        <v>46177</v>
      </c>
      <c r="AA655" s="3" t="n"/>
      <c r="AB655" s="3" t="n"/>
      <c r="AE655" s="146">
        <f>IF(AND(F655="Closed",X655&gt;=DATE(2026,6,1),X655&lt;=DATE(2026,6,30)),"Closed in June","other")</f>
        <v/>
      </c>
    </row>
    <row r="656" hidden="1">
      <c r="A656" s="9" t="n">
        <v>46143</v>
      </c>
      <c r="B656" s="1" t="n">
        <v>2026</v>
      </c>
      <c r="C656" s="8" t="inlineStr">
        <is>
          <t>Yanara Power</t>
        </is>
      </c>
      <c r="D656" s="1" t="inlineStr">
        <is>
          <t>Utility and C&amp;I</t>
        </is>
      </c>
      <c r="E656" s="1" t="n"/>
      <c r="F656" s="1" t="inlineStr">
        <is>
          <t>Closed</t>
        </is>
      </c>
      <c r="G656" s="2" t="inlineStr">
        <is>
          <t xml:space="preserve">Ashish Jindal </t>
        </is>
      </c>
      <c r="H656" s="8" t="n">
        <v>9983975581</v>
      </c>
      <c r="I656" s="10" t="inlineStr">
        <is>
          <t>PE01052601</t>
        </is>
      </c>
      <c r="J656" s="8" t="inlineStr">
        <is>
          <t>Multiple Issues</t>
        </is>
      </c>
      <c r="K656" s="11" t="inlineStr">
        <is>
          <t>Holi</t>
        </is>
      </c>
      <c r="L656" s="11" t="inlineStr">
        <is>
          <t>Maharashtra</t>
        </is>
      </c>
      <c r="M656" s="2" t="inlineStr">
        <is>
          <t>PS</t>
        </is>
      </c>
      <c r="N656" s="1" t="inlineStr">
        <is>
          <t>Cold Soldering</t>
        </is>
      </c>
      <c r="O656" s="11" t="n">
        <v>575</v>
      </c>
      <c r="P656" s="2" t="inlineStr">
        <is>
          <t>NSMI24070182711</t>
        </is>
      </c>
      <c r="Q656" s="14">
        <f>MID(P656,5,2)</f>
        <v/>
      </c>
      <c r="R656" s="14">
        <f>MID(P656,7,2)</f>
        <v/>
      </c>
      <c r="S656" s="1" t="inlineStr">
        <is>
          <t>G2G</t>
        </is>
      </c>
      <c r="T656" s="1" t="inlineStr">
        <is>
          <t>P4 - PEIPL</t>
        </is>
      </c>
      <c r="U656" s="6" t="inlineStr">
        <is>
          <t>P JB Cold Soldering</t>
        </is>
      </c>
      <c r="V656" s="6" t="inlineStr">
        <is>
          <t>Soldering</t>
        </is>
      </c>
      <c r="W656" s="1" t="inlineStr">
        <is>
          <t>Repair</t>
        </is>
      </c>
      <c r="X656" s="5" t="n">
        <v>46177</v>
      </c>
      <c r="Y656" s="1">
        <f>IF(X656="","",X656-A656)</f>
        <v/>
      </c>
      <c r="Z656" s="5" t="n">
        <v>46177</v>
      </c>
      <c r="AA656" s="3" t="n"/>
      <c r="AB656" s="3" t="n"/>
      <c r="AE656" s="146">
        <f>IF(AND(F656="Closed",X656&gt;=DATE(2026,6,1),X656&lt;=DATE(2026,6,30)),"Closed in June","other")</f>
        <v/>
      </c>
    </row>
    <row r="657" hidden="1">
      <c r="A657" s="9" t="n">
        <v>46148</v>
      </c>
      <c r="B657" s="1" t="n">
        <v>2026</v>
      </c>
      <c r="C657" s="8" t="inlineStr">
        <is>
          <t>Continuum</t>
        </is>
      </c>
      <c r="D657" s="1" t="inlineStr">
        <is>
          <t>Utility and C&amp;I</t>
        </is>
      </c>
      <c r="E657" s="1" t="n"/>
      <c r="F657" s="1" t="inlineStr">
        <is>
          <t>Closed</t>
        </is>
      </c>
      <c r="G657" s="8" t="inlineStr">
        <is>
          <t>Amiya Ranjan Behera</t>
        </is>
      </c>
      <c r="H657" s="8" t="n">
        <v>8917436223</v>
      </c>
      <c r="I657" s="10" t="inlineStr">
        <is>
          <t>PE06052602</t>
        </is>
      </c>
      <c r="J657" s="8" t="inlineStr">
        <is>
          <t>Diode Bypass Module Issue</t>
        </is>
      </c>
      <c r="K657" s="8" t="inlineStr">
        <is>
          <t>Bhavnagar</t>
        </is>
      </c>
      <c r="L657" s="8" t="inlineStr">
        <is>
          <t>Gujarat</t>
        </is>
      </c>
      <c r="M657" s="2" t="inlineStr">
        <is>
          <t>PS</t>
        </is>
      </c>
      <c r="N657" s="1" t="inlineStr">
        <is>
          <t>Cold Soldering</t>
        </is>
      </c>
      <c r="O657" s="11" t="n">
        <v>540</v>
      </c>
      <c r="P657" s="2" t="inlineStr">
        <is>
          <t>NSMP2305133394</t>
        </is>
      </c>
      <c r="Q657" s="14">
        <f>MID(P657,5,2)</f>
        <v/>
      </c>
      <c r="R657" s="14">
        <f>MID(P657,7,2)</f>
        <v/>
      </c>
      <c r="S657" s="1" t="inlineStr">
        <is>
          <t>G2B</t>
        </is>
      </c>
      <c r="T657" s="1" t="inlineStr">
        <is>
          <t>P2 - PEPPL</t>
        </is>
      </c>
      <c r="U657" s="1" t="inlineStr">
        <is>
          <t>P JB Cold Soldering</t>
        </is>
      </c>
      <c r="V657" s="1" t="inlineStr">
        <is>
          <t>Soldering</t>
        </is>
      </c>
      <c r="W657" s="1" t="inlineStr">
        <is>
          <t>Repair</t>
        </is>
      </c>
      <c r="X657" s="5" t="n">
        <v>46178</v>
      </c>
      <c r="Y657" s="1">
        <f>IF(X657="","",X657-A657)</f>
        <v/>
      </c>
      <c r="Z657" s="5" t="n">
        <v>46178</v>
      </c>
      <c r="AA657" s="3" t="n"/>
      <c r="AB657" s="3" t="n"/>
      <c r="AE657" s="146">
        <f>IF(AND(F657="Closed",X657&gt;=DATE(2026,6,1),X657&lt;=DATE(2026,6,30)),"Closed in June","other")</f>
        <v/>
      </c>
    </row>
    <row r="658" hidden="1">
      <c r="A658" s="9" t="n">
        <v>46148</v>
      </c>
      <c r="B658" s="1" t="n">
        <v>2026</v>
      </c>
      <c r="C658" s="8" t="inlineStr">
        <is>
          <t>Continuum</t>
        </is>
      </c>
      <c r="D658" s="1" t="inlineStr">
        <is>
          <t>Utility and C&amp;I</t>
        </is>
      </c>
      <c r="E658" s="1" t="n"/>
      <c r="F658" s="1" t="inlineStr">
        <is>
          <t>Closed</t>
        </is>
      </c>
      <c r="G658" s="8" t="inlineStr">
        <is>
          <t>Amiya Ranjan Behera</t>
        </is>
      </c>
      <c r="H658" s="8" t="n">
        <v>8917436223</v>
      </c>
      <c r="I658" s="10" t="inlineStr">
        <is>
          <t>PE06052602</t>
        </is>
      </c>
      <c r="J658" s="8" t="inlineStr">
        <is>
          <t>Diode Bypass Module Issue</t>
        </is>
      </c>
      <c r="K658" s="8" t="inlineStr">
        <is>
          <t>Bhavnagar</t>
        </is>
      </c>
      <c r="L658" s="8" t="inlineStr">
        <is>
          <t>Gujarat</t>
        </is>
      </c>
      <c r="M658" s="2" t="inlineStr">
        <is>
          <t>PS</t>
        </is>
      </c>
      <c r="N658" s="1" t="inlineStr">
        <is>
          <t>Cold Soldering</t>
        </is>
      </c>
      <c r="O658" s="11" t="n">
        <v>540</v>
      </c>
      <c r="P658" s="2" t="inlineStr">
        <is>
          <t>NSMP2305133017</t>
        </is>
      </c>
      <c r="Q658" s="14">
        <f>MID(P658,5,2)</f>
        <v/>
      </c>
      <c r="R658" s="14">
        <f>MID(P658,7,2)</f>
        <v/>
      </c>
      <c r="S658" s="1" t="inlineStr">
        <is>
          <t>G2B</t>
        </is>
      </c>
      <c r="T658" s="1" t="inlineStr">
        <is>
          <t>P2 - PEPPL</t>
        </is>
      </c>
      <c r="U658" s="1" t="inlineStr">
        <is>
          <t>P JB Cold Soldering</t>
        </is>
      </c>
      <c r="V658" s="1" t="inlineStr">
        <is>
          <t>Soldering</t>
        </is>
      </c>
      <c r="W658" s="1" t="inlineStr">
        <is>
          <t>Repair</t>
        </is>
      </c>
      <c r="X658" s="5" t="n">
        <v>46178</v>
      </c>
      <c r="Y658" s="1">
        <f>IF(X658="","",X658-A658)</f>
        <v/>
      </c>
      <c r="Z658" s="5" t="n">
        <v>46178</v>
      </c>
      <c r="AA658" s="3" t="n"/>
      <c r="AB658" s="3" t="n"/>
      <c r="AE658" s="146">
        <f>IF(AND(F658="Closed",X658&gt;=DATE(2026,6,1),X658&lt;=DATE(2026,6,30)),"Closed in June","other")</f>
        <v/>
      </c>
    </row>
    <row r="659" hidden="1">
      <c r="A659" s="9" t="n">
        <v>46148</v>
      </c>
      <c r="B659" s="1" t="n">
        <v>2026</v>
      </c>
      <c r="C659" s="8" t="inlineStr">
        <is>
          <t>Continuum</t>
        </is>
      </c>
      <c r="D659" s="1" t="inlineStr">
        <is>
          <t>Utility and C&amp;I</t>
        </is>
      </c>
      <c r="E659" s="1" t="n"/>
      <c r="F659" s="1" t="inlineStr">
        <is>
          <t>Closed</t>
        </is>
      </c>
      <c r="G659" s="8" t="inlineStr">
        <is>
          <t>Amiya Ranjan Behera</t>
        </is>
      </c>
      <c r="H659" s="8" t="n">
        <v>8917436223</v>
      </c>
      <c r="I659" s="10" t="inlineStr">
        <is>
          <t>PE06052602</t>
        </is>
      </c>
      <c r="J659" s="8" t="inlineStr">
        <is>
          <t>Diode Bypass Module Issue</t>
        </is>
      </c>
      <c r="K659" s="8" t="inlineStr">
        <is>
          <t>Bhavnagar</t>
        </is>
      </c>
      <c r="L659" s="8" t="inlineStr">
        <is>
          <t>Gujarat</t>
        </is>
      </c>
      <c r="M659" s="2" t="inlineStr">
        <is>
          <t>PS</t>
        </is>
      </c>
      <c r="N659" s="1" t="inlineStr">
        <is>
          <t>Cold Soldering</t>
        </is>
      </c>
      <c r="O659" s="11" t="n">
        <v>540</v>
      </c>
      <c r="P659" s="2" t="inlineStr">
        <is>
          <t>NSMP2305132938</t>
        </is>
      </c>
      <c r="Q659" s="14">
        <f>MID(P659,5,2)</f>
        <v/>
      </c>
      <c r="R659" s="14">
        <f>MID(P659,7,2)</f>
        <v/>
      </c>
      <c r="S659" s="1" t="inlineStr">
        <is>
          <t>G2B</t>
        </is>
      </c>
      <c r="T659" s="1" t="inlineStr">
        <is>
          <t>P2 - PEPPL</t>
        </is>
      </c>
      <c r="U659" s="1" t="inlineStr">
        <is>
          <t>P JB Cold Soldering</t>
        </is>
      </c>
      <c r="V659" s="1" t="inlineStr">
        <is>
          <t>Soldering</t>
        </is>
      </c>
      <c r="W659" s="1" t="inlineStr">
        <is>
          <t>Repair</t>
        </is>
      </c>
      <c r="X659" s="5" t="n">
        <v>46178</v>
      </c>
      <c r="Y659" s="1">
        <f>IF(X659="","",X659-A659)</f>
        <v/>
      </c>
      <c r="Z659" s="5" t="n">
        <v>46178</v>
      </c>
      <c r="AA659" s="3" t="n"/>
      <c r="AB659" s="3" t="n"/>
      <c r="AE659" s="146">
        <f>IF(AND(F659="Closed",X659&gt;=DATE(2026,6,1),X659&lt;=DATE(2026,6,30)),"Closed in June","other")</f>
        <v/>
      </c>
    </row>
    <row r="660" hidden="1">
      <c r="A660" s="9" t="n">
        <v>46148</v>
      </c>
      <c r="B660" s="1" t="n">
        <v>2026</v>
      </c>
      <c r="C660" s="8" t="inlineStr">
        <is>
          <t>Continuum</t>
        </is>
      </c>
      <c r="D660" s="1" t="inlineStr">
        <is>
          <t>Utility and C&amp;I</t>
        </is>
      </c>
      <c r="E660" s="1" t="n"/>
      <c r="F660" s="1" t="inlineStr">
        <is>
          <t>Closed</t>
        </is>
      </c>
      <c r="G660" s="8" t="inlineStr">
        <is>
          <t>Amiya Ranjan Behera</t>
        </is>
      </c>
      <c r="H660" s="8" t="n">
        <v>8917436223</v>
      </c>
      <c r="I660" s="10" t="inlineStr">
        <is>
          <t>PE06052602</t>
        </is>
      </c>
      <c r="J660" s="8" t="inlineStr">
        <is>
          <t>Diode Bypass Module Issue</t>
        </is>
      </c>
      <c r="K660" s="8" t="inlineStr">
        <is>
          <t>Bhavnagar</t>
        </is>
      </c>
      <c r="L660" s="8" t="inlineStr">
        <is>
          <t>Gujarat</t>
        </is>
      </c>
      <c r="M660" s="2" t="inlineStr">
        <is>
          <t>PS</t>
        </is>
      </c>
      <c r="N660" s="1" t="inlineStr">
        <is>
          <t>Cold Soldering</t>
        </is>
      </c>
      <c r="O660" s="11" t="n">
        <v>540</v>
      </c>
      <c r="P660" s="2" t="inlineStr">
        <is>
          <t>NSMP2305133073</t>
        </is>
      </c>
      <c r="Q660" s="14">
        <f>MID(P660,5,2)</f>
        <v/>
      </c>
      <c r="R660" s="14">
        <f>MID(P660,7,2)</f>
        <v/>
      </c>
      <c r="S660" s="1" t="inlineStr">
        <is>
          <t>G2B</t>
        </is>
      </c>
      <c r="T660" s="1" t="inlineStr">
        <is>
          <t>P2 - PEPPL</t>
        </is>
      </c>
      <c r="U660" s="1" t="inlineStr">
        <is>
          <t>P JB Cold Soldering</t>
        </is>
      </c>
      <c r="V660" s="1" t="inlineStr">
        <is>
          <t>Soldering</t>
        </is>
      </c>
      <c r="W660" s="1" t="inlineStr">
        <is>
          <t>Repair</t>
        </is>
      </c>
      <c r="X660" s="5" t="n">
        <v>46178</v>
      </c>
      <c r="Y660" s="1">
        <f>IF(X660="","",X660-A660)</f>
        <v/>
      </c>
      <c r="Z660" s="5" t="n">
        <v>46178</v>
      </c>
      <c r="AA660" s="3" t="n"/>
      <c r="AB660" s="3" t="n"/>
      <c r="AE660" s="146">
        <f>IF(AND(F660="Closed",X660&gt;=DATE(2026,6,1),X660&lt;=DATE(2026,6,30)),"Closed in June","other")</f>
        <v/>
      </c>
    </row>
    <row r="661" hidden="1">
      <c r="A661" s="9" t="n">
        <v>46148</v>
      </c>
      <c r="B661" s="1" t="n">
        <v>2026</v>
      </c>
      <c r="C661" s="8" t="inlineStr">
        <is>
          <t>Continuum</t>
        </is>
      </c>
      <c r="D661" s="1" t="inlineStr">
        <is>
          <t>Utility and C&amp;I</t>
        </is>
      </c>
      <c r="E661" s="1" t="n"/>
      <c r="F661" s="1" t="inlineStr">
        <is>
          <t>Closed</t>
        </is>
      </c>
      <c r="G661" s="8" t="inlineStr">
        <is>
          <t>Amiya Ranjan Behera</t>
        </is>
      </c>
      <c r="H661" s="8" t="n">
        <v>8917436223</v>
      </c>
      <c r="I661" s="10" t="inlineStr">
        <is>
          <t>PE06052602</t>
        </is>
      </c>
      <c r="J661" s="8" t="inlineStr">
        <is>
          <t>Diode Bypass Module Issue</t>
        </is>
      </c>
      <c r="K661" s="8" t="inlineStr">
        <is>
          <t>Bhavnagar</t>
        </is>
      </c>
      <c r="L661" s="8" t="inlineStr">
        <is>
          <t>Gujarat</t>
        </is>
      </c>
      <c r="M661" s="2" t="inlineStr">
        <is>
          <t>PR</t>
        </is>
      </c>
      <c r="N661" s="1" t="inlineStr">
        <is>
          <t>JB Issue</t>
        </is>
      </c>
      <c r="O661" s="11" t="n">
        <v>540</v>
      </c>
      <c r="P661" s="2" t="inlineStr">
        <is>
          <t>NSMP2305133068</t>
        </is>
      </c>
      <c r="Q661" s="14">
        <f>MID(P661,5,2)</f>
        <v/>
      </c>
      <c r="R661" s="14">
        <f>MID(P661,7,2)</f>
        <v/>
      </c>
      <c r="S661" s="1" t="inlineStr">
        <is>
          <t>G2B</t>
        </is>
      </c>
      <c r="T661" s="1" t="inlineStr">
        <is>
          <t>P2 - PEPPL</t>
        </is>
      </c>
      <c r="U661" s="1" t="inlineStr">
        <is>
          <t>P JB Issue</t>
        </is>
      </c>
      <c r="V661" s="3" t="inlineStr">
        <is>
          <t>JB Changed</t>
        </is>
      </c>
      <c r="W661" s="1" t="inlineStr">
        <is>
          <t>Repair</t>
        </is>
      </c>
      <c r="X661" s="5" t="n">
        <v>46178</v>
      </c>
      <c r="Y661" s="1">
        <f>IF(X661="","",X661-A661)</f>
        <v/>
      </c>
      <c r="Z661" s="5" t="n">
        <v>46178</v>
      </c>
      <c r="AA661" s="3" t="n"/>
      <c r="AB661" s="3" t="n"/>
      <c r="AE661" s="146">
        <f>IF(AND(F661="Closed",X661&gt;=DATE(2026,6,1),X661&lt;=DATE(2026,6,30)),"Closed in June","other")</f>
        <v/>
      </c>
    </row>
    <row r="662" hidden="1">
      <c r="A662" s="9" t="n">
        <v>46148</v>
      </c>
      <c r="B662" s="1" t="n">
        <v>2026</v>
      </c>
      <c r="C662" s="8" t="inlineStr">
        <is>
          <t>Continuum</t>
        </is>
      </c>
      <c r="D662" s="1" t="inlineStr">
        <is>
          <t>Utility and C&amp;I</t>
        </is>
      </c>
      <c r="E662" s="1" t="n"/>
      <c r="F662" s="1" t="inlineStr">
        <is>
          <t>Closed</t>
        </is>
      </c>
      <c r="G662" s="8" t="inlineStr">
        <is>
          <t>Amiya Ranjan Behera</t>
        </is>
      </c>
      <c r="H662" s="8" t="n">
        <v>8917436223</v>
      </c>
      <c r="I662" s="10" t="inlineStr">
        <is>
          <t>PE06052602</t>
        </is>
      </c>
      <c r="J662" s="8" t="inlineStr">
        <is>
          <t>Diode Bypass Module Issue</t>
        </is>
      </c>
      <c r="K662" s="8" t="inlineStr">
        <is>
          <t>Bhavnagar</t>
        </is>
      </c>
      <c r="L662" s="8" t="inlineStr">
        <is>
          <t>Gujarat</t>
        </is>
      </c>
      <c r="M662" s="2" t="inlineStr">
        <is>
          <t>NR</t>
        </is>
      </c>
      <c r="N662" s="8" t="inlineStr">
        <is>
          <t>JB Issue</t>
        </is>
      </c>
      <c r="O662" s="11" t="n">
        <v>540</v>
      </c>
      <c r="P662" s="2" t="inlineStr">
        <is>
          <t>NSMP2305125274</t>
        </is>
      </c>
      <c r="Q662" s="14">
        <f>MID(P662,5,2)</f>
        <v/>
      </c>
      <c r="R662" s="14">
        <f>MID(P662,7,2)</f>
        <v/>
      </c>
      <c r="S662" s="1" t="inlineStr">
        <is>
          <t>G2B</t>
        </is>
      </c>
      <c r="T662" s="1" t="inlineStr">
        <is>
          <t>P2 - PEPPL</t>
        </is>
      </c>
      <c r="U662" s="6" t="inlineStr">
        <is>
          <t>N JB Issue</t>
        </is>
      </c>
      <c r="V662" s="6" t="inlineStr">
        <is>
          <t>JB Changed</t>
        </is>
      </c>
      <c r="W662" s="1" t="inlineStr">
        <is>
          <t>Repair</t>
        </is>
      </c>
      <c r="X662" s="5" t="n">
        <v>46178</v>
      </c>
      <c r="Y662" s="1">
        <f>IF(X662="","",X662-A662)</f>
        <v/>
      </c>
      <c r="Z662" s="5" t="n">
        <v>46178</v>
      </c>
      <c r="AA662" s="3" t="n"/>
      <c r="AB662" s="3" t="n"/>
      <c r="AE662" s="146">
        <f>IF(AND(F662="Closed",X662&gt;=DATE(2026,6,1),X662&lt;=DATE(2026,6,30)),"Closed in June","other")</f>
        <v/>
      </c>
    </row>
    <row r="663" hidden="1">
      <c r="A663" s="9" t="n">
        <v>46148</v>
      </c>
      <c r="B663" s="1" t="n">
        <v>2026</v>
      </c>
      <c r="C663" s="8" t="inlineStr">
        <is>
          <t>Continuum</t>
        </is>
      </c>
      <c r="D663" s="1" t="inlineStr">
        <is>
          <t>Utility and C&amp;I</t>
        </is>
      </c>
      <c r="E663" s="1" t="n"/>
      <c r="F663" s="1" t="inlineStr">
        <is>
          <t>Closed</t>
        </is>
      </c>
      <c r="G663" s="8" t="inlineStr">
        <is>
          <t>Amiya Ranjan Behera</t>
        </is>
      </c>
      <c r="H663" s="8" t="n">
        <v>8917436223</v>
      </c>
      <c r="I663" s="10" t="inlineStr">
        <is>
          <t>PE06052602</t>
        </is>
      </c>
      <c r="J663" s="8" t="inlineStr">
        <is>
          <t>Diode Bypass Module Issue</t>
        </is>
      </c>
      <c r="K663" s="8" t="inlineStr">
        <is>
          <t>Bhavnagar</t>
        </is>
      </c>
      <c r="L663" s="8" t="inlineStr">
        <is>
          <t>Gujarat</t>
        </is>
      </c>
      <c r="M663" s="2" t="inlineStr">
        <is>
          <t>PS</t>
        </is>
      </c>
      <c r="N663" s="1" t="inlineStr">
        <is>
          <t>Cold Soldering</t>
        </is>
      </c>
      <c r="O663" s="11" t="n">
        <v>540</v>
      </c>
      <c r="P663" s="2" t="inlineStr">
        <is>
          <t>NSMP2305133071</t>
        </is>
      </c>
      <c r="Q663" s="14">
        <f>MID(P663,5,2)</f>
        <v/>
      </c>
      <c r="R663" s="14">
        <f>MID(P663,7,2)</f>
        <v/>
      </c>
      <c r="S663" s="1" t="inlineStr">
        <is>
          <t>G2B</t>
        </is>
      </c>
      <c r="T663" s="1" t="inlineStr">
        <is>
          <t>P2 - PEPPL</t>
        </is>
      </c>
      <c r="U663" s="1" t="inlineStr">
        <is>
          <t>P JB Cold Soldering</t>
        </is>
      </c>
      <c r="V663" s="1" t="inlineStr">
        <is>
          <t>Soldering</t>
        </is>
      </c>
      <c r="W663" s="1" t="inlineStr">
        <is>
          <t>Repair</t>
        </is>
      </c>
      <c r="X663" s="5" t="n">
        <v>46178</v>
      </c>
      <c r="Y663" s="1">
        <f>IF(X663="","",X663-A663)</f>
        <v/>
      </c>
      <c r="Z663" s="5" t="n">
        <v>46178</v>
      </c>
      <c r="AA663" s="3" t="n"/>
      <c r="AB663" s="3" t="n"/>
      <c r="AE663" s="146">
        <f>IF(AND(F663="Closed",X663&gt;=DATE(2026,6,1),X663&lt;=DATE(2026,6,30)),"Closed in June","other")</f>
        <v/>
      </c>
    </row>
    <row r="664" hidden="1">
      <c r="A664" s="9" t="n">
        <v>46148</v>
      </c>
      <c r="B664" s="1" t="n">
        <v>2026</v>
      </c>
      <c r="C664" s="8" t="inlineStr">
        <is>
          <t>Continuum</t>
        </is>
      </c>
      <c r="D664" s="1" t="inlineStr">
        <is>
          <t>Utility and C&amp;I</t>
        </is>
      </c>
      <c r="E664" s="1" t="n"/>
      <c r="F664" s="1" t="inlineStr">
        <is>
          <t>Closed</t>
        </is>
      </c>
      <c r="G664" s="8" t="inlineStr">
        <is>
          <t>Amiya Ranjan Behera</t>
        </is>
      </c>
      <c r="H664" s="8" t="n">
        <v>8917436223</v>
      </c>
      <c r="I664" s="10" t="inlineStr">
        <is>
          <t>PE06052602</t>
        </is>
      </c>
      <c r="J664" s="8" t="inlineStr">
        <is>
          <t>Diode Bypass Module Issue</t>
        </is>
      </c>
      <c r="K664" s="8" t="inlineStr">
        <is>
          <t>Bhavnagar</t>
        </is>
      </c>
      <c r="L664" s="8" t="inlineStr">
        <is>
          <t>Gujarat</t>
        </is>
      </c>
      <c r="M664" s="2" t="inlineStr">
        <is>
          <t>NR</t>
        </is>
      </c>
      <c r="N664" s="8" t="inlineStr">
        <is>
          <t>JB Issue</t>
        </is>
      </c>
      <c r="O664" s="11" t="n">
        <v>540</v>
      </c>
      <c r="P664" s="2" t="inlineStr">
        <is>
          <t>NSMP2305126437</t>
        </is>
      </c>
      <c r="Q664" s="14">
        <f>MID(P664,5,2)</f>
        <v/>
      </c>
      <c r="R664" s="14">
        <f>MID(P664,7,2)</f>
        <v/>
      </c>
      <c r="S664" s="1" t="inlineStr">
        <is>
          <t>G2B</t>
        </is>
      </c>
      <c r="T664" s="1" t="inlineStr">
        <is>
          <t>P2 - PEPPL</t>
        </is>
      </c>
      <c r="U664" s="6" t="inlineStr">
        <is>
          <t>N JB Issue</t>
        </is>
      </c>
      <c r="V664" s="6" t="inlineStr">
        <is>
          <t>JB Changed</t>
        </is>
      </c>
      <c r="W664" s="1" t="inlineStr">
        <is>
          <t>Repair</t>
        </is>
      </c>
      <c r="X664" s="5" t="n">
        <v>46178</v>
      </c>
      <c r="Y664" s="1">
        <f>IF(X664="","",X664-A664)</f>
        <v/>
      </c>
      <c r="Z664" s="5" t="n">
        <v>46178</v>
      </c>
      <c r="AA664" s="3" t="n"/>
      <c r="AB664" s="3" t="n"/>
      <c r="AE664" s="146">
        <f>IF(AND(F664="Closed",X664&gt;=DATE(2026,6,1),X664&lt;=DATE(2026,6,30)),"Closed in June","other")</f>
        <v/>
      </c>
    </row>
    <row r="665" hidden="1">
      <c r="A665" s="9" t="n">
        <v>46148</v>
      </c>
      <c r="B665" s="1" t="n">
        <v>2026</v>
      </c>
      <c r="C665" s="8" t="inlineStr">
        <is>
          <t>Continuum</t>
        </is>
      </c>
      <c r="D665" s="1" t="inlineStr">
        <is>
          <t>Utility and C&amp;I</t>
        </is>
      </c>
      <c r="E665" s="1" t="n"/>
      <c r="F665" s="1" t="inlineStr">
        <is>
          <t>Closed</t>
        </is>
      </c>
      <c r="G665" s="8" t="inlineStr">
        <is>
          <t>Amiya Ranjan Behera</t>
        </is>
      </c>
      <c r="H665" s="8" t="n">
        <v>8917436223</v>
      </c>
      <c r="I665" s="10" t="inlineStr">
        <is>
          <t>PE06052602</t>
        </is>
      </c>
      <c r="J665" s="8" t="inlineStr">
        <is>
          <t>Diode Bypass Module Issue</t>
        </is>
      </c>
      <c r="K665" s="8" t="inlineStr">
        <is>
          <t>Bhavnagar</t>
        </is>
      </c>
      <c r="L665" s="8" t="inlineStr">
        <is>
          <t>Gujarat</t>
        </is>
      </c>
      <c r="M665" s="2" t="inlineStr">
        <is>
          <t>PR</t>
        </is>
      </c>
      <c r="N665" s="1" t="inlineStr">
        <is>
          <t>JB Issue</t>
        </is>
      </c>
      <c r="O665" s="11" t="n">
        <v>540</v>
      </c>
      <c r="P665" s="2" t="inlineStr">
        <is>
          <t>NSMP2305123068</t>
        </is>
      </c>
      <c r="Q665" s="14">
        <f>MID(P665,5,2)</f>
        <v/>
      </c>
      <c r="R665" s="14">
        <f>MID(P665,7,2)</f>
        <v/>
      </c>
      <c r="S665" s="1" t="inlineStr">
        <is>
          <t>G2B</t>
        </is>
      </c>
      <c r="T665" s="1" t="inlineStr">
        <is>
          <t>P2 - PEPPL</t>
        </is>
      </c>
      <c r="U665" s="1" t="inlineStr">
        <is>
          <t>P JB Issue</t>
        </is>
      </c>
      <c r="V665" s="3" t="inlineStr">
        <is>
          <t>JB Changed</t>
        </is>
      </c>
      <c r="W665" s="1" t="inlineStr">
        <is>
          <t>Repair</t>
        </is>
      </c>
      <c r="X665" s="5" t="n">
        <v>46178</v>
      </c>
      <c r="Y665" s="1">
        <f>IF(X665="","",X665-A665)</f>
        <v/>
      </c>
      <c r="Z665" s="5" t="n">
        <v>46178</v>
      </c>
      <c r="AA665" s="3" t="n"/>
      <c r="AB665" s="3" t="n"/>
      <c r="AE665" s="146">
        <f>IF(AND(F665="Closed",X665&gt;=DATE(2026,6,1),X665&lt;=DATE(2026,6,30)),"Closed in June","other")</f>
        <v/>
      </c>
    </row>
    <row r="666" hidden="1">
      <c r="A666" s="9" t="n">
        <v>46148</v>
      </c>
      <c r="B666" s="1" t="n">
        <v>2026</v>
      </c>
      <c r="C666" s="8" t="inlineStr">
        <is>
          <t>Continuum</t>
        </is>
      </c>
      <c r="D666" s="1" t="inlineStr">
        <is>
          <t>Utility and C&amp;I</t>
        </is>
      </c>
      <c r="E666" s="1" t="n"/>
      <c r="F666" s="1" t="inlineStr">
        <is>
          <t>Closed</t>
        </is>
      </c>
      <c r="G666" s="8" t="inlineStr">
        <is>
          <t>Amiya Ranjan Behera</t>
        </is>
      </c>
      <c r="H666" s="8" t="n">
        <v>8917436223</v>
      </c>
      <c r="I666" s="10" t="inlineStr">
        <is>
          <t>PE06052602</t>
        </is>
      </c>
      <c r="J666" s="8" t="inlineStr">
        <is>
          <t>Diode Bypass Module Issue</t>
        </is>
      </c>
      <c r="K666" s="8" t="inlineStr">
        <is>
          <t>Bhavnagar</t>
        </is>
      </c>
      <c r="L666" s="8" t="inlineStr">
        <is>
          <t>Gujarat</t>
        </is>
      </c>
      <c r="M666" s="2" t="inlineStr">
        <is>
          <t>PS</t>
        </is>
      </c>
      <c r="N666" s="1" t="inlineStr">
        <is>
          <t>Cold Soldering</t>
        </is>
      </c>
      <c r="O666" s="11" t="n">
        <v>540</v>
      </c>
      <c r="P666" s="2" t="inlineStr">
        <is>
          <t>NSMP2305189237</t>
        </is>
      </c>
      <c r="Q666" s="14">
        <f>MID(P666,5,2)</f>
        <v/>
      </c>
      <c r="R666" s="14">
        <f>MID(P666,7,2)</f>
        <v/>
      </c>
      <c r="S666" s="1" t="inlineStr">
        <is>
          <t>G2B</t>
        </is>
      </c>
      <c r="T666" s="1" t="inlineStr">
        <is>
          <t>P2 - PEPPL</t>
        </is>
      </c>
      <c r="U666" s="1" t="inlineStr">
        <is>
          <t>P JB Cold Soldering</t>
        </is>
      </c>
      <c r="V666" s="1" t="inlineStr">
        <is>
          <t>Soldering</t>
        </is>
      </c>
      <c r="W666" s="1" t="inlineStr">
        <is>
          <t>Repair</t>
        </is>
      </c>
      <c r="X666" s="5" t="n">
        <v>46178</v>
      </c>
      <c r="Y666" s="1">
        <f>IF(X666="","",X666-A666)</f>
        <v/>
      </c>
      <c r="Z666" s="5" t="n">
        <v>46178</v>
      </c>
      <c r="AA666" s="3" t="n"/>
      <c r="AB666" s="3" t="n"/>
      <c r="AE666" s="146">
        <f>IF(AND(F666="Closed",X666&gt;=DATE(2026,6,1),X666&lt;=DATE(2026,6,30)),"Closed in June","other")</f>
        <v/>
      </c>
    </row>
    <row r="667" hidden="1">
      <c r="A667" s="9" t="n">
        <v>46148</v>
      </c>
      <c r="B667" s="1" t="n">
        <v>2026</v>
      </c>
      <c r="C667" s="8" t="inlineStr">
        <is>
          <t>Continuum</t>
        </is>
      </c>
      <c r="D667" s="1" t="inlineStr">
        <is>
          <t>Utility and C&amp;I</t>
        </is>
      </c>
      <c r="E667" s="1" t="n"/>
      <c r="F667" s="1" t="inlineStr">
        <is>
          <t>Closed</t>
        </is>
      </c>
      <c r="G667" s="8" t="inlineStr">
        <is>
          <t>Amiya Ranjan Behera</t>
        </is>
      </c>
      <c r="H667" s="8" t="n">
        <v>8917436223</v>
      </c>
      <c r="I667" s="10" t="inlineStr">
        <is>
          <t>PE06052602</t>
        </is>
      </c>
      <c r="J667" s="8" t="inlineStr">
        <is>
          <t>Diode Bypass Module Issue</t>
        </is>
      </c>
      <c r="K667" s="8" t="inlineStr">
        <is>
          <t>Bhavnagar</t>
        </is>
      </c>
      <c r="L667" s="8" t="inlineStr">
        <is>
          <t>Gujarat</t>
        </is>
      </c>
      <c r="M667" s="2" t="inlineStr">
        <is>
          <t>PR</t>
        </is>
      </c>
      <c r="N667" s="1" t="inlineStr">
        <is>
          <t>JB Issue</t>
        </is>
      </c>
      <c r="O667" s="11" t="n">
        <v>540</v>
      </c>
      <c r="P667" s="2" t="inlineStr">
        <is>
          <t>NSMP2305189278</t>
        </is>
      </c>
      <c r="Q667" s="14">
        <f>MID(P667,5,2)</f>
        <v/>
      </c>
      <c r="R667" s="14">
        <f>MID(P667,7,2)</f>
        <v/>
      </c>
      <c r="S667" s="1" t="inlineStr">
        <is>
          <t>G2B</t>
        </is>
      </c>
      <c r="T667" s="1" t="inlineStr">
        <is>
          <t>P2 - PEPPL</t>
        </is>
      </c>
      <c r="U667" s="1" t="inlineStr">
        <is>
          <t>P JB Issue</t>
        </is>
      </c>
      <c r="V667" s="3" t="inlineStr">
        <is>
          <t>JB Changed</t>
        </is>
      </c>
      <c r="W667" s="1" t="inlineStr">
        <is>
          <t>Repair</t>
        </is>
      </c>
      <c r="X667" s="5" t="n">
        <v>46178</v>
      </c>
      <c r="Y667" s="1">
        <f>IF(X667="","",X667-A667)</f>
        <v/>
      </c>
      <c r="Z667" s="5" t="n">
        <v>46178</v>
      </c>
      <c r="AA667" s="3" t="n"/>
      <c r="AB667" s="3" t="n"/>
      <c r="AE667" s="146">
        <f>IF(AND(F667="Closed",X667&gt;=DATE(2026,6,1),X667&lt;=DATE(2026,6,30)),"Closed in June","other")</f>
        <v/>
      </c>
    </row>
    <row r="668" hidden="1">
      <c r="A668" s="9" t="n">
        <v>46148</v>
      </c>
      <c r="B668" s="1" t="n">
        <v>2026</v>
      </c>
      <c r="C668" s="8" t="inlineStr">
        <is>
          <t>Continuum</t>
        </is>
      </c>
      <c r="D668" s="1" t="inlineStr">
        <is>
          <t>Utility and C&amp;I</t>
        </is>
      </c>
      <c r="E668" s="1" t="n"/>
      <c r="F668" s="1" t="inlineStr">
        <is>
          <t>Closed</t>
        </is>
      </c>
      <c r="G668" s="8" t="inlineStr">
        <is>
          <t>Amiya Ranjan Behera</t>
        </is>
      </c>
      <c r="H668" s="8" t="n">
        <v>8917436223</v>
      </c>
      <c r="I668" s="10" t="inlineStr">
        <is>
          <t>PE06052602</t>
        </is>
      </c>
      <c r="J668" s="8" t="inlineStr">
        <is>
          <t>Diode Bypass Module Issue</t>
        </is>
      </c>
      <c r="K668" s="8" t="inlineStr">
        <is>
          <t>Bhavnagar</t>
        </is>
      </c>
      <c r="L668" s="8" t="inlineStr">
        <is>
          <t>Gujarat</t>
        </is>
      </c>
      <c r="M668" s="2" t="inlineStr">
        <is>
          <t>PS</t>
        </is>
      </c>
      <c r="N668" s="1" t="inlineStr">
        <is>
          <t>Cold Soldering</t>
        </is>
      </c>
      <c r="O668" s="11" t="n">
        <v>540</v>
      </c>
      <c r="P668" s="2" t="inlineStr">
        <is>
          <t>NSMP2305189240</t>
        </is>
      </c>
      <c r="Q668" s="14">
        <f>MID(P668,5,2)</f>
        <v/>
      </c>
      <c r="R668" s="14">
        <f>MID(P668,7,2)</f>
        <v/>
      </c>
      <c r="S668" s="1" t="inlineStr">
        <is>
          <t>G2B</t>
        </is>
      </c>
      <c r="T668" s="1" t="inlineStr">
        <is>
          <t>P2 - PEPPL</t>
        </is>
      </c>
      <c r="U668" s="1" t="inlineStr">
        <is>
          <t>P JB Cold Soldering</t>
        </is>
      </c>
      <c r="V668" s="1" t="inlineStr">
        <is>
          <t>Soldering</t>
        </is>
      </c>
      <c r="W668" s="1" t="inlineStr">
        <is>
          <t>Repair</t>
        </is>
      </c>
      <c r="X668" s="5" t="n">
        <v>46178</v>
      </c>
      <c r="Y668" s="1">
        <f>IF(X668="","",X668-A668)</f>
        <v/>
      </c>
      <c r="Z668" s="5" t="n">
        <v>46178</v>
      </c>
      <c r="AA668" s="3" t="n"/>
      <c r="AB668" s="3" t="n"/>
      <c r="AE668" s="146">
        <f>IF(AND(F668="Closed",X668&gt;=DATE(2026,6,1),X668&lt;=DATE(2026,6,30)),"Closed in June","other")</f>
        <v/>
      </c>
    </row>
    <row r="669" hidden="1">
      <c r="A669" s="9" t="n">
        <v>46148</v>
      </c>
      <c r="B669" s="1" t="n">
        <v>2026</v>
      </c>
      <c r="C669" s="8" t="inlineStr">
        <is>
          <t>Continuum</t>
        </is>
      </c>
      <c r="D669" s="1" t="inlineStr">
        <is>
          <t>Utility and C&amp;I</t>
        </is>
      </c>
      <c r="E669" s="1" t="n"/>
      <c r="F669" s="1" t="inlineStr">
        <is>
          <t>Closed</t>
        </is>
      </c>
      <c r="G669" s="8" t="inlineStr">
        <is>
          <t>Amiya Ranjan Behera</t>
        </is>
      </c>
      <c r="H669" s="8" t="n">
        <v>8917436223</v>
      </c>
      <c r="I669" s="10" t="inlineStr">
        <is>
          <t>PE06052602</t>
        </is>
      </c>
      <c r="J669" s="8" t="inlineStr">
        <is>
          <t>Diode Bypass Module Issue</t>
        </is>
      </c>
      <c r="K669" s="8" t="inlineStr">
        <is>
          <t>Bhavnagar</t>
        </is>
      </c>
      <c r="L669" s="8" t="inlineStr">
        <is>
          <t>Gujarat</t>
        </is>
      </c>
      <c r="M669" s="2" t="inlineStr">
        <is>
          <t>OK</t>
        </is>
      </c>
      <c r="N669" s="2" t="inlineStr">
        <is>
          <t>No Issue Found</t>
        </is>
      </c>
      <c r="O669" s="11" t="n">
        <v>540</v>
      </c>
      <c r="P669" s="2" t="inlineStr">
        <is>
          <t>NSMP2305189343</t>
        </is>
      </c>
      <c r="Q669" s="14">
        <f>MID(P669,5,2)</f>
        <v/>
      </c>
      <c r="R669" s="14">
        <f>MID(P669,7,2)</f>
        <v/>
      </c>
      <c r="S669" s="1" t="inlineStr">
        <is>
          <t>G2B</t>
        </is>
      </c>
      <c r="T669" s="1" t="inlineStr">
        <is>
          <t>P2 - PEPPL</t>
        </is>
      </c>
      <c r="U669" s="6" t="inlineStr">
        <is>
          <t>No Issue Found</t>
        </is>
      </c>
      <c r="V669" s="6" t="inlineStr">
        <is>
          <t>Inspection</t>
        </is>
      </c>
      <c r="W669" s="1" t="inlineStr">
        <is>
          <t>Rejected</t>
        </is>
      </c>
      <c r="X669" s="5" t="n">
        <v>46178</v>
      </c>
      <c r="Y669" s="1">
        <f>IF(X669="","",X669-A669)</f>
        <v/>
      </c>
      <c r="Z669" s="5" t="n">
        <v>46178</v>
      </c>
      <c r="AA669" s="3" t="n"/>
      <c r="AB669" s="3" t="n"/>
      <c r="AE669" s="146">
        <f>IF(AND(F669="Closed",X669&gt;=DATE(2026,6,1),X669&lt;=DATE(2026,6,30)),"Closed in June","other")</f>
        <v/>
      </c>
    </row>
    <row r="670" hidden="1">
      <c r="A670" s="9" t="n">
        <v>46148</v>
      </c>
      <c r="B670" s="1" t="n">
        <v>2026</v>
      </c>
      <c r="C670" s="8" t="inlineStr">
        <is>
          <t>Continuum</t>
        </is>
      </c>
      <c r="D670" s="1" t="inlineStr">
        <is>
          <t>Utility and C&amp;I</t>
        </is>
      </c>
      <c r="E670" s="1" t="n"/>
      <c r="F670" s="1" t="inlineStr">
        <is>
          <t>Closed</t>
        </is>
      </c>
      <c r="G670" s="8" t="inlineStr">
        <is>
          <t>Amiya Ranjan Behera</t>
        </is>
      </c>
      <c r="H670" s="8" t="n">
        <v>8917436223</v>
      </c>
      <c r="I670" s="10" t="inlineStr">
        <is>
          <t>PE06052602</t>
        </is>
      </c>
      <c r="J670" s="8" t="inlineStr">
        <is>
          <t>Diode Bypass Module Issue</t>
        </is>
      </c>
      <c r="K670" s="8" t="inlineStr">
        <is>
          <t>Bhavnagar</t>
        </is>
      </c>
      <c r="L670" s="8" t="inlineStr">
        <is>
          <t>Gujarat</t>
        </is>
      </c>
      <c r="M670" s="2" t="inlineStr">
        <is>
          <t>NS</t>
        </is>
      </c>
      <c r="N670" s="8" t="inlineStr">
        <is>
          <t>Cold Soldering</t>
        </is>
      </c>
      <c r="O670" s="11" t="n">
        <v>540</v>
      </c>
      <c r="P670" s="2" t="inlineStr">
        <is>
          <t>NSMP2305189331</t>
        </is>
      </c>
      <c r="Q670" s="14">
        <f>MID(P670,5,2)</f>
        <v/>
      </c>
      <c r="R670" s="14">
        <f>MID(P670,7,2)</f>
        <v/>
      </c>
      <c r="S670" s="1" t="inlineStr">
        <is>
          <t>G2B</t>
        </is>
      </c>
      <c r="T670" s="1" t="inlineStr">
        <is>
          <t>P2 - PEPPL</t>
        </is>
      </c>
      <c r="U670" s="6" t="inlineStr">
        <is>
          <t>N JB Cold Soldering</t>
        </is>
      </c>
      <c r="V670" s="6" t="inlineStr">
        <is>
          <t>Soldering</t>
        </is>
      </c>
      <c r="W670" s="1" t="inlineStr">
        <is>
          <t>Repair</t>
        </is>
      </c>
      <c r="X670" s="5" t="n">
        <v>46178</v>
      </c>
      <c r="Y670" s="1">
        <f>IF(X670="","",X670-A670)</f>
        <v/>
      </c>
      <c r="Z670" s="5" t="n">
        <v>46178</v>
      </c>
      <c r="AA670" s="3" t="n"/>
      <c r="AB670" s="3" t="n"/>
      <c r="AE670" s="146">
        <f>IF(AND(F670="Closed",X670&gt;=DATE(2026,6,1),X670&lt;=DATE(2026,6,30)),"Closed in June","other")</f>
        <v/>
      </c>
    </row>
    <row r="671" hidden="1">
      <c r="A671" s="9" t="n">
        <v>46148</v>
      </c>
      <c r="B671" s="1" t="n">
        <v>2026</v>
      </c>
      <c r="C671" s="8" t="inlineStr">
        <is>
          <t>Continuum</t>
        </is>
      </c>
      <c r="D671" s="1" t="inlineStr">
        <is>
          <t>Utility and C&amp;I</t>
        </is>
      </c>
      <c r="E671" s="1" t="n"/>
      <c r="F671" s="1" t="inlineStr">
        <is>
          <t>Closed</t>
        </is>
      </c>
      <c r="G671" s="8" t="inlineStr">
        <is>
          <t>Amiya Ranjan Behera</t>
        </is>
      </c>
      <c r="H671" s="8" t="n">
        <v>8917436223</v>
      </c>
      <c r="I671" s="10" t="inlineStr">
        <is>
          <t>PE06052602</t>
        </is>
      </c>
      <c r="J671" s="8" t="inlineStr">
        <is>
          <t>Diode Bypass Module Issue</t>
        </is>
      </c>
      <c r="K671" s="8" t="inlineStr">
        <is>
          <t>Bhavnagar</t>
        </is>
      </c>
      <c r="L671" s="8" t="inlineStr">
        <is>
          <t>Gujarat</t>
        </is>
      </c>
      <c r="M671" s="2" t="inlineStr">
        <is>
          <t>PS</t>
        </is>
      </c>
      <c r="N671" s="1" t="inlineStr">
        <is>
          <t>Cold Soldering</t>
        </is>
      </c>
      <c r="O671" s="11" t="n">
        <v>540</v>
      </c>
      <c r="P671" s="2" t="inlineStr">
        <is>
          <t>NSMP2305189067</t>
        </is>
      </c>
      <c r="Q671" s="14">
        <f>MID(P671,5,2)</f>
        <v/>
      </c>
      <c r="R671" s="14">
        <f>MID(P671,7,2)</f>
        <v/>
      </c>
      <c r="S671" s="1" t="inlineStr">
        <is>
          <t>G2B</t>
        </is>
      </c>
      <c r="T671" s="1" t="inlineStr">
        <is>
          <t>P2 - PEPPL</t>
        </is>
      </c>
      <c r="U671" s="1" t="inlineStr">
        <is>
          <t>P JB Cold Soldering</t>
        </is>
      </c>
      <c r="V671" s="1" t="inlineStr">
        <is>
          <t>Soldering</t>
        </is>
      </c>
      <c r="W671" s="1" t="inlineStr">
        <is>
          <t>Repair</t>
        </is>
      </c>
      <c r="X671" s="5" t="n">
        <v>46178</v>
      </c>
      <c r="Y671" s="1">
        <f>IF(X671="","",X671-A671)</f>
        <v/>
      </c>
      <c r="Z671" s="5" t="n">
        <v>46178</v>
      </c>
      <c r="AA671" s="3" t="n"/>
      <c r="AB671" s="3" t="n"/>
      <c r="AE671" s="146">
        <f>IF(AND(F671="Closed",X671&gt;=DATE(2026,6,1),X671&lt;=DATE(2026,6,30)),"Closed in June","other")</f>
        <v/>
      </c>
    </row>
    <row r="672" hidden="1">
      <c r="A672" s="9" t="n">
        <v>46148</v>
      </c>
      <c r="B672" s="1" t="n">
        <v>2026</v>
      </c>
      <c r="C672" s="8" t="inlineStr">
        <is>
          <t>Continuum</t>
        </is>
      </c>
      <c r="D672" s="1" t="inlineStr">
        <is>
          <t>Utility and C&amp;I</t>
        </is>
      </c>
      <c r="E672" s="1" t="n"/>
      <c r="F672" s="1" t="inlineStr">
        <is>
          <t>Closed</t>
        </is>
      </c>
      <c r="G672" s="8" t="inlineStr">
        <is>
          <t>Amiya Ranjan Behera</t>
        </is>
      </c>
      <c r="H672" s="8" t="n">
        <v>8917436223</v>
      </c>
      <c r="I672" s="10" t="inlineStr">
        <is>
          <t>PE06052602</t>
        </is>
      </c>
      <c r="J672" s="8" t="inlineStr">
        <is>
          <t>Diode Bypass Module Issue</t>
        </is>
      </c>
      <c r="K672" s="8" t="inlineStr">
        <is>
          <t>Bhavnagar</t>
        </is>
      </c>
      <c r="L672" s="8" t="inlineStr">
        <is>
          <t>Gujarat</t>
        </is>
      </c>
      <c r="M672" s="2" t="inlineStr">
        <is>
          <t>PS</t>
        </is>
      </c>
      <c r="N672" s="1" t="inlineStr">
        <is>
          <t>Cold Soldering</t>
        </is>
      </c>
      <c r="O672" s="11" t="n">
        <v>540</v>
      </c>
      <c r="P672" s="2" t="inlineStr">
        <is>
          <t>NSMP2305189310</t>
        </is>
      </c>
      <c r="Q672" s="14">
        <f>MID(P672,5,2)</f>
        <v/>
      </c>
      <c r="R672" s="14">
        <f>MID(P672,7,2)</f>
        <v/>
      </c>
      <c r="S672" s="1" t="inlineStr">
        <is>
          <t>G2B</t>
        </is>
      </c>
      <c r="T672" s="1" t="inlineStr">
        <is>
          <t>P2 - PEPPL</t>
        </is>
      </c>
      <c r="U672" s="1" t="inlineStr">
        <is>
          <t>P JB Cold Soldering</t>
        </is>
      </c>
      <c r="V672" s="1" t="inlineStr">
        <is>
          <t>Soldering</t>
        </is>
      </c>
      <c r="W672" s="1" t="inlineStr">
        <is>
          <t>Repair</t>
        </is>
      </c>
      <c r="X672" s="5" t="n">
        <v>46178</v>
      </c>
      <c r="Y672" s="1">
        <f>IF(X672="","",X672-A672)</f>
        <v/>
      </c>
      <c r="Z672" s="5" t="n">
        <v>46178</v>
      </c>
      <c r="AA672" s="3" t="n"/>
      <c r="AB672" s="3" t="n"/>
      <c r="AE672" s="146">
        <f>IF(AND(F672="Closed",X672&gt;=DATE(2026,6,1),X672&lt;=DATE(2026,6,30)),"Closed in June","other")</f>
        <v/>
      </c>
    </row>
    <row r="673" hidden="1">
      <c r="A673" s="9" t="n">
        <v>46148</v>
      </c>
      <c r="B673" s="1" t="n">
        <v>2026</v>
      </c>
      <c r="C673" s="8" t="inlineStr">
        <is>
          <t>Continuum</t>
        </is>
      </c>
      <c r="D673" s="1" t="inlineStr">
        <is>
          <t>Utility and C&amp;I</t>
        </is>
      </c>
      <c r="E673" s="1" t="n"/>
      <c r="F673" s="1" t="inlineStr">
        <is>
          <t>Closed</t>
        </is>
      </c>
      <c r="G673" s="8" t="inlineStr">
        <is>
          <t>Amiya Ranjan Behera</t>
        </is>
      </c>
      <c r="H673" s="8" t="n">
        <v>8917436223</v>
      </c>
      <c r="I673" s="10" t="inlineStr">
        <is>
          <t>PE06052602</t>
        </is>
      </c>
      <c r="J673" s="8" t="inlineStr">
        <is>
          <t>Diode Bypass Module Issue</t>
        </is>
      </c>
      <c r="K673" s="8" t="inlineStr">
        <is>
          <t>Bhavnagar</t>
        </is>
      </c>
      <c r="L673" s="8" t="inlineStr">
        <is>
          <t>Gujarat</t>
        </is>
      </c>
      <c r="M673" s="2" t="inlineStr">
        <is>
          <t>PS</t>
        </is>
      </c>
      <c r="N673" s="1" t="inlineStr">
        <is>
          <t>Cold Soldering</t>
        </is>
      </c>
      <c r="O673" s="11" t="n">
        <v>540</v>
      </c>
      <c r="P673" s="2" t="inlineStr">
        <is>
          <t>NSMP2305189280</t>
        </is>
      </c>
      <c r="Q673" s="14">
        <f>MID(P673,5,2)</f>
        <v/>
      </c>
      <c r="R673" s="14">
        <f>MID(P673,7,2)</f>
        <v/>
      </c>
      <c r="S673" s="1" t="inlineStr">
        <is>
          <t>G2B</t>
        </is>
      </c>
      <c r="T673" s="1" t="inlineStr">
        <is>
          <t>P2 - PEPPL</t>
        </is>
      </c>
      <c r="U673" s="1" t="inlineStr">
        <is>
          <t>P JB Cold Soldering</t>
        </is>
      </c>
      <c r="V673" s="1" t="inlineStr">
        <is>
          <t>Soldering</t>
        </is>
      </c>
      <c r="W673" s="1" t="inlineStr">
        <is>
          <t>Repair</t>
        </is>
      </c>
      <c r="X673" s="5" t="n">
        <v>46178</v>
      </c>
      <c r="Y673" s="1">
        <f>IF(X673="","",X673-A673)</f>
        <v/>
      </c>
      <c r="Z673" s="5" t="n">
        <v>46178</v>
      </c>
      <c r="AA673" s="3" t="n"/>
      <c r="AB673" s="3" t="n"/>
      <c r="AE673" s="146">
        <f>IF(AND(F673="Closed",X673&gt;=DATE(2026,6,1),X673&lt;=DATE(2026,6,30)),"Closed in June","other")</f>
        <v/>
      </c>
    </row>
    <row r="674" hidden="1">
      <c r="A674" s="9" t="n">
        <v>46148</v>
      </c>
      <c r="B674" s="1" t="n">
        <v>2026</v>
      </c>
      <c r="C674" s="8" t="inlineStr">
        <is>
          <t>Continuum</t>
        </is>
      </c>
      <c r="D674" s="1" t="inlineStr">
        <is>
          <t>Utility and C&amp;I</t>
        </is>
      </c>
      <c r="E674" s="1" t="n"/>
      <c r="F674" s="1" t="inlineStr">
        <is>
          <t>Closed</t>
        </is>
      </c>
      <c r="G674" s="8" t="inlineStr">
        <is>
          <t>Amiya Ranjan Behera</t>
        </is>
      </c>
      <c r="H674" s="8" t="n">
        <v>8917436223</v>
      </c>
      <c r="I674" s="10" t="inlineStr">
        <is>
          <t>PE06052602</t>
        </is>
      </c>
      <c r="J674" s="8" t="inlineStr">
        <is>
          <t>Diode Bypass Module Issue</t>
        </is>
      </c>
      <c r="K674" s="8" t="inlineStr">
        <is>
          <t>Bhavnagar</t>
        </is>
      </c>
      <c r="L674" s="8" t="inlineStr">
        <is>
          <t>Gujarat</t>
        </is>
      </c>
      <c r="M674" s="2" t="inlineStr">
        <is>
          <t>PS</t>
        </is>
      </c>
      <c r="N674" s="1" t="inlineStr">
        <is>
          <t>Cold Soldering</t>
        </is>
      </c>
      <c r="O674" s="11" t="n">
        <v>540</v>
      </c>
      <c r="P674" s="2" t="inlineStr">
        <is>
          <t>NSMP2305189313</t>
        </is>
      </c>
      <c r="Q674" s="14">
        <f>MID(P674,5,2)</f>
        <v/>
      </c>
      <c r="R674" s="14">
        <f>MID(P674,7,2)</f>
        <v/>
      </c>
      <c r="S674" s="1" t="inlineStr">
        <is>
          <t>G2B</t>
        </is>
      </c>
      <c r="T674" s="1" t="inlineStr">
        <is>
          <t>P2 - PEPPL</t>
        </is>
      </c>
      <c r="U674" s="1" t="inlineStr">
        <is>
          <t>P JB Cold Soldering</t>
        </is>
      </c>
      <c r="V674" s="1" t="inlineStr">
        <is>
          <t>Soldering</t>
        </is>
      </c>
      <c r="W674" s="1" t="inlineStr">
        <is>
          <t>Repair</t>
        </is>
      </c>
      <c r="X674" s="5" t="n">
        <v>46178</v>
      </c>
      <c r="Y674" s="1">
        <f>IF(X674="","",X674-A674)</f>
        <v/>
      </c>
      <c r="Z674" s="5" t="n">
        <v>46178</v>
      </c>
      <c r="AA674" s="3" t="n"/>
      <c r="AB674" s="3" t="n"/>
      <c r="AE674" s="146">
        <f>IF(AND(F674="Closed",X674&gt;=DATE(2026,6,1),X674&lt;=DATE(2026,6,30)),"Closed in June","other")</f>
        <v/>
      </c>
    </row>
    <row r="675" hidden="1">
      <c r="A675" s="9" t="n">
        <v>46148</v>
      </c>
      <c r="B675" s="1" t="n">
        <v>2026</v>
      </c>
      <c r="C675" s="8" t="inlineStr">
        <is>
          <t>Continuum</t>
        </is>
      </c>
      <c r="D675" s="1" t="inlineStr">
        <is>
          <t>Utility and C&amp;I</t>
        </is>
      </c>
      <c r="E675" s="1" t="n"/>
      <c r="F675" s="1" t="inlineStr">
        <is>
          <t>Closed</t>
        </is>
      </c>
      <c r="G675" s="8" t="inlineStr">
        <is>
          <t>Amiya Ranjan Behera</t>
        </is>
      </c>
      <c r="H675" s="8" t="n">
        <v>8917436223</v>
      </c>
      <c r="I675" s="10" t="inlineStr">
        <is>
          <t>PE06052602</t>
        </is>
      </c>
      <c r="J675" s="8" t="inlineStr">
        <is>
          <t>Diode Bypass Module Issue</t>
        </is>
      </c>
      <c r="K675" s="8" t="inlineStr">
        <is>
          <t>Bhavnagar</t>
        </is>
      </c>
      <c r="L675" s="8" t="inlineStr">
        <is>
          <t>Gujarat</t>
        </is>
      </c>
      <c r="M675" s="2" t="inlineStr">
        <is>
          <t>PS</t>
        </is>
      </c>
      <c r="N675" s="1" t="inlineStr">
        <is>
          <t>Cold Soldering</t>
        </is>
      </c>
      <c r="O675" s="11" t="n">
        <v>540</v>
      </c>
      <c r="P675" s="2" t="inlineStr">
        <is>
          <t>NSMP2305189315</t>
        </is>
      </c>
      <c r="Q675" s="14">
        <f>MID(P675,5,2)</f>
        <v/>
      </c>
      <c r="R675" s="14">
        <f>MID(P675,7,2)</f>
        <v/>
      </c>
      <c r="S675" s="1" t="inlineStr">
        <is>
          <t>G2B</t>
        </is>
      </c>
      <c r="T675" s="1" t="inlineStr">
        <is>
          <t>P2 - PEPPL</t>
        </is>
      </c>
      <c r="U675" s="1" t="inlineStr">
        <is>
          <t>P JB Cold Soldering</t>
        </is>
      </c>
      <c r="V675" s="1" t="inlineStr">
        <is>
          <t>Soldering</t>
        </is>
      </c>
      <c r="W675" s="1" t="inlineStr">
        <is>
          <t>Repair</t>
        </is>
      </c>
      <c r="X675" s="5" t="n">
        <v>46178</v>
      </c>
      <c r="Y675" s="1">
        <f>IF(X675="","",X675-A675)</f>
        <v/>
      </c>
      <c r="Z675" s="5" t="n">
        <v>46178</v>
      </c>
      <c r="AA675" s="3" t="n"/>
      <c r="AB675" s="3" t="n"/>
      <c r="AE675" s="146">
        <f>IF(AND(F675="Closed",X675&gt;=DATE(2026,6,1),X675&lt;=DATE(2026,6,30)),"Closed in June","other")</f>
        <v/>
      </c>
    </row>
    <row r="676" hidden="1">
      <c r="A676" s="9" t="n">
        <v>46148</v>
      </c>
      <c r="B676" s="1" t="n">
        <v>2026</v>
      </c>
      <c r="C676" s="8" t="inlineStr">
        <is>
          <t>Continuum</t>
        </is>
      </c>
      <c r="D676" s="1" t="inlineStr">
        <is>
          <t>Utility and C&amp;I</t>
        </is>
      </c>
      <c r="E676" s="1" t="n"/>
      <c r="F676" s="1" t="inlineStr">
        <is>
          <t>Closed</t>
        </is>
      </c>
      <c r="G676" s="8" t="inlineStr">
        <is>
          <t>Amiya Ranjan Behera</t>
        </is>
      </c>
      <c r="H676" s="8" t="n">
        <v>8917436223</v>
      </c>
      <c r="I676" s="10" t="inlineStr">
        <is>
          <t>PE06052602</t>
        </is>
      </c>
      <c r="J676" s="8" t="inlineStr">
        <is>
          <t>Diode Bypass Module Issue</t>
        </is>
      </c>
      <c r="K676" s="8" t="inlineStr">
        <is>
          <t>Bhavnagar</t>
        </is>
      </c>
      <c r="L676" s="8" t="inlineStr">
        <is>
          <t>Gujarat</t>
        </is>
      </c>
      <c r="M676" s="2" t="inlineStr">
        <is>
          <t>NS</t>
        </is>
      </c>
      <c r="N676" s="8" t="inlineStr">
        <is>
          <t>Cold Soldering</t>
        </is>
      </c>
      <c r="O676" s="11" t="n">
        <v>540</v>
      </c>
      <c r="P676" s="2" t="inlineStr">
        <is>
          <t>NSMP2305172671</t>
        </is>
      </c>
      <c r="Q676" s="14">
        <f>MID(P676,5,2)</f>
        <v/>
      </c>
      <c r="R676" s="14">
        <f>MID(P676,7,2)</f>
        <v/>
      </c>
      <c r="S676" s="1" t="inlineStr">
        <is>
          <t>G2B</t>
        </is>
      </c>
      <c r="T676" s="1" t="inlineStr">
        <is>
          <t>P2 - PEPPL</t>
        </is>
      </c>
      <c r="U676" s="6" t="inlineStr">
        <is>
          <t>N JB Cold Soldering</t>
        </is>
      </c>
      <c r="V676" s="6" t="inlineStr">
        <is>
          <t>Soldering</t>
        </is>
      </c>
      <c r="W676" s="1" t="inlineStr">
        <is>
          <t>Repair</t>
        </is>
      </c>
      <c r="X676" s="5" t="n">
        <v>46178</v>
      </c>
      <c r="Y676" s="1">
        <f>IF(X676="","",X676-A676)</f>
        <v/>
      </c>
      <c r="Z676" s="5" t="n">
        <v>46178</v>
      </c>
      <c r="AA676" s="3" t="n"/>
      <c r="AB676" s="3" t="n"/>
      <c r="AE676" s="146">
        <f>IF(AND(F676="Closed",X676&gt;=DATE(2026,6,1),X676&lt;=DATE(2026,6,30)),"Closed in June","other")</f>
        <v/>
      </c>
    </row>
    <row r="677" hidden="1">
      <c r="A677" s="9" t="n">
        <v>46148</v>
      </c>
      <c r="B677" s="1" t="n">
        <v>2026</v>
      </c>
      <c r="C677" s="8" t="inlineStr">
        <is>
          <t>Continuum</t>
        </is>
      </c>
      <c r="D677" s="1" t="inlineStr">
        <is>
          <t>Utility and C&amp;I</t>
        </is>
      </c>
      <c r="E677" s="1" t="n"/>
      <c r="F677" s="1" t="inlineStr">
        <is>
          <t>Closed</t>
        </is>
      </c>
      <c r="G677" s="8" t="inlineStr">
        <is>
          <t>Amiya Ranjan Behera</t>
        </is>
      </c>
      <c r="H677" s="8" t="n">
        <v>8917436223</v>
      </c>
      <c r="I677" s="10" t="inlineStr">
        <is>
          <t>PE06052602</t>
        </is>
      </c>
      <c r="J677" s="8" t="inlineStr">
        <is>
          <t>Diode Bypass Module Issue</t>
        </is>
      </c>
      <c r="K677" s="8" t="inlineStr">
        <is>
          <t>Bhavnagar</t>
        </is>
      </c>
      <c r="L677" s="8" t="inlineStr">
        <is>
          <t>Gujarat</t>
        </is>
      </c>
      <c r="M677" s="2" t="inlineStr">
        <is>
          <t>OK</t>
        </is>
      </c>
      <c r="N677" s="2" t="inlineStr">
        <is>
          <t>No Issue Found</t>
        </is>
      </c>
      <c r="O677" s="11" t="n">
        <v>540</v>
      </c>
      <c r="P677" s="2" t="inlineStr">
        <is>
          <t>NSMP2305172594</t>
        </is>
      </c>
      <c r="Q677" s="14">
        <f>MID(P677,5,2)</f>
        <v/>
      </c>
      <c r="R677" s="14">
        <f>MID(P677,7,2)</f>
        <v/>
      </c>
      <c r="S677" s="1" t="inlineStr">
        <is>
          <t>G2B</t>
        </is>
      </c>
      <c r="T677" s="1" t="inlineStr">
        <is>
          <t>P2 - PEPPL</t>
        </is>
      </c>
      <c r="U677" s="6" t="inlineStr">
        <is>
          <t>No Issue Found</t>
        </is>
      </c>
      <c r="V677" s="6" t="inlineStr">
        <is>
          <t>Inspection</t>
        </is>
      </c>
      <c r="W677" s="1" t="inlineStr">
        <is>
          <t>Rejected</t>
        </is>
      </c>
      <c r="X677" s="5" t="n">
        <v>46178</v>
      </c>
      <c r="Y677" s="1">
        <f>IF(X677="","",X677-A677)</f>
        <v/>
      </c>
      <c r="Z677" s="5" t="n">
        <v>46178</v>
      </c>
      <c r="AA677" s="3" t="n"/>
      <c r="AB677" s="3" t="n"/>
      <c r="AE677" s="146">
        <f>IF(AND(F677="Closed",X677&gt;=DATE(2026,6,1),X677&lt;=DATE(2026,6,30)),"Closed in June","other")</f>
        <v/>
      </c>
    </row>
    <row r="678" hidden="1">
      <c r="A678" s="9" t="n">
        <v>46148</v>
      </c>
      <c r="B678" s="1" t="n">
        <v>2026</v>
      </c>
      <c r="C678" s="8" t="inlineStr">
        <is>
          <t>Continuum</t>
        </is>
      </c>
      <c r="D678" s="1" t="inlineStr">
        <is>
          <t>Utility and C&amp;I</t>
        </is>
      </c>
      <c r="E678" s="1" t="n"/>
      <c r="F678" s="1" t="inlineStr">
        <is>
          <t>Closed</t>
        </is>
      </c>
      <c r="G678" s="8" t="inlineStr">
        <is>
          <t>Amiya Ranjan Behera</t>
        </is>
      </c>
      <c r="H678" s="8" t="n">
        <v>8917436223</v>
      </c>
      <c r="I678" s="10" t="inlineStr">
        <is>
          <t>PE06052602</t>
        </is>
      </c>
      <c r="J678" s="8" t="inlineStr">
        <is>
          <t>Diode Bypass Module Issue</t>
        </is>
      </c>
      <c r="K678" s="8" t="inlineStr">
        <is>
          <t>Bhavnagar</t>
        </is>
      </c>
      <c r="L678" s="8" t="inlineStr">
        <is>
          <t>Gujarat</t>
        </is>
      </c>
      <c r="M678" s="2" t="inlineStr">
        <is>
          <t>PS</t>
        </is>
      </c>
      <c r="N678" s="1" t="inlineStr">
        <is>
          <t>Cold Soldering</t>
        </is>
      </c>
      <c r="O678" s="11" t="n">
        <v>540</v>
      </c>
      <c r="P678" s="2" t="inlineStr">
        <is>
          <t>NSMP2305172849</t>
        </is>
      </c>
      <c r="Q678" s="14">
        <f>MID(P678,5,2)</f>
        <v/>
      </c>
      <c r="R678" s="14">
        <f>MID(P678,7,2)</f>
        <v/>
      </c>
      <c r="S678" s="1" t="inlineStr">
        <is>
          <t>G2B</t>
        </is>
      </c>
      <c r="T678" s="1" t="inlineStr">
        <is>
          <t>P2 - PEPPL</t>
        </is>
      </c>
      <c r="U678" s="1" t="inlineStr">
        <is>
          <t>P JB Cold Soldering</t>
        </is>
      </c>
      <c r="V678" s="1" t="inlineStr">
        <is>
          <t>Soldering</t>
        </is>
      </c>
      <c r="W678" s="1" t="inlineStr">
        <is>
          <t>Repair</t>
        </is>
      </c>
      <c r="X678" s="5" t="n">
        <v>46178</v>
      </c>
      <c r="Y678" s="1">
        <f>IF(X678="","",X678-A678)</f>
        <v/>
      </c>
      <c r="Z678" s="5" t="n">
        <v>46178</v>
      </c>
      <c r="AA678" s="3" t="n"/>
      <c r="AB678" s="3" t="n"/>
      <c r="AE678" s="146">
        <f>IF(AND(F678="Closed",X678&gt;=DATE(2026,6,1),X678&lt;=DATE(2026,6,30)),"Closed in June","other")</f>
        <v/>
      </c>
    </row>
    <row r="679" hidden="1">
      <c r="A679" s="9" t="n">
        <v>46148</v>
      </c>
      <c r="B679" s="1" t="n">
        <v>2026</v>
      </c>
      <c r="C679" s="8" t="inlineStr">
        <is>
          <t>Continuum</t>
        </is>
      </c>
      <c r="D679" s="1" t="inlineStr">
        <is>
          <t>Utility and C&amp;I</t>
        </is>
      </c>
      <c r="E679" s="1" t="n"/>
      <c r="F679" s="1" t="inlineStr">
        <is>
          <t>Closed</t>
        </is>
      </c>
      <c r="G679" s="8" t="inlineStr">
        <is>
          <t>Amiya Ranjan Behera</t>
        </is>
      </c>
      <c r="H679" s="8" t="n">
        <v>8917436223</v>
      </c>
      <c r="I679" s="10" t="inlineStr">
        <is>
          <t>PE06052602</t>
        </is>
      </c>
      <c r="J679" s="8" t="inlineStr">
        <is>
          <t>Diode Bypass Module Issue</t>
        </is>
      </c>
      <c r="K679" s="8" t="inlineStr">
        <is>
          <t>Bhavnagar</t>
        </is>
      </c>
      <c r="L679" s="8" t="inlineStr">
        <is>
          <t>Gujarat</t>
        </is>
      </c>
      <c r="M679" s="2" t="inlineStr">
        <is>
          <t>NS</t>
        </is>
      </c>
      <c r="N679" s="8" t="inlineStr">
        <is>
          <t>Cold Soldering</t>
        </is>
      </c>
      <c r="O679" s="11" t="n">
        <v>540</v>
      </c>
      <c r="P679" s="2" t="inlineStr">
        <is>
          <t>NSMP2305126400</t>
        </is>
      </c>
      <c r="Q679" s="14">
        <f>MID(P679,5,2)</f>
        <v/>
      </c>
      <c r="R679" s="14">
        <f>MID(P679,7,2)</f>
        <v/>
      </c>
      <c r="S679" s="1" t="inlineStr">
        <is>
          <t>G2B</t>
        </is>
      </c>
      <c r="T679" s="1" t="inlineStr">
        <is>
          <t>P2 - PEPPL</t>
        </is>
      </c>
      <c r="U679" s="6" t="inlineStr">
        <is>
          <t>N JB Cold Soldering</t>
        </is>
      </c>
      <c r="V679" s="6" t="inlineStr">
        <is>
          <t>Soldering</t>
        </is>
      </c>
      <c r="W679" s="1" t="inlineStr">
        <is>
          <t>Repair</t>
        </is>
      </c>
      <c r="X679" s="5" t="n">
        <v>46178</v>
      </c>
      <c r="Y679" s="1">
        <f>IF(X679="","",X679-A679)</f>
        <v/>
      </c>
      <c r="Z679" s="5" t="n">
        <v>46178</v>
      </c>
      <c r="AA679" s="3" t="n"/>
      <c r="AB679" s="3" t="n"/>
      <c r="AE679" s="146">
        <f>IF(AND(F679="Closed",X679&gt;=DATE(2026,6,1),X679&lt;=DATE(2026,6,30)),"Closed in June","other")</f>
        <v/>
      </c>
    </row>
    <row r="680" hidden="1">
      <c r="A680" s="9" t="n">
        <v>46148</v>
      </c>
      <c r="B680" s="1" t="n">
        <v>2026</v>
      </c>
      <c r="C680" s="8" t="inlineStr">
        <is>
          <t>Continuum</t>
        </is>
      </c>
      <c r="D680" s="1" t="inlineStr">
        <is>
          <t>Utility and C&amp;I</t>
        </is>
      </c>
      <c r="E680" s="1" t="n"/>
      <c r="F680" s="1" t="inlineStr">
        <is>
          <t>Closed</t>
        </is>
      </c>
      <c r="G680" s="8" t="inlineStr">
        <is>
          <t>Amiya Ranjan Behera</t>
        </is>
      </c>
      <c r="H680" s="8" t="n">
        <v>8917436223</v>
      </c>
      <c r="I680" s="10" t="inlineStr">
        <is>
          <t>PE06052602</t>
        </is>
      </c>
      <c r="J680" s="8" t="inlineStr">
        <is>
          <t>Diode Bypass Module Issue</t>
        </is>
      </c>
      <c r="K680" s="8" t="inlineStr">
        <is>
          <t>Bhavnagar</t>
        </is>
      </c>
      <c r="L680" s="8" t="inlineStr">
        <is>
          <t>Gujarat</t>
        </is>
      </c>
      <c r="M680" s="2" t="inlineStr">
        <is>
          <t>PS</t>
        </is>
      </c>
      <c r="N680" s="1" t="inlineStr">
        <is>
          <t>Cold Soldering</t>
        </is>
      </c>
      <c r="O680" s="11" t="n">
        <v>540</v>
      </c>
      <c r="P680" s="2" t="inlineStr">
        <is>
          <t>NSMP2305132946</t>
        </is>
      </c>
      <c r="Q680" s="14">
        <f>MID(P680,5,2)</f>
        <v/>
      </c>
      <c r="R680" s="14">
        <f>MID(P680,7,2)</f>
        <v/>
      </c>
      <c r="S680" s="1" t="inlineStr">
        <is>
          <t>G2B</t>
        </is>
      </c>
      <c r="T680" s="1" t="inlineStr">
        <is>
          <t>P2 - PEPPL</t>
        </is>
      </c>
      <c r="U680" s="1" t="inlineStr">
        <is>
          <t>P JB Cold Soldering</t>
        </is>
      </c>
      <c r="V680" s="1" t="inlineStr">
        <is>
          <t>Soldering</t>
        </is>
      </c>
      <c r="W680" s="1" t="inlineStr">
        <is>
          <t>Repair</t>
        </is>
      </c>
      <c r="X680" s="5" t="n">
        <v>46178</v>
      </c>
      <c r="Y680" s="1">
        <f>IF(X680="","",X680-A680)</f>
        <v/>
      </c>
      <c r="Z680" s="5" t="n">
        <v>46178</v>
      </c>
      <c r="AA680" s="3" t="n"/>
      <c r="AB680" s="3" t="n"/>
      <c r="AE680" s="146">
        <f>IF(AND(F680="Closed",X680&gt;=DATE(2026,6,1),X680&lt;=DATE(2026,6,30)),"Closed in June","other")</f>
        <v/>
      </c>
    </row>
    <row r="681" hidden="1">
      <c r="A681" s="9" t="n">
        <v>46148</v>
      </c>
      <c r="B681" s="1" t="n">
        <v>2026</v>
      </c>
      <c r="C681" s="8" t="inlineStr">
        <is>
          <t>Continuum</t>
        </is>
      </c>
      <c r="D681" s="1" t="inlineStr">
        <is>
          <t>Utility and C&amp;I</t>
        </is>
      </c>
      <c r="E681" s="1" t="n"/>
      <c r="F681" s="1" t="inlineStr">
        <is>
          <t>Closed</t>
        </is>
      </c>
      <c r="G681" s="8" t="inlineStr">
        <is>
          <t>Amiya Ranjan Behera</t>
        </is>
      </c>
      <c r="H681" s="8" t="n">
        <v>8917436223</v>
      </c>
      <c r="I681" s="10" t="inlineStr">
        <is>
          <t>PE06052602</t>
        </is>
      </c>
      <c r="J681" s="8" t="inlineStr">
        <is>
          <t>Diode Bypass Module Issue</t>
        </is>
      </c>
      <c r="K681" s="8" t="inlineStr">
        <is>
          <t>Bhavnagar</t>
        </is>
      </c>
      <c r="L681" s="8" t="inlineStr">
        <is>
          <t>Gujarat</t>
        </is>
      </c>
      <c r="M681" s="2" t="inlineStr">
        <is>
          <t>NS</t>
        </is>
      </c>
      <c r="N681" s="8" t="inlineStr">
        <is>
          <t>Cold Soldering</t>
        </is>
      </c>
      <c r="O681" s="11" t="n">
        <v>540</v>
      </c>
      <c r="P681" s="2" t="inlineStr">
        <is>
          <t>NSMP2305132721</t>
        </is>
      </c>
      <c r="Q681" s="14">
        <f>MID(P681,5,2)</f>
        <v/>
      </c>
      <c r="R681" s="14">
        <f>MID(P681,7,2)</f>
        <v/>
      </c>
      <c r="S681" s="1" t="inlineStr">
        <is>
          <t>G2B</t>
        </is>
      </c>
      <c r="T681" s="1" t="inlineStr">
        <is>
          <t>P2 - PEPPL</t>
        </is>
      </c>
      <c r="U681" s="6" t="inlineStr">
        <is>
          <t>N JB Cold Soldering</t>
        </is>
      </c>
      <c r="V681" s="6" t="inlineStr">
        <is>
          <t>Soldering</t>
        </is>
      </c>
      <c r="W681" s="1" t="inlineStr">
        <is>
          <t>Repair</t>
        </is>
      </c>
      <c r="X681" s="5" t="n">
        <v>46178</v>
      </c>
      <c r="Y681" s="1">
        <f>IF(X681="","",X681-A681)</f>
        <v/>
      </c>
      <c r="Z681" s="5" t="n">
        <v>46178</v>
      </c>
      <c r="AA681" s="3" t="n"/>
      <c r="AB681" s="3" t="n"/>
      <c r="AE681" s="146">
        <f>IF(AND(F681="Closed",X681&gt;=DATE(2026,6,1),X681&lt;=DATE(2026,6,30)),"Closed in June","other")</f>
        <v/>
      </c>
    </row>
    <row r="682" hidden="1">
      <c r="A682" s="9" t="n">
        <v>46148</v>
      </c>
      <c r="B682" s="1" t="n">
        <v>2026</v>
      </c>
      <c r="C682" s="8" t="inlineStr">
        <is>
          <t>Continuum</t>
        </is>
      </c>
      <c r="D682" s="1" t="inlineStr">
        <is>
          <t>Utility and C&amp;I</t>
        </is>
      </c>
      <c r="E682" s="1" t="n"/>
      <c r="F682" s="1" t="inlineStr">
        <is>
          <t>Closed</t>
        </is>
      </c>
      <c r="G682" s="8" t="inlineStr">
        <is>
          <t>Amiya Ranjan Behera</t>
        </is>
      </c>
      <c r="H682" s="8" t="n">
        <v>8917436223</v>
      </c>
      <c r="I682" s="10" t="inlineStr">
        <is>
          <t>PE06052602</t>
        </is>
      </c>
      <c r="J682" s="8" t="inlineStr">
        <is>
          <t>Diode Bypass Module Issue</t>
        </is>
      </c>
      <c r="K682" s="8" t="inlineStr">
        <is>
          <t>Bhavnagar</t>
        </is>
      </c>
      <c r="L682" s="8" t="inlineStr">
        <is>
          <t>Gujarat</t>
        </is>
      </c>
      <c r="M682" s="2" t="inlineStr">
        <is>
          <t>OK</t>
        </is>
      </c>
      <c r="N682" s="2" t="inlineStr">
        <is>
          <t>No Issue Found</t>
        </is>
      </c>
      <c r="O682" s="11" t="n">
        <v>540</v>
      </c>
      <c r="P682" s="2" t="inlineStr">
        <is>
          <t>NSMP2305127881</t>
        </is>
      </c>
      <c r="Q682" s="14">
        <f>MID(P682,5,2)</f>
        <v/>
      </c>
      <c r="R682" s="14">
        <f>MID(P682,7,2)</f>
        <v/>
      </c>
      <c r="S682" s="1" t="inlineStr">
        <is>
          <t>G2B</t>
        </is>
      </c>
      <c r="T682" s="1" t="inlineStr">
        <is>
          <t>P2 - PEPPL</t>
        </is>
      </c>
      <c r="U682" s="6" t="inlineStr">
        <is>
          <t>No Issue Found</t>
        </is>
      </c>
      <c r="V682" s="6" t="inlineStr">
        <is>
          <t>Inspection</t>
        </is>
      </c>
      <c r="W682" s="1" t="inlineStr">
        <is>
          <t>Rejected</t>
        </is>
      </c>
      <c r="X682" s="5" t="n">
        <v>46178</v>
      </c>
      <c r="Y682" s="1">
        <f>IF(X682="","",X682-A682)</f>
        <v/>
      </c>
      <c r="Z682" s="5" t="n">
        <v>46178</v>
      </c>
      <c r="AA682" s="3" t="n"/>
      <c r="AB682" s="3" t="n"/>
      <c r="AE682" s="146">
        <f>IF(AND(F682="Closed",X682&gt;=DATE(2026,6,1),X682&lt;=DATE(2026,6,30)),"Closed in June","other")</f>
        <v/>
      </c>
    </row>
    <row r="683" hidden="1">
      <c r="A683" s="9" t="n">
        <v>46148</v>
      </c>
      <c r="B683" s="1" t="n">
        <v>2026</v>
      </c>
      <c r="C683" s="8" t="inlineStr">
        <is>
          <t>Continuum</t>
        </is>
      </c>
      <c r="D683" s="1" t="inlineStr">
        <is>
          <t>Utility and C&amp;I</t>
        </is>
      </c>
      <c r="E683" s="1" t="n"/>
      <c r="F683" s="1" t="inlineStr">
        <is>
          <t>Closed</t>
        </is>
      </c>
      <c r="G683" s="8" t="inlineStr">
        <is>
          <t>Amiya Ranjan Behera</t>
        </is>
      </c>
      <c r="H683" s="8" t="n">
        <v>8917436223</v>
      </c>
      <c r="I683" s="10" t="inlineStr">
        <is>
          <t>PE06052602</t>
        </is>
      </c>
      <c r="J683" s="8" t="inlineStr">
        <is>
          <t>Diode Bypass Module Issue</t>
        </is>
      </c>
      <c r="K683" s="8" t="inlineStr">
        <is>
          <t>Bhavnagar</t>
        </is>
      </c>
      <c r="L683" s="8" t="inlineStr">
        <is>
          <t>Gujarat</t>
        </is>
      </c>
      <c r="M683" s="2" t="inlineStr">
        <is>
          <t>NS</t>
        </is>
      </c>
      <c r="N683" s="8" t="inlineStr">
        <is>
          <t>Cold Soldering</t>
        </is>
      </c>
      <c r="O683" s="11" t="n">
        <v>540</v>
      </c>
      <c r="P683" s="2" t="inlineStr">
        <is>
          <t>NSMP2305128103</t>
        </is>
      </c>
      <c r="Q683" s="14">
        <f>MID(P683,5,2)</f>
        <v/>
      </c>
      <c r="R683" s="14">
        <f>MID(P683,7,2)</f>
        <v/>
      </c>
      <c r="S683" s="1" t="inlineStr">
        <is>
          <t>G2B</t>
        </is>
      </c>
      <c r="T683" s="1" t="inlineStr">
        <is>
          <t>P2 - PEPPL</t>
        </is>
      </c>
      <c r="U683" s="6" t="inlineStr">
        <is>
          <t>N JB Cold Soldering</t>
        </is>
      </c>
      <c r="V683" s="6" t="inlineStr">
        <is>
          <t>Soldering</t>
        </is>
      </c>
      <c r="W683" s="1" t="inlineStr">
        <is>
          <t>Repair</t>
        </is>
      </c>
      <c r="X683" s="5" t="n">
        <v>46178</v>
      </c>
      <c r="Y683" s="1">
        <f>IF(X683="","",X683-A683)</f>
        <v/>
      </c>
      <c r="Z683" s="5" t="n">
        <v>46178</v>
      </c>
      <c r="AA683" s="3" t="n"/>
      <c r="AB683" s="3" t="n"/>
      <c r="AE683" s="146">
        <f>IF(AND(F683="Closed",X683&gt;=DATE(2026,6,1),X683&lt;=DATE(2026,6,30)),"Closed in June","other")</f>
        <v/>
      </c>
    </row>
    <row r="684" hidden="1">
      <c r="A684" s="9" t="n">
        <v>46148</v>
      </c>
      <c r="B684" s="1" t="n">
        <v>2026</v>
      </c>
      <c r="C684" s="8" t="inlineStr">
        <is>
          <t>Continuum</t>
        </is>
      </c>
      <c r="D684" s="1" t="inlineStr">
        <is>
          <t>Utility and C&amp;I</t>
        </is>
      </c>
      <c r="E684" s="1" t="n"/>
      <c r="F684" s="1" t="inlineStr">
        <is>
          <t>Closed</t>
        </is>
      </c>
      <c r="G684" s="8" t="inlineStr">
        <is>
          <t>Amiya Ranjan Behera</t>
        </is>
      </c>
      <c r="H684" s="8" t="n">
        <v>8917436223</v>
      </c>
      <c r="I684" s="10" t="inlineStr">
        <is>
          <t>PE06052602</t>
        </is>
      </c>
      <c r="J684" s="8" t="inlineStr">
        <is>
          <t>Diode Bypass Module Issue</t>
        </is>
      </c>
      <c r="K684" s="8" t="inlineStr">
        <is>
          <t>Bhavnagar</t>
        </is>
      </c>
      <c r="L684" s="8" t="inlineStr">
        <is>
          <t>Gujarat</t>
        </is>
      </c>
      <c r="M684" s="2" t="inlineStr">
        <is>
          <t>OK</t>
        </is>
      </c>
      <c r="N684" s="2" t="inlineStr">
        <is>
          <t>No Issue Found</t>
        </is>
      </c>
      <c r="O684" s="11" t="n">
        <v>540</v>
      </c>
      <c r="P684" s="2" t="inlineStr">
        <is>
          <t>NSMP2305127989</t>
        </is>
      </c>
      <c r="Q684" s="14">
        <f>MID(P684,5,2)</f>
        <v/>
      </c>
      <c r="R684" s="14">
        <f>MID(P684,7,2)</f>
        <v/>
      </c>
      <c r="S684" s="1" t="inlineStr">
        <is>
          <t>G2B</t>
        </is>
      </c>
      <c r="T684" s="1" t="inlineStr">
        <is>
          <t>P2 - PEPPL</t>
        </is>
      </c>
      <c r="U684" s="6" t="inlineStr">
        <is>
          <t>No Issue Found</t>
        </is>
      </c>
      <c r="V684" s="6" t="inlineStr">
        <is>
          <t>Inspection</t>
        </is>
      </c>
      <c r="W684" s="1" t="inlineStr">
        <is>
          <t>Rejected</t>
        </is>
      </c>
      <c r="X684" s="5" t="n">
        <v>46178</v>
      </c>
      <c r="Y684" s="1">
        <f>IF(X684="","",X684-A684)</f>
        <v/>
      </c>
      <c r="Z684" s="5" t="n">
        <v>46178</v>
      </c>
      <c r="AA684" s="3" t="n"/>
      <c r="AB684" s="3" t="n"/>
      <c r="AE684" s="146">
        <f>IF(AND(F684="Closed",X684&gt;=DATE(2026,6,1),X684&lt;=DATE(2026,6,30)),"Closed in June","other")</f>
        <v/>
      </c>
    </row>
    <row r="685" hidden="1">
      <c r="A685" s="9" t="n">
        <v>46148</v>
      </c>
      <c r="B685" s="1" t="n">
        <v>2026</v>
      </c>
      <c r="C685" s="8" t="inlineStr">
        <is>
          <t>Continuum</t>
        </is>
      </c>
      <c r="D685" s="1" t="inlineStr">
        <is>
          <t>Utility and C&amp;I</t>
        </is>
      </c>
      <c r="E685" s="1" t="n"/>
      <c r="F685" s="1" t="inlineStr">
        <is>
          <t>Closed</t>
        </is>
      </c>
      <c r="G685" s="8" t="inlineStr">
        <is>
          <t>Amiya Ranjan Behera</t>
        </is>
      </c>
      <c r="H685" s="8" t="n">
        <v>8917436223</v>
      </c>
      <c r="I685" s="10" t="inlineStr">
        <is>
          <t>PE06052602</t>
        </is>
      </c>
      <c r="J685" s="8" t="inlineStr">
        <is>
          <t>Diode Bypass Module Issue</t>
        </is>
      </c>
      <c r="K685" s="8" t="inlineStr">
        <is>
          <t>Bhavnagar</t>
        </is>
      </c>
      <c r="L685" s="8" t="inlineStr">
        <is>
          <t>Gujarat</t>
        </is>
      </c>
      <c r="M685" s="2" t="inlineStr">
        <is>
          <t>NS</t>
        </is>
      </c>
      <c r="N685" s="8" t="inlineStr">
        <is>
          <t>Cold Soldering</t>
        </is>
      </c>
      <c r="O685" s="11" t="n">
        <v>540</v>
      </c>
      <c r="P685" s="2" t="inlineStr">
        <is>
          <t>NSMP2305131627</t>
        </is>
      </c>
      <c r="Q685" s="14">
        <f>MID(P685,5,2)</f>
        <v/>
      </c>
      <c r="R685" s="14">
        <f>MID(P685,7,2)</f>
        <v/>
      </c>
      <c r="S685" s="1" t="inlineStr">
        <is>
          <t>G2B</t>
        </is>
      </c>
      <c r="T685" s="1" t="inlineStr">
        <is>
          <t>P2 - PEPPL</t>
        </is>
      </c>
      <c r="U685" s="6" t="inlineStr">
        <is>
          <t>N JB Cold Soldering</t>
        </is>
      </c>
      <c r="V685" s="6" t="inlineStr">
        <is>
          <t>Soldering</t>
        </is>
      </c>
      <c r="W685" s="1" t="inlineStr">
        <is>
          <t>Repair</t>
        </is>
      </c>
      <c r="X685" s="5" t="n">
        <v>46178</v>
      </c>
      <c r="Y685" s="1">
        <f>IF(X685="","",X685-A685)</f>
        <v/>
      </c>
      <c r="Z685" s="5" t="n">
        <v>46178</v>
      </c>
      <c r="AA685" s="3" t="n"/>
      <c r="AB685" s="3" t="n"/>
      <c r="AE685" s="146">
        <f>IF(AND(F685="Closed",X685&gt;=DATE(2026,6,1),X685&lt;=DATE(2026,6,30)),"Closed in June","other")</f>
        <v/>
      </c>
    </row>
    <row r="686" hidden="1">
      <c r="A686" s="9" t="n">
        <v>46148</v>
      </c>
      <c r="B686" s="1" t="n">
        <v>2026</v>
      </c>
      <c r="C686" s="8" t="inlineStr">
        <is>
          <t>Continuum</t>
        </is>
      </c>
      <c r="D686" s="1" t="inlineStr">
        <is>
          <t>Utility and C&amp;I</t>
        </is>
      </c>
      <c r="E686" s="1" t="n"/>
      <c r="F686" s="1" t="inlineStr">
        <is>
          <t>Closed</t>
        </is>
      </c>
      <c r="G686" s="8" t="inlineStr">
        <is>
          <t>Amiya Ranjan Behera</t>
        </is>
      </c>
      <c r="H686" s="8" t="n">
        <v>8917436223</v>
      </c>
      <c r="I686" s="10" t="inlineStr">
        <is>
          <t>PE06052602</t>
        </is>
      </c>
      <c r="J686" s="8" t="inlineStr">
        <is>
          <t>Diode Bypass Module Issue</t>
        </is>
      </c>
      <c r="K686" s="8" t="inlineStr">
        <is>
          <t>Bhavnagar</t>
        </is>
      </c>
      <c r="L686" s="8" t="inlineStr">
        <is>
          <t>Gujarat</t>
        </is>
      </c>
      <c r="M686" s="2" t="inlineStr">
        <is>
          <t>PS</t>
        </is>
      </c>
      <c r="N686" s="1" t="inlineStr">
        <is>
          <t>Cold Soldering</t>
        </is>
      </c>
      <c r="O686" s="11" t="n">
        <v>540</v>
      </c>
      <c r="P686" s="2" t="inlineStr">
        <is>
          <t>NSMP2305133229</t>
        </is>
      </c>
      <c r="Q686" s="14">
        <f>MID(P686,5,2)</f>
        <v/>
      </c>
      <c r="R686" s="14">
        <f>MID(P686,7,2)</f>
        <v/>
      </c>
      <c r="S686" s="1" t="inlineStr">
        <is>
          <t>G2B</t>
        </is>
      </c>
      <c r="T686" s="1" t="inlineStr">
        <is>
          <t>P2 - PEPPL</t>
        </is>
      </c>
      <c r="U686" s="1" t="inlineStr">
        <is>
          <t>P JB Cold Soldering</t>
        </is>
      </c>
      <c r="V686" s="1" t="inlineStr">
        <is>
          <t>Soldering</t>
        </is>
      </c>
      <c r="W686" s="1" t="inlineStr">
        <is>
          <t>Repair</t>
        </is>
      </c>
      <c r="X686" s="5" t="n">
        <v>46178</v>
      </c>
      <c r="Y686" s="1">
        <f>IF(X686="","",X686-A686)</f>
        <v/>
      </c>
      <c r="Z686" s="5" t="n">
        <v>46178</v>
      </c>
      <c r="AA686" s="3" t="n"/>
      <c r="AB686" s="3" t="n"/>
      <c r="AE686" s="146">
        <f>IF(AND(F686="Closed",X686&gt;=DATE(2026,6,1),X686&lt;=DATE(2026,6,30)),"Closed in June","other")</f>
        <v/>
      </c>
    </row>
    <row r="687" hidden="1">
      <c r="A687" s="9" t="n">
        <v>46148</v>
      </c>
      <c r="B687" s="1" t="n">
        <v>2026</v>
      </c>
      <c r="C687" s="8" t="inlineStr">
        <is>
          <t>Continuum</t>
        </is>
      </c>
      <c r="D687" s="1" t="inlineStr">
        <is>
          <t>Utility and C&amp;I</t>
        </is>
      </c>
      <c r="E687" s="1" t="n"/>
      <c r="F687" s="1" t="inlineStr">
        <is>
          <t>Closed</t>
        </is>
      </c>
      <c r="G687" s="8" t="inlineStr">
        <is>
          <t>Amiya Ranjan Behera</t>
        </is>
      </c>
      <c r="H687" s="8" t="n">
        <v>8917436223</v>
      </c>
      <c r="I687" s="10" t="inlineStr">
        <is>
          <t>PE06052602</t>
        </is>
      </c>
      <c r="J687" s="8" t="inlineStr">
        <is>
          <t>Diode Bypass Module Issue</t>
        </is>
      </c>
      <c r="K687" s="8" t="inlineStr">
        <is>
          <t>Bhavnagar</t>
        </is>
      </c>
      <c r="L687" s="8" t="inlineStr">
        <is>
          <t>Gujarat</t>
        </is>
      </c>
      <c r="M687" s="2" t="inlineStr">
        <is>
          <t>NS</t>
        </is>
      </c>
      <c r="N687" s="8" t="inlineStr">
        <is>
          <t>Cold Soldering</t>
        </is>
      </c>
      <c r="O687" s="11" t="n">
        <v>540</v>
      </c>
      <c r="P687" s="2" t="inlineStr">
        <is>
          <t>NSMP2305132943</t>
        </is>
      </c>
      <c r="Q687" s="14">
        <f>MID(P687,5,2)</f>
        <v/>
      </c>
      <c r="R687" s="14">
        <f>MID(P687,7,2)</f>
        <v/>
      </c>
      <c r="S687" s="1" t="inlineStr">
        <is>
          <t>G2B</t>
        </is>
      </c>
      <c r="T687" s="1" t="inlineStr">
        <is>
          <t>P2 - PEPPL</t>
        </is>
      </c>
      <c r="U687" s="6" t="inlineStr">
        <is>
          <t>N JB Cold Soldering</t>
        </is>
      </c>
      <c r="V687" s="6" t="inlineStr">
        <is>
          <t>Soldering</t>
        </is>
      </c>
      <c r="W687" s="1" t="inlineStr">
        <is>
          <t>Repair</t>
        </is>
      </c>
      <c r="X687" s="5" t="n">
        <v>46178</v>
      </c>
      <c r="Y687" s="1">
        <f>IF(X687="","",X687-A687)</f>
        <v/>
      </c>
      <c r="Z687" s="5" t="n">
        <v>46178</v>
      </c>
      <c r="AA687" s="3" t="n"/>
      <c r="AB687" s="3" t="n"/>
      <c r="AE687" s="146">
        <f>IF(AND(F687="Closed",X687&gt;=DATE(2026,6,1),X687&lt;=DATE(2026,6,30)),"Closed in June","other")</f>
        <v/>
      </c>
    </row>
    <row r="688" hidden="1">
      <c r="A688" s="9" t="n">
        <v>46148</v>
      </c>
      <c r="B688" s="1" t="n">
        <v>2026</v>
      </c>
      <c r="C688" s="8" t="inlineStr">
        <is>
          <t>Continuum</t>
        </is>
      </c>
      <c r="D688" s="1" t="inlineStr">
        <is>
          <t>Utility and C&amp;I</t>
        </is>
      </c>
      <c r="E688" s="1" t="n"/>
      <c r="F688" s="1" t="inlineStr">
        <is>
          <t>Closed</t>
        </is>
      </c>
      <c r="G688" s="8" t="inlineStr">
        <is>
          <t>Amiya Ranjan Behera</t>
        </is>
      </c>
      <c r="H688" s="8" t="n">
        <v>8917436223</v>
      </c>
      <c r="I688" s="10" t="inlineStr">
        <is>
          <t>PE06052602</t>
        </is>
      </c>
      <c r="J688" s="8" t="inlineStr">
        <is>
          <t>Diode Bypass Module Issue</t>
        </is>
      </c>
      <c r="K688" s="8" t="inlineStr">
        <is>
          <t>Bhavnagar</t>
        </is>
      </c>
      <c r="L688" s="8" t="inlineStr">
        <is>
          <t>Gujarat</t>
        </is>
      </c>
      <c r="M688" s="2" t="inlineStr">
        <is>
          <t>PS</t>
        </is>
      </c>
      <c r="N688" s="1" t="inlineStr">
        <is>
          <t>Cold Soldering</t>
        </is>
      </c>
      <c r="O688" s="11" t="n">
        <v>540</v>
      </c>
      <c r="P688" s="2" t="inlineStr">
        <is>
          <t>NSMP2305189713</t>
        </is>
      </c>
      <c r="Q688" s="14">
        <f>MID(P688,5,2)</f>
        <v/>
      </c>
      <c r="R688" s="14">
        <f>MID(P688,7,2)</f>
        <v/>
      </c>
      <c r="S688" s="1" t="inlineStr">
        <is>
          <t>G2B</t>
        </is>
      </c>
      <c r="T688" s="1" t="inlineStr">
        <is>
          <t>P2 - PEPPL</t>
        </is>
      </c>
      <c r="U688" s="1" t="inlineStr">
        <is>
          <t>P JB Cold Soldering</t>
        </is>
      </c>
      <c r="V688" s="1" t="inlineStr">
        <is>
          <t>Soldering</t>
        </is>
      </c>
      <c r="W688" s="1" t="inlineStr">
        <is>
          <t>Repair</t>
        </is>
      </c>
      <c r="X688" s="5" t="n">
        <v>46178</v>
      </c>
      <c r="Y688" s="1">
        <f>IF(X688="","",X688-A688)</f>
        <v/>
      </c>
      <c r="Z688" s="5" t="n">
        <v>46178</v>
      </c>
      <c r="AA688" s="3" t="n"/>
      <c r="AB688" s="3" t="n"/>
      <c r="AE688" s="146">
        <f>IF(AND(F688="Closed",X688&gt;=DATE(2026,6,1),X688&lt;=DATE(2026,6,30)),"Closed in June","other")</f>
        <v/>
      </c>
    </row>
    <row r="689" hidden="1">
      <c r="A689" s="9" t="n">
        <v>46148</v>
      </c>
      <c r="B689" s="1" t="n">
        <v>2026</v>
      </c>
      <c r="C689" s="8" t="inlineStr">
        <is>
          <t>Continuum</t>
        </is>
      </c>
      <c r="D689" s="1" t="inlineStr">
        <is>
          <t>Utility and C&amp;I</t>
        </is>
      </c>
      <c r="E689" s="1" t="n"/>
      <c r="F689" s="1" t="inlineStr">
        <is>
          <t>Closed</t>
        </is>
      </c>
      <c r="G689" s="8" t="inlineStr">
        <is>
          <t>Amiya Ranjan Behera</t>
        </is>
      </c>
      <c r="H689" s="8" t="n">
        <v>8917436223</v>
      </c>
      <c r="I689" s="10" t="inlineStr">
        <is>
          <t>PE06052602</t>
        </is>
      </c>
      <c r="J689" s="8" t="inlineStr">
        <is>
          <t>Diode Bypass Module Issue</t>
        </is>
      </c>
      <c r="K689" s="8" t="inlineStr">
        <is>
          <t>Bhavnagar</t>
        </is>
      </c>
      <c r="L689" s="8" t="inlineStr">
        <is>
          <t>Gujarat</t>
        </is>
      </c>
      <c r="M689" s="2" t="inlineStr">
        <is>
          <t>PS</t>
        </is>
      </c>
      <c r="N689" s="1" t="inlineStr">
        <is>
          <t>Cold Soldering</t>
        </is>
      </c>
      <c r="O689" s="11" t="n">
        <v>540</v>
      </c>
      <c r="P689" s="2" t="inlineStr">
        <is>
          <t>NSMP2305131522</t>
        </is>
      </c>
      <c r="Q689" s="14">
        <f>MID(P689,5,2)</f>
        <v/>
      </c>
      <c r="R689" s="14">
        <f>MID(P689,7,2)</f>
        <v/>
      </c>
      <c r="S689" s="1" t="inlineStr">
        <is>
          <t>G2B</t>
        </is>
      </c>
      <c r="T689" s="1" t="inlineStr">
        <is>
          <t>P2 - PEPPL</t>
        </is>
      </c>
      <c r="U689" s="1" t="inlineStr">
        <is>
          <t>P JB Cold Soldering</t>
        </is>
      </c>
      <c r="V689" s="1" t="inlineStr">
        <is>
          <t>Soldering</t>
        </is>
      </c>
      <c r="W689" s="1" t="inlineStr">
        <is>
          <t>Repair</t>
        </is>
      </c>
      <c r="X689" s="5" t="n">
        <v>46178</v>
      </c>
      <c r="Y689" s="1">
        <f>IF(X689="","",X689-A689)</f>
        <v/>
      </c>
      <c r="Z689" s="5" t="n">
        <v>46178</v>
      </c>
      <c r="AA689" s="3" t="n"/>
      <c r="AB689" s="3" t="n"/>
      <c r="AE689" s="146">
        <f>IF(AND(F689="Closed",X689&gt;=DATE(2026,6,1),X689&lt;=DATE(2026,6,30)),"Closed in June","other")</f>
        <v/>
      </c>
    </row>
    <row r="690" hidden="1">
      <c r="A690" s="9" t="n">
        <v>46148</v>
      </c>
      <c r="B690" s="1" t="n">
        <v>2026</v>
      </c>
      <c r="C690" s="8" t="inlineStr">
        <is>
          <t>Continuum</t>
        </is>
      </c>
      <c r="D690" s="1" t="inlineStr">
        <is>
          <t>Utility and C&amp;I</t>
        </is>
      </c>
      <c r="E690" s="1" t="n"/>
      <c r="F690" s="1" t="inlineStr">
        <is>
          <t>Closed</t>
        </is>
      </c>
      <c r="G690" s="8" t="inlineStr">
        <is>
          <t>Amiya Ranjan Behera</t>
        </is>
      </c>
      <c r="H690" s="8" t="n">
        <v>8917436223</v>
      </c>
      <c r="I690" s="10" t="inlineStr">
        <is>
          <t>PE06052602</t>
        </is>
      </c>
      <c r="J690" s="8" t="inlineStr">
        <is>
          <t>Diode Bypass Module Issue</t>
        </is>
      </c>
      <c r="K690" s="8" t="inlineStr">
        <is>
          <t>Bhavnagar</t>
        </is>
      </c>
      <c r="L690" s="8" t="inlineStr">
        <is>
          <t>Gujarat</t>
        </is>
      </c>
      <c r="M690" s="2" t="inlineStr">
        <is>
          <t>NS</t>
        </is>
      </c>
      <c r="N690" s="8" t="inlineStr">
        <is>
          <t>Cold Soldering</t>
        </is>
      </c>
      <c r="O690" s="11" t="n">
        <v>540</v>
      </c>
      <c r="P690" s="2" t="inlineStr">
        <is>
          <t>NSMP2305198263</t>
        </is>
      </c>
      <c r="Q690" s="14">
        <f>MID(P690,5,2)</f>
        <v/>
      </c>
      <c r="R690" s="14">
        <f>MID(P690,7,2)</f>
        <v/>
      </c>
      <c r="S690" s="1" t="inlineStr">
        <is>
          <t>G2B</t>
        </is>
      </c>
      <c r="T690" s="1" t="inlineStr">
        <is>
          <t>P2 - PEPPL</t>
        </is>
      </c>
      <c r="U690" s="6" t="inlineStr">
        <is>
          <t>N JB Cold Soldering</t>
        </is>
      </c>
      <c r="V690" s="6" t="inlineStr">
        <is>
          <t>Soldering</t>
        </is>
      </c>
      <c r="W690" s="1" t="inlineStr">
        <is>
          <t>Repair</t>
        </is>
      </c>
      <c r="X690" s="5" t="n">
        <v>46178</v>
      </c>
      <c r="Y690" s="1">
        <f>IF(X690="","",X690-A690)</f>
        <v/>
      </c>
      <c r="Z690" s="5" t="n">
        <v>46178</v>
      </c>
      <c r="AA690" s="3" t="n"/>
      <c r="AB690" s="3" t="n"/>
      <c r="AE690" s="146">
        <f>IF(AND(F690="Closed",X690&gt;=DATE(2026,6,1),X690&lt;=DATE(2026,6,30)),"Closed in June","other")</f>
        <v/>
      </c>
    </row>
    <row r="691" hidden="1">
      <c r="A691" s="9" t="n">
        <v>46148</v>
      </c>
      <c r="B691" s="1" t="n">
        <v>2026</v>
      </c>
      <c r="C691" s="8" t="inlineStr">
        <is>
          <t>Continuum</t>
        </is>
      </c>
      <c r="D691" s="1" t="inlineStr">
        <is>
          <t>Utility and C&amp;I</t>
        </is>
      </c>
      <c r="E691" s="1" t="n"/>
      <c r="F691" s="1" t="inlineStr">
        <is>
          <t>Closed</t>
        </is>
      </c>
      <c r="G691" s="8" t="inlineStr">
        <is>
          <t>Amiya Ranjan Behera</t>
        </is>
      </c>
      <c r="H691" s="8" t="n">
        <v>8917436223</v>
      </c>
      <c r="I691" s="10" t="inlineStr">
        <is>
          <t>PE06052602</t>
        </is>
      </c>
      <c r="J691" s="8" t="inlineStr">
        <is>
          <t>Diode Bypass Module Issue</t>
        </is>
      </c>
      <c r="K691" s="8" t="inlineStr">
        <is>
          <t>Bhavnagar</t>
        </is>
      </c>
      <c r="L691" s="8" t="inlineStr">
        <is>
          <t>Gujarat</t>
        </is>
      </c>
      <c r="M691" s="2" t="inlineStr">
        <is>
          <t>NS</t>
        </is>
      </c>
      <c r="N691" s="8" t="inlineStr">
        <is>
          <t>Cold Soldering</t>
        </is>
      </c>
      <c r="O691" s="11" t="n">
        <v>540</v>
      </c>
      <c r="P691" s="2" t="inlineStr">
        <is>
          <t>NSMP2305182262</t>
        </is>
      </c>
      <c r="Q691" s="14">
        <f>MID(P691,5,2)</f>
        <v/>
      </c>
      <c r="R691" s="14">
        <f>MID(P691,7,2)</f>
        <v/>
      </c>
      <c r="S691" s="1" t="inlineStr">
        <is>
          <t>G2B</t>
        </is>
      </c>
      <c r="T691" s="1" t="inlineStr">
        <is>
          <t>P2 - PEPPL</t>
        </is>
      </c>
      <c r="U691" s="6" t="inlineStr">
        <is>
          <t>N JB Cold Soldering</t>
        </is>
      </c>
      <c r="V691" s="6" t="inlineStr">
        <is>
          <t>Soldering</t>
        </is>
      </c>
      <c r="W691" s="1" t="inlineStr">
        <is>
          <t>Repair</t>
        </is>
      </c>
      <c r="X691" s="5" t="n">
        <v>46178</v>
      </c>
      <c r="Y691" s="1">
        <f>IF(X691="","",X691-A691)</f>
        <v/>
      </c>
      <c r="Z691" s="5" t="n">
        <v>46178</v>
      </c>
      <c r="AA691" s="3" t="n"/>
      <c r="AB691" s="3" t="n"/>
      <c r="AE691" s="146">
        <f>IF(AND(F691="Closed",X691&gt;=DATE(2026,6,1),X691&lt;=DATE(2026,6,30)),"Closed in June","other")</f>
        <v/>
      </c>
    </row>
    <row r="692" hidden="1">
      <c r="A692" s="9" t="n">
        <v>46148</v>
      </c>
      <c r="B692" s="1" t="n">
        <v>2026</v>
      </c>
      <c r="C692" s="8" t="inlineStr">
        <is>
          <t>Continuum</t>
        </is>
      </c>
      <c r="D692" s="1" t="inlineStr">
        <is>
          <t>Utility and C&amp;I</t>
        </is>
      </c>
      <c r="E692" s="1" t="n"/>
      <c r="F692" s="1" t="inlineStr">
        <is>
          <t>Closed</t>
        </is>
      </c>
      <c r="G692" s="8" t="inlineStr">
        <is>
          <t>Amiya Ranjan Behera</t>
        </is>
      </c>
      <c r="H692" s="8" t="n">
        <v>8917436223</v>
      </c>
      <c r="I692" s="10" t="inlineStr">
        <is>
          <t>PE06052602</t>
        </is>
      </c>
      <c r="J692" s="8" t="inlineStr">
        <is>
          <t>Diode Bypass Module Issue</t>
        </is>
      </c>
      <c r="K692" s="8" t="inlineStr">
        <is>
          <t>Bhavnagar</t>
        </is>
      </c>
      <c r="L692" s="8" t="inlineStr">
        <is>
          <t>Gujarat</t>
        </is>
      </c>
      <c r="M692" s="2" t="inlineStr">
        <is>
          <t>NS</t>
        </is>
      </c>
      <c r="N692" s="8" t="inlineStr">
        <is>
          <t>Cold Soldering</t>
        </is>
      </c>
      <c r="O692" s="11" t="n">
        <v>540</v>
      </c>
      <c r="P692" s="2" t="inlineStr">
        <is>
          <t>NSMP2305182213</t>
        </is>
      </c>
      <c r="Q692" s="14">
        <f>MID(P692,5,2)</f>
        <v/>
      </c>
      <c r="R692" s="14">
        <f>MID(P692,7,2)</f>
        <v/>
      </c>
      <c r="S692" s="1" t="inlineStr">
        <is>
          <t>G2B</t>
        </is>
      </c>
      <c r="T692" s="1" t="inlineStr">
        <is>
          <t>P2 - PEPPL</t>
        </is>
      </c>
      <c r="U692" s="6" t="inlineStr">
        <is>
          <t>N JB Cold Soldering</t>
        </is>
      </c>
      <c r="V692" s="6" t="inlineStr">
        <is>
          <t>Soldering</t>
        </is>
      </c>
      <c r="W692" s="1" t="inlineStr">
        <is>
          <t>Repair</t>
        </is>
      </c>
      <c r="X692" s="5" t="n">
        <v>46178</v>
      </c>
      <c r="Y692" s="1">
        <f>IF(X692="","",X692-A692)</f>
        <v/>
      </c>
      <c r="Z692" s="5" t="n">
        <v>46178</v>
      </c>
      <c r="AA692" s="3" t="n"/>
      <c r="AB692" s="3" t="n"/>
      <c r="AE692" s="146">
        <f>IF(AND(F692="Closed",X692&gt;=DATE(2026,6,1),X692&lt;=DATE(2026,6,30)),"Closed in June","other")</f>
        <v/>
      </c>
    </row>
    <row r="693" hidden="1">
      <c r="A693" s="9" t="n">
        <v>46148</v>
      </c>
      <c r="B693" s="1" t="n">
        <v>2026</v>
      </c>
      <c r="C693" s="8" t="inlineStr">
        <is>
          <t>Continuum</t>
        </is>
      </c>
      <c r="D693" s="1" t="inlineStr">
        <is>
          <t>Utility and C&amp;I</t>
        </is>
      </c>
      <c r="E693" s="1" t="n"/>
      <c r="F693" s="1" t="inlineStr">
        <is>
          <t>Closed</t>
        </is>
      </c>
      <c r="G693" s="8" t="inlineStr">
        <is>
          <t>Amiya Ranjan Behera</t>
        </is>
      </c>
      <c r="H693" s="8" t="n">
        <v>8917436223</v>
      </c>
      <c r="I693" s="10" t="inlineStr">
        <is>
          <t>PE06052602</t>
        </is>
      </c>
      <c r="J693" s="8" t="inlineStr">
        <is>
          <t>Diode Bypass Module Issue</t>
        </is>
      </c>
      <c r="K693" s="8" t="inlineStr">
        <is>
          <t>Bhavnagar</t>
        </is>
      </c>
      <c r="L693" s="8" t="inlineStr">
        <is>
          <t>Gujarat</t>
        </is>
      </c>
      <c r="M693" s="2" t="inlineStr">
        <is>
          <t>NS</t>
        </is>
      </c>
      <c r="N693" s="8" t="inlineStr">
        <is>
          <t>Cold Soldering</t>
        </is>
      </c>
      <c r="O693" s="11" t="n">
        <v>540</v>
      </c>
      <c r="P693" s="2" t="inlineStr">
        <is>
          <t>NSMP2305182221</t>
        </is>
      </c>
      <c r="Q693" s="14">
        <f>MID(P693,5,2)</f>
        <v/>
      </c>
      <c r="R693" s="14">
        <f>MID(P693,7,2)</f>
        <v/>
      </c>
      <c r="S693" s="1" t="inlineStr">
        <is>
          <t>G2B</t>
        </is>
      </c>
      <c r="T693" s="1" t="inlineStr">
        <is>
          <t>P2 - PEPPL</t>
        </is>
      </c>
      <c r="U693" s="6" t="inlineStr">
        <is>
          <t>N JB Cold Soldering</t>
        </is>
      </c>
      <c r="V693" s="6" t="inlineStr">
        <is>
          <t>Soldering</t>
        </is>
      </c>
      <c r="W693" s="1" t="inlineStr">
        <is>
          <t>Repair</t>
        </is>
      </c>
      <c r="X693" s="5" t="n">
        <v>46178</v>
      </c>
      <c r="Y693" s="1">
        <f>IF(X693="","",X693-A693)</f>
        <v/>
      </c>
      <c r="Z693" s="5" t="n">
        <v>46178</v>
      </c>
      <c r="AA693" s="3" t="n"/>
      <c r="AB693" s="3" t="n"/>
      <c r="AE693" s="146">
        <f>IF(AND(F693="Closed",X693&gt;=DATE(2026,6,1),X693&lt;=DATE(2026,6,30)),"Closed in June","other")</f>
        <v/>
      </c>
    </row>
    <row r="694" hidden="1">
      <c r="A694" s="9" t="n">
        <v>46148</v>
      </c>
      <c r="B694" s="1" t="n">
        <v>2026</v>
      </c>
      <c r="C694" s="8" t="inlineStr">
        <is>
          <t>Continuum</t>
        </is>
      </c>
      <c r="D694" s="1" t="inlineStr">
        <is>
          <t>Utility and C&amp;I</t>
        </is>
      </c>
      <c r="E694" s="1" t="n"/>
      <c r="F694" s="1" t="inlineStr">
        <is>
          <t>Closed</t>
        </is>
      </c>
      <c r="G694" s="8" t="inlineStr">
        <is>
          <t>Amiya Ranjan Behera</t>
        </is>
      </c>
      <c r="H694" s="8" t="n">
        <v>8917436223</v>
      </c>
      <c r="I694" s="10" t="inlineStr">
        <is>
          <t>PE06052602</t>
        </is>
      </c>
      <c r="J694" s="8" t="inlineStr">
        <is>
          <t>Diode Bypass Module Issue</t>
        </is>
      </c>
      <c r="K694" s="8" t="inlineStr">
        <is>
          <t>Bhavnagar</t>
        </is>
      </c>
      <c r="L694" s="8" t="inlineStr">
        <is>
          <t>Gujarat</t>
        </is>
      </c>
      <c r="M694" s="2" t="inlineStr">
        <is>
          <t>NS</t>
        </is>
      </c>
      <c r="N694" s="8" t="inlineStr">
        <is>
          <t>Cold Soldering</t>
        </is>
      </c>
      <c r="O694" s="11" t="n">
        <v>540</v>
      </c>
      <c r="P694" s="2" t="inlineStr">
        <is>
          <t>NSMP2305182026</t>
        </is>
      </c>
      <c r="Q694" s="14">
        <f>MID(P694,5,2)</f>
        <v/>
      </c>
      <c r="R694" s="14">
        <f>MID(P694,7,2)</f>
        <v/>
      </c>
      <c r="S694" s="1" t="inlineStr">
        <is>
          <t>G2B</t>
        </is>
      </c>
      <c r="T694" s="1" t="inlineStr">
        <is>
          <t>P2 - PEPPL</t>
        </is>
      </c>
      <c r="U694" s="6" t="inlineStr">
        <is>
          <t>N JB Cold Soldering</t>
        </is>
      </c>
      <c r="V694" s="6" t="inlineStr">
        <is>
          <t>Soldering</t>
        </is>
      </c>
      <c r="W694" s="1" t="inlineStr">
        <is>
          <t>Repair</t>
        </is>
      </c>
      <c r="X694" s="5" t="n">
        <v>46178</v>
      </c>
      <c r="Y694" s="1">
        <f>IF(X694="","",X694-A694)</f>
        <v/>
      </c>
      <c r="Z694" s="5" t="n">
        <v>46178</v>
      </c>
      <c r="AA694" s="3" t="n"/>
      <c r="AB694" s="3" t="n"/>
      <c r="AE694" s="146">
        <f>IF(AND(F694="Closed",X694&gt;=DATE(2026,6,1),X694&lt;=DATE(2026,6,30)),"Closed in June","other")</f>
        <v/>
      </c>
    </row>
    <row r="695" hidden="1">
      <c r="A695" s="9" t="n">
        <v>46148</v>
      </c>
      <c r="B695" s="1" t="n">
        <v>2026</v>
      </c>
      <c r="C695" s="8" t="inlineStr">
        <is>
          <t>Continuum</t>
        </is>
      </c>
      <c r="D695" s="1" t="inlineStr">
        <is>
          <t>Utility and C&amp;I</t>
        </is>
      </c>
      <c r="E695" s="1" t="n"/>
      <c r="F695" s="1" t="inlineStr">
        <is>
          <t>Closed</t>
        </is>
      </c>
      <c r="G695" s="8" t="inlineStr">
        <is>
          <t>Amiya Ranjan Behera</t>
        </is>
      </c>
      <c r="H695" s="8" t="n">
        <v>8917436223</v>
      </c>
      <c r="I695" s="10" t="inlineStr">
        <is>
          <t>PE06052602</t>
        </is>
      </c>
      <c r="J695" s="8" t="inlineStr">
        <is>
          <t>Diode Bypass Module Issue</t>
        </is>
      </c>
      <c r="K695" s="8" t="inlineStr">
        <is>
          <t>Bhavnagar</t>
        </is>
      </c>
      <c r="L695" s="8" t="inlineStr">
        <is>
          <t>Gujarat</t>
        </is>
      </c>
      <c r="M695" s="2" t="inlineStr">
        <is>
          <t>NS</t>
        </is>
      </c>
      <c r="N695" s="8" t="inlineStr">
        <is>
          <t>Cold Soldering</t>
        </is>
      </c>
      <c r="O695" s="11" t="n">
        <v>540</v>
      </c>
      <c r="P695" s="2" t="inlineStr">
        <is>
          <t>NSMP2305190237</t>
        </is>
      </c>
      <c r="Q695" s="14">
        <f>MID(P695,5,2)</f>
        <v/>
      </c>
      <c r="R695" s="14">
        <f>MID(P695,7,2)</f>
        <v/>
      </c>
      <c r="S695" s="1" t="inlineStr">
        <is>
          <t>G2B</t>
        </is>
      </c>
      <c r="T695" s="1" t="inlineStr">
        <is>
          <t>P2 - PEPPL</t>
        </is>
      </c>
      <c r="U695" s="6" t="inlineStr">
        <is>
          <t>N JB Cold Soldering</t>
        </is>
      </c>
      <c r="V695" s="6" t="inlineStr">
        <is>
          <t>Soldering</t>
        </is>
      </c>
      <c r="W695" s="1" t="inlineStr">
        <is>
          <t>Repair</t>
        </is>
      </c>
      <c r="X695" s="5" t="n">
        <v>46178</v>
      </c>
      <c r="Y695" s="1">
        <f>IF(X695="","",X695-A695)</f>
        <v/>
      </c>
      <c r="Z695" s="5" t="n">
        <v>46178</v>
      </c>
      <c r="AA695" s="3" t="n"/>
      <c r="AB695" s="3" t="n"/>
      <c r="AE695" s="146">
        <f>IF(AND(F695="Closed",X695&gt;=DATE(2026,6,1),X695&lt;=DATE(2026,6,30)),"Closed in June","other")</f>
        <v/>
      </c>
    </row>
    <row r="696" hidden="1">
      <c r="A696" s="9" t="n">
        <v>46148</v>
      </c>
      <c r="B696" s="1" t="n">
        <v>2026</v>
      </c>
      <c r="C696" s="8" t="inlineStr">
        <is>
          <t>Continuum</t>
        </is>
      </c>
      <c r="D696" s="1" t="inlineStr">
        <is>
          <t>Utility and C&amp;I</t>
        </is>
      </c>
      <c r="E696" s="1" t="n"/>
      <c r="F696" s="1" t="inlineStr">
        <is>
          <t>Closed</t>
        </is>
      </c>
      <c r="G696" s="8" t="inlineStr">
        <is>
          <t>Amiya Ranjan Behera</t>
        </is>
      </c>
      <c r="H696" s="8" t="n">
        <v>8917436223</v>
      </c>
      <c r="I696" s="10" t="inlineStr">
        <is>
          <t>PE06052602</t>
        </is>
      </c>
      <c r="J696" s="8" t="inlineStr">
        <is>
          <t>Diode Bypass Module Issue</t>
        </is>
      </c>
      <c r="K696" s="8" t="inlineStr">
        <is>
          <t>Bhavnagar</t>
        </is>
      </c>
      <c r="L696" s="8" t="inlineStr">
        <is>
          <t>Gujarat</t>
        </is>
      </c>
      <c r="M696" s="2" t="inlineStr">
        <is>
          <t>NS</t>
        </is>
      </c>
      <c r="N696" s="8" t="inlineStr">
        <is>
          <t>Cold Soldering</t>
        </is>
      </c>
      <c r="O696" s="11" t="n">
        <v>540</v>
      </c>
      <c r="P696" s="2" t="inlineStr">
        <is>
          <t>NSMP2305171841</t>
        </is>
      </c>
      <c r="Q696" s="14">
        <f>MID(P696,5,2)</f>
        <v/>
      </c>
      <c r="R696" s="14">
        <f>MID(P696,7,2)</f>
        <v/>
      </c>
      <c r="S696" s="1" t="inlineStr">
        <is>
          <t>G2B</t>
        </is>
      </c>
      <c r="T696" s="1" t="inlineStr">
        <is>
          <t>P2 - PEPPL</t>
        </is>
      </c>
      <c r="U696" s="6" t="inlineStr">
        <is>
          <t>N JB Cold Soldering</t>
        </is>
      </c>
      <c r="V696" s="6" t="inlineStr">
        <is>
          <t>Soldering</t>
        </is>
      </c>
      <c r="W696" s="1" t="inlineStr">
        <is>
          <t>Repair</t>
        </is>
      </c>
      <c r="X696" s="5" t="n">
        <v>46178</v>
      </c>
      <c r="Y696" s="1">
        <f>IF(X696="","",X696-A696)</f>
        <v/>
      </c>
      <c r="Z696" s="5" t="n">
        <v>46178</v>
      </c>
      <c r="AA696" s="3" t="n"/>
      <c r="AB696" s="3" t="n"/>
      <c r="AE696" s="146">
        <f>IF(AND(F696="Closed",X696&gt;=DATE(2026,6,1),X696&lt;=DATE(2026,6,30)),"Closed in June","other")</f>
        <v/>
      </c>
    </row>
    <row r="697" hidden="1">
      <c r="A697" s="9" t="n">
        <v>46148</v>
      </c>
      <c r="B697" s="1" t="n">
        <v>2026</v>
      </c>
      <c r="C697" s="8" t="inlineStr">
        <is>
          <t>Continuum</t>
        </is>
      </c>
      <c r="D697" s="1" t="inlineStr">
        <is>
          <t>Utility and C&amp;I</t>
        </is>
      </c>
      <c r="E697" s="1" t="n"/>
      <c r="F697" s="1" t="inlineStr">
        <is>
          <t>Closed</t>
        </is>
      </c>
      <c r="G697" s="8" t="inlineStr">
        <is>
          <t>Amiya Ranjan Behera</t>
        </is>
      </c>
      <c r="H697" s="8" t="n">
        <v>8917436223</v>
      </c>
      <c r="I697" s="10" t="inlineStr">
        <is>
          <t>PE06052602</t>
        </is>
      </c>
      <c r="J697" s="8" t="inlineStr">
        <is>
          <t>Diode Bypass Module Issue</t>
        </is>
      </c>
      <c r="K697" s="8" t="inlineStr">
        <is>
          <t>Bhavnagar</t>
        </is>
      </c>
      <c r="L697" s="8" t="inlineStr">
        <is>
          <t>Gujarat</t>
        </is>
      </c>
      <c r="M697" s="2" t="inlineStr">
        <is>
          <t>OK</t>
        </is>
      </c>
      <c r="N697" s="2" t="inlineStr">
        <is>
          <t>No Issue Found</t>
        </is>
      </c>
      <c r="O697" s="11" t="n">
        <v>540</v>
      </c>
      <c r="P697" s="2" t="inlineStr">
        <is>
          <t>NSMP2305180470</t>
        </is>
      </c>
      <c r="Q697" s="14">
        <f>MID(P697,5,2)</f>
        <v/>
      </c>
      <c r="R697" s="14">
        <f>MID(P697,7,2)</f>
        <v/>
      </c>
      <c r="S697" s="1" t="inlineStr">
        <is>
          <t>G2B</t>
        </is>
      </c>
      <c r="T697" s="1" t="inlineStr">
        <is>
          <t>P2 - PEPPL</t>
        </is>
      </c>
      <c r="U697" s="6" t="inlineStr">
        <is>
          <t>No Issue Found</t>
        </is>
      </c>
      <c r="V697" s="6" t="inlineStr">
        <is>
          <t>Inspection</t>
        </is>
      </c>
      <c r="W697" s="1" t="inlineStr">
        <is>
          <t>Rejected</t>
        </is>
      </c>
      <c r="X697" s="5" t="n">
        <v>46178</v>
      </c>
      <c r="Y697" s="1">
        <f>IF(X697="","",X697-A697)</f>
        <v/>
      </c>
      <c r="Z697" s="5" t="n">
        <v>46178</v>
      </c>
      <c r="AA697" s="3" t="n"/>
      <c r="AB697" s="3" t="n"/>
      <c r="AE697" s="146">
        <f>IF(AND(F697="Closed",X697&gt;=DATE(2026,6,1),X697&lt;=DATE(2026,6,30)),"Closed in June","other")</f>
        <v/>
      </c>
    </row>
    <row r="698" hidden="1">
      <c r="A698" s="9" t="n">
        <v>46148</v>
      </c>
      <c r="B698" s="1" t="n">
        <v>2026</v>
      </c>
      <c r="C698" s="8" t="inlineStr">
        <is>
          <t>Continuum</t>
        </is>
      </c>
      <c r="D698" s="1" t="inlineStr">
        <is>
          <t>Utility and C&amp;I</t>
        </is>
      </c>
      <c r="E698" s="1" t="n"/>
      <c r="F698" s="1" t="inlineStr">
        <is>
          <t>Closed</t>
        </is>
      </c>
      <c r="G698" s="8" t="inlineStr">
        <is>
          <t>Amiya Ranjan Behera</t>
        </is>
      </c>
      <c r="H698" s="8" t="n">
        <v>8917436223</v>
      </c>
      <c r="I698" s="10" t="inlineStr">
        <is>
          <t>PE06052602</t>
        </is>
      </c>
      <c r="J698" s="8" t="inlineStr">
        <is>
          <t>Diode Bypass Module Issue</t>
        </is>
      </c>
      <c r="K698" s="8" t="inlineStr">
        <is>
          <t>Bhavnagar</t>
        </is>
      </c>
      <c r="L698" s="8" t="inlineStr">
        <is>
          <t>Gujarat</t>
        </is>
      </c>
      <c r="M698" s="2" t="inlineStr">
        <is>
          <t>OK</t>
        </is>
      </c>
      <c r="N698" s="2" t="inlineStr">
        <is>
          <t>No Issue Found</t>
        </is>
      </c>
      <c r="O698" s="11" t="n">
        <v>540</v>
      </c>
      <c r="P698" s="2" t="inlineStr">
        <is>
          <t>NSMP2305179072</t>
        </is>
      </c>
      <c r="Q698" s="14">
        <f>MID(P698,5,2)</f>
        <v/>
      </c>
      <c r="R698" s="14">
        <f>MID(P698,7,2)</f>
        <v/>
      </c>
      <c r="S698" s="1" t="inlineStr">
        <is>
          <t>G2B</t>
        </is>
      </c>
      <c r="T698" s="1" t="inlineStr">
        <is>
          <t>P2 - PEPPL</t>
        </is>
      </c>
      <c r="U698" s="6" t="inlineStr">
        <is>
          <t>No Issue Found</t>
        </is>
      </c>
      <c r="V698" s="6" t="inlineStr">
        <is>
          <t>Inspection</t>
        </is>
      </c>
      <c r="W698" s="1" t="inlineStr">
        <is>
          <t>Rejected</t>
        </is>
      </c>
      <c r="X698" s="5" t="n">
        <v>46178</v>
      </c>
      <c r="Y698" s="1">
        <f>IF(X698="","",X698-A698)</f>
        <v/>
      </c>
      <c r="Z698" s="5" t="n">
        <v>46178</v>
      </c>
      <c r="AA698" s="3" t="n"/>
      <c r="AB698" s="3" t="n"/>
      <c r="AE698" s="146">
        <f>IF(AND(F698="Closed",X698&gt;=DATE(2026,6,1),X698&lt;=DATE(2026,6,30)),"Closed in June","other")</f>
        <v/>
      </c>
    </row>
    <row r="699" hidden="1">
      <c r="A699" s="9" t="n">
        <v>46148</v>
      </c>
      <c r="B699" s="1" t="n">
        <v>2026</v>
      </c>
      <c r="C699" s="8" t="inlineStr">
        <is>
          <t>Continuum</t>
        </is>
      </c>
      <c r="D699" s="1" t="inlineStr">
        <is>
          <t>Utility and C&amp;I</t>
        </is>
      </c>
      <c r="E699" s="1" t="n"/>
      <c r="F699" s="1" t="inlineStr">
        <is>
          <t>Closed</t>
        </is>
      </c>
      <c r="G699" s="8" t="inlineStr">
        <is>
          <t>Amiya Ranjan Behera</t>
        </is>
      </c>
      <c r="H699" s="8" t="n">
        <v>8917436223</v>
      </c>
      <c r="I699" s="10" t="inlineStr">
        <is>
          <t>PE06052602</t>
        </is>
      </c>
      <c r="J699" s="8" t="inlineStr">
        <is>
          <t>Diode Bypass Module Issue</t>
        </is>
      </c>
      <c r="K699" s="8" t="inlineStr">
        <is>
          <t>Bhavnagar</t>
        </is>
      </c>
      <c r="L699" s="8" t="inlineStr">
        <is>
          <t>Gujarat</t>
        </is>
      </c>
      <c r="M699" s="2" t="inlineStr">
        <is>
          <t>NR</t>
        </is>
      </c>
      <c r="N699" s="8" t="inlineStr">
        <is>
          <t>JB Issue</t>
        </is>
      </c>
      <c r="O699" s="11" t="n">
        <v>540</v>
      </c>
      <c r="P699" s="2" t="inlineStr">
        <is>
          <t>NSMP2305125006</t>
        </is>
      </c>
      <c r="Q699" s="14">
        <f>MID(P699,5,2)</f>
        <v/>
      </c>
      <c r="R699" s="14">
        <f>MID(P699,7,2)</f>
        <v/>
      </c>
      <c r="S699" s="1" t="inlineStr">
        <is>
          <t>G2B</t>
        </is>
      </c>
      <c r="T699" s="1" t="inlineStr">
        <is>
          <t>P2 - PEPPL</t>
        </is>
      </c>
      <c r="U699" s="6" t="inlineStr">
        <is>
          <t>N JB Issue</t>
        </is>
      </c>
      <c r="V699" s="6" t="inlineStr">
        <is>
          <t>JB Changed</t>
        </is>
      </c>
      <c r="W699" s="1" t="inlineStr">
        <is>
          <t>Repair</t>
        </is>
      </c>
      <c r="X699" s="5" t="n">
        <v>46178</v>
      </c>
      <c r="Y699" s="1">
        <f>IF(X699="","",X699-A699)</f>
        <v/>
      </c>
      <c r="Z699" s="5" t="n">
        <v>46178</v>
      </c>
      <c r="AA699" s="3" t="n"/>
      <c r="AB699" s="3" t="n"/>
      <c r="AE699" s="146">
        <f>IF(AND(F699="Closed",X699&gt;=DATE(2026,6,1),X699&lt;=DATE(2026,6,30)),"Closed in June","other")</f>
        <v/>
      </c>
    </row>
    <row r="700" hidden="1">
      <c r="A700" s="9" t="n">
        <v>46148</v>
      </c>
      <c r="B700" s="1" t="n">
        <v>2026</v>
      </c>
      <c r="C700" s="8" t="inlineStr">
        <is>
          <t>Continuum</t>
        </is>
      </c>
      <c r="D700" s="1" t="inlineStr">
        <is>
          <t>Utility and C&amp;I</t>
        </is>
      </c>
      <c r="E700" s="1" t="n"/>
      <c r="F700" s="1" t="inlineStr">
        <is>
          <t>Closed</t>
        </is>
      </c>
      <c r="G700" s="8" t="inlineStr">
        <is>
          <t>Amiya Ranjan Behera</t>
        </is>
      </c>
      <c r="H700" s="8" t="n">
        <v>8917436223</v>
      </c>
      <c r="I700" s="10" t="inlineStr">
        <is>
          <t>PE06052602</t>
        </is>
      </c>
      <c r="J700" s="8" t="inlineStr">
        <is>
          <t>Diode Bypass Module Issue</t>
        </is>
      </c>
      <c r="K700" s="8" t="inlineStr">
        <is>
          <t>Bhavnagar</t>
        </is>
      </c>
      <c r="L700" s="8" t="inlineStr">
        <is>
          <t>Gujarat</t>
        </is>
      </c>
      <c r="M700" s="2" t="inlineStr">
        <is>
          <t>PS</t>
        </is>
      </c>
      <c r="N700" s="1" t="inlineStr">
        <is>
          <t>Cold Soldering</t>
        </is>
      </c>
      <c r="O700" s="11" t="n">
        <v>540</v>
      </c>
      <c r="P700" s="2" t="inlineStr">
        <is>
          <t>NSMP2305189663</t>
        </is>
      </c>
      <c r="Q700" s="14">
        <f>MID(P700,5,2)</f>
        <v/>
      </c>
      <c r="R700" s="14">
        <f>MID(P700,7,2)</f>
        <v/>
      </c>
      <c r="S700" s="1" t="inlineStr">
        <is>
          <t>G2B</t>
        </is>
      </c>
      <c r="T700" s="1" t="inlineStr">
        <is>
          <t>P2 - PEPPL</t>
        </is>
      </c>
      <c r="U700" s="1" t="inlineStr">
        <is>
          <t>P JB Cold Soldering</t>
        </is>
      </c>
      <c r="V700" s="1" t="inlineStr">
        <is>
          <t>Soldering</t>
        </is>
      </c>
      <c r="W700" s="1" t="inlineStr">
        <is>
          <t>Repair</t>
        </is>
      </c>
      <c r="X700" s="5" t="n">
        <v>46178</v>
      </c>
      <c r="Y700" s="1">
        <f>IF(X700="","",X700-A700)</f>
        <v/>
      </c>
      <c r="Z700" s="5" t="n">
        <v>46178</v>
      </c>
      <c r="AA700" s="3" t="n"/>
      <c r="AB700" s="3" t="n"/>
      <c r="AE700" s="146">
        <f>IF(AND(F700="Closed",X700&gt;=DATE(2026,6,1),X700&lt;=DATE(2026,6,30)),"Closed in June","other")</f>
        <v/>
      </c>
    </row>
    <row r="701" hidden="1">
      <c r="A701" s="9" t="n">
        <v>46148</v>
      </c>
      <c r="B701" s="1" t="n">
        <v>2026</v>
      </c>
      <c r="C701" s="8" t="inlineStr">
        <is>
          <t>Continuum</t>
        </is>
      </c>
      <c r="D701" s="1" t="inlineStr">
        <is>
          <t>Utility and C&amp;I</t>
        </is>
      </c>
      <c r="E701" s="1" t="n"/>
      <c r="F701" s="1" t="inlineStr">
        <is>
          <t>Closed</t>
        </is>
      </c>
      <c r="G701" s="8" t="inlineStr">
        <is>
          <t>Amiya Ranjan Behera</t>
        </is>
      </c>
      <c r="H701" s="8" t="n">
        <v>8917436223</v>
      </c>
      <c r="I701" s="10" t="inlineStr">
        <is>
          <t>PE06052602</t>
        </is>
      </c>
      <c r="J701" s="8" t="inlineStr">
        <is>
          <t>Diode Bypass Module Issue</t>
        </is>
      </c>
      <c r="K701" s="8" t="inlineStr">
        <is>
          <t>Bhavnagar</t>
        </is>
      </c>
      <c r="L701" s="8" t="inlineStr">
        <is>
          <t>Gujarat</t>
        </is>
      </c>
      <c r="M701" s="2" t="inlineStr">
        <is>
          <t>PS</t>
        </is>
      </c>
      <c r="N701" s="1" t="inlineStr">
        <is>
          <t>Cold Soldering</t>
        </is>
      </c>
      <c r="O701" s="11" t="n">
        <v>540</v>
      </c>
      <c r="P701" s="2" t="inlineStr">
        <is>
          <t>NSMP2305189675</t>
        </is>
      </c>
      <c r="Q701" s="14">
        <f>MID(P701,5,2)</f>
        <v/>
      </c>
      <c r="R701" s="14">
        <f>MID(P701,7,2)</f>
        <v/>
      </c>
      <c r="S701" s="1" t="inlineStr">
        <is>
          <t>G2B</t>
        </is>
      </c>
      <c r="T701" s="1" t="inlineStr">
        <is>
          <t>P2 - PEPPL</t>
        </is>
      </c>
      <c r="U701" s="1" t="inlineStr">
        <is>
          <t>P JB Cold Soldering</t>
        </is>
      </c>
      <c r="V701" s="1" t="inlineStr">
        <is>
          <t>Soldering</t>
        </is>
      </c>
      <c r="W701" s="1" t="inlineStr">
        <is>
          <t>Repair</t>
        </is>
      </c>
      <c r="X701" s="5" t="n">
        <v>46178</v>
      </c>
      <c r="Y701" s="1">
        <f>IF(X701="","",X701-A701)</f>
        <v/>
      </c>
      <c r="Z701" s="5" t="n">
        <v>46178</v>
      </c>
      <c r="AA701" s="3" t="n"/>
      <c r="AB701" s="3" t="n"/>
      <c r="AE701" s="146">
        <f>IF(AND(F701="Closed",X701&gt;=DATE(2026,6,1),X701&lt;=DATE(2026,6,30)),"Closed in June","other")</f>
        <v/>
      </c>
    </row>
    <row r="702" hidden="1">
      <c r="A702" s="9" t="n">
        <v>46148</v>
      </c>
      <c r="B702" s="1" t="n">
        <v>2026</v>
      </c>
      <c r="C702" s="8" t="inlineStr">
        <is>
          <t>Continuum</t>
        </is>
      </c>
      <c r="D702" s="1" t="inlineStr">
        <is>
          <t>Utility and C&amp;I</t>
        </is>
      </c>
      <c r="E702" s="1" t="n"/>
      <c r="F702" s="1" t="inlineStr">
        <is>
          <t>Closed</t>
        </is>
      </c>
      <c r="G702" s="8" t="inlineStr">
        <is>
          <t>Amiya Ranjan Behera</t>
        </is>
      </c>
      <c r="H702" s="8" t="n">
        <v>8917436223</v>
      </c>
      <c r="I702" s="10" t="inlineStr">
        <is>
          <t>PE06052602</t>
        </is>
      </c>
      <c r="J702" s="8" t="inlineStr">
        <is>
          <t>Diode Bypass Module Issue</t>
        </is>
      </c>
      <c r="K702" s="8" t="inlineStr">
        <is>
          <t>Bhavnagar</t>
        </is>
      </c>
      <c r="L702" s="8" t="inlineStr">
        <is>
          <t>Gujarat</t>
        </is>
      </c>
      <c r="M702" s="2" t="inlineStr">
        <is>
          <t>PS</t>
        </is>
      </c>
      <c r="N702" s="1" t="inlineStr">
        <is>
          <t>Cold Soldering</t>
        </is>
      </c>
      <c r="O702" s="11" t="n">
        <v>540</v>
      </c>
      <c r="P702" s="2" t="inlineStr">
        <is>
          <t>NSMP2305189664</t>
        </is>
      </c>
      <c r="Q702" s="14">
        <f>MID(P702,5,2)</f>
        <v/>
      </c>
      <c r="R702" s="14">
        <f>MID(P702,7,2)</f>
        <v/>
      </c>
      <c r="S702" s="1" t="inlineStr">
        <is>
          <t>G2B</t>
        </is>
      </c>
      <c r="T702" s="1" t="inlineStr">
        <is>
          <t>P2 - PEPPL</t>
        </is>
      </c>
      <c r="U702" s="1" t="inlineStr">
        <is>
          <t>P JB Cold Soldering</t>
        </is>
      </c>
      <c r="V702" s="1" t="inlineStr">
        <is>
          <t>Soldering</t>
        </is>
      </c>
      <c r="W702" s="1" t="inlineStr">
        <is>
          <t>Repair</t>
        </is>
      </c>
      <c r="X702" s="5" t="n">
        <v>46178</v>
      </c>
      <c r="Y702" s="1">
        <f>IF(X702="","",X702-A702)</f>
        <v/>
      </c>
      <c r="Z702" s="5" t="n">
        <v>46178</v>
      </c>
      <c r="AA702" s="3" t="n"/>
      <c r="AB702" s="3" t="n"/>
      <c r="AE702" s="146">
        <f>IF(AND(F702="Closed",X702&gt;=DATE(2026,6,1),X702&lt;=DATE(2026,6,30)),"Closed in June","other")</f>
        <v/>
      </c>
    </row>
    <row r="703" hidden="1">
      <c r="A703" s="9" t="n">
        <v>46148</v>
      </c>
      <c r="B703" s="1" t="n">
        <v>2026</v>
      </c>
      <c r="C703" s="8" t="inlineStr">
        <is>
          <t>Continuum</t>
        </is>
      </c>
      <c r="D703" s="1" t="inlineStr">
        <is>
          <t>Utility and C&amp;I</t>
        </is>
      </c>
      <c r="E703" s="1" t="n"/>
      <c r="F703" s="1" t="inlineStr">
        <is>
          <t>Closed</t>
        </is>
      </c>
      <c r="G703" s="8" t="inlineStr">
        <is>
          <t>Amiya Ranjan Behera</t>
        </is>
      </c>
      <c r="H703" s="8" t="n">
        <v>8917436223</v>
      </c>
      <c r="I703" s="10" t="inlineStr">
        <is>
          <t>PE06052602</t>
        </is>
      </c>
      <c r="J703" s="8" t="inlineStr">
        <is>
          <t>Diode Bypass Module Issue</t>
        </is>
      </c>
      <c r="K703" s="8" t="inlineStr">
        <is>
          <t>Bhavnagar</t>
        </is>
      </c>
      <c r="L703" s="8" t="inlineStr">
        <is>
          <t>Gujarat</t>
        </is>
      </c>
      <c r="M703" s="2" t="inlineStr">
        <is>
          <t>PS</t>
        </is>
      </c>
      <c r="N703" s="1" t="inlineStr">
        <is>
          <t>Cold Soldering</t>
        </is>
      </c>
      <c r="O703" s="11" t="n">
        <v>540</v>
      </c>
      <c r="P703" s="2" t="inlineStr">
        <is>
          <t>NSMP2305189643</t>
        </is>
      </c>
      <c r="Q703" s="14">
        <f>MID(P703,5,2)</f>
        <v/>
      </c>
      <c r="R703" s="14">
        <f>MID(P703,7,2)</f>
        <v/>
      </c>
      <c r="S703" s="1" t="inlineStr">
        <is>
          <t>G2B</t>
        </is>
      </c>
      <c r="T703" s="1" t="inlineStr">
        <is>
          <t>P2 - PEPPL</t>
        </is>
      </c>
      <c r="U703" s="1" t="inlineStr">
        <is>
          <t>P JB Cold Soldering</t>
        </is>
      </c>
      <c r="V703" s="1" t="inlineStr">
        <is>
          <t>Soldering</t>
        </is>
      </c>
      <c r="W703" s="1" t="inlineStr">
        <is>
          <t>Repair</t>
        </is>
      </c>
      <c r="X703" s="5" t="n">
        <v>46178</v>
      </c>
      <c r="Y703" s="1">
        <f>IF(X703="","",X703-A703)</f>
        <v/>
      </c>
      <c r="Z703" s="5" t="n">
        <v>46178</v>
      </c>
      <c r="AA703" s="3" t="n"/>
      <c r="AB703" s="3" t="n"/>
      <c r="AE703" s="146">
        <f>IF(AND(F703="Closed",X703&gt;=DATE(2026,6,1),X703&lt;=DATE(2026,6,30)),"Closed in June","other")</f>
        <v/>
      </c>
    </row>
    <row r="704" hidden="1">
      <c r="A704" s="9" t="n">
        <v>46148</v>
      </c>
      <c r="B704" s="1" t="n">
        <v>2026</v>
      </c>
      <c r="C704" s="8" t="inlineStr">
        <is>
          <t>Continuum</t>
        </is>
      </c>
      <c r="D704" s="1" t="inlineStr">
        <is>
          <t>Utility and C&amp;I</t>
        </is>
      </c>
      <c r="E704" s="1" t="n"/>
      <c r="F704" s="1" t="inlineStr">
        <is>
          <t>Closed</t>
        </is>
      </c>
      <c r="G704" s="8" t="inlineStr">
        <is>
          <t>Amiya Ranjan Behera</t>
        </is>
      </c>
      <c r="H704" s="8" t="n">
        <v>8917436223</v>
      </c>
      <c r="I704" s="10" t="inlineStr">
        <is>
          <t>PE06052602</t>
        </is>
      </c>
      <c r="J704" s="8" t="inlineStr">
        <is>
          <t>Diode Bypass Module Issue</t>
        </is>
      </c>
      <c r="K704" s="8" t="inlineStr">
        <is>
          <t>Bhavnagar</t>
        </is>
      </c>
      <c r="L704" s="8" t="inlineStr">
        <is>
          <t>Gujarat</t>
        </is>
      </c>
      <c r="M704" s="2" t="inlineStr">
        <is>
          <t>PS</t>
        </is>
      </c>
      <c r="N704" s="1" t="inlineStr">
        <is>
          <t>Cold Soldering</t>
        </is>
      </c>
      <c r="O704" s="11" t="n">
        <v>540</v>
      </c>
      <c r="P704" s="2" t="inlineStr">
        <is>
          <t>NSMP2305189588</t>
        </is>
      </c>
      <c r="Q704" s="14">
        <f>MID(P704,5,2)</f>
        <v/>
      </c>
      <c r="R704" s="14">
        <f>MID(P704,7,2)</f>
        <v/>
      </c>
      <c r="S704" s="1" t="inlineStr">
        <is>
          <t>G2B</t>
        </is>
      </c>
      <c r="T704" s="1" t="inlineStr">
        <is>
          <t>P2 - PEPPL</t>
        </is>
      </c>
      <c r="U704" s="1" t="inlineStr">
        <is>
          <t>P JB Cold Soldering</t>
        </is>
      </c>
      <c r="V704" s="1" t="inlineStr">
        <is>
          <t>Soldering</t>
        </is>
      </c>
      <c r="W704" s="1" t="inlineStr">
        <is>
          <t>Repair</t>
        </is>
      </c>
      <c r="X704" s="5" t="n">
        <v>46178</v>
      </c>
      <c r="Y704" s="1">
        <f>IF(X704="","",X704-A704)</f>
        <v/>
      </c>
      <c r="Z704" s="5" t="n">
        <v>46178</v>
      </c>
      <c r="AA704" s="3" t="n"/>
      <c r="AB704" s="3" t="n"/>
      <c r="AE704" s="146">
        <f>IF(AND(F704="Closed",X704&gt;=DATE(2026,6,1),X704&lt;=DATE(2026,6,30)),"Closed in June","other")</f>
        <v/>
      </c>
    </row>
    <row r="705" hidden="1">
      <c r="A705" s="9" t="n">
        <v>46148</v>
      </c>
      <c r="B705" s="1" t="n">
        <v>2026</v>
      </c>
      <c r="C705" s="8" t="inlineStr">
        <is>
          <t>Continuum</t>
        </is>
      </c>
      <c r="D705" s="1" t="inlineStr">
        <is>
          <t>Utility and C&amp;I</t>
        </is>
      </c>
      <c r="E705" s="1" t="n"/>
      <c r="F705" s="1" t="inlineStr">
        <is>
          <t>Closed</t>
        </is>
      </c>
      <c r="G705" s="8" t="inlineStr">
        <is>
          <t>Amiya Ranjan Behera</t>
        </is>
      </c>
      <c r="H705" s="8" t="n">
        <v>8917436223</v>
      </c>
      <c r="I705" s="10" t="inlineStr">
        <is>
          <t>PE06052602</t>
        </is>
      </c>
      <c r="J705" s="8" t="inlineStr">
        <is>
          <t>Diode Bypass Module Issue</t>
        </is>
      </c>
      <c r="K705" s="8" t="inlineStr">
        <is>
          <t>Bhavnagar</t>
        </is>
      </c>
      <c r="L705" s="8" t="inlineStr">
        <is>
          <t>Gujarat</t>
        </is>
      </c>
      <c r="M705" s="2" t="inlineStr">
        <is>
          <t>PS</t>
        </is>
      </c>
      <c r="N705" s="1" t="inlineStr">
        <is>
          <t>Cold Soldering</t>
        </is>
      </c>
      <c r="O705" s="11" t="n">
        <v>540</v>
      </c>
      <c r="P705" s="2" t="inlineStr">
        <is>
          <t>NSMP2305189429</t>
        </is>
      </c>
      <c r="Q705" s="14">
        <f>MID(P705,5,2)</f>
        <v/>
      </c>
      <c r="R705" s="14">
        <f>MID(P705,7,2)</f>
        <v/>
      </c>
      <c r="S705" s="1" t="inlineStr">
        <is>
          <t>G2B</t>
        </is>
      </c>
      <c r="T705" s="1" t="inlineStr">
        <is>
          <t>P2 - PEPPL</t>
        </is>
      </c>
      <c r="U705" s="1" t="inlineStr">
        <is>
          <t>P JB Cold Soldering</t>
        </is>
      </c>
      <c r="V705" s="1" t="inlineStr">
        <is>
          <t>Soldering</t>
        </is>
      </c>
      <c r="W705" s="1" t="inlineStr">
        <is>
          <t>Repair</t>
        </is>
      </c>
      <c r="X705" s="5" t="n">
        <v>46178</v>
      </c>
      <c r="Y705" s="1">
        <f>IF(X705="","",X705-A705)</f>
        <v/>
      </c>
      <c r="Z705" s="5" t="n">
        <v>46178</v>
      </c>
      <c r="AA705" s="3" t="n"/>
      <c r="AB705" s="3" t="n"/>
      <c r="AE705" s="146">
        <f>IF(AND(F705="Closed",X705&gt;=DATE(2026,6,1),X705&lt;=DATE(2026,6,30)),"Closed in June","other")</f>
        <v/>
      </c>
    </row>
    <row r="706" hidden="1">
      <c r="A706" s="9" t="n">
        <v>46148</v>
      </c>
      <c r="B706" s="1" t="n">
        <v>2026</v>
      </c>
      <c r="C706" s="8" t="inlineStr">
        <is>
          <t>Continuum</t>
        </is>
      </c>
      <c r="D706" s="1" t="inlineStr">
        <is>
          <t>Utility and C&amp;I</t>
        </is>
      </c>
      <c r="E706" s="1" t="n"/>
      <c r="F706" s="1" t="inlineStr">
        <is>
          <t>Closed</t>
        </is>
      </c>
      <c r="G706" s="8" t="inlineStr">
        <is>
          <t>Amiya Ranjan Behera</t>
        </is>
      </c>
      <c r="H706" s="8" t="n">
        <v>8917436223</v>
      </c>
      <c r="I706" s="10" t="inlineStr">
        <is>
          <t>PE06052602</t>
        </is>
      </c>
      <c r="J706" s="8" t="inlineStr">
        <is>
          <t>Diode Bypass Module Issue</t>
        </is>
      </c>
      <c r="K706" s="8" t="inlineStr">
        <is>
          <t>Bhavnagar</t>
        </is>
      </c>
      <c r="L706" s="8" t="inlineStr">
        <is>
          <t>Gujarat</t>
        </is>
      </c>
      <c r="M706" s="2" t="inlineStr">
        <is>
          <t>PR</t>
        </is>
      </c>
      <c r="N706" s="1" t="inlineStr">
        <is>
          <t>JB Issue</t>
        </is>
      </c>
      <c r="O706" s="11" t="n">
        <v>540</v>
      </c>
      <c r="P706" s="2" t="inlineStr">
        <is>
          <t>NSMP2305189353</t>
        </is>
      </c>
      <c r="Q706" s="14">
        <f>MID(P706,5,2)</f>
        <v/>
      </c>
      <c r="R706" s="14">
        <f>MID(P706,7,2)</f>
        <v/>
      </c>
      <c r="S706" s="1" t="inlineStr">
        <is>
          <t>G2B</t>
        </is>
      </c>
      <c r="T706" s="1" t="inlineStr">
        <is>
          <t>P2 - PEPPL</t>
        </is>
      </c>
      <c r="U706" s="1" t="inlineStr">
        <is>
          <t>P JB Issue</t>
        </is>
      </c>
      <c r="V706" s="3" t="inlineStr">
        <is>
          <t>JB Changed</t>
        </is>
      </c>
      <c r="W706" s="1" t="inlineStr">
        <is>
          <t>Repair</t>
        </is>
      </c>
      <c r="X706" s="5" t="n">
        <v>46178</v>
      </c>
      <c r="Y706" s="1">
        <f>IF(X706="","",X706-A706)</f>
        <v/>
      </c>
      <c r="Z706" s="5" t="n">
        <v>46178</v>
      </c>
      <c r="AA706" s="3" t="n"/>
      <c r="AB706" s="3" t="n"/>
      <c r="AE706" s="146">
        <f>IF(AND(F706="Closed",X706&gt;=DATE(2026,6,1),X706&lt;=DATE(2026,6,30)),"Closed in June","other")</f>
        <v/>
      </c>
    </row>
    <row r="707" hidden="1">
      <c r="A707" s="9" t="n">
        <v>46148</v>
      </c>
      <c r="B707" s="1" t="n">
        <v>2026</v>
      </c>
      <c r="C707" s="8" t="inlineStr">
        <is>
          <t>Continuum</t>
        </is>
      </c>
      <c r="D707" s="1" t="inlineStr">
        <is>
          <t>Utility and C&amp;I</t>
        </is>
      </c>
      <c r="E707" s="1" t="n"/>
      <c r="F707" s="1" t="inlineStr">
        <is>
          <t>Closed</t>
        </is>
      </c>
      <c r="G707" s="8" t="inlineStr">
        <is>
          <t>Amiya Ranjan Behera</t>
        </is>
      </c>
      <c r="H707" s="8" t="n">
        <v>8917436223</v>
      </c>
      <c r="I707" s="10" t="inlineStr">
        <is>
          <t>PE06052602</t>
        </is>
      </c>
      <c r="J707" s="8" t="inlineStr">
        <is>
          <t>Diode Bypass Module Issue</t>
        </is>
      </c>
      <c r="K707" s="8" t="inlineStr">
        <is>
          <t>Bhavnagar</t>
        </is>
      </c>
      <c r="L707" s="8" t="inlineStr">
        <is>
          <t>Gujarat</t>
        </is>
      </c>
      <c r="M707" s="2" t="inlineStr">
        <is>
          <t>PS</t>
        </is>
      </c>
      <c r="N707" s="1" t="inlineStr">
        <is>
          <t>Cold Soldering</t>
        </is>
      </c>
      <c r="O707" s="11" t="n">
        <v>540</v>
      </c>
      <c r="P707" s="2" t="inlineStr">
        <is>
          <t>NSMP2305188850</t>
        </is>
      </c>
      <c r="Q707" s="14">
        <f>MID(P707,5,2)</f>
        <v/>
      </c>
      <c r="R707" s="14">
        <f>MID(P707,7,2)</f>
        <v/>
      </c>
      <c r="S707" s="1" t="inlineStr">
        <is>
          <t>G2B</t>
        </is>
      </c>
      <c r="T707" s="1" t="inlineStr">
        <is>
          <t>P2 - PEPPL</t>
        </is>
      </c>
      <c r="U707" s="1" t="inlineStr">
        <is>
          <t>P JB Cold Soldering</t>
        </is>
      </c>
      <c r="V707" s="1" t="inlineStr">
        <is>
          <t>Soldering</t>
        </is>
      </c>
      <c r="W707" s="1" t="inlineStr">
        <is>
          <t>Repair</t>
        </is>
      </c>
      <c r="X707" s="5" t="n">
        <v>46178</v>
      </c>
      <c r="Y707" s="1">
        <f>IF(X707="","",X707-A707)</f>
        <v/>
      </c>
      <c r="Z707" s="5" t="n">
        <v>46178</v>
      </c>
      <c r="AA707" s="3" t="n"/>
      <c r="AB707" s="3" t="n"/>
      <c r="AE707" s="146">
        <f>IF(AND(F707="Closed",X707&gt;=DATE(2026,6,1),X707&lt;=DATE(2026,6,30)),"Closed in June","other")</f>
        <v/>
      </c>
    </row>
    <row r="708" hidden="1">
      <c r="A708" s="9" t="n">
        <v>46148</v>
      </c>
      <c r="B708" s="1" t="n">
        <v>2026</v>
      </c>
      <c r="C708" s="8" t="inlineStr">
        <is>
          <t>Continuum</t>
        </is>
      </c>
      <c r="D708" s="1" t="inlineStr">
        <is>
          <t>Utility and C&amp;I</t>
        </is>
      </c>
      <c r="E708" s="1" t="n"/>
      <c r="F708" s="1" t="inlineStr">
        <is>
          <t>Closed</t>
        </is>
      </c>
      <c r="G708" s="8" t="inlineStr">
        <is>
          <t>Amiya Ranjan Behera</t>
        </is>
      </c>
      <c r="H708" s="8" t="n">
        <v>8917436223</v>
      </c>
      <c r="I708" s="10" t="inlineStr">
        <is>
          <t>PE06052602</t>
        </is>
      </c>
      <c r="J708" s="8" t="inlineStr">
        <is>
          <t>Diode Bypass Module Issue</t>
        </is>
      </c>
      <c r="K708" s="8" t="inlineStr">
        <is>
          <t>Bhavnagar</t>
        </is>
      </c>
      <c r="L708" s="8" t="inlineStr">
        <is>
          <t>Gujarat</t>
        </is>
      </c>
      <c r="M708" s="2" t="inlineStr">
        <is>
          <t>PS</t>
        </is>
      </c>
      <c r="N708" s="1" t="inlineStr">
        <is>
          <t>Cold Soldering</t>
        </is>
      </c>
      <c r="O708" s="11" t="n">
        <v>540</v>
      </c>
      <c r="P708" s="2" t="inlineStr">
        <is>
          <t>NSMP2305133508</t>
        </is>
      </c>
      <c r="Q708" s="14">
        <f>MID(P708,5,2)</f>
        <v/>
      </c>
      <c r="R708" s="14">
        <f>MID(P708,7,2)</f>
        <v/>
      </c>
      <c r="S708" s="1" t="inlineStr">
        <is>
          <t>G2B</t>
        </is>
      </c>
      <c r="T708" s="1" t="inlineStr">
        <is>
          <t>P2 - PEPPL</t>
        </is>
      </c>
      <c r="U708" s="1" t="inlineStr">
        <is>
          <t>P JB Cold Soldering</t>
        </is>
      </c>
      <c r="V708" s="1" t="inlineStr">
        <is>
          <t>Soldering</t>
        </is>
      </c>
      <c r="W708" s="1" t="inlineStr">
        <is>
          <t>Repair</t>
        </is>
      </c>
      <c r="X708" s="5" t="n">
        <v>46178</v>
      </c>
      <c r="Y708" s="1">
        <f>IF(X708="","",X708-A708)</f>
        <v/>
      </c>
      <c r="Z708" s="5" t="n">
        <v>46178</v>
      </c>
      <c r="AA708" s="3" t="n"/>
      <c r="AB708" s="3" t="n"/>
      <c r="AE708" s="146">
        <f>IF(AND(F708="Closed",X708&gt;=DATE(2026,6,1),X708&lt;=DATE(2026,6,30)),"Closed in June","other")</f>
        <v/>
      </c>
    </row>
    <row r="709" hidden="1">
      <c r="A709" s="9" t="n">
        <v>46148</v>
      </c>
      <c r="B709" s="1" t="n">
        <v>2026</v>
      </c>
      <c r="C709" s="8" t="inlineStr">
        <is>
          <t>Continuum</t>
        </is>
      </c>
      <c r="D709" s="1" t="inlineStr">
        <is>
          <t>Utility and C&amp;I</t>
        </is>
      </c>
      <c r="E709" s="1" t="n"/>
      <c r="F709" s="1" t="inlineStr">
        <is>
          <t>Closed</t>
        </is>
      </c>
      <c r="G709" s="8" t="inlineStr">
        <is>
          <t>Amiya Ranjan Behera</t>
        </is>
      </c>
      <c r="H709" s="8" t="n">
        <v>8917436223</v>
      </c>
      <c r="I709" s="10" t="inlineStr">
        <is>
          <t>PE06052602</t>
        </is>
      </c>
      <c r="J709" s="8" t="inlineStr">
        <is>
          <t>Diode Bypass Module Issue</t>
        </is>
      </c>
      <c r="K709" s="8" t="inlineStr">
        <is>
          <t>Bhavnagar</t>
        </is>
      </c>
      <c r="L709" s="8" t="inlineStr">
        <is>
          <t>Gujarat</t>
        </is>
      </c>
      <c r="M709" s="2" t="inlineStr">
        <is>
          <t>PR</t>
        </is>
      </c>
      <c r="N709" s="1" t="inlineStr">
        <is>
          <t>JB Issue</t>
        </is>
      </c>
      <c r="O709" s="11" t="n">
        <v>540</v>
      </c>
      <c r="P709" s="2" t="inlineStr">
        <is>
          <t>NSMP2305189041</t>
        </is>
      </c>
      <c r="Q709" s="14">
        <f>MID(P709,5,2)</f>
        <v/>
      </c>
      <c r="R709" s="14">
        <f>MID(P709,7,2)</f>
        <v/>
      </c>
      <c r="S709" s="1" t="inlineStr">
        <is>
          <t>G2B</t>
        </is>
      </c>
      <c r="T709" s="1" t="inlineStr">
        <is>
          <t>P2 - PEPPL</t>
        </is>
      </c>
      <c r="U709" s="1" t="inlineStr">
        <is>
          <t>P JB Issue</t>
        </is>
      </c>
      <c r="V709" s="3" t="inlineStr">
        <is>
          <t>JB Changed</t>
        </is>
      </c>
      <c r="W709" s="1" t="inlineStr">
        <is>
          <t>Repair</t>
        </is>
      </c>
      <c r="X709" s="5" t="n">
        <v>46178</v>
      </c>
      <c r="Y709" s="1">
        <f>IF(X709="","",X709-A709)</f>
        <v/>
      </c>
      <c r="Z709" s="5" t="n">
        <v>46178</v>
      </c>
      <c r="AA709" s="3" t="n"/>
      <c r="AB709" s="3" t="n"/>
      <c r="AE709" s="146">
        <f>IF(AND(F709="Closed",X709&gt;=DATE(2026,6,1),X709&lt;=DATE(2026,6,30)),"Closed in June","other")</f>
        <v/>
      </c>
    </row>
    <row r="710" hidden="1">
      <c r="A710" s="9" t="n">
        <v>46148</v>
      </c>
      <c r="B710" s="1" t="n">
        <v>2026</v>
      </c>
      <c r="C710" s="8" t="inlineStr">
        <is>
          <t>Continuum</t>
        </is>
      </c>
      <c r="D710" s="1" t="inlineStr">
        <is>
          <t>Utility and C&amp;I</t>
        </is>
      </c>
      <c r="E710" s="1" t="n"/>
      <c r="F710" s="1" t="inlineStr">
        <is>
          <t>Closed</t>
        </is>
      </c>
      <c r="G710" s="8" t="inlineStr">
        <is>
          <t>Amiya Ranjan Behera</t>
        </is>
      </c>
      <c r="H710" s="8" t="n">
        <v>8917436223</v>
      </c>
      <c r="I710" s="10" t="inlineStr">
        <is>
          <t>PE06052602</t>
        </is>
      </c>
      <c r="J710" s="8" t="inlineStr">
        <is>
          <t>Diode Bypass Module Issue</t>
        </is>
      </c>
      <c r="K710" s="8" t="inlineStr">
        <is>
          <t>Bhavnagar</t>
        </is>
      </c>
      <c r="L710" s="8" t="inlineStr">
        <is>
          <t>Gujarat</t>
        </is>
      </c>
      <c r="M710" s="2" t="inlineStr">
        <is>
          <t>PR</t>
        </is>
      </c>
      <c r="N710" s="1" t="inlineStr">
        <is>
          <t>JB Issue</t>
        </is>
      </c>
      <c r="O710" s="11" t="n">
        <v>540</v>
      </c>
      <c r="P710" s="2" t="inlineStr">
        <is>
          <t>NSMP2305189049</t>
        </is>
      </c>
      <c r="Q710" s="14">
        <f>MID(P710,5,2)</f>
        <v/>
      </c>
      <c r="R710" s="14">
        <f>MID(P710,7,2)</f>
        <v/>
      </c>
      <c r="S710" s="1" t="inlineStr">
        <is>
          <t>G2B</t>
        </is>
      </c>
      <c r="T710" s="1" t="inlineStr">
        <is>
          <t>P2 - PEPPL</t>
        </is>
      </c>
      <c r="U710" s="1" t="inlineStr">
        <is>
          <t>P JB Issue</t>
        </is>
      </c>
      <c r="V710" s="3" t="inlineStr">
        <is>
          <t>JB Changed</t>
        </is>
      </c>
      <c r="W710" s="1" t="inlineStr">
        <is>
          <t>Repair</t>
        </is>
      </c>
      <c r="X710" s="5" t="n">
        <v>46178</v>
      </c>
      <c r="Y710" s="1">
        <f>IF(X710="","",X710-A710)</f>
        <v/>
      </c>
      <c r="Z710" s="5" t="n">
        <v>46178</v>
      </c>
      <c r="AA710" s="3" t="n"/>
      <c r="AB710" s="3" t="n"/>
      <c r="AE710" s="146">
        <f>IF(AND(F710="Closed",X710&gt;=DATE(2026,6,1),X710&lt;=DATE(2026,6,30)),"Closed in June","other")</f>
        <v/>
      </c>
    </row>
    <row r="711" hidden="1">
      <c r="A711" s="9" t="n">
        <v>46148</v>
      </c>
      <c r="B711" s="1" t="n">
        <v>2026</v>
      </c>
      <c r="C711" s="8" t="inlineStr">
        <is>
          <t>Continuum</t>
        </is>
      </c>
      <c r="D711" s="1" t="inlineStr">
        <is>
          <t>Utility and C&amp;I</t>
        </is>
      </c>
      <c r="E711" s="1" t="n"/>
      <c r="F711" s="1" t="inlineStr">
        <is>
          <t>Closed</t>
        </is>
      </c>
      <c r="G711" s="8" t="inlineStr">
        <is>
          <t>Amiya Ranjan Behera</t>
        </is>
      </c>
      <c r="H711" s="8" t="n">
        <v>8917436223</v>
      </c>
      <c r="I711" s="10" t="inlineStr">
        <is>
          <t>PE06052602</t>
        </is>
      </c>
      <c r="J711" s="8" t="inlineStr">
        <is>
          <t>Diode Bypass Module Issue</t>
        </is>
      </c>
      <c r="K711" s="8" t="inlineStr">
        <is>
          <t>Bhavnagar</t>
        </is>
      </c>
      <c r="L711" s="8" t="inlineStr">
        <is>
          <t>Gujarat</t>
        </is>
      </c>
      <c r="M711" s="2" t="inlineStr">
        <is>
          <t>PS</t>
        </is>
      </c>
      <c r="N711" s="1" t="inlineStr">
        <is>
          <t>Cold Soldering</t>
        </is>
      </c>
      <c r="O711" s="11" t="n">
        <v>540</v>
      </c>
      <c r="P711" s="2" t="inlineStr">
        <is>
          <t>NSMP2305189698</t>
        </is>
      </c>
      <c r="Q711" s="14">
        <f>MID(P711,5,2)</f>
        <v/>
      </c>
      <c r="R711" s="14">
        <f>MID(P711,7,2)</f>
        <v/>
      </c>
      <c r="S711" s="1" t="inlineStr">
        <is>
          <t>G2B</t>
        </is>
      </c>
      <c r="T711" s="1" t="inlineStr">
        <is>
          <t>P2 - PEPPL</t>
        </is>
      </c>
      <c r="U711" s="1" t="inlineStr">
        <is>
          <t>P JB Cold Soldering</t>
        </is>
      </c>
      <c r="V711" s="1" t="inlineStr">
        <is>
          <t>Soldering</t>
        </is>
      </c>
      <c r="W711" s="1" t="inlineStr">
        <is>
          <t>Repair</t>
        </is>
      </c>
      <c r="X711" s="5" t="n">
        <v>46178</v>
      </c>
      <c r="Y711" s="1">
        <f>IF(X711="","",X711-A711)</f>
        <v/>
      </c>
      <c r="Z711" s="5" t="n">
        <v>46178</v>
      </c>
      <c r="AA711" s="3" t="n"/>
      <c r="AB711" s="3" t="n"/>
      <c r="AE711" s="146">
        <f>IF(AND(F711="Closed",X711&gt;=DATE(2026,6,1),X711&lt;=DATE(2026,6,30)),"Closed in June","other")</f>
        <v/>
      </c>
    </row>
    <row r="712" hidden="1">
      <c r="A712" s="9" t="n">
        <v>46148</v>
      </c>
      <c r="B712" s="1" t="n">
        <v>2026</v>
      </c>
      <c r="C712" s="8" t="inlineStr">
        <is>
          <t>Continuum</t>
        </is>
      </c>
      <c r="D712" s="1" t="inlineStr">
        <is>
          <t>Utility and C&amp;I</t>
        </is>
      </c>
      <c r="E712" s="1" t="n"/>
      <c r="F712" s="1" t="inlineStr">
        <is>
          <t>Closed</t>
        </is>
      </c>
      <c r="G712" s="8" t="inlineStr">
        <is>
          <t>Amiya Ranjan Behera</t>
        </is>
      </c>
      <c r="H712" s="8" t="n">
        <v>8917436223</v>
      </c>
      <c r="I712" s="10" t="inlineStr">
        <is>
          <t>PE06052602</t>
        </is>
      </c>
      <c r="J712" s="8" t="inlineStr">
        <is>
          <t>Diode Bypass Module Issue</t>
        </is>
      </c>
      <c r="K712" s="8" t="inlineStr">
        <is>
          <t>Bhavnagar</t>
        </is>
      </c>
      <c r="L712" s="8" t="inlineStr">
        <is>
          <t>Gujarat</t>
        </is>
      </c>
      <c r="M712" s="2" t="inlineStr">
        <is>
          <t>PS</t>
        </is>
      </c>
      <c r="N712" s="1" t="inlineStr">
        <is>
          <t>Cold Soldering</t>
        </is>
      </c>
      <c r="O712" s="11" t="n">
        <v>540</v>
      </c>
      <c r="P712" s="2" t="inlineStr">
        <is>
          <t>NSMP2305189679</t>
        </is>
      </c>
      <c r="Q712" s="14">
        <f>MID(P712,5,2)</f>
        <v/>
      </c>
      <c r="R712" s="14">
        <f>MID(P712,7,2)</f>
        <v/>
      </c>
      <c r="S712" s="1" t="inlineStr">
        <is>
          <t>G2B</t>
        </is>
      </c>
      <c r="T712" s="1" t="inlineStr">
        <is>
          <t>P2 - PEPPL</t>
        </is>
      </c>
      <c r="U712" s="1" t="inlineStr">
        <is>
          <t>P JB Cold Soldering</t>
        </is>
      </c>
      <c r="V712" s="1" t="inlineStr">
        <is>
          <t>Soldering</t>
        </is>
      </c>
      <c r="W712" s="1" t="inlineStr">
        <is>
          <t>Repair</t>
        </is>
      </c>
      <c r="X712" s="5" t="n">
        <v>46178</v>
      </c>
      <c r="Y712" s="1">
        <f>IF(X712="","",X712-A712)</f>
        <v/>
      </c>
      <c r="Z712" s="5" t="n">
        <v>46178</v>
      </c>
      <c r="AA712" s="3" t="n"/>
      <c r="AB712" s="3" t="n"/>
      <c r="AE712" s="146">
        <f>IF(AND(F712="Closed",X712&gt;=DATE(2026,6,1),X712&lt;=DATE(2026,6,30)),"Closed in June","other")</f>
        <v/>
      </c>
    </row>
    <row r="713" hidden="1">
      <c r="A713" s="9" t="n">
        <v>46148</v>
      </c>
      <c r="B713" s="1" t="n">
        <v>2026</v>
      </c>
      <c r="C713" s="8" t="inlineStr">
        <is>
          <t>Continuum</t>
        </is>
      </c>
      <c r="D713" s="1" t="inlineStr">
        <is>
          <t>Utility and C&amp;I</t>
        </is>
      </c>
      <c r="E713" s="1" t="n"/>
      <c r="F713" s="1" t="inlineStr">
        <is>
          <t>Closed</t>
        </is>
      </c>
      <c r="G713" s="8" t="inlineStr">
        <is>
          <t>Amiya Ranjan Behera</t>
        </is>
      </c>
      <c r="H713" s="8" t="n">
        <v>8917436223</v>
      </c>
      <c r="I713" s="10" t="inlineStr">
        <is>
          <t>PE06052602</t>
        </is>
      </c>
      <c r="J713" s="8" t="inlineStr">
        <is>
          <t>Diode Bypass Module Issue</t>
        </is>
      </c>
      <c r="K713" s="8" t="inlineStr">
        <is>
          <t>Bhavnagar</t>
        </is>
      </c>
      <c r="L713" s="8" t="inlineStr">
        <is>
          <t>Gujarat</t>
        </is>
      </c>
      <c r="M713" s="2" t="inlineStr">
        <is>
          <t>PS</t>
        </is>
      </c>
      <c r="N713" s="1" t="inlineStr">
        <is>
          <t>Cold Soldering</t>
        </is>
      </c>
      <c r="O713" s="11" t="n">
        <v>540</v>
      </c>
      <c r="P713" s="2" t="inlineStr">
        <is>
          <t>NSMP2305189701</t>
        </is>
      </c>
      <c r="Q713" s="14">
        <f>MID(P713,5,2)</f>
        <v/>
      </c>
      <c r="R713" s="14">
        <f>MID(P713,7,2)</f>
        <v/>
      </c>
      <c r="S713" s="1" t="inlineStr">
        <is>
          <t>G2B</t>
        </is>
      </c>
      <c r="T713" s="1" t="inlineStr">
        <is>
          <t>P2 - PEPPL</t>
        </is>
      </c>
      <c r="U713" s="1" t="inlineStr">
        <is>
          <t>P JB Cold Soldering</t>
        </is>
      </c>
      <c r="V713" s="1" t="inlineStr">
        <is>
          <t>Soldering</t>
        </is>
      </c>
      <c r="W713" s="1" t="inlineStr">
        <is>
          <t>Repair</t>
        </is>
      </c>
      <c r="X713" s="5" t="n">
        <v>46178</v>
      </c>
      <c r="Y713" s="1">
        <f>IF(X713="","",X713-A713)</f>
        <v/>
      </c>
      <c r="Z713" s="5" t="n">
        <v>46178</v>
      </c>
      <c r="AA713" s="3" t="n"/>
      <c r="AB713" s="3" t="n"/>
      <c r="AE713" s="146">
        <f>IF(AND(F713="Closed",X713&gt;=DATE(2026,6,1),X713&lt;=DATE(2026,6,30)),"Closed in June","other")</f>
        <v/>
      </c>
    </row>
    <row r="714" hidden="1">
      <c r="A714" s="9" t="n">
        <v>46148</v>
      </c>
      <c r="B714" s="1" t="n">
        <v>2026</v>
      </c>
      <c r="C714" s="8" t="inlineStr">
        <is>
          <t>Continuum</t>
        </is>
      </c>
      <c r="D714" s="1" t="inlineStr">
        <is>
          <t>Utility and C&amp;I</t>
        </is>
      </c>
      <c r="E714" s="1" t="n"/>
      <c r="F714" s="1" t="inlineStr">
        <is>
          <t>Closed</t>
        </is>
      </c>
      <c r="G714" s="8" t="inlineStr">
        <is>
          <t>Amiya Ranjan Behera</t>
        </is>
      </c>
      <c r="H714" s="8" t="n">
        <v>8917436223</v>
      </c>
      <c r="I714" s="10" t="inlineStr">
        <is>
          <t>PE06052602</t>
        </is>
      </c>
      <c r="J714" s="8" t="inlineStr">
        <is>
          <t>Diode Bypass Module Issue</t>
        </is>
      </c>
      <c r="K714" s="8" t="inlineStr">
        <is>
          <t>Bhavnagar</t>
        </is>
      </c>
      <c r="L714" s="8" t="inlineStr">
        <is>
          <t>Gujarat</t>
        </is>
      </c>
      <c r="M714" s="2" t="inlineStr">
        <is>
          <t>PS</t>
        </is>
      </c>
      <c r="N714" s="1" t="inlineStr">
        <is>
          <t>Cold Soldering</t>
        </is>
      </c>
      <c r="O714" s="11" t="n">
        <v>540</v>
      </c>
      <c r="P714" s="2" t="inlineStr">
        <is>
          <t>NSMP2305189692</t>
        </is>
      </c>
      <c r="Q714" s="14">
        <f>MID(P714,5,2)</f>
        <v/>
      </c>
      <c r="R714" s="14">
        <f>MID(P714,7,2)</f>
        <v/>
      </c>
      <c r="S714" s="1" t="inlineStr">
        <is>
          <t>G2B</t>
        </is>
      </c>
      <c r="T714" s="1" t="inlineStr">
        <is>
          <t>P2 - PEPPL</t>
        </is>
      </c>
      <c r="U714" s="1" t="inlineStr">
        <is>
          <t>P JB Cold Soldering</t>
        </is>
      </c>
      <c r="V714" s="1" t="inlineStr">
        <is>
          <t>Soldering</t>
        </is>
      </c>
      <c r="W714" s="1" t="inlineStr">
        <is>
          <t>Repair</t>
        </is>
      </c>
      <c r="X714" s="5" t="n">
        <v>46178</v>
      </c>
      <c r="Y714" s="1">
        <f>IF(X714="","",X714-A714)</f>
        <v/>
      </c>
      <c r="Z714" s="5" t="n">
        <v>46178</v>
      </c>
      <c r="AA714" s="3" t="n"/>
      <c r="AB714" s="3" t="n"/>
      <c r="AE714" s="146">
        <f>IF(AND(F714="Closed",X714&gt;=DATE(2026,6,1),X714&lt;=DATE(2026,6,30)),"Closed in June","other")</f>
        <v/>
      </c>
    </row>
    <row r="715" hidden="1">
      <c r="A715" s="9" t="n">
        <v>46148</v>
      </c>
      <c r="B715" s="1" t="n">
        <v>2026</v>
      </c>
      <c r="C715" s="8" t="inlineStr">
        <is>
          <t>Continuum</t>
        </is>
      </c>
      <c r="D715" s="1" t="inlineStr">
        <is>
          <t>Utility and C&amp;I</t>
        </is>
      </c>
      <c r="E715" s="1" t="n"/>
      <c r="F715" s="1" t="inlineStr">
        <is>
          <t>Closed</t>
        </is>
      </c>
      <c r="G715" s="8" t="inlineStr">
        <is>
          <t>Amiya Ranjan Behera</t>
        </is>
      </c>
      <c r="H715" s="8" t="n">
        <v>8917436223</v>
      </c>
      <c r="I715" s="10" t="inlineStr">
        <is>
          <t>PE06052602</t>
        </is>
      </c>
      <c r="J715" s="8" t="inlineStr">
        <is>
          <t>Diode Bypass Module Issue</t>
        </is>
      </c>
      <c r="K715" s="8" t="inlineStr">
        <is>
          <t>Bhavnagar</t>
        </is>
      </c>
      <c r="L715" s="8" t="inlineStr">
        <is>
          <t>Gujarat</t>
        </is>
      </c>
      <c r="M715" s="2" t="inlineStr">
        <is>
          <t>PR</t>
        </is>
      </c>
      <c r="N715" s="1" t="inlineStr">
        <is>
          <t>JB Issue</t>
        </is>
      </c>
      <c r="O715" s="11" t="n">
        <v>540</v>
      </c>
      <c r="P715" s="2" t="inlineStr">
        <is>
          <t>NSMP2305131877</t>
        </is>
      </c>
      <c r="Q715" s="14">
        <f>MID(P715,5,2)</f>
        <v/>
      </c>
      <c r="R715" s="14">
        <f>MID(P715,7,2)</f>
        <v/>
      </c>
      <c r="S715" s="1" t="inlineStr">
        <is>
          <t>G2B</t>
        </is>
      </c>
      <c r="T715" s="1" t="inlineStr">
        <is>
          <t>P2 - PEPPL</t>
        </is>
      </c>
      <c r="U715" s="1" t="inlineStr">
        <is>
          <t>P JB Issue</t>
        </is>
      </c>
      <c r="V715" s="3" t="inlineStr">
        <is>
          <t>JB Changed</t>
        </is>
      </c>
      <c r="W715" s="1" t="inlineStr">
        <is>
          <t>Repair</t>
        </is>
      </c>
      <c r="X715" s="5" t="n">
        <v>46178</v>
      </c>
      <c r="Y715" s="1">
        <f>IF(X715="","",X715-A715)</f>
        <v/>
      </c>
      <c r="Z715" s="5" t="n">
        <v>46178</v>
      </c>
      <c r="AA715" s="3" t="n"/>
      <c r="AB715" s="3" t="n"/>
      <c r="AE715" s="146">
        <f>IF(AND(F715="Closed",X715&gt;=DATE(2026,6,1),X715&lt;=DATE(2026,6,30)),"Closed in June","other")</f>
        <v/>
      </c>
    </row>
    <row r="716" hidden="1">
      <c r="A716" s="9" t="n">
        <v>46148</v>
      </c>
      <c r="B716" s="1" t="n">
        <v>2026</v>
      </c>
      <c r="C716" s="8" t="inlineStr">
        <is>
          <t>Continuum</t>
        </is>
      </c>
      <c r="D716" s="1" t="inlineStr">
        <is>
          <t>Utility and C&amp;I</t>
        </is>
      </c>
      <c r="E716" s="1" t="n"/>
      <c r="F716" s="1" t="inlineStr">
        <is>
          <t>Closed</t>
        </is>
      </c>
      <c r="G716" s="8" t="inlineStr">
        <is>
          <t>Amiya Ranjan Behera</t>
        </is>
      </c>
      <c r="H716" s="8" t="n">
        <v>8917436223</v>
      </c>
      <c r="I716" s="10" t="inlineStr">
        <is>
          <t>PE06052602</t>
        </is>
      </c>
      <c r="J716" s="8" t="inlineStr">
        <is>
          <t>Diode Bypass Module Issue</t>
        </is>
      </c>
      <c r="K716" s="8" t="inlineStr">
        <is>
          <t>Bhavnagar</t>
        </is>
      </c>
      <c r="L716" s="8" t="inlineStr">
        <is>
          <t>Gujarat</t>
        </is>
      </c>
      <c r="M716" s="2" t="inlineStr">
        <is>
          <t>PS</t>
        </is>
      </c>
      <c r="N716" s="1" t="inlineStr">
        <is>
          <t>Cold Soldering</t>
        </is>
      </c>
      <c r="O716" s="11" t="n">
        <v>540</v>
      </c>
      <c r="P716" s="2" t="inlineStr">
        <is>
          <t>NSMP2305132141</t>
        </is>
      </c>
      <c r="Q716" s="14">
        <f>MID(P716,5,2)</f>
        <v/>
      </c>
      <c r="R716" s="14">
        <f>MID(P716,7,2)</f>
        <v/>
      </c>
      <c r="S716" s="1" t="inlineStr">
        <is>
          <t>G2B</t>
        </is>
      </c>
      <c r="T716" s="1" t="inlineStr">
        <is>
          <t>P2 - PEPPL</t>
        </is>
      </c>
      <c r="U716" s="1" t="inlineStr">
        <is>
          <t>P JB Cold Soldering</t>
        </is>
      </c>
      <c r="V716" s="1" t="inlineStr">
        <is>
          <t>Soldering</t>
        </is>
      </c>
      <c r="W716" s="1" t="inlineStr">
        <is>
          <t>Repair</t>
        </is>
      </c>
      <c r="X716" s="5" t="n">
        <v>46178</v>
      </c>
      <c r="Y716" s="1">
        <f>IF(X716="","",X716-A716)</f>
        <v/>
      </c>
      <c r="Z716" s="5" t="n">
        <v>46178</v>
      </c>
      <c r="AA716" s="3" t="n"/>
      <c r="AB716" s="3" t="n"/>
      <c r="AE716" s="146">
        <f>IF(AND(F716="Closed",X716&gt;=DATE(2026,6,1),X716&lt;=DATE(2026,6,30)),"Closed in June","other")</f>
        <v/>
      </c>
    </row>
    <row r="717" hidden="1">
      <c r="A717" s="9" t="n">
        <v>46148</v>
      </c>
      <c r="B717" s="1" t="n">
        <v>2026</v>
      </c>
      <c r="C717" s="8" t="inlineStr">
        <is>
          <t>Continuum</t>
        </is>
      </c>
      <c r="D717" s="1" t="inlineStr">
        <is>
          <t>Utility and C&amp;I</t>
        </is>
      </c>
      <c r="E717" s="1" t="n"/>
      <c r="F717" s="1" t="inlineStr">
        <is>
          <t>Closed</t>
        </is>
      </c>
      <c r="G717" s="8" t="inlineStr">
        <is>
          <t>Amiya Ranjan Behera</t>
        </is>
      </c>
      <c r="H717" s="8" t="n">
        <v>8917436223</v>
      </c>
      <c r="I717" s="10" t="inlineStr">
        <is>
          <t>PE06052602</t>
        </is>
      </c>
      <c r="J717" s="8" t="inlineStr">
        <is>
          <t>Diode Bypass Module Issue</t>
        </is>
      </c>
      <c r="K717" s="8" t="inlineStr">
        <is>
          <t>Bhavnagar</t>
        </is>
      </c>
      <c r="L717" s="8" t="inlineStr">
        <is>
          <t>Gujarat</t>
        </is>
      </c>
      <c r="M717" s="2" t="inlineStr">
        <is>
          <t>PS</t>
        </is>
      </c>
      <c r="N717" s="1" t="inlineStr">
        <is>
          <t>Cold Soldering</t>
        </is>
      </c>
      <c r="O717" s="11" t="n">
        <v>540</v>
      </c>
      <c r="P717" s="2" t="inlineStr">
        <is>
          <t>NSMP2305189577</t>
        </is>
      </c>
      <c r="Q717" s="14">
        <f>MID(P717,5,2)</f>
        <v/>
      </c>
      <c r="R717" s="14">
        <f>MID(P717,7,2)</f>
        <v/>
      </c>
      <c r="S717" s="1" t="inlineStr">
        <is>
          <t>G2B</t>
        </is>
      </c>
      <c r="T717" s="1" t="inlineStr">
        <is>
          <t>P2 - PEPPL</t>
        </is>
      </c>
      <c r="U717" s="1" t="inlineStr">
        <is>
          <t>P JB Cold Soldering</t>
        </is>
      </c>
      <c r="V717" s="1" t="inlineStr">
        <is>
          <t>Soldering</t>
        </is>
      </c>
      <c r="W717" s="1" t="inlineStr">
        <is>
          <t>Repair</t>
        </is>
      </c>
      <c r="X717" s="5" t="n">
        <v>46178</v>
      </c>
      <c r="Y717" s="1">
        <f>IF(X717="","",X717-A717)</f>
        <v/>
      </c>
      <c r="Z717" s="5" t="n">
        <v>46178</v>
      </c>
      <c r="AA717" s="3" t="n"/>
      <c r="AB717" s="3" t="n"/>
      <c r="AE717" s="146">
        <f>IF(AND(F717="Closed",X717&gt;=DATE(2026,6,1),X717&lt;=DATE(2026,6,30)),"Closed in June","other")</f>
        <v/>
      </c>
    </row>
    <row r="718" hidden="1">
      <c r="A718" s="9" t="n">
        <v>46148</v>
      </c>
      <c r="B718" s="1" t="n">
        <v>2026</v>
      </c>
      <c r="C718" s="8" t="inlineStr">
        <is>
          <t>Continuum</t>
        </is>
      </c>
      <c r="D718" s="1" t="inlineStr">
        <is>
          <t>Utility and C&amp;I</t>
        </is>
      </c>
      <c r="E718" s="1" t="n"/>
      <c r="F718" s="1" t="inlineStr">
        <is>
          <t>Closed</t>
        </is>
      </c>
      <c r="G718" s="8" t="inlineStr">
        <is>
          <t>Amiya Ranjan Behera</t>
        </is>
      </c>
      <c r="H718" s="8" t="n">
        <v>8917436223</v>
      </c>
      <c r="I718" s="10" t="inlineStr">
        <is>
          <t>PE06052602</t>
        </is>
      </c>
      <c r="J718" s="8" t="inlineStr">
        <is>
          <t>Diode Bypass Module Issue</t>
        </is>
      </c>
      <c r="K718" s="8" t="inlineStr">
        <is>
          <t>Bhavnagar</t>
        </is>
      </c>
      <c r="L718" s="8" t="inlineStr">
        <is>
          <t>Gujarat</t>
        </is>
      </c>
      <c r="M718" s="2" t="inlineStr">
        <is>
          <t>PR</t>
        </is>
      </c>
      <c r="N718" s="1" t="inlineStr">
        <is>
          <t>JB Issue</t>
        </is>
      </c>
      <c r="O718" s="11" t="n">
        <v>540</v>
      </c>
      <c r="P718" s="2" t="inlineStr">
        <is>
          <t>NSMP2305189605</t>
        </is>
      </c>
      <c r="Q718" s="14">
        <f>MID(P718,5,2)</f>
        <v/>
      </c>
      <c r="R718" s="14">
        <f>MID(P718,7,2)</f>
        <v/>
      </c>
      <c r="S718" s="1" t="inlineStr">
        <is>
          <t>G2B</t>
        </is>
      </c>
      <c r="T718" s="1" t="inlineStr">
        <is>
          <t>P2 - PEPPL</t>
        </is>
      </c>
      <c r="U718" s="1" t="inlineStr">
        <is>
          <t>P JB Issue</t>
        </is>
      </c>
      <c r="V718" s="3" t="inlineStr">
        <is>
          <t>JB Changed</t>
        </is>
      </c>
      <c r="W718" s="1" t="inlineStr">
        <is>
          <t>Repair</t>
        </is>
      </c>
      <c r="X718" s="5" t="n">
        <v>46178</v>
      </c>
      <c r="Y718" s="1">
        <f>IF(X718="","",X718-A718)</f>
        <v/>
      </c>
      <c r="Z718" s="5" t="n">
        <v>46178</v>
      </c>
      <c r="AA718" s="3" t="n"/>
      <c r="AB718" s="3" t="n"/>
      <c r="AE718" s="146">
        <f>IF(AND(F718="Closed",X718&gt;=DATE(2026,6,1),X718&lt;=DATE(2026,6,30)),"Closed in June","other")</f>
        <v/>
      </c>
    </row>
    <row r="719" hidden="1">
      <c r="A719" s="9" t="n">
        <v>46148</v>
      </c>
      <c r="B719" s="1" t="n">
        <v>2026</v>
      </c>
      <c r="C719" s="8" t="inlineStr">
        <is>
          <t>Continuum</t>
        </is>
      </c>
      <c r="D719" s="1" t="inlineStr">
        <is>
          <t>Utility and C&amp;I</t>
        </is>
      </c>
      <c r="E719" s="1" t="n"/>
      <c r="F719" s="1" t="inlineStr">
        <is>
          <t>Closed</t>
        </is>
      </c>
      <c r="G719" s="8" t="inlineStr">
        <is>
          <t>Amiya Ranjan Behera</t>
        </is>
      </c>
      <c r="H719" s="8" t="n">
        <v>8917436223</v>
      </c>
      <c r="I719" s="10" t="inlineStr">
        <is>
          <t>PE06052602</t>
        </is>
      </c>
      <c r="J719" s="8" t="inlineStr">
        <is>
          <t>Diode Bypass Module Issue</t>
        </is>
      </c>
      <c r="K719" s="8" t="inlineStr">
        <is>
          <t>Bhavnagar</t>
        </is>
      </c>
      <c r="L719" s="8" t="inlineStr">
        <is>
          <t>Gujarat</t>
        </is>
      </c>
      <c r="M719" s="2" t="inlineStr">
        <is>
          <t>PS</t>
        </is>
      </c>
      <c r="N719" s="1" t="inlineStr">
        <is>
          <t>Cold Soldering</t>
        </is>
      </c>
      <c r="O719" s="11" t="n">
        <v>540</v>
      </c>
      <c r="P719" s="2" t="inlineStr">
        <is>
          <t>NSMP2305189732</t>
        </is>
      </c>
      <c r="Q719" s="14">
        <f>MID(P719,5,2)</f>
        <v/>
      </c>
      <c r="R719" s="14">
        <f>MID(P719,7,2)</f>
        <v/>
      </c>
      <c r="S719" s="1" t="inlineStr">
        <is>
          <t>G2B</t>
        </is>
      </c>
      <c r="T719" s="1" t="inlineStr">
        <is>
          <t>P2 - PEPPL</t>
        </is>
      </c>
      <c r="U719" s="1" t="inlineStr">
        <is>
          <t>P JB Cold Soldering</t>
        </is>
      </c>
      <c r="V719" s="1" t="inlineStr">
        <is>
          <t>Soldering</t>
        </is>
      </c>
      <c r="W719" s="1" t="inlineStr">
        <is>
          <t>Repair</t>
        </is>
      </c>
      <c r="X719" s="5" t="n">
        <v>46178</v>
      </c>
      <c r="Y719" s="1">
        <f>IF(X719="","",X719-A719)</f>
        <v/>
      </c>
      <c r="Z719" s="5" t="n">
        <v>46178</v>
      </c>
      <c r="AA719" s="3" t="n"/>
      <c r="AB719" s="3" t="n"/>
      <c r="AE719" s="146">
        <f>IF(AND(F719="Closed",X719&gt;=DATE(2026,6,1),X719&lt;=DATE(2026,6,30)),"Closed in June","other")</f>
        <v/>
      </c>
    </row>
    <row r="720" hidden="1">
      <c r="A720" s="9" t="n">
        <v>46148</v>
      </c>
      <c r="B720" s="1" t="n">
        <v>2026</v>
      </c>
      <c r="C720" s="8" t="inlineStr">
        <is>
          <t>Continuum</t>
        </is>
      </c>
      <c r="D720" s="1" t="inlineStr">
        <is>
          <t>Utility and C&amp;I</t>
        </is>
      </c>
      <c r="E720" s="1" t="n"/>
      <c r="F720" s="1" t="inlineStr">
        <is>
          <t>Closed</t>
        </is>
      </c>
      <c r="G720" s="8" t="inlineStr">
        <is>
          <t>Amiya Ranjan Behera</t>
        </is>
      </c>
      <c r="H720" s="8" t="n">
        <v>8917436223</v>
      </c>
      <c r="I720" s="10" t="inlineStr">
        <is>
          <t>PE06052602</t>
        </is>
      </c>
      <c r="J720" s="8" t="inlineStr">
        <is>
          <t>Diode Bypass Module Issue</t>
        </is>
      </c>
      <c r="K720" s="8" t="inlineStr">
        <is>
          <t>Bhavnagar</t>
        </is>
      </c>
      <c r="L720" s="8" t="inlineStr">
        <is>
          <t>Gujarat</t>
        </is>
      </c>
      <c r="M720" s="2" t="inlineStr">
        <is>
          <t>PS</t>
        </is>
      </c>
      <c r="N720" s="1" t="inlineStr">
        <is>
          <t>Cold Soldering</t>
        </is>
      </c>
      <c r="O720" s="11" t="n">
        <v>540</v>
      </c>
      <c r="P720" s="2" t="inlineStr">
        <is>
          <t>NSMP2305134550</t>
        </is>
      </c>
      <c r="Q720" s="14">
        <f>MID(P720,5,2)</f>
        <v/>
      </c>
      <c r="R720" s="14">
        <f>MID(P720,7,2)</f>
        <v/>
      </c>
      <c r="S720" s="1" t="inlineStr">
        <is>
          <t>G2B</t>
        </is>
      </c>
      <c r="T720" s="1" t="inlineStr">
        <is>
          <t>P2 - PEPPL</t>
        </is>
      </c>
      <c r="U720" s="1" t="inlineStr">
        <is>
          <t>P JB Cold Soldering</t>
        </is>
      </c>
      <c r="V720" s="1" t="inlineStr">
        <is>
          <t>Soldering</t>
        </is>
      </c>
      <c r="W720" s="1" t="inlineStr">
        <is>
          <t>Repair</t>
        </is>
      </c>
      <c r="X720" s="5" t="n">
        <v>46178</v>
      </c>
      <c r="Y720" s="1">
        <f>IF(X720="","",X720-A720)</f>
        <v/>
      </c>
      <c r="Z720" s="5" t="n">
        <v>46178</v>
      </c>
      <c r="AA720" s="3" t="n"/>
      <c r="AB720" s="3" t="n"/>
      <c r="AE720" s="146">
        <f>IF(AND(F720="Closed",X720&gt;=DATE(2026,6,1),X720&lt;=DATE(2026,6,30)),"Closed in June","other")</f>
        <v/>
      </c>
    </row>
    <row r="721" hidden="1">
      <c r="A721" s="9" t="n">
        <v>46148</v>
      </c>
      <c r="B721" s="1" t="n">
        <v>2026</v>
      </c>
      <c r="C721" s="8" t="inlineStr">
        <is>
          <t>Continuum</t>
        </is>
      </c>
      <c r="D721" s="1" t="inlineStr">
        <is>
          <t>Utility and C&amp;I</t>
        </is>
      </c>
      <c r="E721" s="1" t="n"/>
      <c r="F721" s="1" t="inlineStr">
        <is>
          <t>Closed</t>
        </is>
      </c>
      <c r="G721" s="8" t="inlineStr">
        <is>
          <t>Amiya Ranjan Behera</t>
        </is>
      </c>
      <c r="H721" s="8" t="n">
        <v>8917436223</v>
      </c>
      <c r="I721" s="10" t="inlineStr">
        <is>
          <t>PE06052602</t>
        </is>
      </c>
      <c r="J721" s="8" t="inlineStr">
        <is>
          <t>Diode Bypass Module Issue</t>
        </is>
      </c>
      <c r="K721" s="8" t="inlineStr">
        <is>
          <t>Bhavnagar</t>
        </is>
      </c>
      <c r="L721" s="8" t="inlineStr">
        <is>
          <t>Gujarat</t>
        </is>
      </c>
      <c r="M721" s="2" t="inlineStr">
        <is>
          <t>PS</t>
        </is>
      </c>
      <c r="N721" s="1" t="inlineStr">
        <is>
          <t>Cold Soldering</t>
        </is>
      </c>
      <c r="O721" s="11" t="n">
        <v>540</v>
      </c>
      <c r="P721" s="2" t="inlineStr">
        <is>
          <t>NSMP2305134562</t>
        </is>
      </c>
      <c r="Q721" s="14">
        <f>MID(P721,5,2)</f>
        <v/>
      </c>
      <c r="R721" s="14">
        <f>MID(P721,7,2)</f>
        <v/>
      </c>
      <c r="S721" s="1" t="inlineStr">
        <is>
          <t>G2B</t>
        </is>
      </c>
      <c r="T721" s="1" t="inlineStr">
        <is>
          <t>P2 - PEPPL</t>
        </is>
      </c>
      <c r="U721" s="1" t="inlineStr">
        <is>
          <t>P JB Cold Soldering</t>
        </is>
      </c>
      <c r="V721" s="1" t="inlineStr">
        <is>
          <t>Soldering</t>
        </is>
      </c>
      <c r="W721" s="1" t="inlineStr">
        <is>
          <t>Repair</t>
        </is>
      </c>
      <c r="X721" s="5" t="n">
        <v>46178</v>
      </c>
      <c r="Y721" s="1">
        <f>IF(X721="","",X721-A721)</f>
        <v/>
      </c>
      <c r="Z721" s="5" t="n">
        <v>46178</v>
      </c>
      <c r="AA721" s="3" t="n"/>
      <c r="AB721" s="3" t="n"/>
      <c r="AE721" s="146">
        <f>IF(AND(F721="Closed",X721&gt;=DATE(2026,6,1),X721&lt;=DATE(2026,6,30)),"Closed in June","other")</f>
        <v/>
      </c>
    </row>
    <row r="722" hidden="1">
      <c r="A722" s="9" t="n">
        <v>46148</v>
      </c>
      <c r="B722" s="1" t="n">
        <v>2026</v>
      </c>
      <c r="C722" s="8" t="inlineStr">
        <is>
          <t>Continuum</t>
        </is>
      </c>
      <c r="D722" s="1" t="inlineStr">
        <is>
          <t>Utility and C&amp;I</t>
        </is>
      </c>
      <c r="E722" s="1" t="n"/>
      <c r="F722" s="1" t="inlineStr">
        <is>
          <t>Closed</t>
        </is>
      </c>
      <c r="G722" s="8" t="inlineStr">
        <is>
          <t>Amiya Ranjan Behera</t>
        </is>
      </c>
      <c r="H722" s="8" t="n">
        <v>8917436223</v>
      </c>
      <c r="I722" s="10" t="inlineStr">
        <is>
          <t>PE06052602</t>
        </is>
      </c>
      <c r="J722" s="8" t="inlineStr">
        <is>
          <t>Diode Bypass Module Issue</t>
        </is>
      </c>
      <c r="K722" s="8" t="inlineStr">
        <is>
          <t>Bhavnagar</t>
        </is>
      </c>
      <c r="L722" s="8" t="inlineStr">
        <is>
          <t>Gujarat</t>
        </is>
      </c>
      <c r="M722" s="2" t="inlineStr">
        <is>
          <t>PS</t>
        </is>
      </c>
      <c r="N722" s="1" t="inlineStr">
        <is>
          <t>Cold Soldering</t>
        </is>
      </c>
      <c r="O722" s="11" t="n">
        <v>540</v>
      </c>
      <c r="P722" s="2" t="inlineStr">
        <is>
          <t>NSMP2305132088</t>
        </is>
      </c>
      <c r="Q722" s="14">
        <f>MID(P722,5,2)</f>
        <v/>
      </c>
      <c r="R722" s="14">
        <f>MID(P722,7,2)</f>
        <v/>
      </c>
      <c r="S722" s="1" t="inlineStr">
        <is>
          <t>G2B</t>
        </is>
      </c>
      <c r="T722" s="1" t="inlineStr">
        <is>
          <t>P2 - PEPPL</t>
        </is>
      </c>
      <c r="U722" s="1" t="inlineStr">
        <is>
          <t>P JB Cold Soldering</t>
        </is>
      </c>
      <c r="V722" s="1" t="inlineStr">
        <is>
          <t>Soldering</t>
        </is>
      </c>
      <c r="W722" s="1" t="inlineStr">
        <is>
          <t>Repair</t>
        </is>
      </c>
      <c r="X722" s="5" t="n">
        <v>46178</v>
      </c>
      <c r="Y722" s="1">
        <f>IF(X722="","",X722-A722)</f>
        <v/>
      </c>
      <c r="Z722" s="5" t="n">
        <v>46178</v>
      </c>
      <c r="AA722" s="3" t="n"/>
      <c r="AB722" s="3" t="n"/>
      <c r="AE722" s="146">
        <f>IF(AND(F722="Closed",X722&gt;=DATE(2026,6,1),X722&lt;=DATE(2026,6,30)),"Closed in June","other")</f>
        <v/>
      </c>
    </row>
    <row r="723" hidden="1">
      <c r="A723" s="9" t="n">
        <v>46148</v>
      </c>
      <c r="B723" s="1" t="n">
        <v>2026</v>
      </c>
      <c r="C723" s="8" t="inlineStr">
        <is>
          <t>Continuum</t>
        </is>
      </c>
      <c r="D723" s="1" t="inlineStr">
        <is>
          <t>Utility and C&amp;I</t>
        </is>
      </c>
      <c r="E723" s="1" t="n"/>
      <c r="F723" s="1" t="inlineStr">
        <is>
          <t>Closed</t>
        </is>
      </c>
      <c r="G723" s="8" t="inlineStr">
        <is>
          <t>Amiya Ranjan Behera</t>
        </is>
      </c>
      <c r="H723" s="8" t="n">
        <v>8917436223</v>
      </c>
      <c r="I723" s="10" t="inlineStr">
        <is>
          <t>PE06052602</t>
        </is>
      </c>
      <c r="J723" s="8" t="inlineStr">
        <is>
          <t>Diode Bypass Module Issue</t>
        </is>
      </c>
      <c r="K723" s="8" t="inlineStr">
        <is>
          <t>Bhavnagar</t>
        </is>
      </c>
      <c r="L723" s="8" t="inlineStr">
        <is>
          <t>Gujarat</t>
        </is>
      </c>
      <c r="M723" s="2" t="inlineStr">
        <is>
          <t>PS</t>
        </is>
      </c>
      <c r="N723" s="1" t="inlineStr">
        <is>
          <t>Cold Soldering</t>
        </is>
      </c>
      <c r="O723" s="11" t="n">
        <v>540</v>
      </c>
      <c r="P723" s="2" t="inlineStr">
        <is>
          <t>NSMP2305134473</t>
        </is>
      </c>
      <c r="Q723" s="14">
        <f>MID(P723,5,2)</f>
        <v/>
      </c>
      <c r="R723" s="14">
        <f>MID(P723,7,2)</f>
        <v/>
      </c>
      <c r="S723" s="1" t="inlineStr">
        <is>
          <t>G2B</t>
        </is>
      </c>
      <c r="T723" s="1" t="inlineStr">
        <is>
          <t>P2 - PEPPL</t>
        </is>
      </c>
      <c r="U723" s="1" t="inlineStr">
        <is>
          <t>P JB Cold Soldering</t>
        </is>
      </c>
      <c r="V723" s="1" t="inlineStr">
        <is>
          <t>Soldering</t>
        </is>
      </c>
      <c r="W723" s="1" t="inlineStr">
        <is>
          <t>Repair</t>
        </is>
      </c>
      <c r="X723" s="5" t="n">
        <v>46178</v>
      </c>
      <c r="Y723" s="1">
        <f>IF(X723="","",X723-A723)</f>
        <v/>
      </c>
      <c r="Z723" s="5" t="n">
        <v>46178</v>
      </c>
      <c r="AA723" s="3" t="n"/>
      <c r="AB723" s="3" t="n"/>
      <c r="AE723" s="146">
        <f>IF(AND(F723="Closed",X723&gt;=DATE(2026,6,1),X723&lt;=DATE(2026,6,30)),"Closed in June","other")</f>
        <v/>
      </c>
    </row>
    <row r="724" hidden="1">
      <c r="A724" s="9" t="n">
        <v>46148</v>
      </c>
      <c r="B724" s="1" t="n">
        <v>2026</v>
      </c>
      <c r="C724" s="8" t="inlineStr">
        <is>
          <t>Continuum</t>
        </is>
      </c>
      <c r="D724" s="1" t="inlineStr">
        <is>
          <t>Utility and C&amp;I</t>
        </is>
      </c>
      <c r="E724" s="1" t="n"/>
      <c r="F724" s="1" t="inlineStr">
        <is>
          <t>Closed</t>
        </is>
      </c>
      <c r="G724" s="8" t="inlineStr">
        <is>
          <t>Amiya Ranjan Behera</t>
        </is>
      </c>
      <c r="H724" s="8" t="n">
        <v>8917436223</v>
      </c>
      <c r="I724" s="10" t="inlineStr">
        <is>
          <t>PE06052602</t>
        </is>
      </c>
      <c r="J724" s="8" t="inlineStr">
        <is>
          <t>Diode Bypass Module Issue</t>
        </is>
      </c>
      <c r="K724" s="8" t="inlineStr">
        <is>
          <t>Bhavnagar</t>
        </is>
      </c>
      <c r="L724" s="8" t="inlineStr">
        <is>
          <t>Gujarat</t>
        </is>
      </c>
      <c r="M724" s="2" t="inlineStr">
        <is>
          <t>PS</t>
        </is>
      </c>
      <c r="N724" s="1" t="inlineStr">
        <is>
          <t>Cold Soldering</t>
        </is>
      </c>
      <c r="O724" s="11" t="n">
        <v>540</v>
      </c>
      <c r="P724" s="2" t="inlineStr">
        <is>
          <t>NSMP2305189530</t>
        </is>
      </c>
      <c r="Q724" s="14">
        <f>MID(P724,5,2)</f>
        <v/>
      </c>
      <c r="R724" s="14">
        <f>MID(P724,7,2)</f>
        <v/>
      </c>
      <c r="S724" s="1" t="inlineStr">
        <is>
          <t>G2B</t>
        </is>
      </c>
      <c r="T724" s="1" t="inlineStr">
        <is>
          <t>P2 - PEPPL</t>
        </is>
      </c>
      <c r="U724" s="1" t="inlineStr">
        <is>
          <t>P JB Cold Soldering</t>
        </is>
      </c>
      <c r="V724" s="1" t="inlineStr">
        <is>
          <t>Soldering</t>
        </is>
      </c>
      <c r="W724" s="1" t="inlineStr">
        <is>
          <t>Repair</t>
        </is>
      </c>
      <c r="X724" s="5" t="n">
        <v>46178</v>
      </c>
      <c r="Y724" s="1">
        <f>IF(X724="","",X724-A724)</f>
        <v/>
      </c>
      <c r="Z724" s="5" t="n">
        <v>46178</v>
      </c>
      <c r="AA724" s="3" t="n"/>
      <c r="AB724" s="3" t="n"/>
      <c r="AE724" s="146">
        <f>IF(AND(F724="Closed",X724&gt;=DATE(2026,6,1),X724&lt;=DATE(2026,6,30)),"Closed in June","other")</f>
        <v/>
      </c>
    </row>
    <row r="725" hidden="1">
      <c r="A725" s="9" t="n">
        <v>46148</v>
      </c>
      <c r="B725" s="1" t="n">
        <v>2026</v>
      </c>
      <c r="C725" s="8" t="inlineStr">
        <is>
          <t>Continuum</t>
        </is>
      </c>
      <c r="D725" s="1" t="inlineStr">
        <is>
          <t>Utility and C&amp;I</t>
        </is>
      </c>
      <c r="E725" s="1" t="n"/>
      <c r="F725" s="1" t="inlineStr">
        <is>
          <t>Closed</t>
        </is>
      </c>
      <c r="G725" s="8" t="inlineStr">
        <is>
          <t>Amiya Ranjan Behera</t>
        </is>
      </c>
      <c r="H725" s="8" t="n">
        <v>8917436223</v>
      </c>
      <c r="I725" s="10" t="inlineStr">
        <is>
          <t>PE06052602</t>
        </is>
      </c>
      <c r="J725" s="8" t="inlineStr">
        <is>
          <t>Diode Bypass Module Issue</t>
        </is>
      </c>
      <c r="K725" s="8" t="inlineStr">
        <is>
          <t>Bhavnagar</t>
        </is>
      </c>
      <c r="L725" s="8" t="inlineStr">
        <is>
          <t>Gujarat</t>
        </is>
      </c>
      <c r="M725" s="2" t="inlineStr">
        <is>
          <t>PS</t>
        </is>
      </c>
      <c r="N725" s="1" t="inlineStr">
        <is>
          <t>Cold Soldering</t>
        </is>
      </c>
      <c r="O725" s="11" t="n">
        <v>540</v>
      </c>
      <c r="P725" s="2" t="inlineStr">
        <is>
          <t>NSMP2305189531</t>
        </is>
      </c>
      <c r="Q725" s="14">
        <f>MID(P725,5,2)</f>
        <v/>
      </c>
      <c r="R725" s="14">
        <f>MID(P725,7,2)</f>
        <v/>
      </c>
      <c r="S725" s="1" t="inlineStr">
        <is>
          <t>G2B</t>
        </is>
      </c>
      <c r="T725" s="1" t="inlineStr">
        <is>
          <t>P2 - PEPPL</t>
        </is>
      </c>
      <c r="U725" s="1" t="inlineStr">
        <is>
          <t>P JB Cold Soldering</t>
        </is>
      </c>
      <c r="V725" s="1" t="inlineStr">
        <is>
          <t>Soldering</t>
        </is>
      </c>
      <c r="W725" s="1" t="inlineStr">
        <is>
          <t>Repair</t>
        </is>
      </c>
      <c r="X725" s="5" t="n">
        <v>46178</v>
      </c>
      <c r="Y725" s="1">
        <f>IF(X725="","",X725-A725)</f>
        <v/>
      </c>
      <c r="Z725" s="5" t="n">
        <v>46178</v>
      </c>
      <c r="AA725" s="3" t="n"/>
      <c r="AB725" s="3" t="n"/>
      <c r="AE725" s="146">
        <f>IF(AND(F725="Closed",X725&gt;=DATE(2026,6,1),X725&lt;=DATE(2026,6,30)),"Closed in June","other")</f>
        <v/>
      </c>
    </row>
    <row r="726" hidden="1">
      <c r="A726" s="9" t="n">
        <v>46148</v>
      </c>
      <c r="B726" s="1" t="n">
        <v>2026</v>
      </c>
      <c r="C726" s="8" t="inlineStr">
        <is>
          <t>Continuum</t>
        </is>
      </c>
      <c r="D726" s="1" t="inlineStr">
        <is>
          <t>Utility and C&amp;I</t>
        </is>
      </c>
      <c r="E726" s="1" t="n"/>
      <c r="F726" s="1" t="inlineStr">
        <is>
          <t>Closed</t>
        </is>
      </c>
      <c r="G726" s="8" t="inlineStr">
        <is>
          <t>Amiya Ranjan Behera</t>
        </is>
      </c>
      <c r="H726" s="8" t="n">
        <v>8917436223</v>
      </c>
      <c r="I726" s="10" t="inlineStr">
        <is>
          <t>PE06052602</t>
        </is>
      </c>
      <c r="J726" s="8" t="inlineStr">
        <is>
          <t>Diode Bypass Module Issue</t>
        </is>
      </c>
      <c r="K726" s="8" t="inlineStr">
        <is>
          <t>Bhavnagar</t>
        </is>
      </c>
      <c r="L726" s="8" t="inlineStr">
        <is>
          <t>Gujarat</t>
        </is>
      </c>
      <c r="M726" s="2" t="inlineStr">
        <is>
          <t>PR</t>
        </is>
      </c>
      <c r="N726" s="1" t="inlineStr">
        <is>
          <t>JB Issue</t>
        </is>
      </c>
      <c r="O726" s="11" t="n">
        <v>540</v>
      </c>
      <c r="P726" s="2" t="inlineStr">
        <is>
          <t>NSMP2305189633</t>
        </is>
      </c>
      <c r="Q726" s="14">
        <f>MID(P726,5,2)</f>
        <v/>
      </c>
      <c r="R726" s="14">
        <f>MID(P726,7,2)</f>
        <v/>
      </c>
      <c r="S726" s="1" t="inlineStr">
        <is>
          <t>G2B</t>
        </is>
      </c>
      <c r="T726" s="1" t="inlineStr">
        <is>
          <t>P2 - PEPPL</t>
        </is>
      </c>
      <c r="U726" s="1" t="inlineStr">
        <is>
          <t>P JB Issue</t>
        </is>
      </c>
      <c r="V726" s="3" t="inlineStr">
        <is>
          <t>JB Changed</t>
        </is>
      </c>
      <c r="W726" s="1" t="inlineStr">
        <is>
          <t>Repair</t>
        </is>
      </c>
      <c r="X726" s="5" t="n">
        <v>46178</v>
      </c>
      <c r="Y726" s="1">
        <f>IF(X726="","",X726-A726)</f>
        <v/>
      </c>
      <c r="Z726" s="5" t="n">
        <v>46178</v>
      </c>
      <c r="AA726" s="3" t="n"/>
      <c r="AB726" s="3" t="n"/>
      <c r="AE726" s="146">
        <f>IF(AND(F726="Closed",X726&gt;=DATE(2026,6,1),X726&lt;=DATE(2026,6,30)),"Closed in June","other")</f>
        <v/>
      </c>
    </row>
    <row r="727" hidden="1">
      <c r="A727" s="9" t="n">
        <v>46148</v>
      </c>
      <c r="B727" s="1" t="n">
        <v>2026</v>
      </c>
      <c r="C727" s="8" t="inlineStr">
        <is>
          <t>Continuum</t>
        </is>
      </c>
      <c r="D727" s="1" t="inlineStr">
        <is>
          <t>Utility and C&amp;I</t>
        </is>
      </c>
      <c r="E727" s="1" t="n"/>
      <c r="F727" s="1" t="inlineStr">
        <is>
          <t>Closed</t>
        </is>
      </c>
      <c r="G727" s="8" t="inlineStr">
        <is>
          <t>Amiya Ranjan Behera</t>
        </is>
      </c>
      <c r="H727" s="8" t="n">
        <v>8917436223</v>
      </c>
      <c r="I727" s="10" t="inlineStr">
        <is>
          <t>PE06052602</t>
        </is>
      </c>
      <c r="J727" s="8" t="inlineStr">
        <is>
          <t>Diode Bypass Module Issue</t>
        </is>
      </c>
      <c r="K727" s="8" t="inlineStr">
        <is>
          <t>Bhavnagar</t>
        </is>
      </c>
      <c r="L727" s="8" t="inlineStr">
        <is>
          <t>Gujarat</t>
        </is>
      </c>
      <c r="M727" s="2" t="inlineStr">
        <is>
          <t>PS</t>
        </is>
      </c>
      <c r="N727" s="1" t="inlineStr">
        <is>
          <t>Cold Soldering</t>
        </is>
      </c>
      <c r="O727" s="11" t="n">
        <v>540</v>
      </c>
      <c r="P727" s="2" t="inlineStr">
        <is>
          <t>NSMP2305189734</t>
        </is>
      </c>
      <c r="Q727" s="14">
        <f>MID(P727,5,2)</f>
        <v/>
      </c>
      <c r="R727" s="14">
        <f>MID(P727,7,2)</f>
        <v/>
      </c>
      <c r="S727" s="1" t="inlineStr">
        <is>
          <t>G2B</t>
        </is>
      </c>
      <c r="T727" s="1" t="inlineStr">
        <is>
          <t>P2 - PEPPL</t>
        </is>
      </c>
      <c r="U727" s="1" t="inlineStr">
        <is>
          <t>P JB Cold Soldering</t>
        </is>
      </c>
      <c r="V727" s="1" t="inlineStr">
        <is>
          <t>Soldering</t>
        </is>
      </c>
      <c r="W727" s="1" t="inlineStr">
        <is>
          <t>Repair</t>
        </is>
      </c>
      <c r="X727" s="5" t="n">
        <v>46178</v>
      </c>
      <c r="Y727" s="1">
        <f>IF(X727="","",X727-A727)</f>
        <v/>
      </c>
      <c r="Z727" s="5" t="n">
        <v>46178</v>
      </c>
      <c r="AA727" s="3" t="n"/>
      <c r="AB727" s="3" t="n"/>
      <c r="AE727" s="146">
        <f>IF(AND(F727="Closed",X727&gt;=DATE(2026,6,1),X727&lt;=DATE(2026,6,30)),"Closed in June","other")</f>
        <v/>
      </c>
    </row>
    <row r="728" hidden="1">
      <c r="A728" s="9" t="n">
        <v>46148</v>
      </c>
      <c r="B728" s="1" t="n">
        <v>2026</v>
      </c>
      <c r="C728" s="8" t="inlineStr">
        <is>
          <t>Continuum</t>
        </is>
      </c>
      <c r="D728" s="1" t="inlineStr">
        <is>
          <t>Utility and C&amp;I</t>
        </is>
      </c>
      <c r="E728" s="1" t="n"/>
      <c r="F728" s="1" t="inlineStr">
        <is>
          <t>Closed</t>
        </is>
      </c>
      <c r="G728" s="8" t="inlineStr">
        <is>
          <t>Amiya Ranjan Behera</t>
        </is>
      </c>
      <c r="H728" s="8" t="n">
        <v>8917436223</v>
      </c>
      <c r="I728" s="10" t="inlineStr">
        <is>
          <t>PE06052602</t>
        </is>
      </c>
      <c r="J728" s="8" t="inlineStr">
        <is>
          <t>Diode Bypass Module Issue</t>
        </is>
      </c>
      <c r="K728" s="8" t="inlineStr">
        <is>
          <t>Bhavnagar</t>
        </is>
      </c>
      <c r="L728" s="8" t="inlineStr">
        <is>
          <t>Gujarat</t>
        </is>
      </c>
      <c r="M728" s="2" t="inlineStr">
        <is>
          <t>PS</t>
        </is>
      </c>
      <c r="N728" s="1" t="inlineStr">
        <is>
          <t>Cold Soldering</t>
        </is>
      </c>
      <c r="O728" s="11" t="n">
        <v>540</v>
      </c>
      <c r="P728" s="2" t="inlineStr">
        <is>
          <t>NSMP2305189731</t>
        </is>
      </c>
      <c r="Q728" s="14">
        <f>MID(P728,5,2)</f>
        <v/>
      </c>
      <c r="R728" s="14">
        <f>MID(P728,7,2)</f>
        <v/>
      </c>
      <c r="S728" s="1" t="inlineStr">
        <is>
          <t>G2B</t>
        </is>
      </c>
      <c r="T728" s="1" t="inlineStr">
        <is>
          <t>P2 - PEPPL</t>
        </is>
      </c>
      <c r="U728" s="1" t="inlineStr">
        <is>
          <t>P JB Cold Soldering</t>
        </is>
      </c>
      <c r="V728" s="1" t="inlineStr">
        <is>
          <t>Soldering</t>
        </is>
      </c>
      <c r="W728" s="1" t="inlineStr">
        <is>
          <t>Repair</t>
        </is>
      </c>
      <c r="X728" s="5" t="n">
        <v>46178</v>
      </c>
      <c r="Y728" s="1">
        <f>IF(X728="","",X728-A728)</f>
        <v/>
      </c>
      <c r="Z728" s="5" t="n">
        <v>46178</v>
      </c>
      <c r="AA728" s="3" t="n"/>
      <c r="AB728" s="3" t="n"/>
      <c r="AE728" s="146">
        <f>IF(AND(F728="Closed",X728&gt;=DATE(2026,6,1),X728&lt;=DATE(2026,6,30)),"Closed in June","other")</f>
        <v/>
      </c>
    </row>
    <row r="729" hidden="1">
      <c r="A729" s="9" t="n">
        <v>46148</v>
      </c>
      <c r="B729" s="1" t="n">
        <v>2026</v>
      </c>
      <c r="C729" s="8" t="inlineStr">
        <is>
          <t>Continuum</t>
        </is>
      </c>
      <c r="D729" s="1" t="inlineStr">
        <is>
          <t>Utility and C&amp;I</t>
        </is>
      </c>
      <c r="E729" s="1" t="n"/>
      <c r="F729" s="1" t="inlineStr">
        <is>
          <t>Closed</t>
        </is>
      </c>
      <c r="G729" s="8" t="inlineStr">
        <is>
          <t>Amiya Ranjan Behera</t>
        </is>
      </c>
      <c r="H729" s="8" t="n">
        <v>8917436223</v>
      </c>
      <c r="I729" s="10" t="inlineStr">
        <is>
          <t>PE06052602</t>
        </is>
      </c>
      <c r="J729" s="8" t="inlineStr">
        <is>
          <t>Diode Bypass Module Issue</t>
        </is>
      </c>
      <c r="K729" s="8" t="inlineStr">
        <is>
          <t>Bhavnagar</t>
        </is>
      </c>
      <c r="L729" s="8" t="inlineStr">
        <is>
          <t>Gujarat</t>
        </is>
      </c>
      <c r="M729" s="2" t="inlineStr">
        <is>
          <t>OK</t>
        </is>
      </c>
      <c r="N729" s="2" t="inlineStr">
        <is>
          <t>No Issue Found</t>
        </is>
      </c>
      <c r="O729" s="11" t="n">
        <v>540</v>
      </c>
      <c r="P729" s="2" t="inlineStr">
        <is>
          <t>NSMP2305174567</t>
        </is>
      </c>
      <c r="Q729" s="14">
        <f>MID(P729,5,2)</f>
        <v/>
      </c>
      <c r="R729" s="14">
        <f>MID(P729,7,2)</f>
        <v/>
      </c>
      <c r="S729" s="1" t="inlineStr">
        <is>
          <t>G2B</t>
        </is>
      </c>
      <c r="T729" s="1" t="inlineStr">
        <is>
          <t>P2 - PEPPL</t>
        </is>
      </c>
      <c r="U729" s="6" t="inlineStr">
        <is>
          <t>No Issue Found</t>
        </is>
      </c>
      <c r="V729" s="6" t="inlineStr">
        <is>
          <t>Inspection</t>
        </is>
      </c>
      <c r="W729" s="1" t="inlineStr">
        <is>
          <t>Rejected</t>
        </is>
      </c>
      <c r="X729" s="5" t="n">
        <v>46178</v>
      </c>
      <c r="Y729" s="1">
        <f>IF(X729="","",X729-A729)</f>
        <v/>
      </c>
      <c r="Z729" s="5" t="n">
        <v>46178</v>
      </c>
      <c r="AA729" s="3" t="n"/>
      <c r="AB729" s="3" t="n"/>
      <c r="AE729" s="146">
        <f>IF(AND(F729="Closed",X729&gt;=DATE(2026,6,1),X729&lt;=DATE(2026,6,30)),"Closed in June","other")</f>
        <v/>
      </c>
    </row>
    <row r="730" hidden="1">
      <c r="A730" s="9" t="n">
        <v>46148</v>
      </c>
      <c r="B730" s="1" t="n">
        <v>2026</v>
      </c>
      <c r="C730" s="8" t="inlineStr">
        <is>
          <t>Continuum</t>
        </is>
      </c>
      <c r="D730" s="1" t="inlineStr">
        <is>
          <t>Utility and C&amp;I</t>
        </is>
      </c>
      <c r="E730" s="1" t="n"/>
      <c r="F730" s="1" t="inlineStr">
        <is>
          <t>Closed</t>
        </is>
      </c>
      <c r="G730" s="8" t="inlineStr">
        <is>
          <t>Amiya Ranjan Behera</t>
        </is>
      </c>
      <c r="H730" s="8" t="n">
        <v>8917436223</v>
      </c>
      <c r="I730" s="10" t="inlineStr">
        <is>
          <t>PE06052602</t>
        </is>
      </c>
      <c r="J730" s="8" t="inlineStr">
        <is>
          <t>Diode Bypass Module Issue</t>
        </is>
      </c>
      <c r="K730" s="8" t="inlineStr">
        <is>
          <t>Bhavnagar</t>
        </is>
      </c>
      <c r="L730" s="8" t="inlineStr">
        <is>
          <t>Gujarat</t>
        </is>
      </c>
      <c r="M730" s="2" t="inlineStr">
        <is>
          <t>PS</t>
        </is>
      </c>
      <c r="N730" s="1" t="inlineStr">
        <is>
          <t>Cold Soldering</t>
        </is>
      </c>
      <c r="O730" s="11" t="n">
        <v>540</v>
      </c>
      <c r="P730" s="2" t="inlineStr">
        <is>
          <t>NSMP2305134504</t>
        </is>
      </c>
      <c r="Q730" s="14">
        <f>MID(P730,5,2)</f>
        <v/>
      </c>
      <c r="R730" s="14">
        <f>MID(P730,7,2)</f>
        <v/>
      </c>
      <c r="S730" s="1" t="inlineStr">
        <is>
          <t>G2B</t>
        </is>
      </c>
      <c r="T730" s="1" t="inlineStr">
        <is>
          <t>P2 - PEPPL</t>
        </is>
      </c>
      <c r="U730" s="1" t="inlineStr">
        <is>
          <t>P JB Cold Soldering</t>
        </is>
      </c>
      <c r="V730" s="1" t="inlineStr">
        <is>
          <t>Soldering</t>
        </is>
      </c>
      <c r="W730" s="1" t="inlineStr">
        <is>
          <t>Repair</t>
        </is>
      </c>
      <c r="X730" s="5" t="n">
        <v>46178</v>
      </c>
      <c r="Y730" s="1">
        <f>IF(X730="","",X730-A730)</f>
        <v/>
      </c>
      <c r="Z730" s="5" t="n">
        <v>46178</v>
      </c>
      <c r="AA730" s="3" t="n"/>
      <c r="AB730" s="3" t="n"/>
      <c r="AE730" s="146">
        <f>IF(AND(F730="Closed",X730&gt;=DATE(2026,6,1),X730&lt;=DATE(2026,6,30)),"Closed in June","other")</f>
        <v/>
      </c>
    </row>
    <row r="731" hidden="1">
      <c r="A731" s="9" t="n">
        <v>46148</v>
      </c>
      <c r="B731" s="1" t="n">
        <v>2026</v>
      </c>
      <c r="C731" s="8" t="inlineStr">
        <is>
          <t>Continuum</t>
        </is>
      </c>
      <c r="D731" s="1" t="inlineStr">
        <is>
          <t>Utility and C&amp;I</t>
        </is>
      </c>
      <c r="E731" s="1" t="n"/>
      <c r="F731" s="1" t="inlineStr">
        <is>
          <t>Closed</t>
        </is>
      </c>
      <c r="G731" s="8" t="inlineStr">
        <is>
          <t>Amiya Ranjan Behera</t>
        </is>
      </c>
      <c r="H731" s="8" t="n">
        <v>8917436223</v>
      </c>
      <c r="I731" s="10" t="inlineStr">
        <is>
          <t>PE06052602</t>
        </is>
      </c>
      <c r="J731" s="8" t="inlineStr">
        <is>
          <t>Diode Bypass Module Issue</t>
        </is>
      </c>
      <c r="K731" s="8" t="inlineStr">
        <is>
          <t>Bhavnagar</t>
        </is>
      </c>
      <c r="L731" s="8" t="inlineStr">
        <is>
          <t>Gujarat</t>
        </is>
      </c>
      <c r="M731" s="2" t="inlineStr">
        <is>
          <t>PS</t>
        </is>
      </c>
      <c r="N731" s="1" t="inlineStr">
        <is>
          <t>Cold Soldering</t>
        </is>
      </c>
      <c r="O731" s="11" t="n">
        <v>540</v>
      </c>
      <c r="P731" s="2" t="inlineStr">
        <is>
          <t>NSMP2305134514</t>
        </is>
      </c>
      <c r="Q731" s="14">
        <f>MID(P731,5,2)</f>
        <v/>
      </c>
      <c r="R731" s="14">
        <f>MID(P731,7,2)</f>
        <v/>
      </c>
      <c r="S731" s="1" t="inlineStr">
        <is>
          <t>G2B</t>
        </is>
      </c>
      <c r="T731" s="1" t="inlineStr">
        <is>
          <t>P2 - PEPPL</t>
        </is>
      </c>
      <c r="U731" s="1" t="inlineStr">
        <is>
          <t>P JB Cold Soldering</t>
        </is>
      </c>
      <c r="V731" s="1" t="inlineStr">
        <is>
          <t>Soldering</t>
        </is>
      </c>
      <c r="W731" s="1" t="inlineStr">
        <is>
          <t>Repair</t>
        </is>
      </c>
      <c r="X731" s="5" t="n">
        <v>46178</v>
      </c>
      <c r="Y731" s="1">
        <f>IF(X731="","",X731-A731)</f>
        <v/>
      </c>
      <c r="Z731" s="5" t="n">
        <v>46178</v>
      </c>
      <c r="AA731" s="3" t="n"/>
      <c r="AB731" s="3" t="n"/>
      <c r="AE731" s="146">
        <f>IF(AND(F731="Closed",X731&gt;=DATE(2026,6,1),X731&lt;=DATE(2026,6,30)),"Closed in June","other")</f>
        <v/>
      </c>
    </row>
    <row r="732" hidden="1">
      <c r="A732" s="9" t="n">
        <v>46148</v>
      </c>
      <c r="B732" s="1" t="n">
        <v>2026</v>
      </c>
      <c r="C732" s="8" t="inlineStr">
        <is>
          <t>Continuum</t>
        </is>
      </c>
      <c r="D732" s="1" t="inlineStr">
        <is>
          <t>Utility and C&amp;I</t>
        </is>
      </c>
      <c r="E732" s="1" t="n"/>
      <c r="F732" s="1" t="inlineStr">
        <is>
          <t>Closed</t>
        </is>
      </c>
      <c r="G732" s="8" t="inlineStr">
        <is>
          <t>Amiya Ranjan Behera</t>
        </is>
      </c>
      <c r="H732" s="8" t="n">
        <v>8917436223</v>
      </c>
      <c r="I732" s="10" t="inlineStr">
        <is>
          <t>PE06052602</t>
        </is>
      </c>
      <c r="J732" s="8" t="inlineStr">
        <is>
          <t>Diode Bypass Module Issue</t>
        </is>
      </c>
      <c r="K732" s="8" t="inlineStr">
        <is>
          <t>Bhavnagar</t>
        </is>
      </c>
      <c r="L732" s="8" t="inlineStr">
        <is>
          <t>Gujarat</t>
        </is>
      </c>
      <c r="M732" s="2" t="inlineStr">
        <is>
          <t>PS</t>
        </is>
      </c>
      <c r="N732" s="1" t="inlineStr">
        <is>
          <t>Cold Soldering</t>
        </is>
      </c>
      <c r="O732" s="11" t="n">
        <v>540</v>
      </c>
      <c r="P732" s="2" t="inlineStr">
        <is>
          <t>NSMP2305134468</t>
        </is>
      </c>
      <c r="Q732" s="14">
        <f>MID(P732,5,2)</f>
        <v/>
      </c>
      <c r="R732" s="14">
        <f>MID(P732,7,2)</f>
        <v/>
      </c>
      <c r="S732" s="1" t="inlineStr">
        <is>
          <t>G2B</t>
        </is>
      </c>
      <c r="T732" s="1" t="inlineStr">
        <is>
          <t>P2 - PEPPL</t>
        </is>
      </c>
      <c r="U732" s="1" t="inlineStr">
        <is>
          <t>P JB Cold Soldering</t>
        </is>
      </c>
      <c r="V732" s="1" t="inlineStr">
        <is>
          <t>Soldering</t>
        </is>
      </c>
      <c r="W732" s="1" t="inlineStr">
        <is>
          <t>Repair</t>
        </is>
      </c>
      <c r="X732" s="5" t="n">
        <v>46178</v>
      </c>
      <c r="Y732" s="1">
        <f>IF(X732="","",X732-A732)</f>
        <v/>
      </c>
      <c r="Z732" s="5" t="n">
        <v>46178</v>
      </c>
      <c r="AA732" s="3" t="n"/>
      <c r="AB732" s="3" t="n"/>
      <c r="AE732" s="146">
        <f>IF(AND(F732="Closed",X732&gt;=DATE(2026,6,1),X732&lt;=DATE(2026,6,30)),"Closed in June","other")</f>
        <v/>
      </c>
    </row>
    <row r="733" hidden="1">
      <c r="A733" s="9" t="n">
        <v>46148</v>
      </c>
      <c r="B733" s="1" t="n">
        <v>2026</v>
      </c>
      <c r="C733" s="8" t="inlineStr">
        <is>
          <t>Continuum</t>
        </is>
      </c>
      <c r="D733" s="1" t="inlineStr">
        <is>
          <t>Utility and C&amp;I</t>
        </is>
      </c>
      <c r="E733" s="1" t="n"/>
      <c r="F733" s="1" t="inlineStr">
        <is>
          <t>Closed</t>
        </is>
      </c>
      <c r="G733" s="8" t="inlineStr">
        <is>
          <t>Amiya Ranjan Behera</t>
        </is>
      </c>
      <c r="H733" s="8" t="n">
        <v>8917436223</v>
      </c>
      <c r="I733" s="10" t="inlineStr">
        <is>
          <t>PE06052602</t>
        </is>
      </c>
      <c r="J733" s="8" t="inlineStr">
        <is>
          <t>Diode Bypass Module Issue</t>
        </is>
      </c>
      <c r="K733" s="8" t="inlineStr">
        <is>
          <t>Bhavnagar</t>
        </is>
      </c>
      <c r="L733" s="8" t="inlineStr">
        <is>
          <t>Gujarat</t>
        </is>
      </c>
      <c r="M733" s="2" t="inlineStr">
        <is>
          <t>PS</t>
        </is>
      </c>
      <c r="N733" s="1" t="inlineStr">
        <is>
          <t>Cold Soldering</t>
        </is>
      </c>
      <c r="O733" s="11" t="n">
        <v>540</v>
      </c>
      <c r="P733" s="2" t="inlineStr">
        <is>
          <t>NSMP2305201055</t>
        </is>
      </c>
      <c r="Q733" s="14">
        <f>MID(P733,5,2)</f>
        <v/>
      </c>
      <c r="R733" s="14">
        <f>MID(P733,7,2)</f>
        <v/>
      </c>
      <c r="S733" s="1" t="inlineStr">
        <is>
          <t>G2B</t>
        </is>
      </c>
      <c r="T733" s="1" t="inlineStr">
        <is>
          <t>P2 - PEPPL</t>
        </is>
      </c>
      <c r="U733" s="1" t="inlineStr">
        <is>
          <t>P JB Cold Soldering</t>
        </is>
      </c>
      <c r="V733" s="1" t="inlineStr">
        <is>
          <t>Soldering</t>
        </is>
      </c>
      <c r="W733" s="1" t="inlineStr">
        <is>
          <t>Repair</t>
        </is>
      </c>
      <c r="X733" s="5" t="n">
        <v>46178</v>
      </c>
      <c r="Y733" s="1">
        <f>IF(X733="","",X733-A733)</f>
        <v/>
      </c>
      <c r="Z733" s="5" t="n">
        <v>46178</v>
      </c>
      <c r="AA733" s="3" t="n"/>
      <c r="AB733" s="3" t="n"/>
      <c r="AE733" s="146">
        <f>IF(AND(F733="Closed",X733&gt;=DATE(2026,6,1),X733&lt;=DATE(2026,6,30)),"Closed in June","other")</f>
        <v/>
      </c>
    </row>
    <row r="734" hidden="1">
      <c r="A734" s="9" t="n">
        <v>46148</v>
      </c>
      <c r="B734" s="1" t="n">
        <v>2026</v>
      </c>
      <c r="C734" s="8" t="inlineStr">
        <is>
          <t>Continuum</t>
        </is>
      </c>
      <c r="D734" s="1" t="inlineStr">
        <is>
          <t>Utility and C&amp;I</t>
        </is>
      </c>
      <c r="E734" s="1" t="n"/>
      <c r="F734" s="1" t="inlineStr">
        <is>
          <t>Closed</t>
        </is>
      </c>
      <c r="G734" s="8" t="inlineStr">
        <is>
          <t>Amiya Ranjan Behera</t>
        </is>
      </c>
      <c r="H734" s="8" t="n">
        <v>8917436223</v>
      </c>
      <c r="I734" s="10" t="inlineStr">
        <is>
          <t>PE06052602</t>
        </is>
      </c>
      <c r="J734" s="8" t="inlineStr">
        <is>
          <t>Diode Bypass Module Issue</t>
        </is>
      </c>
      <c r="K734" s="8" t="inlineStr">
        <is>
          <t>Bhavnagar</t>
        </is>
      </c>
      <c r="L734" s="8" t="inlineStr">
        <is>
          <t>Gujarat</t>
        </is>
      </c>
      <c r="M734" s="2" t="inlineStr">
        <is>
          <t>PR</t>
        </is>
      </c>
      <c r="N734" s="1" t="inlineStr">
        <is>
          <t>JB Issue</t>
        </is>
      </c>
      <c r="O734" s="11" t="n">
        <v>540</v>
      </c>
      <c r="P734" s="2" t="inlineStr">
        <is>
          <t>NSMP2305201090</t>
        </is>
      </c>
      <c r="Q734" s="14">
        <f>MID(P734,5,2)</f>
        <v/>
      </c>
      <c r="R734" s="14">
        <f>MID(P734,7,2)</f>
        <v/>
      </c>
      <c r="S734" s="1" t="inlineStr">
        <is>
          <t>G2B</t>
        </is>
      </c>
      <c r="T734" s="1" t="inlineStr">
        <is>
          <t>P2 - PEPPL</t>
        </is>
      </c>
      <c r="U734" s="1" t="inlineStr">
        <is>
          <t>P JB Issue</t>
        </is>
      </c>
      <c r="V734" s="3" t="inlineStr">
        <is>
          <t>JB Changed</t>
        </is>
      </c>
      <c r="W734" s="1" t="inlineStr">
        <is>
          <t>Repair</t>
        </is>
      </c>
      <c r="X734" s="5" t="n">
        <v>46178</v>
      </c>
      <c r="Y734" s="1">
        <f>IF(X734="","",X734-A734)</f>
        <v/>
      </c>
      <c r="Z734" s="5" t="n">
        <v>46178</v>
      </c>
      <c r="AA734" s="3" t="n"/>
      <c r="AB734" s="3" t="n"/>
      <c r="AE734" s="146">
        <f>IF(AND(F734="Closed",X734&gt;=DATE(2026,6,1),X734&lt;=DATE(2026,6,30)),"Closed in June","other")</f>
        <v/>
      </c>
    </row>
    <row r="735" hidden="1">
      <c r="A735" s="9" t="n">
        <v>46148</v>
      </c>
      <c r="B735" s="1" t="n">
        <v>2026</v>
      </c>
      <c r="C735" s="8" t="inlineStr">
        <is>
          <t>Continuum</t>
        </is>
      </c>
      <c r="D735" s="1" t="inlineStr">
        <is>
          <t>Utility and C&amp;I</t>
        </is>
      </c>
      <c r="E735" s="1" t="n"/>
      <c r="F735" s="1" t="inlineStr">
        <is>
          <t>Closed</t>
        </is>
      </c>
      <c r="G735" s="8" t="inlineStr">
        <is>
          <t>Amiya Ranjan Behera</t>
        </is>
      </c>
      <c r="H735" s="8" t="n">
        <v>8917436223</v>
      </c>
      <c r="I735" s="10" t="inlineStr">
        <is>
          <t>PE06052602</t>
        </is>
      </c>
      <c r="J735" s="8" t="inlineStr">
        <is>
          <t>Diode Bypass Module Issue</t>
        </is>
      </c>
      <c r="K735" s="8" t="inlineStr">
        <is>
          <t>Bhavnagar</t>
        </is>
      </c>
      <c r="L735" s="8" t="inlineStr">
        <is>
          <t>Gujarat</t>
        </is>
      </c>
      <c r="M735" s="2" t="inlineStr">
        <is>
          <t>PS</t>
        </is>
      </c>
      <c r="N735" s="1" t="inlineStr">
        <is>
          <t>Cold Soldering</t>
        </is>
      </c>
      <c r="O735" s="11" t="n">
        <v>540</v>
      </c>
      <c r="P735" s="2" t="inlineStr">
        <is>
          <t>NSMP2305190175</t>
        </is>
      </c>
      <c r="Q735" s="14">
        <f>MID(P735,5,2)</f>
        <v/>
      </c>
      <c r="R735" s="14">
        <f>MID(P735,7,2)</f>
        <v/>
      </c>
      <c r="S735" s="1" t="inlineStr">
        <is>
          <t>G2B</t>
        </is>
      </c>
      <c r="T735" s="1" t="inlineStr">
        <is>
          <t>P2 - PEPPL</t>
        </is>
      </c>
      <c r="U735" s="1" t="inlineStr">
        <is>
          <t>P JB Cold Soldering</t>
        </is>
      </c>
      <c r="V735" s="1" t="inlineStr">
        <is>
          <t>Soldering</t>
        </is>
      </c>
      <c r="W735" s="1" t="inlineStr">
        <is>
          <t>Repair</t>
        </is>
      </c>
      <c r="X735" s="5" t="n">
        <v>46178</v>
      </c>
      <c r="Y735" s="1">
        <f>IF(X735="","",X735-A735)</f>
        <v/>
      </c>
      <c r="Z735" s="5" t="n">
        <v>46178</v>
      </c>
      <c r="AA735" s="3" t="n"/>
      <c r="AB735" s="3" t="n"/>
      <c r="AE735" s="146">
        <f>IF(AND(F735="Closed",X735&gt;=DATE(2026,6,1),X735&lt;=DATE(2026,6,30)),"Closed in June","other")</f>
        <v/>
      </c>
    </row>
    <row r="736" hidden="1">
      <c r="A736" s="9" t="n">
        <v>46148</v>
      </c>
      <c r="B736" s="1" t="n">
        <v>2026</v>
      </c>
      <c r="C736" s="8" t="inlineStr">
        <is>
          <t>Continuum</t>
        </is>
      </c>
      <c r="D736" s="1" t="inlineStr">
        <is>
          <t>Utility and C&amp;I</t>
        </is>
      </c>
      <c r="E736" s="1" t="n"/>
      <c r="F736" s="1" t="inlineStr">
        <is>
          <t>Closed</t>
        </is>
      </c>
      <c r="G736" s="8" t="inlineStr">
        <is>
          <t>Amiya Ranjan Behera</t>
        </is>
      </c>
      <c r="H736" s="8" t="n">
        <v>8917436223</v>
      </c>
      <c r="I736" s="10" t="inlineStr">
        <is>
          <t>PE06052602</t>
        </is>
      </c>
      <c r="J736" s="8" t="inlineStr">
        <is>
          <t>Diode Bypass Module Issue</t>
        </is>
      </c>
      <c r="K736" s="8" t="inlineStr">
        <is>
          <t>Bhavnagar</t>
        </is>
      </c>
      <c r="L736" s="8" t="inlineStr">
        <is>
          <t>Gujarat</t>
        </is>
      </c>
      <c r="M736" s="2" t="inlineStr">
        <is>
          <t>PS</t>
        </is>
      </c>
      <c r="N736" s="1" t="inlineStr">
        <is>
          <t>Cold Soldering</t>
        </is>
      </c>
      <c r="O736" s="11" t="n">
        <v>540</v>
      </c>
      <c r="P736" s="2" t="inlineStr">
        <is>
          <t>NSMP2305190120</t>
        </is>
      </c>
      <c r="Q736" s="14">
        <f>MID(P736,5,2)</f>
        <v/>
      </c>
      <c r="R736" s="14">
        <f>MID(P736,7,2)</f>
        <v/>
      </c>
      <c r="S736" s="1" t="inlineStr">
        <is>
          <t>G2B</t>
        </is>
      </c>
      <c r="T736" s="1" t="inlineStr">
        <is>
          <t>P2 - PEPPL</t>
        </is>
      </c>
      <c r="U736" s="1" t="inlineStr">
        <is>
          <t>P JB Cold Soldering</t>
        </is>
      </c>
      <c r="V736" s="1" t="inlineStr">
        <is>
          <t>Soldering</t>
        </is>
      </c>
      <c r="W736" s="1" t="inlineStr">
        <is>
          <t>Repair</t>
        </is>
      </c>
      <c r="X736" s="5" t="n">
        <v>46178</v>
      </c>
      <c r="Y736" s="1">
        <f>IF(X736="","",X736-A736)</f>
        <v/>
      </c>
      <c r="Z736" s="5" t="n">
        <v>46178</v>
      </c>
      <c r="AA736" s="3" t="n"/>
      <c r="AB736" s="3" t="n"/>
      <c r="AE736" s="146">
        <f>IF(AND(F736="Closed",X736&gt;=DATE(2026,6,1),X736&lt;=DATE(2026,6,30)),"Closed in June","other")</f>
        <v/>
      </c>
    </row>
    <row r="737" hidden="1">
      <c r="A737" s="9" t="n">
        <v>46148</v>
      </c>
      <c r="B737" s="1" t="n">
        <v>2026</v>
      </c>
      <c r="C737" s="8" t="inlineStr">
        <is>
          <t>Continuum</t>
        </is>
      </c>
      <c r="D737" s="1" t="inlineStr">
        <is>
          <t>Utility and C&amp;I</t>
        </is>
      </c>
      <c r="E737" s="1" t="n"/>
      <c r="F737" s="1" t="inlineStr">
        <is>
          <t>Closed</t>
        </is>
      </c>
      <c r="G737" s="8" t="inlineStr">
        <is>
          <t>Amiya Ranjan Behera</t>
        </is>
      </c>
      <c r="H737" s="8" t="n">
        <v>8917436223</v>
      </c>
      <c r="I737" s="10" t="inlineStr">
        <is>
          <t>PE06052602</t>
        </is>
      </c>
      <c r="J737" s="8" t="inlineStr">
        <is>
          <t>Diode Bypass Module Issue</t>
        </is>
      </c>
      <c r="K737" s="8" t="inlineStr">
        <is>
          <t>Bhavnagar</t>
        </is>
      </c>
      <c r="L737" s="8" t="inlineStr">
        <is>
          <t>Gujarat</t>
        </is>
      </c>
      <c r="M737" s="2" t="inlineStr">
        <is>
          <t>PS</t>
        </is>
      </c>
      <c r="N737" s="1" t="inlineStr">
        <is>
          <t>Cold Soldering</t>
        </is>
      </c>
      <c r="O737" s="11" t="n">
        <v>540</v>
      </c>
      <c r="P737" s="2" t="inlineStr">
        <is>
          <t>NSMP2305190842</t>
        </is>
      </c>
      <c r="Q737" s="14">
        <f>MID(P737,5,2)</f>
        <v/>
      </c>
      <c r="R737" s="14">
        <f>MID(P737,7,2)</f>
        <v/>
      </c>
      <c r="S737" s="1" t="inlineStr">
        <is>
          <t>G2B</t>
        </is>
      </c>
      <c r="T737" s="1" t="inlineStr">
        <is>
          <t>P2 - PEPPL</t>
        </is>
      </c>
      <c r="U737" s="1" t="inlineStr">
        <is>
          <t>P JB Cold Soldering</t>
        </is>
      </c>
      <c r="V737" s="1" t="inlineStr">
        <is>
          <t>Soldering</t>
        </is>
      </c>
      <c r="W737" s="1" t="inlineStr">
        <is>
          <t>Repair</t>
        </is>
      </c>
      <c r="X737" s="5" t="n">
        <v>46178</v>
      </c>
      <c r="Y737" s="1">
        <f>IF(X737="","",X737-A737)</f>
        <v/>
      </c>
      <c r="Z737" s="5" t="n">
        <v>46178</v>
      </c>
      <c r="AA737" s="3" t="n"/>
      <c r="AB737" s="3" t="n"/>
      <c r="AE737" s="146">
        <f>IF(AND(F737="Closed",X737&gt;=DATE(2026,6,1),X737&lt;=DATE(2026,6,30)),"Closed in June","other")</f>
        <v/>
      </c>
    </row>
    <row r="738" hidden="1">
      <c r="A738" s="9" t="n">
        <v>46148</v>
      </c>
      <c r="B738" s="1" t="n">
        <v>2026</v>
      </c>
      <c r="C738" s="8" t="inlineStr">
        <is>
          <t>Continuum</t>
        </is>
      </c>
      <c r="D738" s="1" t="inlineStr">
        <is>
          <t>Utility and C&amp;I</t>
        </is>
      </c>
      <c r="E738" s="1" t="n"/>
      <c r="F738" s="1" t="inlineStr">
        <is>
          <t>Closed</t>
        </is>
      </c>
      <c r="G738" s="8" t="inlineStr">
        <is>
          <t>Amiya Ranjan Behera</t>
        </is>
      </c>
      <c r="H738" s="8" t="n">
        <v>8917436223</v>
      </c>
      <c r="I738" s="10" t="inlineStr">
        <is>
          <t>PE06052602</t>
        </is>
      </c>
      <c r="J738" s="8" t="inlineStr">
        <is>
          <t>Diode Bypass Module Issue</t>
        </is>
      </c>
      <c r="K738" s="8" t="inlineStr">
        <is>
          <t>Bhavnagar</t>
        </is>
      </c>
      <c r="L738" s="8" t="inlineStr">
        <is>
          <t>Gujarat</t>
        </is>
      </c>
      <c r="M738" s="2" t="inlineStr">
        <is>
          <t>PS</t>
        </is>
      </c>
      <c r="N738" s="1" t="inlineStr">
        <is>
          <t>Cold Soldering</t>
        </is>
      </c>
      <c r="O738" s="11" t="n">
        <v>540</v>
      </c>
      <c r="P738" s="2" t="inlineStr">
        <is>
          <t>NSMP2305180667</t>
        </is>
      </c>
      <c r="Q738" s="14">
        <f>MID(P738,5,2)</f>
        <v/>
      </c>
      <c r="R738" s="14">
        <f>MID(P738,7,2)</f>
        <v/>
      </c>
      <c r="S738" s="1" t="inlineStr">
        <is>
          <t>G2B</t>
        </is>
      </c>
      <c r="T738" s="1" t="inlineStr">
        <is>
          <t>P2 - PEPPL</t>
        </is>
      </c>
      <c r="U738" s="1" t="inlineStr">
        <is>
          <t>P JB Cold Soldering</t>
        </is>
      </c>
      <c r="V738" s="1" t="inlineStr">
        <is>
          <t>Soldering</t>
        </is>
      </c>
      <c r="W738" s="1" t="inlineStr">
        <is>
          <t>Repair</t>
        </is>
      </c>
      <c r="X738" s="5" t="n">
        <v>46178</v>
      </c>
      <c r="Y738" s="1">
        <f>IF(X738="","",X738-A738)</f>
        <v/>
      </c>
      <c r="Z738" s="5" t="n">
        <v>46178</v>
      </c>
      <c r="AA738" s="3" t="n"/>
      <c r="AB738" s="3" t="n"/>
      <c r="AE738" s="146">
        <f>IF(AND(F738="Closed",X738&gt;=DATE(2026,6,1),X738&lt;=DATE(2026,6,30)),"Closed in June","other")</f>
        <v/>
      </c>
    </row>
    <row r="739" hidden="1">
      <c r="A739" s="9" t="n">
        <v>46148</v>
      </c>
      <c r="B739" s="1" t="n">
        <v>2026</v>
      </c>
      <c r="C739" s="8" t="inlineStr">
        <is>
          <t>Continuum</t>
        </is>
      </c>
      <c r="D739" s="1" t="inlineStr">
        <is>
          <t>Utility and C&amp;I</t>
        </is>
      </c>
      <c r="E739" s="1" t="n"/>
      <c r="F739" s="1" t="inlineStr">
        <is>
          <t>Closed</t>
        </is>
      </c>
      <c r="G739" s="8" t="inlineStr">
        <is>
          <t>Amiya Ranjan Behera</t>
        </is>
      </c>
      <c r="H739" s="8" t="n">
        <v>8917436223</v>
      </c>
      <c r="I739" s="10" t="inlineStr">
        <is>
          <t>PE06052602</t>
        </is>
      </c>
      <c r="J739" s="8" t="inlineStr">
        <is>
          <t>Diode Bypass Module Issue</t>
        </is>
      </c>
      <c r="K739" s="8" t="inlineStr">
        <is>
          <t>Bhavnagar</t>
        </is>
      </c>
      <c r="L739" s="8" t="inlineStr">
        <is>
          <t>Gujarat</t>
        </is>
      </c>
      <c r="M739" s="2" t="inlineStr">
        <is>
          <t>PS</t>
        </is>
      </c>
      <c r="N739" s="1" t="inlineStr">
        <is>
          <t>Cold Soldering</t>
        </is>
      </c>
      <c r="O739" s="11" t="n">
        <v>540</v>
      </c>
      <c r="P739" s="2" t="inlineStr">
        <is>
          <t>NSMP2305189075</t>
        </is>
      </c>
      <c r="Q739" s="14">
        <f>MID(P739,5,2)</f>
        <v/>
      </c>
      <c r="R739" s="14">
        <f>MID(P739,7,2)</f>
        <v/>
      </c>
      <c r="S739" s="1" t="inlineStr">
        <is>
          <t>G2B</t>
        </is>
      </c>
      <c r="T739" s="1" t="inlineStr">
        <is>
          <t>P2 - PEPPL</t>
        </is>
      </c>
      <c r="U739" s="1" t="inlineStr">
        <is>
          <t>P JB Cold Soldering</t>
        </is>
      </c>
      <c r="V739" s="1" t="inlineStr">
        <is>
          <t>Soldering</t>
        </is>
      </c>
      <c r="W739" s="1" t="inlineStr">
        <is>
          <t>Repair</t>
        </is>
      </c>
      <c r="X739" s="5" t="n">
        <v>46178</v>
      </c>
      <c r="Y739" s="1">
        <f>IF(X739="","",X739-A739)</f>
        <v/>
      </c>
      <c r="Z739" s="5" t="n">
        <v>46178</v>
      </c>
      <c r="AA739" s="3" t="n"/>
      <c r="AB739" s="3" t="n"/>
      <c r="AE739" s="146">
        <f>IF(AND(F739="Closed",X739&gt;=DATE(2026,6,1),X739&lt;=DATE(2026,6,30)),"Closed in June","other")</f>
        <v/>
      </c>
    </row>
    <row r="740" hidden="1">
      <c r="A740" s="9" t="n">
        <v>46148</v>
      </c>
      <c r="B740" s="1" t="n">
        <v>2026</v>
      </c>
      <c r="C740" s="8" t="inlineStr">
        <is>
          <t>Continuum</t>
        </is>
      </c>
      <c r="D740" s="1" t="inlineStr">
        <is>
          <t>Utility and C&amp;I</t>
        </is>
      </c>
      <c r="E740" s="1" t="n"/>
      <c r="F740" s="1" t="inlineStr">
        <is>
          <t>Closed</t>
        </is>
      </c>
      <c r="G740" s="8" t="inlineStr">
        <is>
          <t>Amiya Ranjan Behera</t>
        </is>
      </c>
      <c r="H740" s="8" t="n">
        <v>8917436223</v>
      </c>
      <c r="I740" s="10" t="inlineStr">
        <is>
          <t>PE06052602</t>
        </is>
      </c>
      <c r="J740" s="8" t="inlineStr">
        <is>
          <t>Diode Bypass Module Issue</t>
        </is>
      </c>
      <c r="K740" s="8" t="inlineStr">
        <is>
          <t>Bhavnagar</t>
        </is>
      </c>
      <c r="L740" s="8" t="inlineStr">
        <is>
          <t>Gujarat</t>
        </is>
      </c>
      <c r="M740" s="2" t="inlineStr">
        <is>
          <t>PS</t>
        </is>
      </c>
      <c r="N740" s="1" t="inlineStr">
        <is>
          <t>Cold Soldering</t>
        </is>
      </c>
      <c r="O740" s="11" t="n">
        <v>540</v>
      </c>
      <c r="P740" s="2" t="inlineStr">
        <is>
          <t>NSMP2305190786</t>
        </is>
      </c>
      <c r="Q740" s="14">
        <f>MID(P740,5,2)</f>
        <v/>
      </c>
      <c r="R740" s="14">
        <f>MID(P740,7,2)</f>
        <v/>
      </c>
      <c r="S740" s="1" t="inlineStr">
        <is>
          <t>G2B</t>
        </is>
      </c>
      <c r="T740" s="1" t="inlineStr">
        <is>
          <t>P2 - PEPPL</t>
        </is>
      </c>
      <c r="U740" s="1" t="inlineStr">
        <is>
          <t>P JB Cold Soldering</t>
        </is>
      </c>
      <c r="V740" s="1" t="inlineStr">
        <is>
          <t>Soldering</t>
        </is>
      </c>
      <c r="W740" s="1" t="inlineStr">
        <is>
          <t>Repair</t>
        </is>
      </c>
      <c r="X740" s="5" t="n">
        <v>46178</v>
      </c>
      <c r="Y740" s="1">
        <f>IF(X740="","",X740-A740)</f>
        <v/>
      </c>
      <c r="Z740" s="5" t="n">
        <v>46178</v>
      </c>
      <c r="AA740" s="3" t="n"/>
      <c r="AB740" s="3" t="n"/>
      <c r="AE740" s="146">
        <f>IF(AND(F740="Closed",X740&gt;=DATE(2026,6,1),X740&lt;=DATE(2026,6,30)),"Closed in June","other")</f>
        <v/>
      </c>
    </row>
    <row r="741" hidden="1">
      <c r="A741" s="9" t="n">
        <v>46148</v>
      </c>
      <c r="B741" s="1" t="n">
        <v>2026</v>
      </c>
      <c r="C741" s="8" t="inlineStr">
        <is>
          <t>Continuum</t>
        </is>
      </c>
      <c r="D741" s="1" t="inlineStr">
        <is>
          <t>Utility and C&amp;I</t>
        </is>
      </c>
      <c r="E741" s="1" t="n"/>
      <c r="F741" s="1" t="inlineStr">
        <is>
          <t>Closed</t>
        </is>
      </c>
      <c r="G741" s="8" t="inlineStr">
        <is>
          <t>Amiya Ranjan Behera</t>
        </is>
      </c>
      <c r="H741" s="8" t="n">
        <v>8917436223</v>
      </c>
      <c r="I741" s="10" t="inlineStr">
        <is>
          <t>PE06052602</t>
        </is>
      </c>
      <c r="J741" s="8" t="inlineStr">
        <is>
          <t>Diode Bypass Module Issue</t>
        </is>
      </c>
      <c r="K741" s="8" t="inlineStr">
        <is>
          <t>Bhavnagar</t>
        </is>
      </c>
      <c r="L741" s="8" t="inlineStr">
        <is>
          <t>Gujarat</t>
        </is>
      </c>
      <c r="M741" s="2" t="inlineStr">
        <is>
          <t>PS</t>
        </is>
      </c>
      <c r="N741" s="1" t="inlineStr">
        <is>
          <t>Cold Soldering</t>
        </is>
      </c>
      <c r="O741" s="11" t="n">
        <v>540</v>
      </c>
      <c r="P741" s="2" t="inlineStr">
        <is>
          <t>NSMP2305190805</t>
        </is>
      </c>
      <c r="Q741" s="14">
        <f>MID(P741,5,2)</f>
        <v/>
      </c>
      <c r="R741" s="14">
        <f>MID(P741,7,2)</f>
        <v/>
      </c>
      <c r="S741" s="1" t="inlineStr">
        <is>
          <t>G2B</t>
        </is>
      </c>
      <c r="T741" s="1" t="inlineStr">
        <is>
          <t>P2 - PEPPL</t>
        </is>
      </c>
      <c r="U741" s="1" t="inlineStr">
        <is>
          <t>P JB Cold Soldering</t>
        </is>
      </c>
      <c r="V741" s="1" t="inlineStr">
        <is>
          <t>Soldering</t>
        </is>
      </c>
      <c r="W741" s="1" t="inlineStr">
        <is>
          <t>Repair</t>
        </is>
      </c>
      <c r="X741" s="5" t="n">
        <v>46178</v>
      </c>
      <c r="Y741" s="1">
        <f>IF(X741="","",X741-A741)</f>
        <v/>
      </c>
      <c r="Z741" s="5" t="n">
        <v>46178</v>
      </c>
      <c r="AA741" s="3" t="n"/>
      <c r="AB741" s="3" t="n"/>
      <c r="AE741" s="146">
        <f>IF(AND(F741="Closed",X741&gt;=DATE(2026,6,1),X741&lt;=DATE(2026,6,30)),"Closed in June","other")</f>
        <v/>
      </c>
    </row>
    <row r="742" hidden="1">
      <c r="A742" s="9" t="n">
        <v>46148</v>
      </c>
      <c r="B742" s="1" t="n">
        <v>2026</v>
      </c>
      <c r="C742" s="8" t="inlineStr">
        <is>
          <t>Continuum</t>
        </is>
      </c>
      <c r="D742" s="1" t="inlineStr">
        <is>
          <t>Utility and C&amp;I</t>
        </is>
      </c>
      <c r="E742" s="1" t="n"/>
      <c r="F742" s="1" t="inlineStr">
        <is>
          <t>Closed</t>
        </is>
      </c>
      <c r="G742" s="8" t="inlineStr">
        <is>
          <t>Amiya Ranjan Behera</t>
        </is>
      </c>
      <c r="H742" s="8" t="n">
        <v>8917436223</v>
      </c>
      <c r="I742" s="10" t="inlineStr">
        <is>
          <t>PE06052602</t>
        </is>
      </c>
      <c r="J742" s="8" t="inlineStr">
        <is>
          <t>Diode Bypass Module Issue</t>
        </is>
      </c>
      <c r="K742" s="8" t="inlineStr">
        <is>
          <t>Bhavnagar</t>
        </is>
      </c>
      <c r="L742" s="8" t="inlineStr">
        <is>
          <t>Gujarat</t>
        </is>
      </c>
      <c r="M742" s="2" t="inlineStr">
        <is>
          <t>PS</t>
        </is>
      </c>
      <c r="N742" s="1" t="inlineStr">
        <is>
          <t>Cold Soldering</t>
        </is>
      </c>
      <c r="O742" s="11" t="n">
        <v>540</v>
      </c>
      <c r="P742" s="2" t="inlineStr">
        <is>
          <t>NSMP2305190759</t>
        </is>
      </c>
      <c r="Q742" s="14">
        <f>MID(P742,5,2)</f>
        <v/>
      </c>
      <c r="R742" s="14">
        <f>MID(P742,7,2)</f>
        <v/>
      </c>
      <c r="S742" s="1" t="inlineStr">
        <is>
          <t>G2B</t>
        </is>
      </c>
      <c r="T742" s="1" t="inlineStr">
        <is>
          <t>P2 - PEPPL</t>
        </is>
      </c>
      <c r="U742" s="1" t="inlineStr">
        <is>
          <t>P JB Cold Soldering</t>
        </is>
      </c>
      <c r="V742" s="1" t="inlineStr">
        <is>
          <t>Soldering</t>
        </is>
      </c>
      <c r="W742" s="1" t="inlineStr">
        <is>
          <t>Repair</t>
        </is>
      </c>
      <c r="X742" s="5" t="n">
        <v>46178</v>
      </c>
      <c r="Y742" s="1">
        <f>IF(X742="","",X742-A742)</f>
        <v/>
      </c>
      <c r="Z742" s="5" t="n">
        <v>46178</v>
      </c>
      <c r="AA742" s="3" t="n"/>
      <c r="AB742" s="3" t="n"/>
      <c r="AE742" s="146">
        <f>IF(AND(F742="Closed",X742&gt;=DATE(2026,6,1),X742&lt;=DATE(2026,6,30)),"Closed in June","other")</f>
        <v/>
      </c>
    </row>
    <row r="743" hidden="1">
      <c r="A743" s="9" t="n">
        <v>46148</v>
      </c>
      <c r="B743" s="1" t="n">
        <v>2026</v>
      </c>
      <c r="C743" s="8" t="inlineStr">
        <is>
          <t>Continuum</t>
        </is>
      </c>
      <c r="D743" s="1" t="inlineStr">
        <is>
          <t>Utility and C&amp;I</t>
        </is>
      </c>
      <c r="E743" s="1" t="n"/>
      <c r="F743" s="1" t="inlineStr">
        <is>
          <t>Closed</t>
        </is>
      </c>
      <c r="G743" s="8" t="inlineStr">
        <is>
          <t>Amiya Ranjan Behera</t>
        </is>
      </c>
      <c r="H743" s="8" t="n">
        <v>8917436223</v>
      </c>
      <c r="I743" s="10" t="inlineStr">
        <is>
          <t>PE06052602</t>
        </is>
      </c>
      <c r="J743" s="8" t="inlineStr">
        <is>
          <t>Diode Bypass Module Issue</t>
        </is>
      </c>
      <c r="K743" s="8" t="inlineStr">
        <is>
          <t>Bhavnagar</t>
        </is>
      </c>
      <c r="L743" s="8" t="inlineStr">
        <is>
          <t>Gujarat</t>
        </is>
      </c>
      <c r="M743" s="2" t="inlineStr">
        <is>
          <t>PS</t>
        </is>
      </c>
      <c r="N743" s="1" t="inlineStr">
        <is>
          <t>Cold Soldering</t>
        </is>
      </c>
      <c r="O743" s="11" t="n">
        <v>540</v>
      </c>
      <c r="P743" s="2" t="inlineStr">
        <is>
          <t>NSMP2305188483</t>
        </is>
      </c>
      <c r="Q743" s="14">
        <f>MID(P743,5,2)</f>
        <v/>
      </c>
      <c r="R743" s="14">
        <f>MID(P743,7,2)</f>
        <v/>
      </c>
      <c r="S743" s="1" t="inlineStr">
        <is>
          <t>G2B</t>
        </is>
      </c>
      <c r="T743" s="1" t="inlineStr">
        <is>
          <t>P2 - PEPPL</t>
        </is>
      </c>
      <c r="U743" s="1" t="inlineStr">
        <is>
          <t>P JB Cold Soldering</t>
        </is>
      </c>
      <c r="V743" s="1" t="inlineStr">
        <is>
          <t>Soldering</t>
        </is>
      </c>
      <c r="W743" s="1" t="inlineStr">
        <is>
          <t>Repair</t>
        </is>
      </c>
      <c r="X743" s="5" t="n">
        <v>46178</v>
      </c>
      <c r="Y743" s="1">
        <f>IF(X743="","",X743-A743)</f>
        <v/>
      </c>
      <c r="Z743" s="5" t="n">
        <v>46178</v>
      </c>
      <c r="AA743" s="3" t="n"/>
      <c r="AB743" s="3" t="n"/>
      <c r="AE743" s="146">
        <f>IF(AND(F743="Closed",X743&gt;=DATE(2026,6,1),X743&lt;=DATE(2026,6,30)),"Closed in June","other")</f>
        <v/>
      </c>
    </row>
    <row r="744" hidden="1">
      <c r="A744" s="9" t="n">
        <v>46148</v>
      </c>
      <c r="B744" s="1" t="n">
        <v>2026</v>
      </c>
      <c r="C744" s="8" t="inlineStr">
        <is>
          <t>Continuum</t>
        </is>
      </c>
      <c r="D744" s="1" t="inlineStr">
        <is>
          <t>Utility and C&amp;I</t>
        </is>
      </c>
      <c r="E744" s="1" t="n"/>
      <c r="F744" s="1" t="inlineStr">
        <is>
          <t>Closed</t>
        </is>
      </c>
      <c r="G744" s="8" t="inlineStr">
        <is>
          <t>Amiya Ranjan Behera</t>
        </is>
      </c>
      <c r="H744" s="8" t="n">
        <v>8917436223</v>
      </c>
      <c r="I744" s="10" t="inlineStr">
        <is>
          <t>PE06052602</t>
        </is>
      </c>
      <c r="J744" s="8" t="inlineStr">
        <is>
          <t>Diode Bypass Module Issue</t>
        </is>
      </c>
      <c r="K744" s="8" t="inlineStr">
        <is>
          <t>Bhavnagar</t>
        </is>
      </c>
      <c r="L744" s="8" t="inlineStr">
        <is>
          <t>Gujarat</t>
        </is>
      </c>
      <c r="M744" s="2" t="inlineStr">
        <is>
          <t>PS</t>
        </is>
      </c>
      <c r="N744" s="1" t="inlineStr">
        <is>
          <t>Cold Soldering</t>
        </is>
      </c>
      <c r="O744" s="11" t="n">
        <v>540</v>
      </c>
      <c r="P744" s="2" t="inlineStr">
        <is>
          <t>NSMP2305188638</t>
        </is>
      </c>
      <c r="Q744" s="14">
        <f>MID(P744,5,2)</f>
        <v/>
      </c>
      <c r="R744" s="14">
        <f>MID(P744,7,2)</f>
        <v/>
      </c>
      <c r="S744" s="1" t="inlineStr">
        <is>
          <t>G2B</t>
        </is>
      </c>
      <c r="T744" s="1" t="inlineStr">
        <is>
          <t>P2 - PEPPL</t>
        </is>
      </c>
      <c r="U744" s="1" t="inlineStr">
        <is>
          <t>P JB Cold Soldering</t>
        </is>
      </c>
      <c r="V744" s="1" t="inlineStr">
        <is>
          <t>Soldering</t>
        </is>
      </c>
      <c r="W744" s="1" t="inlineStr">
        <is>
          <t>Repair</t>
        </is>
      </c>
      <c r="X744" s="5" t="n">
        <v>46178</v>
      </c>
      <c r="Y744" s="1">
        <f>IF(X744="","",X744-A744)</f>
        <v/>
      </c>
      <c r="Z744" s="5" t="n">
        <v>46178</v>
      </c>
      <c r="AA744" s="3" t="n"/>
      <c r="AB744" s="3" t="n"/>
      <c r="AE744" s="146">
        <f>IF(AND(F744="Closed",X744&gt;=DATE(2026,6,1),X744&lt;=DATE(2026,6,30)),"Closed in June","other")</f>
        <v/>
      </c>
    </row>
    <row r="745" hidden="1">
      <c r="A745" s="9" t="n">
        <v>46148</v>
      </c>
      <c r="B745" s="1" t="n">
        <v>2026</v>
      </c>
      <c r="C745" s="8" t="inlineStr">
        <is>
          <t>Continuum</t>
        </is>
      </c>
      <c r="D745" s="1" t="inlineStr">
        <is>
          <t>Utility and C&amp;I</t>
        </is>
      </c>
      <c r="E745" s="1" t="n"/>
      <c r="F745" s="1" t="inlineStr">
        <is>
          <t>Closed</t>
        </is>
      </c>
      <c r="G745" s="8" t="inlineStr">
        <is>
          <t>Amiya Ranjan Behera</t>
        </is>
      </c>
      <c r="H745" s="8" t="n">
        <v>8917436223</v>
      </c>
      <c r="I745" s="10" t="inlineStr">
        <is>
          <t>PE06052602</t>
        </is>
      </c>
      <c r="J745" s="8" t="inlineStr">
        <is>
          <t>Diode Bypass Module Issue</t>
        </is>
      </c>
      <c r="K745" s="8" t="inlineStr">
        <is>
          <t>Bhavnagar</t>
        </is>
      </c>
      <c r="L745" s="8" t="inlineStr">
        <is>
          <t>Gujarat</t>
        </is>
      </c>
      <c r="M745" s="2" t="inlineStr">
        <is>
          <t>PS</t>
        </is>
      </c>
      <c r="N745" s="1" t="inlineStr">
        <is>
          <t>Cold Soldering</t>
        </is>
      </c>
      <c r="O745" s="11" t="n">
        <v>540</v>
      </c>
      <c r="P745" s="2" t="inlineStr">
        <is>
          <t>NSMP2305188703</t>
        </is>
      </c>
      <c r="Q745" s="14">
        <f>MID(P745,5,2)</f>
        <v/>
      </c>
      <c r="R745" s="14">
        <f>MID(P745,7,2)</f>
        <v/>
      </c>
      <c r="S745" s="1" t="inlineStr">
        <is>
          <t>G2B</t>
        </is>
      </c>
      <c r="T745" s="1" t="inlineStr">
        <is>
          <t>P2 - PEPPL</t>
        </is>
      </c>
      <c r="U745" s="1" t="inlineStr">
        <is>
          <t>P JB Cold Soldering</t>
        </is>
      </c>
      <c r="V745" s="1" t="inlineStr">
        <is>
          <t>Soldering</t>
        </is>
      </c>
      <c r="W745" s="1" t="inlineStr">
        <is>
          <t>Repair</t>
        </is>
      </c>
      <c r="X745" s="5" t="n">
        <v>46178</v>
      </c>
      <c r="Y745" s="1">
        <f>IF(X745="","",X745-A745)</f>
        <v/>
      </c>
      <c r="Z745" s="5" t="n">
        <v>46178</v>
      </c>
      <c r="AA745" s="3" t="n"/>
      <c r="AB745" s="3" t="n"/>
      <c r="AE745" s="146">
        <f>IF(AND(F745="Closed",X745&gt;=DATE(2026,6,1),X745&lt;=DATE(2026,6,30)),"Closed in June","other")</f>
        <v/>
      </c>
    </row>
    <row r="746" hidden="1">
      <c r="A746" s="9" t="n">
        <v>46148</v>
      </c>
      <c r="B746" s="1" t="n">
        <v>2026</v>
      </c>
      <c r="C746" s="8" t="inlineStr">
        <is>
          <t>Continuum</t>
        </is>
      </c>
      <c r="D746" s="1" t="inlineStr">
        <is>
          <t>Utility and C&amp;I</t>
        </is>
      </c>
      <c r="E746" s="1" t="n"/>
      <c r="F746" s="1" t="inlineStr">
        <is>
          <t>Closed</t>
        </is>
      </c>
      <c r="G746" s="8" t="inlineStr">
        <is>
          <t>Amiya Ranjan Behera</t>
        </is>
      </c>
      <c r="H746" s="8" t="n">
        <v>8917436223</v>
      </c>
      <c r="I746" s="10" t="inlineStr">
        <is>
          <t>PE06052602</t>
        </is>
      </c>
      <c r="J746" s="8" t="inlineStr">
        <is>
          <t>Diode Bypass Module Issue</t>
        </is>
      </c>
      <c r="K746" s="8" t="inlineStr">
        <is>
          <t>Bhavnagar</t>
        </is>
      </c>
      <c r="L746" s="8" t="inlineStr">
        <is>
          <t>Gujarat</t>
        </is>
      </c>
      <c r="M746" s="2" t="inlineStr">
        <is>
          <t>PS</t>
        </is>
      </c>
      <c r="N746" s="1" t="inlineStr">
        <is>
          <t>Cold Soldering</t>
        </is>
      </c>
      <c r="O746" s="11" t="n">
        <v>540</v>
      </c>
      <c r="P746" s="2" t="inlineStr">
        <is>
          <t>NSMP2305188478</t>
        </is>
      </c>
      <c r="Q746" s="14">
        <f>MID(P746,5,2)</f>
        <v/>
      </c>
      <c r="R746" s="14">
        <f>MID(P746,7,2)</f>
        <v/>
      </c>
      <c r="S746" s="1" t="inlineStr">
        <is>
          <t>G2B</t>
        </is>
      </c>
      <c r="T746" s="1" t="inlineStr">
        <is>
          <t>P2 - PEPPL</t>
        </is>
      </c>
      <c r="U746" s="1" t="inlineStr">
        <is>
          <t>P JB Cold Soldering</t>
        </is>
      </c>
      <c r="V746" s="1" t="inlineStr">
        <is>
          <t>Soldering</t>
        </is>
      </c>
      <c r="W746" s="1" t="inlineStr">
        <is>
          <t>Repair</t>
        </is>
      </c>
      <c r="X746" s="5" t="n">
        <v>46178</v>
      </c>
      <c r="Y746" s="1">
        <f>IF(X746="","",X746-A746)</f>
        <v/>
      </c>
      <c r="Z746" s="5" t="n">
        <v>46178</v>
      </c>
      <c r="AA746" s="3" t="n"/>
      <c r="AB746" s="3" t="n"/>
      <c r="AE746" s="146">
        <f>IF(AND(F746="Closed",X746&gt;=DATE(2026,6,1),X746&lt;=DATE(2026,6,30)),"Closed in June","other")</f>
        <v/>
      </c>
    </row>
    <row r="747" hidden="1">
      <c r="A747" s="9" t="n">
        <v>46148</v>
      </c>
      <c r="B747" s="1" t="n">
        <v>2026</v>
      </c>
      <c r="C747" s="8" t="inlineStr">
        <is>
          <t>Continuum</t>
        </is>
      </c>
      <c r="D747" s="1" t="inlineStr">
        <is>
          <t>Utility and C&amp;I</t>
        </is>
      </c>
      <c r="E747" s="1" t="n"/>
      <c r="F747" s="1" t="inlineStr">
        <is>
          <t>Closed</t>
        </is>
      </c>
      <c r="G747" s="8" t="inlineStr">
        <is>
          <t>Amiya Ranjan Behera</t>
        </is>
      </c>
      <c r="H747" s="8" t="n">
        <v>8917436223</v>
      </c>
      <c r="I747" s="10" t="inlineStr">
        <is>
          <t>PE06052602</t>
        </is>
      </c>
      <c r="J747" s="8" t="inlineStr">
        <is>
          <t>Diode Bypass Module Issue</t>
        </is>
      </c>
      <c r="K747" s="8" t="inlineStr">
        <is>
          <t>Bhavnagar</t>
        </is>
      </c>
      <c r="L747" s="8" t="inlineStr">
        <is>
          <t>Gujarat</t>
        </is>
      </c>
      <c r="M747" s="2" t="inlineStr">
        <is>
          <t>PS</t>
        </is>
      </c>
      <c r="N747" s="1" t="inlineStr">
        <is>
          <t>Cold Soldering</t>
        </is>
      </c>
      <c r="O747" s="11" t="n">
        <v>540</v>
      </c>
      <c r="P747" s="2" t="inlineStr">
        <is>
          <t>NSMP2305188476</t>
        </is>
      </c>
      <c r="Q747" s="14">
        <f>MID(P747,5,2)</f>
        <v/>
      </c>
      <c r="R747" s="14">
        <f>MID(P747,7,2)</f>
        <v/>
      </c>
      <c r="S747" s="1" t="inlineStr">
        <is>
          <t>G2B</t>
        </is>
      </c>
      <c r="T747" s="1" t="inlineStr">
        <is>
          <t>P2 - PEPPL</t>
        </is>
      </c>
      <c r="U747" s="1" t="inlineStr">
        <is>
          <t>P JB Cold Soldering</t>
        </is>
      </c>
      <c r="V747" s="1" t="inlineStr">
        <is>
          <t>Soldering</t>
        </is>
      </c>
      <c r="W747" s="1" t="inlineStr">
        <is>
          <t>Repair</t>
        </is>
      </c>
      <c r="X747" s="5" t="n">
        <v>46178</v>
      </c>
      <c r="Y747" s="1">
        <f>IF(X747="","",X747-A747)</f>
        <v/>
      </c>
      <c r="Z747" s="5" t="n">
        <v>46178</v>
      </c>
      <c r="AA747" s="3" t="n"/>
      <c r="AB747" s="3" t="n"/>
      <c r="AE747" s="146">
        <f>IF(AND(F747="Closed",X747&gt;=DATE(2026,6,1),X747&lt;=DATE(2026,6,30)),"Closed in June","other")</f>
        <v/>
      </c>
    </row>
    <row r="748" hidden="1">
      <c r="A748" s="9" t="n">
        <v>46148</v>
      </c>
      <c r="B748" s="1" t="n">
        <v>2026</v>
      </c>
      <c r="C748" s="8" t="inlineStr">
        <is>
          <t>Continuum</t>
        </is>
      </c>
      <c r="D748" s="1" t="inlineStr">
        <is>
          <t>Utility and C&amp;I</t>
        </is>
      </c>
      <c r="E748" s="1" t="n"/>
      <c r="F748" s="1" t="inlineStr">
        <is>
          <t>Closed</t>
        </is>
      </c>
      <c r="G748" s="8" t="inlineStr">
        <is>
          <t>Amiya Ranjan Behera</t>
        </is>
      </c>
      <c r="H748" s="8" t="n">
        <v>8917436223</v>
      </c>
      <c r="I748" s="10" t="inlineStr">
        <is>
          <t>PE06052602</t>
        </is>
      </c>
      <c r="J748" s="8" t="inlineStr">
        <is>
          <t>Diode Bypass Module Issue</t>
        </is>
      </c>
      <c r="K748" s="8" t="inlineStr">
        <is>
          <t>Bhavnagar</t>
        </is>
      </c>
      <c r="L748" s="8" t="inlineStr">
        <is>
          <t>Gujarat</t>
        </is>
      </c>
      <c r="M748" s="2" t="inlineStr">
        <is>
          <t>OK</t>
        </is>
      </c>
      <c r="N748" s="2" t="inlineStr">
        <is>
          <t>No Issue Found</t>
        </is>
      </c>
      <c r="O748" s="11" t="n">
        <v>540</v>
      </c>
      <c r="P748" s="2" t="inlineStr">
        <is>
          <t>NSMP2305201063</t>
        </is>
      </c>
      <c r="Q748" s="14">
        <f>MID(P748,5,2)</f>
        <v/>
      </c>
      <c r="R748" s="14">
        <f>MID(P748,7,2)</f>
        <v/>
      </c>
      <c r="S748" s="1" t="inlineStr">
        <is>
          <t>G2B</t>
        </is>
      </c>
      <c r="T748" s="1" t="inlineStr">
        <is>
          <t>P2 - PEPPL</t>
        </is>
      </c>
      <c r="U748" s="6" t="inlineStr">
        <is>
          <t>No Issue Found</t>
        </is>
      </c>
      <c r="V748" s="6" t="inlineStr">
        <is>
          <t>Inspection</t>
        </is>
      </c>
      <c r="W748" s="1" t="inlineStr">
        <is>
          <t>Rejected</t>
        </is>
      </c>
      <c r="X748" s="5" t="n">
        <v>46178</v>
      </c>
      <c r="Y748" s="1">
        <f>IF(X748="","",X748-A748)</f>
        <v/>
      </c>
      <c r="Z748" s="5" t="n">
        <v>46178</v>
      </c>
      <c r="AA748" s="3" t="n"/>
      <c r="AB748" s="3" t="n"/>
      <c r="AE748" s="146">
        <f>IF(AND(F748="Closed",X748&gt;=DATE(2026,6,1),X748&lt;=DATE(2026,6,30)),"Closed in June","other")</f>
        <v/>
      </c>
    </row>
    <row r="749" hidden="1">
      <c r="A749" s="9" t="n">
        <v>46148</v>
      </c>
      <c r="B749" s="1" t="n">
        <v>2026</v>
      </c>
      <c r="C749" s="8" t="inlineStr">
        <is>
          <t>Continuum</t>
        </is>
      </c>
      <c r="D749" s="1" t="inlineStr">
        <is>
          <t>Utility and C&amp;I</t>
        </is>
      </c>
      <c r="E749" s="1" t="n"/>
      <c r="F749" s="1" t="inlineStr">
        <is>
          <t>Closed</t>
        </is>
      </c>
      <c r="G749" s="8" t="inlineStr">
        <is>
          <t>Amiya Ranjan Behera</t>
        </is>
      </c>
      <c r="H749" s="8" t="n">
        <v>8917436223</v>
      </c>
      <c r="I749" s="10" t="inlineStr">
        <is>
          <t>PE06052602</t>
        </is>
      </c>
      <c r="J749" s="8" t="inlineStr">
        <is>
          <t>Diode Bypass Module Issue</t>
        </is>
      </c>
      <c r="K749" s="8" t="inlineStr">
        <is>
          <t>Bhavnagar</t>
        </is>
      </c>
      <c r="L749" s="8" t="inlineStr">
        <is>
          <t>Gujarat</t>
        </is>
      </c>
      <c r="M749" s="2" t="inlineStr">
        <is>
          <t>PS</t>
        </is>
      </c>
      <c r="N749" s="1" t="inlineStr">
        <is>
          <t>Cold Soldering</t>
        </is>
      </c>
      <c r="O749" s="11" t="n">
        <v>540</v>
      </c>
      <c r="P749" s="2" t="inlineStr">
        <is>
          <t>NSMP2305131992</t>
        </is>
      </c>
      <c r="Q749" s="14">
        <f>MID(P749,5,2)</f>
        <v/>
      </c>
      <c r="R749" s="14">
        <f>MID(P749,7,2)</f>
        <v/>
      </c>
      <c r="S749" s="1" t="inlineStr">
        <is>
          <t>G2B</t>
        </is>
      </c>
      <c r="T749" s="1" t="inlineStr">
        <is>
          <t>P2 - PEPPL</t>
        </is>
      </c>
      <c r="U749" s="1" t="inlineStr">
        <is>
          <t>P JB Cold Soldering</t>
        </is>
      </c>
      <c r="V749" s="1" t="inlineStr">
        <is>
          <t>Soldering</t>
        </is>
      </c>
      <c r="W749" s="1" t="inlineStr">
        <is>
          <t>Repair</t>
        </is>
      </c>
      <c r="X749" s="5" t="n">
        <v>46178</v>
      </c>
      <c r="Y749" s="1">
        <f>IF(X749="","",X749-A749)</f>
        <v/>
      </c>
      <c r="Z749" s="5" t="n">
        <v>46178</v>
      </c>
      <c r="AA749" s="3" t="n"/>
      <c r="AB749" s="3" t="n"/>
      <c r="AE749" s="146">
        <f>IF(AND(F749="Closed",X749&gt;=DATE(2026,6,1),X749&lt;=DATE(2026,6,30)),"Closed in June","other")</f>
        <v/>
      </c>
    </row>
    <row r="750" hidden="1">
      <c r="A750" s="9" t="n">
        <v>46148</v>
      </c>
      <c r="B750" s="1" t="n">
        <v>2026</v>
      </c>
      <c r="C750" s="8" t="inlineStr">
        <is>
          <t>Continuum</t>
        </is>
      </c>
      <c r="D750" s="1" t="inlineStr">
        <is>
          <t>Utility and C&amp;I</t>
        </is>
      </c>
      <c r="E750" s="1" t="n"/>
      <c r="F750" s="1" t="inlineStr">
        <is>
          <t>Closed</t>
        </is>
      </c>
      <c r="G750" s="8" t="inlineStr">
        <is>
          <t>Amiya Ranjan Behera</t>
        </is>
      </c>
      <c r="H750" s="8" t="n">
        <v>8917436223</v>
      </c>
      <c r="I750" s="10" t="inlineStr">
        <is>
          <t>PE06052602</t>
        </is>
      </c>
      <c r="J750" s="8" t="inlineStr">
        <is>
          <t>Diode Bypass Module Issue</t>
        </is>
      </c>
      <c r="K750" s="8" t="inlineStr">
        <is>
          <t>Bhavnagar</t>
        </is>
      </c>
      <c r="L750" s="8" t="inlineStr">
        <is>
          <t>Gujarat</t>
        </is>
      </c>
      <c r="M750" s="2" t="inlineStr">
        <is>
          <t>PR</t>
        </is>
      </c>
      <c r="N750" s="1" t="inlineStr">
        <is>
          <t>JB Issue</t>
        </is>
      </c>
      <c r="O750" s="11" t="n">
        <v>540</v>
      </c>
      <c r="P750" s="2" t="inlineStr">
        <is>
          <t>NSMP2305123235</t>
        </is>
      </c>
      <c r="Q750" s="14">
        <f>MID(P750,5,2)</f>
        <v/>
      </c>
      <c r="R750" s="14">
        <f>MID(P750,7,2)</f>
        <v/>
      </c>
      <c r="S750" s="1" t="inlineStr">
        <is>
          <t>G2B</t>
        </is>
      </c>
      <c r="T750" s="1" t="inlineStr">
        <is>
          <t>P2 - PEPPL</t>
        </is>
      </c>
      <c r="U750" s="1" t="inlineStr">
        <is>
          <t>P JB Issue</t>
        </is>
      </c>
      <c r="V750" s="3" t="inlineStr">
        <is>
          <t>JB Changed</t>
        </is>
      </c>
      <c r="W750" s="1" t="inlineStr">
        <is>
          <t>Repair</t>
        </is>
      </c>
      <c r="X750" s="5" t="n">
        <v>46178</v>
      </c>
      <c r="Y750" s="1">
        <f>IF(X750="","",X750-A750)</f>
        <v/>
      </c>
      <c r="Z750" s="5" t="n">
        <v>46178</v>
      </c>
      <c r="AA750" s="3" t="n"/>
      <c r="AB750" s="3" t="n"/>
      <c r="AE750" s="146">
        <f>IF(AND(F750="Closed",X750&gt;=DATE(2026,6,1),X750&lt;=DATE(2026,6,30)),"Closed in June","other")</f>
        <v/>
      </c>
    </row>
    <row r="751">
      <c r="A751" s="9" t="n">
        <v>46140</v>
      </c>
      <c r="B751" s="1" t="n">
        <v>2026</v>
      </c>
      <c r="C751" s="8" t="inlineStr">
        <is>
          <t>Panasonic</t>
        </is>
      </c>
      <c r="D751" s="8" t="inlineStr">
        <is>
          <t>OEM</t>
        </is>
      </c>
      <c r="E751" s="1" t="n"/>
      <c r="F751" s="1" t="inlineStr">
        <is>
          <t>Closed</t>
        </is>
      </c>
      <c r="G751" s="8" t="inlineStr">
        <is>
          <t>Chirag Tare</t>
        </is>
      </c>
      <c r="H751" s="8" t="n">
        <v>7719846027</v>
      </c>
      <c r="I751" s="10" t="inlineStr">
        <is>
          <t>PE28042602</t>
        </is>
      </c>
      <c r="J751" s="8" t="inlineStr">
        <is>
          <t>Busbar burn</t>
        </is>
      </c>
      <c r="K751" s="8" t="inlineStr">
        <is>
          <t>Belagavi</t>
        </is>
      </c>
      <c r="L751" s="8" t="inlineStr">
        <is>
          <t>Karnataka</t>
        </is>
      </c>
      <c r="M751" s="2" t="inlineStr">
        <is>
          <t>Visit not required</t>
        </is>
      </c>
      <c r="N751" s="2" t="inlineStr">
        <is>
          <t>Improper or poor soldering</t>
        </is>
      </c>
      <c r="O751" s="11" t="n">
        <v>550</v>
      </c>
      <c r="P751" s="2" t="inlineStr">
        <is>
          <t>NSMP2303507079</t>
        </is>
      </c>
      <c r="Q751" s="14">
        <f>MID(P751,5,2)</f>
        <v/>
      </c>
      <c r="R751" s="14">
        <f>MID(P751,7,2)</f>
        <v/>
      </c>
      <c r="S751" s="1" t="inlineStr">
        <is>
          <t>G2B</t>
        </is>
      </c>
      <c r="T751" s="1" t="inlineStr">
        <is>
          <t>P2 - PEPPL</t>
        </is>
      </c>
      <c r="U751" s="2" t="inlineStr">
        <is>
          <t>Improper soldering between the tab lead and the solar cell</t>
        </is>
      </c>
      <c r="V751" s="1" t="inlineStr">
        <is>
          <t>Process for CN</t>
        </is>
      </c>
      <c r="W751" s="1" t="inlineStr">
        <is>
          <t>Credit Note Issued</t>
        </is>
      </c>
      <c r="X751" s="5" t="n">
        <v>46179</v>
      </c>
      <c r="Y751" s="1">
        <f>IF(X751="","",X751-A751)</f>
        <v/>
      </c>
      <c r="Z751" s="5" t="n">
        <v>46179</v>
      </c>
      <c r="AA751" s="3" t="n"/>
      <c r="AB751" s="3" t="n"/>
      <c r="AE751" s="146">
        <f>IF(AND(F751="Closed",X751&gt;=DATE(2026,6,1),X751&lt;=DATE(2026,6,30)),"Closed in June","other")</f>
        <v/>
      </c>
    </row>
    <row r="752">
      <c r="A752" s="9" t="n">
        <v>46135</v>
      </c>
      <c r="B752" s="1" t="n">
        <v>2026</v>
      </c>
      <c r="C752" s="8" t="inlineStr">
        <is>
          <t>Panasonic</t>
        </is>
      </c>
      <c r="D752" s="8" t="inlineStr">
        <is>
          <t>OEM</t>
        </is>
      </c>
      <c r="E752" s="1" t="n"/>
      <c r="F752" s="1" t="inlineStr">
        <is>
          <t>Closed</t>
        </is>
      </c>
      <c r="G752" s="8" t="inlineStr">
        <is>
          <t>Chirag Tare</t>
        </is>
      </c>
      <c r="H752" s="8" t="n">
        <v>7719846027</v>
      </c>
      <c r="I752" s="20" t="inlineStr">
        <is>
          <t>PE23042601</t>
        </is>
      </c>
      <c r="J752" s="64" t="inlineStr">
        <is>
          <t>Busbar Burn Marks</t>
        </is>
      </c>
      <c r="K752" s="8" t="inlineStr">
        <is>
          <t>Dhule</t>
        </is>
      </c>
      <c r="L752" s="11" t="inlineStr">
        <is>
          <t>Maharashtra</t>
        </is>
      </c>
      <c r="M752" s="2" t="inlineStr">
        <is>
          <t>Visit not required</t>
        </is>
      </c>
      <c r="N752" s="2" t="inlineStr">
        <is>
          <t>Improper or poor soldering</t>
        </is>
      </c>
      <c r="O752" s="11" t="n">
        <v>330</v>
      </c>
      <c r="P752" s="2" t="inlineStr">
        <is>
          <t>NSM210444364</t>
        </is>
      </c>
      <c r="Q752" s="14">
        <f>MID(P752,4,2)</f>
        <v/>
      </c>
      <c r="R752" s="14">
        <f>MID(P752,6,2)</f>
        <v/>
      </c>
      <c r="S752" s="1" t="inlineStr">
        <is>
          <t>G2B</t>
        </is>
      </c>
      <c r="T752" s="1" t="inlineStr">
        <is>
          <t>P2 - PEPPL</t>
        </is>
      </c>
      <c r="U752" s="2" t="inlineStr">
        <is>
          <t>Improper soldering between the tab lead and the solar cell</t>
        </is>
      </c>
      <c r="V752" s="1" t="inlineStr">
        <is>
          <t>Process for CN</t>
        </is>
      </c>
      <c r="W752" s="1" t="inlineStr">
        <is>
          <t>Credit Note Issued</t>
        </is>
      </c>
      <c r="X752" s="5" t="n">
        <v>46179</v>
      </c>
      <c r="Y752" s="1">
        <f>IF(X752="","",X752-A752)</f>
        <v/>
      </c>
      <c r="Z752" s="5" t="n">
        <v>46179</v>
      </c>
      <c r="AA752" s="3" t="n"/>
      <c r="AB752" s="3" t="n"/>
      <c r="AE752" s="146">
        <f>IF(AND(F752="Closed",X752&gt;=DATE(2026,6,1),X752&lt;=DATE(2026,6,30)),"Closed in June","other")</f>
        <v/>
      </c>
    </row>
    <row r="753">
      <c r="A753" s="9" t="n">
        <v>46129</v>
      </c>
      <c r="B753" s="1" t="n">
        <v>2026</v>
      </c>
      <c r="C753" s="8" t="inlineStr">
        <is>
          <t>Panasonic</t>
        </is>
      </c>
      <c r="D753" s="8" t="inlineStr">
        <is>
          <t>OEM</t>
        </is>
      </c>
      <c r="E753" s="1" t="n"/>
      <c r="F753" s="1" t="inlineStr">
        <is>
          <t>Closed</t>
        </is>
      </c>
      <c r="G753" s="8" t="inlineStr">
        <is>
          <t>Chirag Tare</t>
        </is>
      </c>
      <c r="H753" s="8" t="n">
        <v>7719846027</v>
      </c>
      <c r="I753" s="20" t="inlineStr">
        <is>
          <t>PE17042602</t>
        </is>
      </c>
      <c r="J753" s="8" t="inlineStr">
        <is>
          <t>Busbar Burn</t>
        </is>
      </c>
      <c r="K753" s="8" t="inlineStr">
        <is>
          <t>Dhule</t>
        </is>
      </c>
      <c r="L753" s="11" t="inlineStr">
        <is>
          <t>Maharashtra</t>
        </is>
      </c>
      <c r="M753" s="2" t="inlineStr">
        <is>
          <t>Visit not required</t>
        </is>
      </c>
      <c r="N753" s="2" t="inlineStr">
        <is>
          <t>Improper or poor soldering</t>
        </is>
      </c>
      <c r="O753" s="11" t="n">
        <v>335</v>
      </c>
      <c r="P753" s="2" t="inlineStr">
        <is>
          <t>NSM210408527</t>
        </is>
      </c>
      <c r="Q753" s="14">
        <f>MID(P753,4,2)</f>
        <v/>
      </c>
      <c r="R753" s="14">
        <f>MID(P753,6,2)</f>
        <v/>
      </c>
      <c r="S753" s="1" t="inlineStr">
        <is>
          <t>G2B</t>
        </is>
      </c>
      <c r="T753" s="1" t="inlineStr">
        <is>
          <t>P2 - PEPPL</t>
        </is>
      </c>
      <c r="U753" s="2" t="inlineStr">
        <is>
          <t>Improper soldering between the tab lead and the solar cell</t>
        </is>
      </c>
      <c r="V753" s="1" t="inlineStr">
        <is>
          <t>Process for CN</t>
        </is>
      </c>
      <c r="W753" s="1" t="inlineStr">
        <is>
          <t>Credit Note Issued</t>
        </is>
      </c>
      <c r="X753" s="5" t="n">
        <v>46179</v>
      </c>
      <c r="Y753" s="1">
        <f>IF(X753="","",X753-A753)</f>
        <v/>
      </c>
      <c r="Z753" s="5" t="n">
        <v>46179</v>
      </c>
      <c r="AA753" s="3" t="n"/>
      <c r="AB753" s="3" t="n"/>
      <c r="AE753" s="146">
        <f>IF(AND(F753="Closed",X753&gt;=DATE(2026,6,1),X753&lt;=DATE(2026,6,30)),"Closed in June","other")</f>
        <v/>
      </c>
    </row>
    <row r="754" hidden="1">
      <c r="A754" s="9" t="n">
        <v>46143</v>
      </c>
      <c r="B754" s="1" t="n">
        <v>2026</v>
      </c>
      <c r="C754" s="8" t="inlineStr">
        <is>
          <t>Yanara Power</t>
        </is>
      </c>
      <c r="D754" s="1" t="inlineStr">
        <is>
          <t>Utility and C&amp;I</t>
        </is>
      </c>
      <c r="E754" s="1" t="n"/>
      <c r="F754" s="1" t="inlineStr">
        <is>
          <t>Closed</t>
        </is>
      </c>
      <c r="G754" s="2" t="inlineStr">
        <is>
          <t xml:space="preserve">Ashish Jindal </t>
        </is>
      </c>
      <c r="H754" s="8" t="n">
        <v>9983975581</v>
      </c>
      <c r="I754" s="10" t="inlineStr">
        <is>
          <t>PE01052601</t>
        </is>
      </c>
      <c r="J754" s="8" t="inlineStr">
        <is>
          <t>Multiple Issues</t>
        </is>
      </c>
      <c r="K754" s="11" t="inlineStr">
        <is>
          <t>Holi</t>
        </is>
      </c>
      <c r="L754" s="11" t="inlineStr">
        <is>
          <t>Maharashtra</t>
        </is>
      </c>
      <c r="M754" s="2" t="inlineStr">
        <is>
          <t xml:space="preserve">MODULE  BURN  &amp; DAMAGE </t>
        </is>
      </c>
      <c r="N754" s="2" t="inlineStr">
        <is>
          <t xml:space="preserve">SUB STRING SHORT CIRCUIT </t>
        </is>
      </c>
      <c r="O754" s="11" t="n">
        <v>575</v>
      </c>
      <c r="P754" s="2" t="inlineStr">
        <is>
          <t>NSMI24070179264</t>
        </is>
      </c>
      <c r="Q754" s="14">
        <f>MID(P754,5,2)</f>
        <v/>
      </c>
      <c r="R754" s="14">
        <f>MID(P754,7,2)</f>
        <v/>
      </c>
      <c r="S754" s="1" t="inlineStr">
        <is>
          <t>G2G</t>
        </is>
      </c>
      <c r="T754" s="1" t="inlineStr">
        <is>
          <t>P4 - PEIPL</t>
        </is>
      </c>
      <c r="U754" s="2" t="inlineStr">
        <is>
          <t>SUB STRING SHORT CIRCUIT CHECKED</t>
        </is>
      </c>
      <c r="V754" s="6" t="inlineStr">
        <is>
          <t>Inspection</t>
        </is>
      </c>
      <c r="W754" s="2" t="inlineStr">
        <is>
          <t>Rejected</t>
        </is>
      </c>
      <c r="X754" s="5" t="n">
        <v>46180</v>
      </c>
      <c r="Y754" s="1">
        <f>IF(X754="","",X754-A754)</f>
        <v/>
      </c>
      <c r="Z754" s="5" t="n">
        <v>46180</v>
      </c>
      <c r="AA754" s="3" t="n"/>
      <c r="AB754" s="3" t="n"/>
      <c r="AE754" s="146">
        <f>IF(AND(F754="Closed",X754&gt;=DATE(2026,6,1),X754&lt;=DATE(2026,6,30)),"Closed in June","other")</f>
        <v/>
      </c>
    </row>
    <row r="755" hidden="1">
      <c r="A755" s="9" t="n">
        <v>46143</v>
      </c>
      <c r="B755" s="1" t="n">
        <v>2026</v>
      </c>
      <c r="C755" s="8" t="inlineStr">
        <is>
          <t>Yanara Power</t>
        </is>
      </c>
      <c r="D755" s="1" t="inlineStr">
        <is>
          <t>Utility and C&amp;I</t>
        </is>
      </c>
      <c r="E755" s="1" t="n"/>
      <c r="F755" s="1" t="inlineStr">
        <is>
          <t>Closed</t>
        </is>
      </c>
      <c r="G755" s="2" t="inlineStr">
        <is>
          <t xml:space="preserve">Ashish Jindal </t>
        </is>
      </c>
      <c r="H755" s="8" t="n">
        <v>9983975581</v>
      </c>
      <c r="I755" s="10" t="inlineStr">
        <is>
          <t>PE01052601</t>
        </is>
      </c>
      <c r="J755" s="8" t="inlineStr">
        <is>
          <t>Multiple Issues</t>
        </is>
      </c>
      <c r="K755" s="11" t="inlineStr">
        <is>
          <t>Holi</t>
        </is>
      </c>
      <c r="L755" s="11" t="inlineStr">
        <is>
          <t>Maharashtra</t>
        </is>
      </c>
      <c r="M755" s="2" t="inlineStr">
        <is>
          <t>OK</t>
        </is>
      </c>
      <c r="N755" s="2" t="inlineStr">
        <is>
          <t>No Issue Found</t>
        </is>
      </c>
      <c r="O755" s="11" t="n">
        <v>575</v>
      </c>
      <c r="P755" s="2" t="inlineStr">
        <is>
          <t>NSMI24070193497</t>
        </is>
      </c>
      <c r="Q755" s="14">
        <f>MID(P755,5,2)</f>
        <v/>
      </c>
      <c r="R755" s="14">
        <f>MID(P755,7,2)</f>
        <v/>
      </c>
      <c r="S755" s="1" t="inlineStr">
        <is>
          <t>G2G</t>
        </is>
      </c>
      <c r="T755" s="1" t="inlineStr">
        <is>
          <t>P4 - PEIPL</t>
        </is>
      </c>
      <c r="U755" s="2" t="inlineStr">
        <is>
          <t>SUB STRING SHORT CIRCUIT CHECKED</t>
        </is>
      </c>
      <c r="V755" s="6" t="inlineStr">
        <is>
          <t>Inspection</t>
        </is>
      </c>
      <c r="W755" s="2" t="inlineStr">
        <is>
          <t>Rejected</t>
        </is>
      </c>
      <c r="X755" s="5" t="n">
        <v>46180</v>
      </c>
      <c r="Y755" s="1">
        <f>IF(X755="","",X755-A755)</f>
        <v/>
      </c>
      <c r="Z755" s="5" t="n">
        <v>46180</v>
      </c>
      <c r="AA755" s="3" t="n"/>
      <c r="AB755" s="3" t="n"/>
      <c r="AE755" s="146">
        <f>IF(AND(F755="Closed",X755&gt;=DATE(2026,6,1),X755&lt;=DATE(2026,6,30)),"Closed in June","other")</f>
        <v/>
      </c>
    </row>
    <row r="756" hidden="1">
      <c r="A756" s="9" t="n">
        <v>46143</v>
      </c>
      <c r="B756" s="1" t="n">
        <v>2026</v>
      </c>
      <c r="C756" s="8" t="inlineStr">
        <is>
          <t>Yanara Power</t>
        </is>
      </c>
      <c r="D756" s="1" t="inlineStr">
        <is>
          <t>Utility and C&amp;I</t>
        </is>
      </c>
      <c r="E756" s="1" t="n"/>
      <c r="F756" s="1" t="inlineStr">
        <is>
          <t>Closed</t>
        </is>
      </c>
      <c r="G756" s="2" t="inlineStr">
        <is>
          <t xml:space="preserve">Ashish Jindal </t>
        </is>
      </c>
      <c r="H756" s="8" t="n">
        <v>9983975581</v>
      </c>
      <c r="I756" s="10" t="inlineStr">
        <is>
          <t>PE01052601</t>
        </is>
      </c>
      <c r="J756" s="8" t="inlineStr">
        <is>
          <t>Multiple Issues</t>
        </is>
      </c>
      <c r="K756" s="11" t="inlineStr">
        <is>
          <t>Holi</t>
        </is>
      </c>
      <c r="L756" s="11" t="inlineStr">
        <is>
          <t>Maharashtra</t>
        </is>
      </c>
      <c r="M756" s="2" t="inlineStr">
        <is>
          <t>OK</t>
        </is>
      </c>
      <c r="N756" s="2" t="inlineStr">
        <is>
          <t>No Issue Found</t>
        </is>
      </c>
      <c r="O756" s="11" t="n">
        <v>575</v>
      </c>
      <c r="P756" s="2" t="inlineStr">
        <is>
          <t>NSMI24070194101</t>
        </is>
      </c>
      <c r="Q756" s="14">
        <f>MID(P756,5,2)</f>
        <v/>
      </c>
      <c r="R756" s="14">
        <f>MID(P756,7,2)</f>
        <v/>
      </c>
      <c r="S756" s="1" t="inlineStr">
        <is>
          <t>G2G</t>
        </is>
      </c>
      <c r="T756" s="1" t="inlineStr">
        <is>
          <t>P4 - PEIPL</t>
        </is>
      </c>
      <c r="U756" s="2" t="inlineStr">
        <is>
          <t>SUB STRING SHORT CIRCUIT CHECKED</t>
        </is>
      </c>
      <c r="V756" s="6" t="inlineStr">
        <is>
          <t>Inspection</t>
        </is>
      </c>
      <c r="W756" s="2" t="inlineStr">
        <is>
          <t>Rejected</t>
        </is>
      </c>
      <c r="X756" s="5" t="n">
        <v>46180</v>
      </c>
      <c r="Y756" s="1">
        <f>IF(X756="","",X756-A756)</f>
        <v/>
      </c>
      <c r="Z756" s="5" t="n">
        <v>46180</v>
      </c>
      <c r="AA756" s="3" t="n"/>
      <c r="AB756" s="3" t="n"/>
      <c r="AE756" s="146">
        <f>IF(AND(F756="Closed",X756&gt;=DATE(2026,6,1),X756&lt;=DATE(2026,6,30)),"Closed in June","other")</f>
        <v/>
      </c>
    </row>
    <row r="757" hidden="1">
      <c r="A757" s="9" t="n">
        <v>46143</v>
      </c>
      <c r="B757" s="1" t="n">
        <v>2026</v>
      </c>
      <c r="C757" s="8" t="inlineStr">
        <is>
          <t>Yanara Power</t>
        </is>
      </c>
      <c r="D757" s="1" t="inlineStr">
        <is>
          <t>Utility and C&amp;I</t>
        </is>
      </c>
      <c r="E757" s="1" t="n"/>
      <c r="F757" s="1" t="inlineStr">
        <is>
          <t>Closed</t>
        </is>
      </c>
      <c r="G757" s="2" t="inlineStr">
        <is>
          <t xml:space="preserve">Ashish Jindal </t>
        </is>
      </c>
      <c r="H757" s="8" t="n">
        <v>9983975581</v>
      </c>
      <c r="I757" s="10" t="inlineStr">
        <is>
          <t>PE01052601</t>
        </is>
      </c>
      <c r="J757" s="8" t="inlineStr">
        <is>
          <t>Multiple Issues</t>
        </is>
      </c>
      <c r="K757" s="11" t="inlineStr">
        <is>
          <t>Holi</t>
        </is>
      </c>
      <c r="L757" s="11" t="inlineStr">
        <is>
          <t>Maharashtra</t>
        </is>
      </c>
      <c r="M757" s="2" t="inlineStr">
        <is>
          <t>OK</t>
        </is>
      </c>
      <c r="N757" s="2" t="inlineStr">
        <is>
          <t>No Issue Found</t>
        </is>
      </c>
      <c r="O757" s="11" t="n">
        <v>575</v>
      </c>
      <c r="P757" s="2" t="inlineStr">
        <is>
          <t>NSMI24070194849</t>
        </is>
      </c>
      <c r="Q757" s="14">
        <f>MID(P757,5,2)</f>
        <v/>
      </c>
      <c r="R757" s="14">
        <f>MID(P757,7,2)</f>
        <v/>
      </c>
      <c r="S757" s="1" t="inlineStr">
        <is>
          <t>G2G</t>
        </is>
      </c>
      <c r="T757" s="1" t="inlineStr">
        <is>
          <t>P4 - PEIPL</t>
        </is>
      </c>
      <c r="U757" s="2" t="inlineStr">
        <is>
          <t>SUB STRING SHORT CIRCUIT CHECKED</t>
        </is>
      </c>
      <c r="V757" s="6" t="inlineStr">
        <is>
          <t>Inspection</t>
        </is>
      </c>
      <c r="W757" s="2" t="inlineStr">
        <is>
          <t>Rejected</t>
        </is>
      </c>
      <c r="X757" s="5" t="n">
        <v>46180</v>
      </c>
      <c r="Y757" s="1">
        <f>IF(X757="","",X757-A757)</f>
        <v/>
      </c>
      <c r="Z757" s="5" t="n">
        <v>46180</v>
      </c>
      <c r="AA757" s="3" t="n"/>
      <c r="AB757" s="3" t="n"/>
      <c r="AE757" s="146">
        <f>IF(AND(F757="Closed",X757&gt;=DATE(2026,6,1),X757&lt;=DATE(2026,6,30)),"Closed in June","other")</f>
        <v/>
      </c>
    </row>
    <row r="758" hidden="1">
      <c r="A758" s="9" t="n">
        <v>46143</v>
      </c>
      <c r="B758" s="1" t="n">
        <v>2026</v>
      </c>
      <c r="C758" s="8" t="inlineStr">
        <is>
          <t>Yanara Power</t>
        </is>
      </c>
      <c r="D758" s="1" t="inlineStr">
        <is>
          <t>Utility and C&amp;I</t>
        </is>
      </c>
      <c r="E758" s="1" t="n"/>
      <c r="F758" s="1" t="inlineStr">
        <is>
          <t>Closed</t>
        </is>
      </c>
      <c r="G758" s="2" t="inlineStr">
        <is>
          <t xml:space="preserve">Ashish Jindal </t>
        </is>
      </c>
      <c r="H758" s="8" t="n">
        <v>9983975581</v>
      </c>
      <c r="I758" s="10" t="inlineStr">
        <is>
          <t>PE01052601</t>
        </is>
      </c>
      <c r="J758" s="8" t="inlineStr">
        <is>
          <t>Multiple Issues</t>
        </is>
      </c>
      <c r="K758" s="11" t="inlineStr">
        <is>
          <t>Holi</t>
        </is>
      </c>
      <c r="L758" s="11" t="inlineStr">
        <is>
          <t>Maharashtra</t>
        </is>
      </c>
      <c r="M758" s="2" t="inlineStr">
        <is>
          <t>OK</t>
        </is>
      </c>
      <c r="N758" s="2" t="inlineStr">
        <is>
          <t>No Issue Found</t>
        </is>
      </c>
      <c r="O758" s="11" t="n">
        <v>575</v>
      </c>
      <c r="P758" s="2" t="inlineStr">
        <is>
          <t>NSMI24070193947</t>
        </is>
      </c>
      <c r="Q758" s="14">
        <f>MID(P758,5,2)</f>
        <v/>
      </c>
      <c r="R758" s="14">
        <f>MID(P758,7,2)</f>
        <v/>
      </c>
      <c r="S758" s="1" t="inlineStr">
        <is>
          <t>G2G</t>
        </is>
      </c>
      <c r="T758" s="1" t="inlineStr">
        <is>
          <t>P4 - PEIPL</t>
        </is>
      </c>
      <c r="U758" s="2" t="inlineStr">
        <is>
          <t>SUB STRING SHORT CIRCUIT CHECKED</t>
        </is>
      </c>
      <c r="V758" s="6" t="inlineStr">
        <is>
          <t>Inspection</t>
        </is>
      </c>
      <c r="W758" s="2" t="inlineStr">
        <is>
          <t>Rejected</t>
        </is>
      </c>
      <c r="X758" s="5" t="n">
        <v>46180</v>
      </c>
      <c r="Y758" s="1">
        <f>IF(X758="","",X758-A758)</f>
        <v/>
      </c>
      <c r="Z758" s="5" t="n">
        <v>46180</v>
      </c>
      <c r="AA758" s="3" t="n"/>
      <c r="AB758" s="3" t="n"/>
      <c r="AE758" s="146">
        <f>IF(AND(F758="Closed",X758&gt;=DATE(2026,6,1),X758&lt;=DATE(2026,6,30)),"Closed in June","other")</f>
        <v/>
      </c>
    </row>
    <row r="759" hidden="1">
      <c r="A759" s="9" t="n">
        <v>46143</v>
      </c>
      <c r="B759" s="1" t="n">
        <v>2026</v>
      </c>
      <c r="C759" s="8" t="inlineStr">
        <is>
          <t>Yanara Power</t>
        </is>
      </c>
      <c r="D759" s="1" t="inlineStr">
        <is>
          <t>Utility and C&amp;I</t>
        </is>
      </c>
      <c r="E759" s="1" t="n"/>
      <c r="F759" s="1" t="inlineStr">
        <is>
          <t>Closed</t>
        </is>
      </c>
      <c r="G759" s="2" t="inlineStr">
        <is>
          <t xml:space="preserve">Ashish Jindal </t>
        </is>
      </c>
      <c r="H759" s="8" t="n">
        <v>9983975581</v>
      </c>
      <c r="I759" s="10" t="inlineStr">
        <is>
          <t>PE01052601</t>
        </is>
      </c>
      <c r="J759" s="8" t="inlineStr">
        <is>
          <t>Multiple Issues</t>
        </is>
      </c>
      <c r="K759" s="11" t="inlineStr">
        <is>
          <t>Holi</t>
        </is>
      </c>
      <c r="L759" s="11" t="inlineStr">
        <is>
          <t>Maharashtra</t>
        </is>
      </c>
      <c r="M759" s="2" t="inlineStr">
        <is>
          <t>OK</t>
        </is>
      </c>
      <c r="N759" s="2" t="inlineStr">
        <is>
          <t>No Issue Found</t>
        </is>
      </c>
      <c r="O759" s="11" t="n">
        <v>575</v>
      </c>
      <c r="P759" s="2" t="inlineStr">
        <is>
          <t>NSMI24070194557</t>
        </is>
      </c>
      <c r="Q759" s="14">
        <f>MID(P759,5,2)</f>
        <v/>
      </c>
      <c r="R759" s="14">
        <f>MID(P759,7,2)</f>
        <v/>
      </c>
      <c r="S759" s="1" t="inlineStr">
        <is>
          <t>G2G</t>
        </is>
      </c>
      <c r="T759" s="1" t="inlineStr">
        <is>
          <t>P4 - PEIPL</t>
        </is>
      </c>
      <c r="U759" s="2" t="inlineStr">
        <is>
          <t>SUB STRING SHORT CIRCUIT CHECKED</t>
        </is>
      </c>
      <c r="V759" s="6" t="inlineStr">
        <is>
          <t>Inspection</t>
        </is>
      </c>
      <c r="W759" s="2" t="inlineStr">
        <is>
          <t>Rejected</t>
        </is>
      </c>
      <c r="X759" s="5" t="n">
        <v>46180</v>
      </c>
      <c r="Y759" s="1">
        <f>IF(X759="","",X759-A759)</f>
        <v/>
      </c>
      <c r="Z759" s="5" t="n">
        <v>46180</v>
      </c>
      <c r="AA759" s="3" t="n"/>
      <c r="AB759" s="3" t="n"/>
      <c r="AE759" s="146">
        <f>IF(AND(F759="Closed",X759&gt;=DATE(2026,6,1),X759&lt;=DATE(2026,6,30)),"Closed in June","other")</f>
        <v/>
      </c>
    </row>
    <row r="760" hidden="1">
      <c r="A760" s="9" t="n">
        <v>46143</v>
      </c>
      <c r="B760" s="1" t="n">
        <v>2026</v>
      </c>
      <c r="C760" s="8" t="inlineStr">
        <is>
          <t>Yanara Power</t>
        </is>
      </c>
      <c r="D760" s="1" t="inlineStr">
        <is>
          <t>Utility and C&amp;I</t>
        </is>
      </c>
      <c r="E760" s="1" t="n"/>
      <c r="F760" s="1" t="inlineStr">
        <is>
          <t>Closed</t>
        </is>
      </c>
      <c r="G760" s="2" t="inlineStr">
        <is>
          <t xml:space="preserve">Ashish Jindal </t>
        </is>
      </c>
      <c r="H760" s="8" t="n">
        <v>9983975581</v>
      </c>
      <c r="I760" s="10" t="inlineStr">
        <is>
          <t>PE01052601</t>
        </is>
      </c>
      <c r="J760" s="8" t="inlineStr">
        <is>
          <t>Multiple Issues</t>
        </is>
      </c>
      <c r="K760" s="11" t="inlineStr">
        <is>
          <t>Holi</t>
        </is>
      </c>
      <c r="L760" s="11" t="inlineStr">
        <is>
          <t>Maharashtra</t>
        </is>
      </c>
      <c r="M760" s="2" t="inlineStr">
        <is>
          <t>OK</t>
        </is>
      </c>
      <c r="N760" s="2" t="inlineStr">
        <is>
          <t>No Issue Found</t>
        </is>
      </c>
      <c r="O760" s="11" t="n">
        <v>575</v>
      </c>
      <c r="P760" s="2" t="inlineStr">
        <is>
          <t>NSMI24070192407</t>
        </is>
      </c>
      <c r="Q760" s="14">
        <f>MID(P760,5,2)</f>
        <v/>
      </c>
      <c r="R760" s="14">
        <f>MID(P760,7,2)</f>
        <v/>
      </c>
      <c r="S760" s="1" t="inlineStr">
        <is>
          <t>G2G</t>
        </is>
      </c>
      <c r="T760" s="1" t="inlineStr">
        <is>
          <t>P4 - PEIPL</t>
        </is>
      </c>
      <c r="U760" s="2" t="inlineStr">
        <is>
          <t>SUB STRING SHORT CIRCUIT CHECKED</t>
        </is>
      </c>
      <c r="V760" s="6" t="inlineStr">
        <is>
          <t>Inspection</t>
        </is>
      </c>
      <c r="W760" s="2" t="inlineStr">
        <is>
          <t>Rejected</t>
        </is>
      </c>
      <c r="X760" s="5" t="n">
        <v>46180</v>
      </c>
      <c r="Y760" s="1">
        <f>IF(X760="","",X760-A760)</f>
        <v/>
      </c>
      <c r="Z760" s="5" t="n">
        <v>46180</v>
      </c>
      <c r="AA760" s="3" t="n"/>
      <c r="AB760" s="3" t="n"/>
      <c r="AE760" s="146">
        <f>IF(AND(F760="Closed",X760&gt;=DATE(2026,6,1),X760&lt;=DATE(2026,6,30)),"Closed in June","other")</f>
        <v/>
      </c>
    </row>
    <row r="761" hidden="1">
      <c r="A761" s="9" t="n">
        <v>46143</v>
      </c>
      <c r="B761" s="1" t="n">
        <v>2026</v>
      </c>
      <c r="C761" s="8" t="inlineStr">
        <is>
          <t>Yanara Power</t>
        </is>
      </c>
      <c r="D761" s="1" t="inlineStr">
        <is>
          <t>Utility and C&amp;I</t>
        </is>
      </c>
      <c r="E761" s="1" t="n"/>
      <c r="F761" s="1" t="inlineStr">
        <is>
          <t>Closed</t>
        </is>
      </c>
      <c r="G761" s="2" t="inlineStr">
        <is>
          <t xml:space="preserve">Ashish Jindal </t>
        </is>
      </c>
      <c r="H761" s="8" t="n">
        <v>9983975581</v>
      </c>
      <c r="I761" s="10" t="inlineStr">
        <is>
          <t>PE01052601</t>
        </is>
      </c>
      <c r="J761" s="8" t="inlineStr">
        <is>
          <t>Multiple Issues</t>
        </is>
      </c>
      <c r="K761" s="11" t="inlineStr">
        <is>
          <t>Holi</t>
        </is>
      </c>
      <c r="L761" s="11" t="inlineStr">
        <is>
          <t>Maharashtra</t>
        </is>
      </c>
      <c r="M761" s="2" t="inlineStr">
        <is>
          <t>OK</t>
        </is>
      </c>
      <c r="N761" s="2" t="inlineStr">
        <is>
          <t>No Issue Found</t>
        </is>
      </c>
      <c r="O761" s="11" t="n">
        <v>575</v>
      </c>
      <c r="P761" s="2" t="inlineStr">
        <is>
          <t>NSMI24070194821</t>
        </is>
      </c>
      <c r="Q761" s="14">
        <f>MID(P761,5,2)</f>
        <v/>
      </c>
      <c r="R761" s="14">
        <f>MID(P761,7,2)</f>
        <v/>
      </c>
      <c r="S761" s="1" t="inlineStr">
        <is>
          <t>G2G</t>
        </is>
      </c>
      <c r="T761" s="1" t="inlineStr">
        <is>
          <t>P4 - PEIPL</t>
        </is>
      </c>
      <c r="U761" s="2" t="inlineStr">
        <is>
          <t>SUB STRING SHORT CIRCUIT CHECKED</t>
        </is>
      </c>
      <c r="V761" s="6" t="inlineStr">
        <is>
          <t>Inspection</t>
        </is>
      </c>
      <c r="W761" s="2" t="inlineStr">
        <is>
          <t>Rejected</t>
        </is>
      </c>
      <c r="X761" s="5" t="n">
        <v>46180</v>
      </c>
      <c r="Y761" s="1">
        <f>IF(X761="","",X761-A761)</f>
        <v/>
      </c>
      <c r="Z761" s="5" t="n">
        <v>46180</v>
      </c>
      <c r="AA761" s="3" t="n"/>
      <c r="AB761" s="3" t="n"/>
      <c r="AE761" s="146">
        <f>IF(AND(F761="Closed",X761&gt;=DATE(2026,6,1),X761&lt;=DATE(2026,6,30)),"Closed in June","other")</f>
        <v/>
      </c>
    </row>
    <row r="762" hidden="1">
      <c r="A762" s="9" t="n">
        <v>46143</v>
      </c>
      <c r="B762" s="1" t="n">
        <v>2026</v>
      </c>
      <c r="C762" s="8" t="inlineStr">
        <is>
          <t>Yanara Power</t>
        </is>
      </c>
      <c r="D762" s="1" t="inlineStr">
        <is>
          <t>Utility and C&amp;I</t>
        </is>
      </c>
      <c r="E762" s="1" t="n"/>
      <c r="F762" s="1" t="inlineStr">
        <is>
          <t>Closed</t>
        </is>
      </c>
      <c r="G762" s="2" t="inlineStr">
        <is>
          <t xml:space="preserve">Ashish Jindal </t>
        </is>
      </c>
      <c r="H762" s="8" t="n">
        <v>9983975581</v>
      </c>
      <c r="I762" s="10" t="inlineStr">
        <is>
          <t>PE01052601</t>
        </is>
      </c>
      <c r="J762" s="8" t="inlineStr">
        <is>
          <t>Multiple Issues</t>
        </is>
      </c>
      <c r="K762" s="11" t="inlineStr">
        <is>
          <t>Holi</t>
        </is>
      </c>
      <c r="L762" s="11" t="inlineStr">
        <is>
          <t>Maharashtra</t>
        </is>
      </c>
      <c r="M762" s="2" t="inlineStr">
        <is>
          <t>OK</t>
        </is>
      </c>
      <c r="N762" s="2" t="inlineStr">
        <is>
          <t>No Issue Found</t>
        </is>
      </c>
      <c r="O762" s="11" t="n">
        <v>575</v>
      </c>
      <c r="P762" s="2" t="inlineStr">
        <is>
          <t>NSMI24070176598</t>
        </is>
      </c>
      <c r="Q762" s="14">
        <f>MID(P762,5,2)</f>
        <v/>
      </c>
      <c r="R762" s="14">
        <f>MID(P762,7,2)</f>
        <v/>
      </c>
      <c r="S762" s="1" t="inlineStr">
        <is>
          <t>G2G</t>
        </is>
      </c>
      <c r="T762" s="1" t="inlineStr">
        <is>
          <t>P4 - PEIPL</t>
        </is>
      </c>
      <c r="U762" s="2" t="inlineStr">
        <is>
          <t>SUB STRING SHORT CIRCUIT CHECKED</t>
        </is>
      </c>
      <c r="V762" s="6" t="inlineStr">
        <is>
          <t>Inspection</t>
        </is>
      </c>
      <c r="W762" s="2" t="inlineStr">
        <is>
          <t>Rejected</t>
        </is>
      </c>
      <c r="X762" s="5" t="n">
        <v>46180</v>
      </c>
      <c r="Y762" s="1">
        <f>IF(X762="","",X762-A762)</f>
        <v/>
      </c>
      <c r="Z762" s="5" t="n">
        <v>46180</v>
      </c>
      <c r="AA762" s="3" t="n"/>
      <c r="AB762" s="3" t="n"/>
      <c r="AE762" s="146">
        <f>IF(AND(F762="Closed",X762&gt;=DATE(2026,6,1),X762&lt;=DATE(2026,6,30)),"Closed in June","other")</f>
        <v/>
      </c>
    </row>
    <row r="763" hidden="1">
      <c r="A763" s="9" t="n">
        <v>46143</v>
      </c>
      <c r="B763" s="1" t="n">
        <v>2026</v>
      </c>
      <c r="C763" s="8" t="inlineStr">
        <is>
          <t>Yanara Power</t>
        </is>
      </c>
      <c r="D763" s="1" t="inlineStr">
        <is>
          <t>Utility and C&amp;I</t>
        </is>
      </c>
      <c r="E763" s="1" t="n"/>
      <c r="F763" s="1" t="inlineStr">
        <is>
          <t>Closed</t>
        </is>
      </c>
      <c r="G763" s="2" t="inlineStr">
        <is>
          <t xml:space="preserve">Ashish Jindal </t>
        </is>
      </c>
      <c r="H763" s="8" t="n">
        <v>9983975581</v>
      </c>
      <c r="I763" s="10" t="inlineStr">
        <is>
          <t>PE01052601</t>
        </is>
      </c>
      <c r="J763" s="8" t="inlineStr">
        <is>
          <t>Multiple Issues</t>
        </is>
      </c>
      <c r="K763" s="11" t="inlineStr">
        <is>
          <t>Holi</t>
        </is>
      </c>
      <c r="L763" s="11" t="inlineStr">
        <is>
          <t>Maharashtra</t>
        </is>
      </c>
      <c r="M763" s="2" t="inlineStr">
        <is>
          <t>OK</t>
        </is>
      </c>
      <c r="N763" s="2" t="inlineStr">
        <is>
          <t>No Issue Found</t>
        </is>
      </c>
      <c r="O763" s="11" t="n">
        <v>575</v>
      </c>
      <c r="P763" s="2" t="inlineStr">
        <is>
          <t>NSMI24070177724</t>
        </is>
      </c>
      <c r="Q763" s="14">
        <f>MID(P763,5,2)</f>
        <v/>
      </c>
      <c r="R763" s="14">
        <f>MID(P763,7,2)</f>
        <v/>
      </c>
      <c r="S763" s="1" t="inlineStr">
        <is>
          <t>G2G</t>
        </is>
      </c>
      <c r="T763" s="1" t="inlineStr">
        <is>
          <t>P4 - PEIPL</t>
        </is>
      </c>
      <c r="U763" s="2" t="inlineStr">
        <is>
          <t>SUB STRING SHORT CIRCUIT CHECKED</t>
        </is>
      </c>
      <c r="V763" s="6" t="inlineStr">
        <is>
          <t>Inspection</t>
        </is>
      </c>
      <c r="W763" s="2" t="inlineStr">
        <is>
          <t>Rejected</t>
        </is>
      </c>
      <c r="X763" s="5" t="n">
        <v>46180</v>
      </c>
      <c r="Y763" s="1">
        <f>IF(X763="","",X763-A763)</f>
        <v/>
      </c>
      <c r="Z763" s="5" t="n">
        <v>46180</v>
      </c>
      <c r="AA763" s="3" t="n"/>
      <c r="AB763" s="3" t="n"/>
      <c r="AE763" s="146">
        <f>IF(AND(F763="Closed",X763&gt;=DATE(2026,6,1),X763&lt;=DATE(2026,6,30)),"Closed in June","other")</f>
        <v/>
      </c>
    </row>
    <row r="764" hidden="1">
      <c r="A764" s="9" t="n">
        <v>46143</v>
      </c>
      <c r="B764" s="1" t="n">
        <v>2026</v>
      </c>
      <c r="C764" s="8" t="inlineStr">
        <is>
          <t>Yanara Power</t>
        </is>
      </c>
      <c r="D764" s="1" t="inlineStr">
        <is>
          <t>Utility and C&amp;I</t>
        </is>
      </c>
      <c r="E764" s="1" t="n"/>
      <c r="F764" s="1" t="inlineStr">
        <is>
          <t>Closed</t>
        </is>
      </c>
      <c r="G764" s="2" t="inlineStr">
        <is>
          <t xml:space="preserve">Ashish Jindal </t>
        </is>
      </c>
      <c r="H764" s="8" t="n">
        <v>9983975581</v>
      </c>
      <c r="I764" s="10" t="inlineStr">
        <is>
          <t>PE01052601</t>
        </is>
      </c>
      <c r="J764" s="8" t="inlineStr">
        <is>
          <t>Multiple Issues</t>
        </is>
      </c>
      <c r="K764" s="11" t="inlineStr">
        <is>
          <t>Holi</t>
        </is>
      </c>
      <c r="L764" s="11" t="inlineStr">
        <is>
          <t>Maharashtra</t>
        </is>
      </c>
      <c r="M764" s="2" t="inlineStr">
        <is>
          <t>OK</t>
        </is>
      </c>
      <c r="N764" s="2" t="inlineStr">
        <is>
          <t>No Issue Found</t>
        </is>
      </c>
      <c r="O764" s="11" t="n">
        <v>575</v>
      </c>
      <c r="P764" s="2" t="inlineStr">
        <is>
          <t>NSMI24070224347</t>
        </is>
      </c>
      <c r="Q764" s="14">
        <f>MID(P764,5,2)</f>
        <v/>
      </c>
      <c r="R764" s="14">
        <f>MID(P764,7,2)</f>
        <v/>
      </c>
      <c r="S764" s="1" t="inlineStr">
        <is>
          <t>G2G</t>
        </is>
      </c>
      <c r="T764" s="1" t="inlineStr">
        <is>
          <t>P4 - PEIPL</t>
        </is>
      </c>
      <c r="U764" s="2" t="inlineStr">
        <is>
          <t>SUB STRING SHORT CIRCUIT CHECKED</t>
        </is>
      </c>
      <c r="V764" s="6" t="inlineStr">
        <is>
          <t>Inspection</t>
        </is>
      </c>
      <c r="W764" s="2" t="inlineStr">
        <is>
          <t>Rejected</t>
        </is>
      </c>
      <c r="X764" s="5" t="n">
        <v>46180</v>
      </c>
      <c r="Y764" s="1">
        <f>IF(X764="","",X764-A764)</f>
        <v/>
      </c>
      <c r="Z764" s="5" t="n">
        <v>46180</v>
      </c>
      <c r="AA764" s="3" t="n"/>
      <c r="AB764" s="3" t="n"/>
      <c r="AE764" s="146">
        <f>IF(AND(F764="Closed",X764&gt;=DATE(2026,6,1),X764&lt;=DATE(2026,6,30)),"Closed in June","other")</f>
        <v/>
      </c>
    </row>
    <row r="765" hidden="1">
      <c r="A765" s="9" t="n">
        <v>46143</v>
      </c>
      <c r="B765" s="1" t="n">
        <v>2026</v>
      </c>
      <c r="C765" s="8" t="inlineStr">
        <is>
          <t>Yanara Power</t>
        </is>
      </c>
      <c r="D765" s="1" t="inlineStr">
        <is>
          <t>Utility and C&amp;I</t>
        </is>
      </c>
      <c r="E765" s="1" t="n"/>
      <c r="F765" s="1" t="inlineStr">
        <is>
          <t>Closed</t>
        </is>
      </c>
      <c r="G765" s="2" t="inlineStr">
        <is>
          <t xml:space="preserve">Ashish Jindal </t>
        </is>
      </c>
      <c r="H765" s="8" t="n">
        <v>9983975581</v>
      </c>
      <c r="I765" s="10" t="inlineStr">
        <is>
          <t>PE01052601</t>
        </is>
      </c>
      <c r="J765" s="8" t="inlineStr">
        <is>
          <t>Multiple Issues</t>
        </is>
      </c>
      <c r="K765" s="11" t="inlineStr">
        <is>
          <t>Holi</t>
        </is>
      </c>
      <c r="L765" s="11" t="inlineStr">
        <is>
          <t>Maharashtra</t>
        </is>
      </c>
      <c r="M765" s="2" t="inlineStr">
        <is>
          <t>OK</t>
        </is>
      </c>
      <c r="N765" s="2" t="inlineStr">
        <is>
          <t>No Issue Found</t>
        </is>
      </c>
      <c r="O765" s="11" t="n">
        <v>575</v>
      </c>
      <c r="P765" s="2" t="inlineStr">
        <is>
          <t>NSMI24070239366</t>
        </is>
      </c>
      <c r="Q765" s="14">
        <f>MID(P765,5,2)</f>
        <v/>
      </c>
      <c r="R765" s="14">
        <f>MID(P765,7,2)</f>
        <v/>
      </c>
      <c r="S765" s="1" t="inlineStr">
        <is>
          <t>G2G</t>
        </is>
      </c>
      <c r="T765" s="1" t="inlineStr">
        <is>
          <t>P4 - PEIPL</t>
        </is>
      </c>
      <c r="U765" s="2" t="inlineStr">
        <is>
          <t>SUB STRING SHORT CIRCUIT CHECKED</t>
        </is>
      </c>
      <c r="V765" s="6" t="inlineStr">
        <is>
          <t>Inspection</t>
        </is>
      </c>
      <c r="W765" s="2" t="inlineStr">
        <is>
          <t>Rejected</t>
        </is>
      </c>
      <c r="X765" s="5" t="n">
        <v>46180</v>
      </c>
      <c r="Y765" s="1">
        <f>IF(X765="","",X765-A765)</f>
        <v/>
      </c>
      <c r="Z765" s="5" t="n">
        <v>46180</v>
      </c>
      <c r="AA765" s="3" t="n"/>
      <c r="AB765" s="3" t="n"/>
      <c r="AE765" s="146">
        <f>IF(AND(F765="Closed",X765&gt;=DATE(2026,6,1),X765&lt;=DATE(2026,6,30)),"Closed in June","other")</f>
        <v/>
      </c>
    </row>
    <row r="766" hidden="1">
      <c r="A766" s="9" t="n">
        <v>46143</v>
      </c>
      <c r="B766" s="1" t="n">
        <v>2026</v>
      </c>
      <c r="C766" s="8" t="inlineStr">
        <is>
          <t>Yanara Power</t>
        </is>
      </c>
      <c r="D766" s="1" t="inlineStr">
        <is>
          <t>Utility and C&amp;I</t>
        </is>
      </c>
      <c r="E766" s="1" t="n"/>
      <c r="F766" s="1" t="inlineStr">
        <is>
          <t>Closed</t>
        </is>
      </c>
      <c r="G766" s="2" t="inlineStr">
        <is>
          <t xml:space="preserve">Ashish Jindal </t>
        </is>
      </c>
      <c r="H766" s="8" t="n">
        <v>9983975581</v>
      </c>
      <c r="I766" s="10" t="inlineStr">
        <is>
          <t>PE01052601</t>
        </is>
      </c>
      <c r="J766" s="8" t="inlineStr">
        <is>
          <t>Multiple Issues</t>
        </is>
      </c>
      <c r="K766" s="11" t="inlineStr">
        <is>
          <t>Holi</t>
        </is>
      </c>
      <c r="L766" s="11" t="inlineStr">
        <is>
          <t>Maharashtra</t>
        </is>
      </c>
      <c r="M766" s="2" t="inlineStr">
        <is>
          <t>OK</t>
        </is>
      </c>
      <c r="N766" s="2" t="inlineStr">
        <is>
          <t>No Issue Found</t>
        </is>
      </c>
      <c r="O766" s="11" t="n">
        <v>575</v>
      </c>
      <c r="P766" s="2" t="inlineStr">
        <is>
          <t>NSMI24070238151</t>
        </is>
      </c>
      <c r="Q766" s="14">
        <f>MID(P766,5,2)</f>
        <v/>
      </c>
      <c r="R766" s="14">
        <f>MID(P766,7,2)</f>
        <v/>
      </c>
      <c r="S766" s="1" t="inlineStr">
        <is>
          <t>G2G</t>
        </is>
      </c>
      <c r="T766" s="1" t="inlineStr">
        <is>
          <t>P4 - PEIPL</t>
        </is>
      </c>
      <c r="U766" s="2" t="inlineStr">
        <is>
          <t>SUB STRING SHORT CIRCUIT CHECKED</t>
        </is>
      </c>
      <c r="V766" s="6" t="inlineStr">
        <is>
          <t>Inspection</t>
        </is>
      </c>
      <c r="W766" s="2" t="inlineStr">
        <is>
          <t>Rejected</t>
        </is>
      </c>
      <c r="X766" s="5" t="n">
        <v>46180</v>
      </c>
      <c r="Y766" s="1">
        <f>IF(X766="","",X766-A766)</f>
        <v/>
      </c>
      <c r="Z766" s="5" t="n">
        <v>46180</v>
      </c>
      <c r="AA766" s="3" t="n"/>
      <c r="AB766" s="3" t="n"/>
      <c r="AE766" s="146">
        <f>IF(AND(F766="Closed",X766&gt;=DATE(2026,6,1),X766&lt;=DATE(2026,6,30)),"Closed in June","other")</f>
        <v/>
      </c>
    </row>
    <row r="767" hidden="1">
      <c r="A767" s="9" t="n">
        <v>46143</v>
      </c>
      <c r="B767" s="1" t="n">
        <v>2026</v>
      </c>
      <c r="C767" s="8" t="inlineStr">
        <is>
          <t>Yanara Power</t>
        </is>
      </c>
      <c r="D767" s="1" t="inlineStr">
        <is>
          <t>Utility and C&amp;I</t>
        </is>
      </c>
      <c r="E767" s="1" t="n"/>
      <c r="F767" s="1" t="inlineStr">
        <is>
          <t>Closed</t>
        </is>
      </c>
      <c r="G767" s="2" t="inlineStr">
        <is>
          <t xml:space="preserve">Ashish Jindal </t>
        </is>
      </c>
      <c r="H767" s="8" t="n">
        <v>9983975581</v>
      </c>
      <c r="I767" s="10" t="inlineStr">
        <is>
          <t>PE01052601</t>
        </is>
      </c>
      <c r="J767" s="8" t="inlineStr">
        <is>
          <t>Multiple Issues</t>
        </is>
      </c>
      <c r="K767" s="11" t="inlineStr">
        <is>
          <t>Holi</t>
        </is>
      </c>
      <c r="L767" s="11" t="inlineStr">
        <is>
          <t>Maharashtra</t>
        </is>
      </c>
      <c r="M767" s="2" t="inlineStr">
        <is>
          <t>POOR SOLDERING &amp; RIBBON BURN</t>
        </is>
      </c>
      <c r="N767" s="2" t="inlineStr">
        <is>
          <t xml:space="preserve">SUB STRING SHORT CIRCUIT </t>
        </is>
      </c>
      <c r="O767" s="11" t="n">
        <v>575</v>
      </c>
      <c r="P767" s="2" t="inlineStr">
        <is>
          <t>NSMI24070187852</t>
        </is>
      </c>
      <c r="Q767" s="14">
        <f>MID(P767,5,2)</f>
        <v/>
      </c>
      <c r="R767" s="14">
        <f>MID(P767,7,2)</f>
        <v/>
      </c>
      <c r="S767" s="1" t="inlineStr">
        <is>
          <t>G2G</t>
        </is>
      </c>
      <c r="T767" s="1" t="inlineStr">
        <is>
          <t>P4 - PEIPL</t>
        </is>
      </c>
      <c r="U767" s="2" t="inlineStr">
        <is>
          <t>SUB STRING SHORT CIRCUIT CHECKED</t>
        </is>
      </c>
      <c r="V767" s="6" t="inlineStr">
        <is>
          <t>Inspection</t>
        </is>
      </c>
      <c r="W767" s="2" t="inlineStr">
        <is>
          <t>Rejected</t>
        </is>
      </c>
      <c r="X767" s="5" t="n">
        <v>46180</v>
      </c>
      <c r="Y767" s="1">
        <f>IF(X767="","",X767-A767)</f>
        <v/>
      </c>
      <c r="Z767" s="5" t="n">
        <v>46180</v>
      </c>
      <c r="AA767" s="3" t="n"/>
      <c r="AB767" s="3" t="n"/>
      <c r="AE767" s="146">
        <f>IF(AND(F767="Closed",X767&gt;=DATE(2026,6,1),X767&lt;=DATE(2026,6,30)),"Closed in June","other")</f>
        <v/>
      </c>
    </row>
    <row r="768" hidden="1">
      <c r="A768" s="9" t="n">
        <v>46143</v>
      </c>
      <c r="B768" s="1" t="n">
        <v>2026</v>
      </c>
      <c r="C768" s="8" t="inlineStr">
        <is>
          <t>Yanara Power</t>
        </is>
      </c>
      <c r="D768" s="1" t="inlineStr">
        <is>
          <t>Utility and C&amp;I</t>
        </is>
      </c>
      <c r="E768" s="1" t="n"/>
      <c r="F768" s="1" t="inlineStr">
        <is>
          <t>Closed</t>
        </is>
      </c>
      <c r="G768" s="2" t="inlineStr">
        <is>
          <t xml:space="preserve">Ashish Jindal </t>
        </is>
      </c>
      <c r="H768" s="8" t="n">
        <v>9983975581</v>
      </c>
      <c r="I768" s="10" t="inlineStr">
        <is>
          <t>PE01052601</t>
        </is>
      </c>
      <c r="J768" s="8" t="inlineStr">
        <is>
          <t>Multiple Issues</t>
        </is>
      </c>
      <c r="K768" s="11" t="inlineStr">
        <is>
          <t>Holi</t>
        </is>
      </c>
      <c r="L768" s="11" t="inlineStr">
        <is>
          <t>Maharashtra</t>
        </is>
      </c>
      <c r="M768" s="2" t="inlineStr">
        <is>
          <t>OK</t>
        </is>
      </c>
      <c r="N768" s="2" t="inlineStr">
        <is>
          <t>No Issue Found</t>
        </is>
      </c>
      <c r="O768" s="11" t="n">
        <v>575</v>
      </c>
      <c r="P768" s="2" t="inlineStr">
        <is>
          <t>NSMI24070219382</t>
        </is>
      </c>
      <c r="Q768" s="14">
        <f>MID(P768,5,2)</f>
        <v/>
      </c>
      <c r="R768" s="14">
        <f>MID(P768,7,2)</f>
        <v/>
      </c>
      <c r="S768" s="1" t="inlineStr">
        <is>
          <t>G2G</t>
        </is>
      </c>
      <c r="T768" s="1" t="inlineStr">
        <is>
          <t>P4 - PEIPL</t>
        </is>
      </c>
      <c r="U768" s="2" t="inlineStr">
        <is>
          <t>SUB STRING SHORT CIRCUIT CHECKED</t>
        </is>
      </c>
      <c r="V768" s="6" t="inlineStr">
        <is>
          <t>Inspection</t>
        </is>
      </c>
      <c r="W768" s="2" t="inlineStr">
        <is>
          <t>Rejected</t>
        </is>
      </c>
      <c r="X768" s="5" t="n">
        <v>46180</v>
      </c>
      <c r="Y768" s="1">
        <f>IF(X768="","",X768-A768)</f>
        <v/>
      </c>
      <c r="Z768" s="5" t="n">
        <v>46180</v>
      </c>
      <c r="AA768" s="3" t="n"/>
      <c r="AB768" s="3" t="n"/>
      <c r="AE768" s="146">
        <f>IF(AND(F768="Closed",X768&gt;=DATE(2026,6,1),X768&lt;=DATE(2026,6,30)),"Closed in June","other")</f>
        <v/>
      </c>
    </row>
    <row r="769" hidden="1">
      <c r="A769" s="9" t="n">
        <v>46143</v>
      </c>
      <c r="B769" s="1" t="n">
        <v>2026</v>
      </c>
      <c r="C769" s="8" t="inlineStr">
        <is>
          <t>Yanara Power</t>
        </is>
      </c>
      <c r="D769" s="1" t="inlineStr">
        <is>
          <t>Utility and C&amp;I</t>
        </is>
      </c>
      <c r="E769" s="1" t="n"/>
      <c r="F769" s="1" t="inlineStr">
        <is>
          <t>Closed</t>
        </is>
      </c>
      <c r="G769" s="2" t="inlineStr">
        <is>
          <t xml:space="preserve">Ashish Jindal </t>
        </is>
      </c>
      <c r="H769" s="8" t="n">
        <v>9983975581</v>
      </c>
      <c r="I769" s="10" t="inlineStr">
        <is>
          <t>PE01052601</t>
        </is>
      </c>
      <c r="J769" s="8" t="inlineStr">
        <is>
          <t>Multiple Issues</t>
        </is>
      </c>
      <c r="K769" s="11" t="inlineStr">
        <is>
          <t>Holi</t>
        </is>
      </c>
      <c r="L769" s="11" t="inlineStr">
        <is>
          <t>Maharashtra</t>
        </is>
      </c>
      <c r="M769" s="2" t="inlineStr">
        <is>
          <t>OK</t>
        </is>
      </c>
      <c r="N769" s="2" t="inlineStr">
        <is>
          <t>No Issue Found</t>
        </is>
      </c>
      <c r="O769" s="11" t="n">
        <v>575</v>
      </c>
      <c r="P769" s="2" t="inlineStr">
        <is>
          <t>NSMI24070188602</t>
        </is>
      </c>
      <c r="Q769" s="14">
        <f>MID(P769,5,2)</f>
        <v/>
      </c>
      <c r="R769" s="14">
        <f>MID(P769,7,2)</f>
        <v/>
      </c>
      <c r="S769" s="1" t="inlineStr">
        <is>
          <t>G2G</t>
        </is>
      </c>
      <c r="T769" s="1" t="inlineStr">
        <is>
          <t>P4 - PEIPL</t>
        </is>
      </c>
      <c r="U769" s="2" t="inlineStr">
        <is>
          <t>SUB STRING SHORT CIRCUIT CHECKED</t>
        </is>
      </c>
      <c r="V769" s="6" t="inlineStr">
        <is>
          <t>Inspection</t>
        </is>
      </c>
      <c r="W769" s="2" t="inlineStr">
        <is>
          <t>Rejected</t>
        </is>
      </c>
      <c r="X769" s="5" t="n">
        <v>46180</v>
      </c>
      <c r="Y769" s="1">
        <f>IF(X769="","",X769-A769)</f>
        <v/>
      </c>
      <c r="Z769" s="5" t="n">
        <v>46180</v>
      </c>
      <c r="AA769" s="3" t="n"/>
      <c r="AB769" s="3" t="n"/>
      <c r="AE769" s="146">
        <f>IF(AND(F769="Closed",X769&gt;=DATE(2026,6,1),X769&lt;=DATE(2026,6,30)),"Closed in June","other")</f>
        <v/>
      </c>
    </row>
    <row r="770" hidden="1">
      <c r="A770" s="9" t="n">
        <v>46143</v>
      </c>
      <c r="B770" s="1" t="n">
        <v>2026</v>
      </c>
      <c r="C770" s="8" t="inlineStr">
        <is>
          <t>Yanara Power</t>
        </is>
      </c>
      <c r="D770" s="1" t="inlineStr">
        <is>
          <t>Utility and C&amp;I</t>
        </is>
      </c>
      <c r="E770" s="1" t="n"/>
      <c r="F770" s="1" t="inlineStr">
        <is>
          <t>Closed</t>
        </is>
      </c>
      <c r="G770" s="2" t="inlineStr">
        <is>
          <t xml:space="preserve">Ashish Jindal </t>
        </is>
      </c>
      <c r="H770" s="8" t="n">
        <v>9983975581</v>
      </c>
      <c r="I770" s="10" t="inlineStr">
        <is>
          <t>PE01052601</t>
        </is>
      </c>
      <c r="J770" s="8" t="inlineStr">
        <is>
          <t>Multiple Issues</t>
        </is>
      </c>
      <c r="K770" s="11" t="inlineStr">
        <is>
          <t>Holi</t>
        </is>
      </c>
      <c r="L770" s="11" t="inlineStr">
        <is>
          <t>Maharashtra</t>
        </is>
      </c>
      <c r="M770" s="2" t="inlineStr">
        <is>
          <t>OK</t>
        </is>
      </c>
      <c r="N770" s="2" t="inlineStr">
        <is>
          <t>No Issue Found</t>
        </is>
      </c>
      <c r="O770" s="11" t="n">
        <v>575</v>
      </c>
      <c r="P770" s="2" t="inlineStr">
        <is>
          <t>NSMI24070191832</t>
        </is>
      </c>
      <c r="Q770" s="14">
        <f>MID(P770,5,2)</f>
        <v/>
      </c>
      <c r="R770" s="14">
        <f>MID(P770,7,2)</f>
        <v/>
      </c>
      <c r="S770" s="1" t="inlineStr">
        <is>
          <t>G2G</t>
        </is>
      </c>
      <c r="T770" s="1" t="inlineStr">
        <is>
          <t>P4 - PEIPL</t>
        </is>
      </c>
      <c r="U770" s="2" t="inlineStr">
        <is>
          <t>SUB STRING SHORT CIRCUIT CHECKED</t>
        </is>
      </c>
      <c r="V770" s="6" t="inlineStr">
        <is>
          <t>Inspection</t>
        </is>
      </c>
      <c r="W770" s="2" t="inlineStr">
        <is>
          <t>Rejected</t>
        </is>
      </c>
      <c r="X770" s="5" t="n">
        <v>46180</v>
      </c>
      <c r="Y770" s="1">
        <f>IF(X770="","",X770-A770)</f>
        <v/>
      </c>
      <c r="Z770" s="5" t="n">
        <v>46180</v>
      </c>
      <c r="AA770" s="3" t="n"/>
      <c r="AB770" s="3" t="n"/>
      <c r="AE770" s="146">
        <f>IF(AND(F770="Closed",X770&gt;=DATE(2026,6,1),X770&lt;=DATE(2026,6,30)),"Closed in June","other")</f>
        <v/>
      </c>
    </row>
    <row r="771" hidden="1">
      <c r="A771" s="9" t="n">
        <v>46143</v>
      </c>
      <c r="B771" s="1" t="n">
        <v>2026</v>
      </c>
      <c r="C771" s="8" t="inlineStr">
        <is>
          <t>Yanara Power</t>
        </is>
      </c>
      <c r="D771" s="1" t="inlineStr">
        <is>
          <t>Utility and C&amp;I</t>
        </is>
      </c>
      <c r="E771" s="1" t="n"/>
      <c r="F771" s="1" t="inlineStr">
        <is>
          <t>Closed</t>
        </is>
      </c>
      <c r="G771" s="2" t="inlineStr">
        <is>
          <t xml:space="preserve">Ashish Jindal </t>
        </is>
      </c>
      <c r="H771" s="8" t="n">
        <v>9983975581</v>
      </c>
      <c r="I771" s="10" t="inlineStr">
        <is>
          <t>PE01052601</t>
        </is>
      </c>
      <c r="J771" s="8" t="inlineStr">
        <is>
          <t>Multiple Issues</t>
        </is>
      </c>
      <c r="K771" s="11" t="inlineStr">
        <is>
          <t>Holi</t>
        </is>
      </c>
      <c r="L771" s="11" t="inlineStr">
        <is>
          <t>Maharashtra</t>
        </is>
      </c>
      <c r="M771" s="2" t="inlineStr">
        <is>
          <t>OK</t>
        </is>
      </c>
      <c r="N771" s="2" t="inlineStr">
        <is>
          <t>No Issue Found</t>
        </is>
      </c>
      <c r="O771" s="11" t="n">
        <v>575</v>
      </c>
      <c r="P771" s="2" t="inlineStr">
        <is>
          <t>NSMI24070203099</t>
        </is>
      </c>
      <c r="Q771" s="14">
        <f>MID(P771,5,2)</f>
        <v/>
      </c>
      <c r="R771" s="14">
        <f>MID(P771,7,2)</f>
        <v/>
      </c>
      <c r="S771" s="1" t="inlineStr">
        <is>
          <t>G2G</t>
        </is>
      </c>
      <c r="T771" s="1" t="inlineStr">
        <is>
          <t>P4 - PEIPL</t>
        </is>
      </c>
      <c r="U771" s="2" t="inlineStr">
        <is>
          <t>SUB STRING SHORT CIRCUIT CHECKED</t>
        </is>
      </c>
      <c r="V771" s="6" t="inlineStr">
        <is>
          <t>Inspection</t>
        </is>
      </c>
      <c r="W771" s="2" t="inlineStr">
        <is>
          <t>Rejected</t>
        </is>
      </c>
      <c r="X771" s="5" t="n">
        <v>46180</v>
      </c>
      <c r="Y771" s="1">
        <f>IF(X771="","",X771-A771)</f>
        <v/>
      </c>
      <c r="Z771" s="5" t="n">
        <v>46180</v>
      </c>
      <c r="AA771" s="3" t="n"/>
      <c r="AB771" s="3" t="n"/>
      <c r="AE771" s="146">
        <f>IF(AND(F771="Closed",X771&gt;=DATE(2026,6,1),X771&lt;=DATE(2026,6,30)),"Closed in June","other")</f>
        <v/>
      </c>
    </row>
    <row r="772" hidden="1">
      <c r="A772" s="9" t="n">
        <v>46143</v>
      </c>
      <c r="B772" s="1" t="n">
        <v>2026</v>
      </c>
      <c r="C772" s="8" t="inlineStr">
        <is>
          <t>Yanara Power</t>
        </is>
      </c>
      <c r="D772" s="1" t="inlineStr">
        <is>
          <t>Utility and C&amp;I</t>
        </is>
      </c>
      <c r="E772" s="1" t="n"/>
      <c r="F772" s="1" t="inlineStr">
        <is>
          <t>Closed</t>
        </is>
      </c>
      <c r="G772" s="2" t="inlineStr">
        <is>
          <t xml:space="preserve">Ashish Jindal </t>
        </is>
      </c>
      <c r="H772" s="8" t="n">
        <v>9983975581</v>
      </c>
      <c r="I772" s="10" t="inlineStr">
        <is>
          <t>PE01052601</t>
        </is>
      </c>
      <c r="J772" s="8" t="inlineStr">
        <is>
          <t>Multiple Issues</t>
        </is>
      </c>
      <c r="K772" s="11" t="inlineStr">
        <is>
          <t>Holi</t>
        </is>
      </c>
      <c r="L772" s="11" t="inlineStr">
        <is>
          <t>Maharashtra</t>
        </is>
      </c>
      <c r="M772" s="2" t="inlineStr">
        <is>
          <t>OK</t>
        </is>
      </c>
      <c r="N772" s="2" t="inlineStr">
        <is>
          <t>No Issue Found</t>
        </is>
      </c>
      <c r="O772" s="11" t="n">
        <v>575</v>
      </c>
      <c r="P772" s="2" t="inlineStr">
        <is>
          <t>NSMI24070193915</t>
        </is>
      </c>
      <c r="Q772" s="14">
        <f>MID(P772,5,2)</f>
        <v/>
      </c>
      <c r="R772" s="14">
        <f>MID(P772,7,2)</f>
        <v/>
      </c>
      <c r="S772" s="1" t="inlineStr">
        <is>
          <t>G2G</t>
        </is>
      </c>
      <c r="T772" s="1" t="inlineStr">
        <is>
          <t>P4 - PEIPL</t>
        </is>
      </c>
      <c r="U772" s="2" t="inlineStr">
        <is>
          <t>SUB STRING SHORT CIRCUIT CHECKED</t>
        </is>
      </c>
      <c r="V772" s="6" t="inlineStr">
        <is>
          <t>Inspection</t>
        </is>
      </c>
      <c r="W772" s="2" t="inlineStr">
        <is>
          <t>Rejected</t>
        </is>
      </c>
      <c r="X772" s="5" t="n">
        <v>46180</v>
      </c>
      <c r="Y772" s="1">
        <f>IF(X772="","",X772-A772)</f>
        <v/>
      </c>
      <c r="Z772" s="5" t="n">
        <v>46180</v>
      </c>
      <c r="AA772" s="3" t="n"/>
      <c r="AB772" s="3" t="n"/>
      <c r="AE772" s="146">
        <f>IF(AND(F772="Closed",X772&gt;=DATE(2026,6,1),X772&lt;=DATE(2026,6,30)),"Closed in June","other")</f>
        <v/>
      </c>
    </row>
    <row r="773" hidden="1">
      <c r="A773" s="9" t="n">
        <v>46143</v>
      </c>
      <c r="B773" s="1" t="n">
        <v>2026</v>
      </c>
      <c r="C773" s="8" t="inlineStr">
        <is>
          <t>Yanara Power</t>
        </is>
      </c>
      <c r="D773" s="1" t="inlineStr">
        <is>
          <t>Utility and C&amp;I</t>
        </is>
      </c>
      <c r="E773" s="1" t="n"/>
      <c r="F773" s="1" t="inlineStr">
        <is>
          <t>Closed</t>
        </is>
      </c>
      <c r="G773" s="2" t="inlineStr">
        <is>
          <t xml:space="preserve">Ashish Jindal </t>
        </is>
      </c>
      <c r="H773" s="8" t="n">
        <v>9983975581</v>
      </c>
      <c r="I773" s="10" t="inlineStr">
        <is>
          <t>PE01052601</t>
        </is>
      </c>
      <c r="J773" s="8" t="inlineStr">
        <is>
          <t>Multiple Issues</t>
        </is>
      </c>
      <c r="K773" s="11" t="inlineStr">
        <is>
          <t>Holi</t>
        </is>
      </c>
      <c r="L773" s="11" t="inlineStr">
        <is>
          <t>Maharashtra</t>
        </is>
      </c>
      <c r="M773" s="2" t="inlineStr">
        <is>
          <t>OK</t>
        </is>
      </c>
      <c r="N773" s="2" t="inlineStr">
        <is>
          <t>No Issue Found</t>
        </is>
      </c>
      <c r="O773" s="11" t="n">
        <v>575</v>
      </c>
      <c r="P773" s="2" t="inlineStr">
        <is>
          <t>NSMI24070193919</t>
        </is>
      </c>
      <c r="Q773" s="14">
        <f>MID(P773,5,2)</f>
        <v/>
      </c>
      <c r="R773" s="14">
        <f>MID(P773,7,2)</f>
        <v/>
      </c>
      <c r="S773" s="1" t="inlineStr">
        <is>
          <t>G2G</t>
        </is>
      </c>
      <c r="T773" s="1" t="inlineStr">
        <is>
          <t>P4 - PEIPL</t>
        </is>
      </c>
      <c r="U773" s="2" t="inlineStr">
        <is>
          <t>SUB STRING SHORT CIRCUIT CHECKED</t>
        </is>
      </c>
      <c r="V773" s="6" t="inlineStr">
        <is>
          <t>Inspection</t>
        </is>
      </c>
      <c r="W773" s="2" t="inlineStr">
        <is>
          <t>Rejected</t>
        </is>
      </c>
      <c r="X773" s="5" t="n">
        <v>46180</v>
      </c>
      <c r="Y773" s="1">
        <f>IF(X773="","",X773-A773)</f>
        <v/>
      </c>
      <c r="Z773" s="5" t="n">
        <v>46180</v>
      </c>
      <c r="AA773" s="3" t="n"/>
      <c r="AB773" s="3" t="n"/>
      <c r="AE773" s="146">
        <f>IF(AND(F773="Closed",X773&gt;=DATE(2026,6,1),X773&lt;=DATE(2026,6,30)),"Closed in June","other")</f>
        <v/>
      </c>
    </row>
    <row r="774" hidden="1">
      <c r="A774" s="9" t="n">
        <v>46143</v>
      </c>
      <c r="B774" s="1" t="n">
        <v>2026</v>
      </c>
      <c r="C774" s="8" t="inlineStr">
        <is>
          <t>Yanara Power</t>
        </is>
      </c>
      <c r="D774" s="1" t="inlineStr">
        <is>
          <t>Utility and C&amp;I</t>
        </is>
      </c>
      <c r="E774" s="1" t="n"/>
      <c r="F774" s="1" t="inlineStr">
        <is>
          <t>Closed</t>
        </is>
      </c>
      <c r="G774" s="2" t="inlineStr">
        <is>
          <t xml:space="preserve">Ashish Jindal </t>
        </is>
      </c>
      <c r="H774" s="8" t="n">
        <v>9983975581</v>
      </c>
      <c r="I774" s="10" t="inlineStr">
        <is>
          <t>PE01052601</t>
        </is>
      </c>
      <c r="J774" s="8" t="inlineStr">
        <is>
          <t>Multiple Issues</t>
        </is>
      </c>
      <c r="K774" s="11" t="inlineStr">
        <is>
          <t>Holi</t>
        </is>
      </c>
      <c r="L774" s="11" t="inlineStr">
        <is>
          <t>Maharashtra</t>
        </is>
      </c>
      <c r="M774" s="2" t="inlineStr">
        <is>
          <t>OK</t>
        </is>
      </c>
      <c r="N774" s="2" t="inlineStr">
        <is>
          <t>No Issue Found</t>
        </is>
      </c>
      <c r="O774" s="11" t="n">
        <v>575</v>
      </c>
      <c r="P774" s="2" t="inlineStr">
        <is>
          <t>NSMI24070214975</t>
        </is>
      </c>
      <c r="Q774" s="14">
        <f>MID(P774,5,2)</f>
        <v/>
      </c>
      <c r="R774" s="14">
        <f>MID(P774,7,2)</f>
        <v/>
      </c>
      <c r="S774" s="1" t="inlineStr">
        <is>
          <t>G2G</t>
        </is>
      </c>
      <c r="T774" s="1" t="inlineStr">
        <is>
          <t>P4 - PEIPL</t>
        </is>
      </c>
      <c r="U774" s="2" t="inlineStr">
        <is>
          <t>SUB STRING SHORT CIRCUIT CHECKED</t>
        </is>
      </c>
      <c r="V774" s="6" t="inlineStr">
        <is>
          <t>Inspection</t>
        </is>
      </c>
      <c r="W774" s="2" t="inlineStr">
        <is>
          <t>Rejected</t>
        </is>
      </c>
      <c r="X774" s="5" t="n">
        <v>46180</v>
      </c>
      <c r="Y774" s="1">
        <f>IF(X774="","",X774-A774)</f>
        <v/>
      </c>
      <c r="Z774" s="5" t="n">
        <v>46180</v>
      </c>
      <c r="AA774" s="3" t="n"/>
      <c r="AB774" s="3" t="n"/>
      <c r="AE774" s="146">
        <f>IF(AND(F774="Closed",X774&gt;=DATE(2026,6,1),X774&lt;=DATE(2026,6,30)),"Closed in June","other")</f>
        <v/>
      </c>
    </row>
    <row r="775" hidden="1">
      <c r="A775" s="9" t="n">
        <v>46143</v>
      </c>
      <c r="B775" s="1" t="n">
        <v>2026</v>
      </c>
      <c r="C775" s="8" t="inlineStr">
        <is>
          <t>Yanara Power</t>
        </is>
      </c>
      <c r="D775" s="1" t="inlineStr">
        <is>
          <t>Utility and C&amp;I</t>
        </is>
      </c>
      <c r="E775" s="1" t="n"/>
      <c r="F775" s="1" t="inlineStr">
        <is>
          <t>Closed</t>
        </is>
      </c>
      <c r="G775" s="2" t="inlineStr">
        <is>
          <t xml:space="preserve">Ashish Jindal </t>
        </is>
      </c>
      <c r="H775" s="8" t="n">
        <v>9983975581</v>
      </c>
      <c r="I775" s="10" t="inlineStr">
        <is>
          <t>PE01052601</t>
        </is>
      </c>
      <c r="J775" s="8" t="inlineStr">
        <is>
          <t>Multiple Issues</t>
        </is>
      </c>
      <c r="K775" s="11" t="inlineStr">
        <is>
          <t>Holi</t>
        </is>
      </c>
      <c r="L775" s="11" t="inlineStr">
        <is>
          <t>Maharashtra</t>
        </is>
      </c>
      <c r="M775" s="2" t="inlineStr">
        <is>
          <t>OK</t>
        </is>
      </c>
      <c r="N775" s="2" t="inlineStr">
        <is>
          <t>No Issue Found</t>
        </is>
      </c>
      <c r="O775" s="11" t="n">
        <v>575</v>
      </c>
      <c r="P775" s="2" t="inlineStr">
        <is>
          <t>NSMI24080310047</t>
        </is>
      </c>
      <c r="Q775" s="14">
        <f>MID(P775,5,2)</f>
        <v/>
      </c>
      <c r="R775" s="14">
        <f>MID(P775,7,2)</f>
        <v/>
      </c>
      <c r="S775" s="1" t="inlineStr">
        <is>
          <t>G2G</t>
        </is>
      </c>
      <c r="T775" s="1" t="inlineStr">
        <is>
          <t>P4 - PEIPL</t>
        </is>
      </c>
      <c r="U775" s="2" t="inlineStr">
        <is>
          <t>SUB STRING SHORT CIRCUIT CHECKED</t>
        </is>
      </c>
      <c r="V775" s="6" t="inlineStr">
        <is>
          <t>Inspection</t>
        </is>
      </c>
      <c r="W775" s="2" t="inlineStr">
        <is>
          <t>Rejected</t>
        </is>
      </c>
      <c r="X775" s="5" t="n">
        <v>46180</v>
      </c>
      <c r="Y775" s="1">
        <f>IF(X775="","",X775-A775)</f>
        <v/>
      </c>
      <c r="Z775" s="5" t="n">
        <v>46180</v>
      </c>
      <c r="AA775" s="3" t="n"/>
      <c r="AB775" s="3" t="n"/>
      <c r="AE775" s="146">
        <f>IF(AND(F775="Closed",X775&gt;=DATE(2026,6,1),X775&lt;=DATE(2026,6,30)),"Closed in June","other")</f>
        <v/>
      </c>
    </row>
    <row r="776" hidden="1">
      <c r="A776" s="9" t="n">
        <v>46143</v>
      </c>
      <c r="B776" s="1" t="n">
        <v>2026</v>
      </c>
      <c r="C776" s="8" t="inlineStr">
        <is>
          <t>Yanara Power</t>
        </is>
      </c>
      <c r="D776" s="1" t="inlineStr">
        <is>
          <t>Utility and C&amp;I</t>
        </is>
      </c>
      <c r="E776" s="1" t="n"/>
      <c r="F776" s="1" t="inlineStr">
        <is>
          <t>Closed</t>
        </is>
      </c>
      <c r="G776" s="2" t="inlineStr">
        <is>
          <t xml:space="preserve">Ashish Jindal </t>
        </is>
      </c>
      <c r="H776" s="8" t="n">
        <v>9983975581</v>
      </c>
      <c r="I776" s="10" t="inlineStr">
        <is>
          <t>PE01052601</t>
        </is>
      </c>
      <c r="J776" s="8" t="inlineStr">
        <is>
          <t>Multiple Issues</t>
        </is>
      </c>
      <c r="K776" s="11" t="inlineStr">
        <is>
          <t>Holi</t>
        </is>
      </c>
      <c r="L776" s="11" t="inlineStr">
        <is>
          <t>Maharashtra</t>
        </is>
      </c>
      <c r="M776" s="2" t="inlineStr">
        <is>
          <t>OK</t>
        </is>
      </c>
      <c r="N776" s="2" t="inlineStr">
        <is>
          <t>No Issue Found</t>
        </is>
      </c>
      <c r="O776" s="11" t="n">
        <v>575</v>
      </c>
      <c r="P776" s="2" t="inlineStr">
        <is>
          <t>NSMI24070231508</t>
        </is>
      </c>
      <c r="Q776" s="14">
        <f>MID(P776,5,2)</f>
        <v/>
      </c>
      <c r="R776" s="14">
        <f>MID(P776,7,2)</f>
        <v/>
      </c>
      <c r="S776" s="1" t="inlineStr">
        <is>
          <t>G2G</t>
        </is>
      </c>
      <c r="T776" s="1" t="inlineStr">
        <is>
          <t>P4 - PEIPL</t>
        </is>
      </c>
      <c r="U776" s="2" t="inlineStr">
        <is>
          <t>SUB STRING SHORT CIRCUIT CHECKED</t>
        </is>
      </c>
      <c r="V776" s="6" t="inlineStr">
        <is>
          <t>Inspection</t>
        </is>
      </c>
      <c r="W776" s="2" t="inlineStr">
        <is>
          <t>Rejected</t>
        </is>
      </c>
      <c r="X776" s="5" t="n">
        <v>46180</v>
      </c>
      <c r="Y776" s="1">
        <f>IF(X776="","",X776-A776)</f>
        <v/>
      </c>
      <c r="Z776" s="5" t="n">
        <v>46180</v>
      </c>
      <c r="AA776" s="3" t="n"/>
      <c r="AB776" s="3" t="n"/>
      <c r="AE776" s="146">
        <f>IF(AND(F776="Closed",X776&gt;=DATE(2026,6,1),X776&lt;=DATE(2026,6,30)),"Closed in June","other")</f>
        <v/>
      </c>
    </row>
    <row r="777" hidden="1">
      <c r="A777" s="9" t="n">
        <v>46143</v>
      </c>
      <c r="B777" s="1" t="n">
        <v>2026</v>
      </c>
      <c r="C777" s="8" t="inlineStr">
        <is>
          <t>Yanara Power</t>
        </is>
      </c>
      <c r="D777" s="1" t="inlineStr">
        <is>
          <t>Utility and C&amp;I</t>
        </is>
      </c>
      <c r="E777" s="1" t="n"/>
      <c r="F777" s="1" t="inlineStr">
        <is>
          <t>Closed</t>
        </is>
      </c>
      <c r="G777" s="2" t="inlineStr">
        <is>
          <t xml:space="preserve">Ashish Jindal </t>
        </is>
      </c>
      <c r="H777" s="8" t="n">
        <v>9983975581</v>
      </c>
      <c r="I777" s="10" t="inlineStr">
        <is>
          <t>PE01052601</t>
        </is>
      </c>
      <c r="J777" s="8" t="inlineStr">
        <is>
          <t>Multiple Issues</t>
        </is>
      </c>
      <c r="K777" s="11" t="inlineStr">
        <is>
          <t>Holi</t>
        </is>
      </c>
      <c r="L777" s="11" t="inlineStr">
        <is>
          <t>Maharashtra</t>
        </is>
      </c>
      <c r="M777" s="2" t="inlineStr">
        <is>
          <t>OK</t>
        </is>
      </c>
      <c r="N777" s="2" t="inlineStr">
        <is>
          <t>No Issue Found</t>
        </is>
      </c>
      <c r="O777" s="11" t="n">
        <v>575</v>
      </c>
      <c r="P777" s="2" t="inlineStr">
        <is>
          <t>NSMI24070237039</t>
        </is>
      </c>
      <c r="Q777" s="14">
        <f>MID(P777,5,2)</f>
        <v/>
      </c>
      <c r="R777" s="14">
        <f>MID(P777,7,2)</f>
        <v/>
      </c>
      <c r="S777" s="1" t="inlineStr">
        <is>
          <t>G2G</t>
        </is>
      </c>
      <c r="T777" s="1" t="inlineStr">
        <is>
          <t>P4 - PEIPL</t>
        </is>
      </c>
      <c r="U777" s="2" t="inlineStr">
        <is>
          <t>SUB STRING SHORT CIRCUIT CHECKED</t>
        </is>
      </c>
      <c r="V777" s="6" t="inlineStr">
        <is>
          <t>Inspection</t>
        </is>
      </c>
      <c r="W777" s="2" t="inlineStr">
        <is>
          <t>Rejected</t>
        </is>
      </c>
      <c r="X777" s="5" t="n">
        <v>46180</v>
      </c>
      <c r="Y777" s="1">
        <f>IF(X777="","",X777-A777)</f>
        <v/>
      </c>
      <c r="Z777" s="5" t="n">
        <v>46180</v>
      </c>
      <c r="AA777" s="3" t="n"/>
      <c r="AB777" s="3" t="n"/>
      <c r="AE777" s="146">
        <f>IF(AND(F777="Closed",X777&gt;=DATE(2026,6,1),X777&lt;=DATE(2026,6,30)),"Closed in June","other")</f>
        <v/>
      </c>
    </row>
    <row r="778" hidden="1">
      <c r="A778" s="9" t="n">
        <v>46143</v>
      </c>
      <c r="B778" s="1" t="n">
        <v>2026</v>
      </c>
      <c r="C778" s="8" t="inlineStr">
        <is>
          <t>Yanara Power</t>
        </is>
      </c>
      <c r="D778" s="1" t="inlineStr">
        <is>
          <t>Utility and C&amp;I</t>
        </is>
      </c>
      <c r="E778" s="1" t="n"/>
      <c r="F778" s="1" t="inlineStr">
        <is>
          <t>Closed</t>
        </is>
      </c>
      <c r="G778" s="2" t="inlineStr">
        <is>
          <t xml:space="preserve">Ashish Jindal </t>
        </is>
      </c>
      <c r="H778" s="8" t="n">
        <v>9983975581</v>
      </c>
      <c r="I778" s="10" t="inlineStr">
        <is>
          <t>PE01052601</t>
        </is>
      </c>
      <c r="J778" s="8" t="inlineStr">
        <is>
          <t>Multiple Issues</t>
        </is>
      </c>
      <c r="K778" s="11" t="inlineStr">
        <is>
          <t>Holi</t>
        </is>
      </c>
      <c r="L778" s="11" t="inlineStr">
        <is>
          <t>Maharashtra</t>
        </is>
      </c>
      <c r="M778" s="2" t="inlineStr">
        <is>
          <t>Circuit Open</t>
        </is>
      </c>
      <c r="N778" s="2" t="inlineStr">
        <is>
          <t>No Issue Found</t>
        </is>
      </c>
      <c r="O778" s="11" t="n">
        <v>575</v>
      </c>
      <c r="P778" s="2" t="inlineStr">
        <is>
          <t>NA</t>
        </is>
      </c>
      <c r="Q778" s="2" t="inlineStr">
        <is>
          <t>NA</t>
        </is>
      </c>
      <c r="R778" s="2" t="inlineStr">
        <is>
          <t>NA</t>
        </is>
      </c>
      <c r="S778" s="1" t="inlineStr">
        <is>
          <t>G2G</t>
        </is>
      </c>
      <c r="T778" s="1" t="inlineStr">
        <is>
          <t>P4 - PEIPL</t>
        </is>
      </c>
      <c r="U778" s="2" t="inlineStr">
        <is>
          <t>Circuit Open</t>
        </is>
      </c>
      <c r="V778" s="6" t="inlineStr">
        <is>
          <t>Inspection</t>
        </is>
      </c>
      <c r="W778" s="2" t="inlineStr">
        <is>
          <t>Rejected</t>
        </is>
      </c>
      <c r="X778" s="5" t="n">
        <v>46180</v>
      </c>
      <c r="Y778" s="1">
        <f>IF(X778="","",X778-A778)</f>
        <v/>
      </c>
      <c r="Z778" s="5" t="n">
        <v>46180</v>
      </c>
      <c r="AA778" s="3" t="n"/>
      <c r="AB778" s="3" t="n"/>
      <c r="AE778" s="146">
        <f>IF(AND(F778="Closed",X778&gt;=DATE(2026,6,1),X778&lt;=DATE(2026,6,30)),"Closed in June","other")</f>
        <v/>
      </c>
    </row>
    <row r="779" hidden="1">
      <c r="A779" s="9" t="n">
        <v>46143</v>
      </c>
      <c r="B779" s="1" t="n">
        <v>2026</v>
      </c>
      <c r="C779" s="8" t="inlineStr">
        <is>
          <t>Yanara Power</t>
        </is>
      </c>
      <c r="D779" s="1" t="inlineStr">
        <is>
          <t>Utility and C&amp;I</t>
        </is>
      </c>
      <c r="E779" s="1" t="n"/>
      <c r="F779" s="1" t="inlineStr">
        <is>
          <t>Closed</t>
        </is>
      </c>
      <c r="G779" s="2" t="inlineStr">
        <is>
          <t xml:space="preserve">Ashish Jindal </t>
        </is>
      </c>
      <c r="H779" s="8" t="n">
        <v>9983975581</v>
      </c>
      <c r="I779" s="10" t="inlineStr">
        <is>
          <t>PE01052601</t>
        </is>
      </c>
      <c r="J779" s="8" t="inlineStr">
        <is>
          <t>Multiple Issues</t>
        </is>
      </c>
      <c r="K779" s="11" t="inlineStr">
        <is>
          <t>Holi</t>
        </is>
      </c>
      <c r="L779" s="11" t="inlineStr">
        <is>
          <t>Maharashtra</t>
        </is>
      </c>
      <c r="M779" s="2" t="inlineStr">
        <is>
          <t>OK</t>
        </is>
      </c>
      <c r="N779" s="2" t="inlineStr">
        <is>
          <t>No Issue Found</t>
        </is>
      </c>
      <c r="O779" s="11" t="n">
        <v>575</v>
      </c>
      <c r="P779" s="2" t="inlineStr">
        <is>
          <t>NA</t>
        </is>
      </c>
      <c r="Q779" s="2" t="inlineStr">
        <is>
          <t>NA</t>
        </is>
      </c>
      <c r="R779" s="2" t="inlineStr">
        <is>
          <t>NA</t>
        </is>
      </c>
      <c r="S779" s="1" t="inlineStr">
        <is>
          <t>G2G</t>
        </is>
      </c>
      <c r="T779" s="1" t="inlineStr">
        <is>
          <t>P4 - PEIPL</t>
        </is>
      </c>
      <c r="U779" s="2" t="inlineStr">
        <is>
          <t>String - 09 CIRCUIT RUNNING</t>
        </is>
      </c>
      <c r="V779" s="6" t="inlineStr">
        <is>
          <t>Inspection</t>
        </is>
      </c>
      <c r="W779" s="2" t="inlineStr">
        <is>
          <t>Rejected</t>
        </is>
      </c>
      <c r="X779" s="5" t="n">
        <v>46180</v>
      </c>
      <c r="Y779" s="1">
        <f>IF(X779="","",X779-A779)</f>
        <v/>
      </c>
      <c r="Z779" s="5" t="n">
        <v>46180</v>
      </c>
      <c r="AA779" s="3" t="n"/>
      <c r="AB779" s="3" t="n"/>
      <c r="AE779" s="146">
        <f>IF(AND(F779="Closed",X779&gt;=DATE(2026,6,1),X779&lt;=DATE(2026,6,30)),"Closed in June","other")</f>
        <v/>
      </c>
    </row>
    <row r="780" hidden="1">
      <c r="A780" s="9" t="n">
        <v>46143</v>
      </c>
      <c r="B780" s="1" t="n">
        <v>2026</v>
      </c>
      <c r="C780" s="8" t="inlineStr">
        <is>
          <t>Yanara Power</t>
        </is>
      </c>
      <c r="D780" s="1" t="inlineStr">
        <is>
          <t>Utility and C&amp;I</t>
        </is>
      </c>
      <c r="E780" s="1" t="n"/>
      <c r="F780" s="1" t="inlineStr">
        <is>
          <t>Closed</t>
        </is>
      </c>
      <c r="G780" s="2" t="inlineStr">
        <is>
          <t xml:space="preserve">Ashish Jindal </t>
        </is>
      </c>
      <c r="H780" s="8" t="n">
        <v>9983975581</v>
      </c>
      <c r="I780" s="10" t="inlineStr">
        <is>
          <t>PE01052601</t>
        </is>
      </c>
      <c r="J780" s="8" t="inlineStr">
        <is>
          <t>Multiple Issues</t>
        </is>
      </c>
      <c r="K780" s="11" t="inlineStr">
        <is>
          <t>Holi</t>
        </is>
      </c>
      <c r="L780" s="11" t="inlineStr">
        <is>
          <t>Maharashtra</t>
        </is>
      </c>
      <c r="M780" s="2" t="inlineStr">
        <is>
          <t>OK</t>
        </is>
      </c>
      <c r="N780" s="2" t="inlineStr">
        <is>
          <t>No Issue Found</t>
        </is>
      </c>
      <c r="O780" s="11" t="n">
        <v>575</v>
      </c>
      <c r="P780" s="2" t="inlineStr">
        <is>
          <t>NA</t>
        </is>
      </c>
      <c r="Q780" s="2" t="inlineStr">
        <is>
          <t>NA</t>
        </is>
      </c>
      <c r="R780" s="2" t="inlineStr">
        <is>
          <t>NA</t>
        </is>
      </c>
      <c r="S780" s="1" t="inlineStr">
        <is>
          <t>G2G</t>
        </is>
      </c>
      <c r="T780" s="1" t="inlineStr">
        <is>
          <t>P4 - PEIPL</t>
        </is>
      </c>
      <c r="U780" s="2" t="inlineStr">
        <is>
          <t>String - 10 CIRCUIT RUNNING</t>
        </is>
      </c>
      <c r="V780" s="6" t="inlineStr">
        <is>
          <t>Inspection</t>
        </is>
      </c>
      <c r="W780" s="2" t="inlineStr">
        <is>
          <t>Rejected</t>
        </is>
      </c>
      <c r="X780" s="5" t="n">
        <v>46180</v>
      </c>
      <c r="Y780" s="1">
        <f>IF(X780="","",X780-A780)</f>
        <v/>
      </c>
      <c r="Z780" s="5" t="n">
        <v>46180</v>
      </c>
      <c r="AA780" s="3" t="n"/>
      <c r="AB780" s="3" t="n"/>
      <c r="AE780" s="146">
        <f>IF(AND(F780="Closed",X780&gt;=DATE(2026,6,1),X780&lt;=DATE(2026,6,30)),"Closed in June","other")</f>
        <v/>
      </c>
    </row>
    <row r="781" hidden="1">
      <c r="A781" s="9" t="n">
        <v>46143</v>
      </c>
      <c r="B781" s="1" t="n">
        <v>2026</v>
      </c>
      <c r="C781" s="8" t="inlineStr">
        <is>
          <t>Yanara Power</t>
        </is>
      </c>
      <c r="D781" s="1" t="inlineStr">
        <is>
          <t>Utility and C&amp;I</t>
        </is>
      </c>
      <c r="E781" s="1" t="n"/>
      <c r="F781" s="1" t="inlineStr">
        <is>
          <t>Closed</t>
        </is>
      </c>
      <c r="G781" s="2" t="inlineStr">
        <is>
          <t xml:space="preserve">Ashish Jindal </t>
        </is>
      </c>
      <c r="H781" s="8" t="n">
        <v>9983975581</v>
      </c>
      <c r="I781" s="10" t="inlineStr">
        <is>
          <t>PE01052601</t>
        </is>
      </c>
      <c r="J781" s="8" t="inlineStr">
        <is>
          <t>Multiple Issues</t>
        </is>
      </c>
      <c r="K781" s="11" t="inlineStr">
        <is>
          <t>Holi</t>
        </is>
      </c>
      <c r="L781" s="11" t="inlineStr">
        <is>
          <t>Maharashtra</t>
        </is>
      </c>
      <c r="M781" s="2" t="inlineStr">
        <is>
          <t>OK</t>
        </is>
      </c>
      <c r="N781" s="2" t="inlineStr">
        <is>
          <t>No Issue Found</t>
        </is>
      </c>
      <c r="O781" s="11" t="n">
        <v>575</v>
      </c>
      <c r="P781" s="2" t="inlineStr">
        <is>
          <t>NA</t>
        </is>
      </c>
      <c r="Q781" s="2" t="inlineStr">
        <is>
          <t>NA</t>
        </is>
      </c>
      <c r="R781" s="2" t="inlineStr">
        <is>
          <t>NA</t>
        </is>
      </c>
      <c r="S781" s="1" t="inlineStr">
        <is>
          <t>G2G</t>
        </is>
      </c>
      <c r="T781" s="1" t="inlineStr">
        <is>
          <t>P4 - PEIPL</t>
        </is>
      </c>
      <c r="U781" s="2" t="inlineStr">
        <is>
          <t>String - 22 CIRCUIT RUNNING</t>
        </is>
      </c>
      <c r="V781" s="6" t="inlineStr">
        <is>
          <t>Inspection</t>
        </is>
      </c>
      <c r="W781" s="2" t="inlineStr">
        <is>
          <t>Rejected</t>
        </is>
      </c>
      <c r="X781" s="5" t="n">
        <v>46180</v>
      </c>
      <c r="Y781" s="1">
        <f>IF(X781="","",X781-A781)</f>
        <v/>
      </c>
      <c r="Z781" s="5" t="n">
        <v>46180</v>
      </c>
      <c r="AA781" s="3" t="n"/>
      <c r="AB781" s="3" t="n"/>
      <c r="AE781" s="146">
        <f>IF(AND(F781="Closed",X781&gt;=DATE(2026,6,1),X781&lt;=DATE(2026,6,30)),"Closed in June","other")</f>
        <v/>
      </c>
    </row>
    <row r="782" hidden="1">
      <c r="A782" s="9" t="n">
        <v>46143</v>
      </c>
      <c r="B782" s="1" t="n">
        <v>2026</v>
      </c>
      <c r="C782" s="8" t="inlineStr">
        <is>
          <t>Yanara Power</t>
        </is>
      </c>
      <c r="D782" s="1" t="inlineStr">
        <is>
          <t>Utility and C&amp;I</t>
        </is>
      </c>
      <c r="E782" s="1" t="n"/>
      <c r="F782" s="1" t="inlineStr">
        <is>
          <t>Closed</t>
        </is>
      </c>
      <c r="G782" s="2" t="inlineStr">
        <is>
          <t xml:space="preserve">Ashish Jindal </t>
        </is>
      </c>
      <c r="H782" s="8" t="n">
        <v>9983975581</v>
      </c>
      <c r="I782" s="10" t="inlineStr">
        <is>
          <t>PE01052601</t>
        </is>
      </c>
      <c r="J782" s="8" t="inlineStr">
        <is>
          <t>Multiple Issues</t>
        </is>
      </c>
      <c r="K782" s="11" t="inlineStr">
        <is>
          <t>Holi</t>
        </is>
      </c>
      <c r="L782" s="11" t="inlineStr">
        <is>
          <t>Maharashtra</t>
        </is>
      </c>
      <c r="M782" s="2" t="inlineStr">
        <is>
          <t>OK</t>
        </is>
      </c>
      <c r="N782" s="2" t="inlineStr">
        <is>
          <t>No Issue Found</t>
        </is>
      </c>
      <c r="O782" s="11" t="n">
        <v>575</v>
      </c>
      <c r="P782" s="2" t="inlineStr">
        <is>
          <t>NA</t>
        </is>
      </c>
      <c r="Q782" s="2" t="inlineStr">
        <is>
          <t>NA</t>
        </is>
      </c>
      <c r="R782" s="2" t="inlineStr">
        <is>
          <t>NA</t>
        </is>
      </c>
      <c r="S782" s="1" t="inlineStr">
        <is>
          <t>G2G</t>
        </is>
      </c>
      <c r="T782" s="1" t="inlineStr">
        <is>
          <t>P4 - PEIPL</t>
        </is>
      </c>
      <c r="U782" s="2" t="inlineStr">
        <is>
          <t>String - 23 CIRCUIT RUNNING</t>
        </is>
      </c>
      <c r="V782" s="6" t="inlineStr">
        <is>
          <t>Inspection</t>
        </is>
      </c>
      <c r="W782" s="2" t="inlineStr">
        <is>
          <t>Rejected</t>
        </is>
      </c>
      <c r="X782" s="5" t="n">
        <v>46180</v>
      </c>
      <c r="Y782" s="1">
        <f>IF(X782="","",X782-A782)</f>
        <v/>
      </c>
      <c r="Z782" s="5" t="n">
        <v>46180</v>
      </c>
      <c r="AA782" s="3" t="n"/>
      <c r="AB782" s="3" t="n"/>
      <c r="AE782" s="146">
        <f>IF(AND(F782="Closed",X782&gt;=DATE(2026,6,1),X782&lt;=DATE(2026,6,30)),"Closed in June","other")</f>
        <v/>
      </c>
    </row>
    <row r="783" hidden="1">
      <c r="A783" s="9" t="n">
        <v>46143</v>
      </c>
      <c r="B783" s="1" t="n">
        <v>2026</v>
      </c>
      <c r="C783" s="8" t="inlineStr">
        <is>
          <t>Yanara Power</t>
        </is>
      </c>
      <c r="D783" s="1" t="inlineStr">
        <is>
          <t>Utility and C&amp;I</t>
        </is>
      </c>
      <c r="E783" s="1" t="n"/>
      <c r="F783" s="1" t="inlineStr">
        <is>
          <t>Closed</t>
        </is>
      </c>
      <c r="G783" s="2" t="inlineStr">
        <is>
          <t xml:space="preserve">Ashish Jindal </t>
        </is>
      </c>
      <c r="H783" s="8" t="n">
        <v>9983975581</v>
      </c>
      <c r="I783" s="10" t="inlineStr">
        <is>
          <t>PE01052601</t>
        </is>
      </c>
      <c r="J783" s="8" t="inlineStr">
        <is>
          <t>Multiple Issues</t>
        </is>
      </c>
      <c r="K783" s="11" t="inlineStr">
        <is>
          <t>Holi</t>
        </is>
      </c>
      <c r="L783" s="11" t="inlineStr">
        <is>
          <t>Maharashtra</t>
        </is>
      </c>
      <c r="M783" s="2" t="inlineStr">
        <is>
          <t>OK</t>
        </is>
      </c>
      <c r="N783" s="2" t="inlineStr">
        <is>
          <t>No Issue Found</t>
        </is>
      </c>
      <c r="O783" s="11" t="n">
        <v>575</v>
      </c>
      <c r="P783" s="2" t="inlineStr">
        <is>
          <t>NA</t>
        </is>
      </c>
      <c r="Q783" s="2" t="inlineStr">
        <is>
          <t>NA</t>
        </is>
      </c>
      <c r="R783" s="2" t="inlineStr">
        <is>
          <t>NA</t>
        </is>
      </c>
      <c r="S783" s="1" t="inlineStr">
        <is>
          <t>G2G</t>
        </is>
      </c>
      <c r="T783" s="1" t="inlineStr">
        <is>
          <t>P4 - PEIPL</t>
        </is>
      </c>
      <c r="U783" s="2" t="inlineStr">
        <is>
          <t>String - 22 CIRCUIT RUNNING</t>
        </is>
      </c>
      <c r="V783" s="6" t="inlineStr">
        <is>
          <t>Inspection</t>
        </is>
      </c>
      <c r="W783" s="2" t="inlineStr">
        <is>
          <t>Rejected</t>
        </is>
      </c>
      <c r="X783" s="5" t="n">
        <v>46180</v>
      </c>
      <c r="Y783" s="1">
        <f>IF(X783="","",X783-A783)</f>
        <v/>
      </c>
      <c r="Z783" s="5" t="n">
        <v>46180</v>
      </c>
      <c r="AA783" s="3" t="n"/>
      <c r="AB783" s="3" t="n"/>
      <c r="AE783" s="146">
        <f>IF(AND(F783="Closed",X783&gt;=DATE(2026,6,1),X783&lt;=DATE(2026,6,30)),"Closed in June","other")</f>
        <v/>
      </c>
    </row>
    <row r="784" hidden="1">
      <c r="A784" s="9" t="n">
        <v>46143</v>
      </c>
      <c r="B784" s="1" t="n">
        <v>2026</v>
      </c>
      <c r="C784" s="8" t="inlineStr">
        <is>
          <t>Yanara Power</t>
        </is>
      </c>
      <c r="D784" s="1" t="inlineStr">
        <is>
          <t>Utility and C&amp;I</t>
        </is>
      </c>
      <c r="E784" s="1" t="n"/>
      <c r="F784" s="1" t="inlineStr">
        <is>
          <t>Closed</t>
        </is>
      </c>
      <c r="G784" s="2" t="inlineStr">
        <is>
          <t xml:space="preserve">Ashish Jindal </t>
        </is>
      </c>
      <c r="H784" s="8" t="n">
        <v>9983975581</v>
      </c>
      <c r="I784" s="10" t="inlineStr">
        <is>
          <t>PE01052601</t>
        </is>
      </c>
      <c r="J784" s="8" t="inlineStr">
        <is>
          <t>Multiple Issues</t>
        </is>
      </c>
      <c r="K784" s="11" t="inlineStr">
        <is>
          <t>Holi</t>
        </is>
      </c>
      <c r="L784" s="11" t="inlineStr">
        <is>
          <t>Maharashtra</t>
        </is>
      </c>
      <c r="M784" s="2" t="inlineStr">
        <is>
          <t>OK</t>
        </is>
      </c>
      <c r="N784" s="2" t="inlineStr">
        <is>
          <t>No Issue Found</t>
        </is>
      </c>
      <c r="O784" s="11" t="n">
        <v>575</v>
      </c>
      <c r="P784" s="2" t="inlineStr">
        <is>
          <t>NA</t>
        </is>
      </c>
      <c r="Q784" s="2" t="inlineStr">
        <is>
          <t>NA</t>
        </is>
      </c>
      <c r="R784" s="2" t="inlineStr">
        <is>
          <t>NA</t>
        </is>
      </c>
      <c r="S784" s="1" t="inlineStr">
        <is>
          <t>G2G</t>
        </is>
      </c>
      <c r="T784" s="1" t="inlineStr">
        <is>
          <t>P4 - PEIPL</t>
        </is>
      </c>
      <c r="U784" s="2" t="inlineStr">
        <is>
          <t>String - 13 CIRCUIT RUNNING</t>
        </is>
      </c>
      <c r="V784" s="6" t="inlineStr">
        <is>
          <t>Inspection</t>
        </is>
      </c>
      <c r="W784" s="2" t="inlineStr">
        <is>
          <t>Rejected</t>
        </is>
      </c>
      <c r="X784" s="5" t="n">
        <v>46180</v>
      </c>
      <c r="Y784" s="1">
        <f>IF(X784="","",X784-A784)</f>
        <v/>
      </c>
      <c r="Z784" s="5" t="n">
        <v>46180</v>
      </c>
      <c r="AA784" s="3" t="n"/>
      <c r="AB784" s="3" t="n"/>
      <c r="AE784" s="146">
        <f>IF(AND(F784="Closed",X784&gt;=DATE(2026,6,1),X784&lt;=DATE(2026,6,30)),"Closed in June","other")</f>
        <v/>
      </c>
    </row>
    <row r="785" hidden="1">
      <c r="A785" s="9" t="n">
        <v>46143</v>
      </c>
      <c r="B785" s="1" t="n">
        <v>2026</v>
      </c>
      <c r="C785" s="8" t="inlineStr">
        <is>
          <t>Yanara Power</t>
        </is>
      </c>
      <c r="D785" s="1" t="inlineStr">
        <is>
          <t>Utility and C&amp;I</t>
        </is>
      </c>
      <c r="E785" s="1" t="n"/>
      <c r="F785" s="1" t="inlineStr">
        <is>
          <t>Closed</t>
        </is>
      </c>
      <c r="G785" s="2" t="inlineStr">
        <is>
          <t xml:space="preserve">Ashish Jindal </t>
        </is>
      </c>
      <c r="H785" s="8" t="n">
        <v>9983975581</v>
      </c>
      <c r="I785" s="10" t="inlineStr">
        <is>
          <t>PE01052601</t>
        </is>
      </c>
      <c r="J785" s="8" t="inlineStr">
        <is>
          <t>Multiple Issues</t>
        </is>
      </c>
      <c r="K785" s="11" t="inlineStr">
        <is>
          <t>Holi</t>
        </is>
      </c>
      <c r="L785" s="11" t="inlineStr">
        <is>
          <t>Maharashtra</t>
        </is>
      </c>
      <c r="M785" s="2" t="inlineStr">
        <is>
          <t>OK</t>
        </is>
      </c>
      <c r="N785" s="2" t="inlineStr">
        <is>
          <t>No Issue Found</t>
        </is>
      </c>
      <c r="O785" s="11" t="n">
        <v>575</v>
      </c>
      <c r="P785" s="2" t="inlineStr">
        <is>
          <t>NA</t>
        </is>
      </c>
      <c r="Q785" s="2" t="inlineStr">
        <is>
          <t>NA</t>
        </is>
      </c>
      <c r="R785" s="2" t="inlineStr">
        <is>
          <t>NA</t>
        </is>
      </c>
      <c r="S785" s="1" t="inlineStr">
        <is>
          <t>G2G</t>
        </is>
      </c>
      <c r="T785" s="1" t="inlineStr">
        <is>
          <t>P4 - PEIPL</t>
        </is>
      </c>
      <c r="U785" s="2" t="inlineStr">
        <is>
          <t>String - 05 CIRCUIT RUNNING</t>
        </is>
      </c>
      <c r="V785" s="6" t="inlineStr">
        <is>
          <t>Inspection</t>
        </is>
      </c>
      <c r="W785" s="2" t="inlineStr">
        <is>
          <t>Rejected</t>
        </is>
      </c>
      <c r="X785" s="5" t="n">
        <v>46180</v>
      </c>
      <c r="Y785" s="1">
        <f>IF(X785="","",X785-A785)</f>
        <v/>
      </c>
      <c r="Z785" s="5" t="n">
        <v>46180</v>
      </c>
      <c r="AA785" s="3" t="n"/>
      <c r="AB785" s="3" t="n"/>
      <c r="AE785" s="146">
        <f>IF(AND(F785="Closed",X785&gt;=DATE(2026,6,1),X785&lt;=DATE(2026,6,30)),"Closed in June","other")</f>
        <v/>
      </c>
    </row>
    <row r="786" hidden="1">
      <c r="A786" s="9" t="n">
        <v>46143</v>
      </c>
      <c r="B786" s="1" t="n">
        <v>2026</v>
      </c>
      <c r="C786" s="8" t="inlineStr">
        <is>
          <t>Yanara Power</t>
        </is>
      </c>
      <c r="D786" s="1" t="inlineStr">
        <is>
          <t>Utility and C&amp;I</t>
        </is>
      </c>
      <c r="E786" s="1" t="n"/>
      <c r="F786" s="1" t="inlineStr">
        <is>
          <t>Closed</t>
        </is>
      </c>
      <c r="G786" s="2" t="inlineStr">
        <is>
          <t xml:space="preserve">Ashish Jindal </t>
        </is>
      </c>
      <c r="H786" s="8" t="n">
        <v>9983975581</v>
      </c>
      <c r="I786" s="10" t="inlineStr">
        <is>
          <t>PE01052601</t>
        </is>
      </c>
      <c r="J786" s="8" t="inlineStr">
        <is>
          <t>Multiple Issues</t>
        </is>
      </c>
      <c r="K786" s="11" t="inlineStr">
        <is>
          <t>Holi</t>
        </is>
      </c>
      <c r="L786" s="11" t="inlineStr">
        <is>
          <t>Maharashtra</t>
        </is>
      </c>
      <c r="M786" s="2" t="inlineStr">
        <is>
          <t>Circuit Open</t>
        </is>
      </c>
      <c r="N786" s="2" t="inlineStr">
        <is>
          <t>No Issue Found</t>
        </is>
      </c>
      <c r="O786" s="11" t="n">
        <v>575</v>
      </c>
      <c r="P786" s="2" t="inlineStr">
        <is>
          <t>NA</t>
        </is>
      </c>
      <c r="Q786" s="2" t="inlineStr">
        <is>
          <t>NA</t>
        </is>
      </c>
      <c r="R786" s="2" t="inlineStr">
        <is>
          <t>NA</t>
        </is>
      </c>
      <c r="S786" s="1" t="inlineStr">
        <is>
          <t>G2G</t>
        </is>
      </c>
      <c r="T786" s="1" t="inlineStr">
        <is>
          <t>P4 - PEIPL</t>
        </is>
      </c>
      <c r="U786" s="2" t="inlineStr">
        <is>
          <t>String - 03 Circuit Open</t>
        </is>
      </c>
      <c r="V786" s="6" t="inlineStr">
        <is>
          <t>Inspection</t>
        </is>
      </c>
      <c r="W786" s="2" t="inlineStr">
        <is>
          <t>Rejected</t>
        </is>
      </c>
      <c r="X786" s="5" t="n">
        <v>46180</v>
      </c>
      <c r="Y786" s="1">
        <f>IF(X786="","",X786-A786)</f>
        <v/>
      </c>
      <c r="Z786" s="5" t="n">
        <v>46180</v>
      </c>
      <c r="AA786" s="3" t="n"/>
      <c r="AB786" s="3" t="n"/>
      <c r="AE786" s="146">
        <f>IF(AND(F786="Closed",X786&gt;=DATE(2026,6,1),X786&lt;=DATE(2026,6,30)),"Closed in June","other")</f>
        <v/>
      </c>
    </row>
    <row r="787" hidden="1">
      <c r="A787" s="9" t="n">
        <v>46143</v>
      </c>
      <c r="B787" s="1" t="n">
        <v>2026</v>
      </c>
      <c r="C787" s="8" t="inlineStr">
        <is>
          <t>Yanara Power</t>
        </is>
      </c>
      <c r="D787" s="1" t="inlineStr">
        <is>
          <t>Utility and C&amp;I</t>
        </is>
      </c>
      <c r="E787" s="1" t="n"/>
      <c r="F787" s="1" t="inlineStr">
        <is>
          <t>Closed</t>
        </is>
      </c>
      <c r="G787" s="2" t="inlineStr">
        <is>
          <t xml:space="preserve">Ashish Jindal </t>
        </is>
      </c>
      <c r="H787" s="8" t="n">
        <v>9983975581</v>
      </c>
      <c r="I787" s="10" t="inlineStr">
        <is>
          <t>PE01052601</t>
        </is>
      </c>
      <c r="J787" s="8" t="inlineStr">
        <is>
          <t>Multiple Issues</t>
        </is>
      </c>
      <c r="K787" s="11" t="inlineStr">
        <is>
          <t>Holi</t>
        </is>
      </c>
      <c r="L787" s="11" t="inlineStr">
        <is>
          <t>Maharashtra</t>
        </is>
      </c>
      <c r="M787" s="2" t="inlineStr">
        <is>
          <t>OK</t>
        </is>
      </c>
      <c r="N787" s="2" t="inlineStr">
        <is>
          <t>No Issue Found</t>
        </is>
      </c>
      <c r="O787" s="11" t="n">
        <v>575</v>
      </c>
      <c r="P787" s="2" t="inlineStr">
        <is>
          <t>NA</t>
        </is>
      </c>
      <c r="Q787" s="2" t="inlineStr">
        <is>
          <t>NA</t>
        </is>
      </c>
      <c r="R787" s="2" t="inlineStr">
        <is>
          <t>NA</t>
        </is>
      </c>
      <c r="S787" s="1" t="inlineStr">
        <is>
          <t>G2G</t>
        </is>
      </c>
      <c r="T787" s="1" t="inlineStr">
        <is>
          <t>P4 - PEIPL</t>
        </is>
      </c>
      <c r="U787" s="2" t="inlineStr">
        <is>
          <t>String - 25 CIRCUIT RUNNING</t>
        </is>
      </c>
      <c r="V787" s="6" t="inlineStr">
        <is>
          <t>Inspection</t>
        </is>
      </c>
      <c r="W787" s="2" t="inlineStr">
        <is>
          <t>Rejected</t>
        </is>
      </c>
      <c r="X787" s="5" t="n">
        <v>46180</v>
      </c>
      <c r="Y787" s="1">
        <f>IF(X787="","",X787-A787)</f>
        <v/>
      </c>
      <c r="Z787" s="5" t="n">
        <v>46180</v>
      </c>
      <c r="AA787" s="3" t="n"/>
      <c r="AB787" s="3" t="n"/>
      <c r="AE787" s="146">
        <f>IF(AND(F787="Closed",X787&gt;=DATE(2026,6,1),X787&lt;=DATE(2026,6,30)),"Closed in June","other")</f>
        <v/>
      </c>
    </row>
    <row r="788" hidden="1">
      <c r="A788" s="9" t="n">
        <v>46143</v>
      </c>
      <c r="B788" s="1" t="n">
        <v>2026</v>
      </c>
      <c r="C788" s="8" t="inlineStr">
        <is>
          <t>Yanara Power</t>
        </is>
      </c>
      <c r="D788" s="1" t="inlineStr">
        <is>
          <t>Utility and C&amp;I</t>
        </is>
      </c>
      <c r="E788" s="1" t="n"/>
      <c r="F788" s="1" t="inlineStr">
        <is>
          <t>Closed</t>
        </is>
      </c>
      <c r="G788" s="2" t="inlineStr">
        <is>
          <t xml:space="preserve">Ashish Jindal </t>
        </is>
      </c>
      <c r="H788" s="8" t="n">
        <v>9983975581</v>
      </c>
      <c r="I788" s="10" t="inlineStr">
        <is>
          <t>PE01052601</t>
        </is>
      </c>
      <c r="J788" s="8" t="inlineStr">
        <is>
          <t>Multiple Issues</t>
        </is>
      </c>
      <c r="K788" s="11" t="inlineStr">
        <is>
          <t>Holi</t>
        </is>
      </c>
      <c r="L788" s="11" t="inlineStr">
        <is>
          <t>Maharashtra</t>
        </is>
      </c>
      <c r="M788" s="2" t="inlineStr">
        <is>
          <t>OK</t>
        </is>
      </c>
      <c r="N788" s="2" t="inlineStr">
        <is>
          <t>No Issue Found</t>
        </is>
      </c>
      <c r="O788" s="11" t="n">
        <v>575</v>
      </c>
      <c r="P788" s="2" t="inlineStr">
        <is>
          <t>NA</t>
        </is>
      </c>
      <c r="Q788" s="2" t="inlineStr">
        <is>
          <t>NA</t>
        </is>
      </c>
      <c r="R788" s="2" t="inlineStr">
        <is>
          <t>NA</t>
        </is>
      </c>
      <c r="S788" s="1" t="inlineStr">
        <is>
          <t>G2G</t>
        </is>
      </c>
      <c r="T788" s="1" t="inlineStr">
        <is>
          <t>P4 - PEIPL</t>
        </is>
      </c>
      <c r="U788" s="2" t="inlineStr">
        <is>
          <t>String - 14 CIRCUIT RUNNING</t>
        </is>
      </c>
      <c r="V788" s="6" t="inlineStr">
        <is>
          <t>Inspection</t>
        </is>
      </c>
      <c r="W788" s="2" t="inlineStr">
        <is>
          <t>Rejected</t>
        </is>
      </c>
      <c r="X788" s="5" t="n">
        <v>46180</v>
      </c>
      <c r="Y788" s="1">
        <f>IF(X788="","",X788-A788)</f>
        <v/>
      </c>
      <c r="Z788" s="5" t="n">
        <v>46180</v>
      </c>
      <c r="AA788" s="3" t="n"/>
      <c r="AB788" s="3" t="n"/>
      <c r="AE788" s="146">
        <f>IF(AND(F788="Closed",X788&gt;=DATE(2026,6,1),X788&lt;=DATE(2026,6,30)),"Closed in June","other")</f>
        <v/>
      </c>
    </row>
    <row r="789" hidden="1">
      <c r="A789" s="9" t="n">
        <v>46143</v>
      </c>
      <c r="B789" s="1" t="n">
        <v>2026</v>
      </c>
      <c r="C789" s="8" t="inlineStr">
        <is>
          <t>Yanara Power</t>
        </is>
      </c>
      <c r="D789" s="1" t="inlineStr">
        <is>
          <t>Utility and C&amp;I</t>
        </is>
      </c>
      <c r="E789" s="1" t="n"/>
      <c r="F789" s="1" t="inlineStr">
        <is>
          <t>Closed</t>
        </is>
      </c>
      <c r="G789" s="2" t="inlineStr">
        <is>
          <t xml:space="preserve">Ashish Jindal </t>
        </is>
      </c>
      <c r="H789" s="8" t="n">
        <v>9983975581</v>
      </c>
      <c r="I789" s="10" t="inlineStr">
        <is>
          <t>PE01052601</t>
        </is>
      </c>
      <c r="J789" s="8" t="inlineStr">
        <is>
          <t>Multiple Issues</t>
        </is>
      </c>
      <c r="K789" s="11" t="inlineStr">
        <is>
          <t>Holi</t>
        </is>
      </c>
      <c r="L789" s="11" t="inlineStr">
        <is>
          <t>Maharashtra</t>
        </is>
      </c>
      <c r="M789" s="2" t="inlineStr">
        <is>
          <t>OK</t>
        </is>
      </c>
      <c r="N789" s="2" t="inlineStr">
        <is>
          <t>No Issue Found</t>
        </is>
      </c>
      <c r="O789" s="11" t="n">
        <v>575</v>
      </c>
      <c r="P789" s="2" t="inlineStr">
        <is>
          <t>NA</t>
        </is>
      </c>
      <c r="Q789" s="2" t="inlineStr">
        <is>
          <t>NA</t>
        </is>
      </c>
      <c r="R789" s="2" t="inlineStr">
        <is>
          <t>NA</t>
        </is>
      </c>
      <c r="S789" s="1" t="inlineStr">
        <is>
          <t>G2G</t>
        </is>
      </c>
      <c r="T789" s="1" t="inlineStr">
        <is>
          <t>P4 - PEIPL</t>
        </is>
      </c>
      <c r="U789" s="2" t="inlineStr">
        <is>
          <t>String - 11 CIRCUIT RUNNING</t>
        </is>
      </c>
      <c r="V789" s="6" t="inlineStr">
        <is>
          <t>Inspection</t>
        </is>
      </c>
      <c r="W789" s="2" t="inlineStr">
        <is>
          <t>Rejected</t>
        </is>
      </c>
      <c r="X789" s="5" t="n">
        <v>46180</v>
      </c>
      <c r="Y789" s="1">
        <f>IF(X789="","",X789-A789)</f>
        <v/>
      </c>
      <c r="Z789" s="5" t="n">
        <v>46180</v>
      </c>
      <c r="AA789" s="3" t="n"/>
      <c r="AB789" s="3" t="n"/>
      <c r="AE789" s="146">
        <f>IF(AND(F789="Closed",X789&gt;=DATE(2026,6,1),X789&lt;=DATE(2026,6,30)),"Closed in June","other")</f>
        <v/>
      </c>
    </row>
    <row r="790" hidden="1">
      <c r="A790" s="49" t="n">
        <v>46162</v>
      </c>
      <c r="B790" s="1" t="n">
        <v>2026</v>
      </c>
      <c r="C790" s="8" t="inlineStr">
        <is>
          <t>Vashi</t>
        </is>
      </c>
      <c r="D790" s="8" t="inlineStr">
        <is>
          <t>Channel Sales</t>
        </is>
      </c>
      <c r="E790" s="1" t="n"/>
      <c r="F790" s="1" t="inlineStr">
        <is>
          <t>Closed</t>
        </is>
      </c>
      <c r="G790" s="8" t="inlineStr">
        <is>
          <t>Nachiket Buchade</t>
        </is>
      </c>
      <c r="H790" s="28" t="n">
        <v>8828840014</v>
      </c>
      <c r="I790" s="10" t="inlineStr">
        <is>
          <t>PE20052602</t>
        </is>
      </c>
      <c r="J790" s="8" t="inlineStr">
        <is>
          <t>Decrease in production</t>
        </is>
      </c>
      <c r="K790" s="8" t="inlineStr">
        <is>
          <t>Indore</t>
        </is>
      </c>
      <c r="L790" s="8" t="inlineStr">
        <is>
          <t>MP</t>
        </is>
      </c>
      <c r="M790" s="2" t="inlineStr">
        <is>
          <t>PR</t>
        </is>
      </c>
      <c r="N790" s="2" t="inlineStr">
        <is>
          <t>JB Issue</t>
        </is>
      </c>
      <c r="O790" s="11" t="n">
        <v>545</v>
      </c>
      <c r="P790" s="2" t="inlineStr">
        <is>
          <t>NSMP24101598204</t>
        </is>
      </c>
      <c r="Q790" s="14">
        <f>MID(P790,5,2)</f>
        <v/>
      </c>
      <c r="R790" s="14">
        <f>MID(P790,7,2)</f>
        <v/>
      </c>
      <c r="S790" s="1" t="inlineStr">
        <is>
          <t>G2TB</t>
        </is>
      </c>
      <c r="T790" s="1" t="inlineStr">
        <is>
          <t>P2 - PEPPL</t>
        </is>
      </c>
      <c r="U790" s="2" t="inlineStr">
        <is>
          <t>P JB Issue</t>
        </is>
      </c>
      <c r="V790" s="6" t="inlineStr">
        <is>
          <t>JB Changed</t>
        </is>
      </c>
      <c r="W790" s="2" t="inlineStr">
        <is>
          <t>Repair</t>
        </is>
      </c>
      <c r="X790" s="5" t="n">
        <v>46179</v>
      </c>
      <c r="Y790" s="1">
        <f>IF(X790="","",X790-A790)</f>
        <v/>
      </c>
      <c r="Z790" s="5" t="n">
        <v>46179</v>
      </c>
      <c r="AA790" s="3" t="n"/>
      <c r="AB790" s="3" t="n"/>
      <c r="AE790" s="146">
        <f>IF(AND(F790="Closed",X790&gt;=DATE(2026,6,1),X790&lt;=DATE(2026,6,30)),"Closed in June","other")</f>
        <v/>
      </c>
    </row>
    <row r="791" hidden="1">
      <c r="A791" s="49" t="n">
        <v>46162</v>
      </c>
      <c r="B791" s="1" t="n">
        <v>2026</v>
      </c>
      <c r="C791" s="8" t="inlineStr">
        <is>
          <t>Vashi</t>
        </is>
      </c>
      <c r="D791" s="8" t="inlineStr">
        <is>
          <t>Channel Sales</t>
        </is>
      </c>
      <c r="E791" s="1" t="n"/>
      <c r="F791" s="1" t="inlineStr">
        <is>
          <t>Closed</t>
        </is>
      </c>
      <c r="G791" s="8" t="inlineStr">
        <is>
          <t>Nachiket Buchade</t>
        </is>
      </c>
      <c r="H791" s="28" t="n">
        <v>8828840014</v>
      </c>
      <c r="I791" s="10" t="inlineStr">
        <is>
          <t>PE20052602</t>
        </is>
      </c>
      <c r="J791" s="8" t="inlineStr">
        <is>
          <t>Decrease in production</t>
        </is>
      </c>
      <c r="K791" s="8" t="inlineStr">
        <is>
          <t>Indore</t>
        </is>
      </c>
      <c r="L791" s="8" t="inlineStr">
        <is>
          <t>MP</t>
        </is>
      </c>
      <c r="M791" s="2" t="inlineStr">
        <is>
          <t>OK</t>
        </is>
      </c>
      <c r="N791" s="2" t="inlineStr">
        <is>
          <t>No Issue Found</t>
        </is>
      </c>
      <c r="O791" s="11" t="n">
        <v>545</v>
      </c>
      <c r="P791" s="2" t="inlineStr">
        <is>
          <t>NA</t>
        </is>
      </c>
      <c r="Q791" s="2" t="inlineStr">
        <is>
          <t>NA</t>
        </is>
      </c>
      <c r="R791" s="2" t="inlineStr">
        <is>
          <t>NA</t>
        </is>
      </c>
      <c r="S791" s="1" t="inlineStr">
        <is>
          <t>G2TB</t>
        </is>
      </c>
      <c r="T791" s="1" t="inlineStr">
        <is>
          <t>P2 - PEPPL</t>
        </is>
      </c>
      <c r="U791" s="2" t="inlineStr">
        <is>
          <t>No Issue Found</t>
        </is>
      </c>
      <c r="V791" s="6" t="inlineStr">
        <is>
          <t>Inspection</t>
        </is>
      </c>
      <c r="W791" s="1" t="inlineStr">
        <is>
          <t>Rejected</t>
        </is>
      </c>
      <c r="X791" s="5" t="n">
        <v>46179</v>
      </c>
      <c r="Y791" s="1">
        <f>IF(X791="","",X791-A791)</f>
        <v/>
      </c>
      <c r="Z791" s="5" t="n">
        <v>46179</v>
      </c>
      <c r="AA791" s="3" t="n"/>
      <c r="AB791" s="3" t="n"/>
      <c r="AE791" s="146">
        <f>IF(AND(F791="Closed",X791&gt;=DATE(2026,6,1),X791&lt;=DATE(2026,6,30)),"Closed in June","other")</f>
        <v/>
      </c>
    </row>
    <row r="792" hidden="1">
      <c r="A792" s="49" t="n">
        <v>46162</v>
      </c>
      <c r="B792" s="1" t="n">
        <v>2026</v>
      </c>
      <c r="C792" s="8" t="inlineStr">
        <is>
          <t>Vashi</t>
        </is>
      </c>
      <c r="D792" s="8" t="inlineStr">
        <is>
          <t>Channel Sales</t>
        </is>
      </c>
      <c r="E792" s="1" t="n"/>
      <c r="F792" s="1" t="inlineStr">
        <is>
          <t>Closed</t>
        </is>
      </c>
      <c r="G792" s="8" t="inlineStr">
        <is>
          <t>Nachiket Buchade</t>
        </is>
      </c>
      <c r="H792" s="28" t="n">
        <v>8828840014</v>
      </c>
      <c r="I792" s="10" t="inlineStr">
        <is>
          <t>PE20052602</t>
        </is>
      </c>
      <c r="J792" s="8" t="inlineStr">
        <is>
          <t>Decrease in production</t>
        </is>
      </c>
      <c r="K792" s="8" t="inlineStr">
        <is>
          <t>Indore</t>
        </is>
      </c>
      <c r="L792" s="8" t="inlineStr">
        <is>
          <t>MP</t>
        </is>
      </c>
      <c r="M792" s="2" t="inlineStr">
        <is>
          <t>OK</t>
        </is>
      </c>
      <c r="N792" s="2" t="inlineStr">
        <is>
          <t>No Issue Found</t>
        </is>
      </c>
      <c r="O792" s="11" t="n">
        <v>545</v>
      </c>
      <c r="P792" s="2" t="inlineStr">
        <is>
          <t>NA</t>
        </is>
      </c>
      <c r="Q792" s="2" t="inlineStr">
        <is>
          <t>NA</t>
        </is>
      </c>
      <c r="R792" s="2" t="inlineStr">
        <is>
          <t>NA</t>
        </is>
      </c>
      <c r="S792" s="1" t="inlineStr">
        <is>
          <t>G2TB</t>
        </is>
      </c>
      <c r="T792" s="1" t="inlineStr">
        <is>
          <t>P2 - PEPPL</t>
        </is>
      </c>
      <c r="U792" s="2" t="inlineStr">
        <is>
          <t>No Issue Found</t>
        </is>
      </c>
      <c r="V792" s="6" t="inlineStr">
        <is>
          <t>Inspection</t>
        </is>
      </c>
      <c r="W792" s="1" t="inlineStr">
        <is>
          <t>Rejected</t>
        </is>
      </c>
      <c r="X792" s="5" t="n">
        <v>46179</v>
      </c>
      <c r="Y792" s="1">
        <f>IF(X792="","",X792-A792)</f>
        <v/>
      </c>
      <c r="Z792" s="5" t="n">
        <v>46179</v>
      </c>
      <c r="AA792" s="3" t="n"/>
      <c r="AB792" s="3" t="n"/>
      <c r="AE792" s="146">
        <f>IF(AND(F792="Closed",X792&gt;=DATE(2026,6,1),X792&lt;=DATE(2026,6,30)),"Closed in June","other")</f>
        <v/>
      </c>
    </row>
    <row r="793" hidden="1">
      <c r="A793" s="49" t="n">
        <v>46162</v>
      </c>
      <c r="B793" s="1" t="n">
        <v>2026</v>
      </c>
      <c r="C793" s="8" t="inlineStr">
        <is>
          <t>Vashi</t>
        </is>
      </c>
      <c r="D793" s="8" t="inlineStr">
        <is>
          <t>Channel Sales</t>
        </is>
      </c>
      <c r="E793" s="1" t="n"/>
      <c r="F793" s="1" t="inlineStr">
        <is>
          <t>Closed</t>
        </is>
      </c>
      <c r="G793" s="8" t="inlineStr">
        <is>
          <t>Nachiket Buchade</t>
        </is>
      </c>
      <c r="H793" s="28" t="n">
        <v>8828840014</v>
      </c>
      <c r="I793" s="10" t="inlineStr">
        <is>
          <t>PE20052602</t>
        </is>
      </c>
      <c r="J793" s="8" t="inlineStr">
        <is>
          <t>Decrease in production</t>
        </is>
      </c>
      <c r="K793" s="8" t="inlineStr">
        <is>
          <t>Indore</t>
        </is>
      </c>
      <c r="L793" s="8" t="inlineStr">
        <is>
          <t>MP</t>
        </is>
      </c>
      <c r="M793" s="2" t="inlineStr">
        <is>
          <t>OK</t>
        </is>
      </c>
      <c r="N793" s="2" t="inlineStr">
        <is>
          <t>No Issue Found</t>
        </is>
      </c>
      <c r="O793" s="11" t="n">
        <v>545</v>
      </c>
      <c r="P793" s="2" t="inlineStr">
        <is>
          <t>NA</t>
        </is>
      </c>
      <c r="Q793" s="2" t="inlineStr">
        <is>
          <t>NA</t>
        </is>
      </c>
      <c r="R793" s="2" t="inlineStr">
        <is>
          <t>NA</t>
        </is>
      </c>
      <c r="S793" s="1" t="inlineStr">
        <is>
          <t>G2TB</t>
        </is>
      </c>
      <c r="T793" s="1" t="inlineStr">
        <is>
          <t>P2 - PEPPL</t>
        </is>
      </c>
      <c r="U793" s="2" t="inlineStr">
        <is>
          <t>No Issue Found</t>
        </is>
      </c>
      <c r="V793" s="6" t="inlineStr">
        <is>
          <t>Inspection</t>
        </is>
      </c>
      <c r="W793" s="1" t="inlineStr">
        <is>
          <t>Rejected</t>
        </is>
      </c>
      <c r="X793" s="5" t="n">
        <v>46179</v>
      </c>
      <c r="Y793" s="1">
        <f>IF(X793="","",X793-A793)</f>
        <v/>
      </c>
      <c r="Z793" s="5" t="n">
        <v>46179</v>
      </c>
      <c r="AA793" s="3" t="n"/>
      <c r="AB793" s="3" t="n"/>
      <c r="AE793" s="146">
        <f>IF(AND(F793="Closed",X793&gt;=DATE(2026,6,1),X793&lt;=DATE(2026,6,30)),"Closed in June","other")</f>
        <v/>
      </c>
    </row>
    <row r="794" hidden="1">
      <c r="A794" s="49" t="n">
        <v>46162</v>
      </c>
      <c r="B794" s="1" t="n">
        <v>2026</v>
      </c>
      <c r="C794" s="8" t="inlineStr">
        <is>
          <t>Vashi</t>
        </is>
      </c>
      <c r="D794" s="8" t="inlineStr">
        <is>
          <t>Channel Sales</t>
        </is>
      </c>
      <c r="E794" s="1" t="n"/>
      <c r="F794" s="1" t="inlineStr">
        <is>
          <t>Closed</t>
        </is>
      </c>
      <c r="G794" s="8" t="inlineStr">
        <is>
          <t>Nachiket Buchade</t>
        </is>
      </c>
      <c r="H794" s="28" t="n">
        <v>8828840014</v>
      </c>
      <c r="I794" s="10" t="inlineStr">
        <is>
          <t>PE20052602</t>
        </is>
      </c>
      <c r="J794" s="8" t="inlineStr">
        <is>
          <t>Decrease in production</t>
        </is>
      </c>
      <c r="K794" s="8" t="inlineStr">
        <is>
          <t>Indore</t>
        </is>
      </c>
      <c r="L794" s="8" t="inlineStr">
        <is>
          <t>MP</t>
        </is>
      </c>
      <c r="M794" s="2" t="inlineStr">
        <is>
          <t>OK</t>
        </is>
      </c>
      <c r="N794" s="2" t="inlineStr">
        <is>
          <t>No Issue Found</t>
        </is>
      </c>
      <c r="O794" s="11" t="n">
        <v>545</v>
      </c>
      <c r="P794" s="2" t="inlineStr">
        <is>
          <t>NA</t>
        </is>
      </c>
      <c r="Q794" s="2" t="inlineStr">
        <is>
          <t>NA</t>
        </is>
      </c>
      <c r="R794" s="2" t="inlineStr">
        <is>
          <t>NA</t>
        </is>
      </c>
      <c r="S794" s="1" t="inlineStr">
        <is>
          <t>G2TB</t>
        </is>
      </c>
      <c r="T794" s="1" t="inlineStr">
        <is>
          <t>P2 - PEPPL</t>
        </is>
      </c>
      <c r="U794" s="2" t="inlineStr">
        <is>
          <t>No Issue Found</t>
        </is>
      </c>
      <c r="V794" s="6" t="inlineStr">
        <is>
          <t>Inspection</t>
        </is>
      </c>
      <c r="W794" s="1" t="inlineStr">
        <is>
          <t>Rejected</t>
        </is>
      </c>
      <c r="X794" s="5" t="n">
        <v>46179</v>
      </c>
      <c r="Y794" s="1">
        <f>IF(X794="","",X794-A794)</f>
        <v/>
      </c>
      <c r="Z794" s="5" t="n">
        <v>46179</v>
      </c>
      <c r="AA794" s="3" t="n"/>
      <c r="AB794" s="3" t="n"/>
      <c r="AE794" s="146">
        <f>IF(AND(F794="Closed",X794&gt;=DATE(2026,6,1),X794&lt;=DATE(2026,6,30)),"Closed in June","other")</f>
        <v/>
      </c>
    </row>
    <row r="795" hidden="1">
      <c r="A795" s="49" t="n">
        <v>46162</v>
      </c>
      <c r="B795" s="1" t="n">
        <v>2026</v>
      </c>
      <c r="C795" s="8" t="inlineStr">
        <is>
          <t>Vashi</t>
        </is>
      </c>
      <c r="D795" s="8" t="inlineStr">
        <is>
          <t>Channel Sales</t>
        </is>
      </c>
      <c r="E795" s="1" t="n"/>
      <c r="F795" s="1" t="inlineStr">
        <is>
          <t>Closed</t>
        </is>
      </c>
      <c r="G795" s="8" t="inlineStr">
        <is>
          <t>Nachiket Buchade</t>
        </is>
      </c>
      <c r="H795" s="28" t="n">
        <v>8828840014</v>
      </c>
      <c r="I795" s="10" t="inlineStr">
        <is>
          <t>PE20052602</t>
        </is>
      </c>
      <c r="J795" s="8" t="inlineStr">
        <is>
          <t>Decrease in production</t>
        </is>
      </c>
      <c r="K795" s="8" t="inlineStr">
        <is>
          <t>Indore</t>
        </is>
      </c>
      <c r="L795" s="8" t="inlineStr">
        <is>
          <t>MP</t>
        </is>
      </c>
      <c r="M795" s="2" t="inlineStr">
        <is>
          <t>OK</t>
        </is>
      </c>
      <c r="N795" s="2" t="inlineStr">
        <is>
          <t>No Issue Found</t>
        </is>
      </c>
      <c r="O795" s="11" t="n">
        <v>545</v>
      </c>
      <c r="P795" s="2" t="inlineStr">
        <is>
          <t>NA</t>
        </is>
      </c>
      <c r="Q795" s="2" t="inlineStr">
        <is>
          <t>NA</t>
        </is>
      </c>
      <c r="R795" s="2" t="inlineStr">
        <is>
          <t>NA</t>
        </is>
      </c>
      <c r="S795" s="1" t="inlineStr">
        <is>
          <t>G2TB</t>
        </is>
      </c>
      <c r="T795" s="1" t="inlineStr">
        <is>
          <t>P2 - PEPPL</t>
        </is>
      </c>
      <c r="U795" s="2" t="inlineStr">
        <is>
          <t>No Issue Found</t>
        </is>
      </c>
      <c r="V795" s="6" t="inlineStr">
        <is>
          <t>Inspection</t>
        </is>
      </c>
      <c r="W795" s="1" t="inlineStr">
        <is>
          <t>Rejected</t>
        </is>
      </c>
      <c r="X795" s="5" t="n">
        <v>46179</v>
      </c>
      <c r="Y795" s="1">
        <f>IF(X795="","",X795-A795)</f>
        <v/>
      </c>
      <c r="Z795" s="5" t="n">
        <v>46179</v>
      </c>
      <c r="AA795" s="3" t="n"/>
      <c r="AB795" s="3" t="n"/>
      <c r="AE795" s="146">
        <f>IF(AND(F795="Closed",X795&gt;=DATE(2026,6,1),X795&lt;=DATE(2026,6,30)),"Closed in June","other")</f>
        <v/>
      </c>
    </row>
    <row r="796" hidden="1">
      <c r="A796" s="49" t="n">
        <v>46162</v>
      </c>
      <c r="B796" s="1" t="n">
        <v>2026</v>
      </c>
      <c r="C796" s="8" t="inlineStr">
        <is>
          <t>Vashi</t>
        </is>
      </c>
      <c r="D796" s="8" t="inlineStr">
        <is>
          <t>Channel Sales</t>
        </is>
      </c>
      <c r="E796" s="1" t="n"/>
      <c r="F796" s="1" t="inlineStr">
        <is>
          <t>Closed</t>
        </is>
      </c>
      <c r="G796" s="8" t="inlineStr">
        <is>
          <t>Nachiket Buchade</t>
        </is>
      </c>
      <c r="H796" s="28" t="n">
        <v>8828840014</v>
      </c>
      <c r="I796" s="10" t="inlineStr">
        <is>
          <t>PE20052602</t>
        </is>
      </c>
      <c r="J796" s="8" t="inlineStr">
        <is>
          <t>Decrease in production</t>
        </is>
      </c>
      <c r="K796" s="8" t="inlineStr">
        <is>
          <t>Indore</t>
        </is>
      </c>
      <c r="L796" s="8" t="inlineStr">
        <is>
          <t>MP</t>
        </is>
      </c>
      <c r="M796" s="2" t="inlineStr">
        <is>
          <t>OK</t>
        </is>
      </c>
      <c r="N796" s="2" t="inlineStr">
        <is>
          <t>No Issue Found</t>
        </is>
      </c>
      <c r="O796" s="11" t="n">
        <v>545</v>
      </c>
      <c r="P796" s="2" t="inlineStr">
        <is>
          <t>NA</t>
        </is>
      </c>
      <c r="Q796" s="2" t="inlineStr">
        <is>
          <t>NA</t>
        </is>
      </c>
      <c r="R796" s="2" t="inlineStr">
        <is>
          <t>NA</t>
        </is>
      </c>
      <c r="S796" s="1" t="inlineStr">
        <is>
          <t>G2TB</t>
        </is>
      </c>
      <c r="T796" s="1" t="inlineStr">
        <is>
          <t>P2 - PEPPL</t>
        </is>
      </c>
      <c r="U796" s="2" t="inlineStr">
        <is>
          <t>No Issue Found</t>
        </is>
      </c>
      <c r="V796" s="6" t="inlineStr">
        <is>
          <t>Inspection</t>
        </is>
      </c>
      <c r="W796" s="1" t="inlineStr">
        <is>
          <t>Rejected</t>
        </is>
      </c>
      <c r="X796" s="5" t="n">
        <v>46179</v>
      </c>
      <c r="Y796" s="1">
        <f>IF(X796="","",X796-A796)</f>
        <v/>
      </c>
      <c r="Z796" s="5" t="n">
        <v>46179</v>
      </c>
      <c r="AA796" s="3" t="n"/>
      <c r="AB796" s="3" t="n"/>
      <c r="AE796" s="146">
        <f>IF(AND(F796="Closed",X796&gt;=DATE(2026,6,1),X796&lt;=DATE(2026,6,30)),"Closed in June","other")</f>
        <v/>
      </c>
    </row>
    <row r="797" hidden="1">
      <c r="A797" s="49" t="n">
        <v>46162</v>
      </c>
      <c r="B797" s="1" t="n">
        <v>2026</v>
      </c>
      <c r="C797" s="8" t="inlineStr">
        <is>
          <t>Vashi</t>
        </is>
      </c>
      <c r="D797" s="8" t="inlineStr">
        <is>
          <t>Channel Sales</t>
        </is>
      </c>
      <c r="E797" s="1" t="n"/>
      <c r="F797" s="1" t="inlineStr">
        <is>
          <t>Closed</t>
        </is>
      </c>
      <c r="G797" s="8" t="inlineStr">
        <is>
          <t>Nachiket Buchade</t>
        </is>
      </c>
      <c r="H797" s="28" t="n">
        <v>8828840014</v>
      </c>
      <c r="I797" s="10" t="inlineStr">
        <is>
          <t>PE20052602</t>
        </is>
      </c>
      <c r="J797" s="8" t="inlineStr">
        <is>
          <t>Decrease in production</t>
        </is>
      </c>
      <c r="K797" s="8" t="inlineStr">
        <is>
          <t>Indore</t>
        </is>
      </c>
      <c r="L797" s="8" t="inlineStr">
        <is>
          <t>MP</t>
        </is>
      </c>
      <c r="M797" s="2" t="inlineStr">
        <is>
          <t>OK</t>
        </is>
      </c>
      <c r="N797" s="2" t="inlineStr">
        <is>
          <t>No Issue Found</t>
        </is>
      </c>
      <c r="O797" s="11" t="n">
        <v>545</v>
      </c>
      <c r="P797" s="2" t="inlineStr">
        <is>
          <t>NA</t>
        </is>
      </c>
      <c r="Q797" s="2" t="inlineStr">
        <is>
          <t>NA</t>
        </is>
      </c>
      <c r="R797" s="2" t="inlineStr">
        <is>
          <t>NA</t>
        </is>
      </c>
      <c r="S797" s="1" t="inlineStr">
        <is>
          <t>G2TB</t>
        </is>
      </c>
      <c r="T797" s="1" t="inlineStr">
        <is>
          <t>P2 - PEPPL</t>
        </is>
      </c>
      <c r="U797" s="2" t="inlineStr">
        <is>
          <t>No Issue Found</t>
        </is>
      </c>
      <c r="V797" s="6" t="inlineStr">
        <is>
          <t>Inspection</t>
        </is>
      </c>
      <c r="W797" s="1" t="inlineStr">
        <is>
          <t>Rejected</t>
        </is>
      </c>
      <c r="X797" s="5" t="n">
        <v>46179</v>
      </c>
      <c r="Y797" s="1">
        <f>IF(X797="","",X797-A797)</f>
        <v/>
      </c>
      <c r="Z797" s="5" t="n">
        <v>46179</v>
      </c>
      <c r="AA797" s="3" t="n"/>
      <c r="AB797" s="3" t="n"/>
      <c r="AE797" s="146">
        <f>IF(AND(F797="Closed",X797&gt;=DATE(2026,6,1),X797&lt;=DATE(2026,6,30)),"Closed in June","other")</f>
        <v/>
      </c>
    </row>
    <row r="798" hidden="1">
      <c r="A798" s="49" t="n">
        <v>46162</v>
      </c>
      <c r="B798" s="1" t="n">
        <v>2026</v>
      </c>
      <c r="C798" s="8" t="inlineStr">
        <is>
          <t>Vashi</t>
        </is>
      </c>
      <c r="D798" s="8" t="inlineStr">
        <is>
          <t>Channel Sales</t>
        </is>
      </c>
      <c r="E798" s="1" t="n"/>
      <c r="F798" s="1" t="inlineStr">
        <is>
          <t>Closed</t>
        </is>
      </c>
      <c r="G798" s="8" t="inlineStr">
        <is>
          <t>Nachiket Buchade</t>
        </is>
      </c>
      <c r="H798" s="28" t="n">
        <v>8828840014</v>
      </c>
      <c r="I798" s="10" t="inlineStr">
        <is>
          <t>PE20052602</t>
        </is>
      </c>
      <c r="J798" s="8" t="inlineStr">
        <is>
          <t>Decrease in production</t>
        </is>
      </c>
      <c r="K798" s="8" t="inlineStr">
        <is>
          <t>Indore</t>
        </is>
      </c>
      <c r="L798" s="8" t="inlineStr">
        <is>
          <t>MP</t>
        </is>
      </c>
      <c r="M798" s="2" t="inlineStr">
        <is>
          <t>OK</t>
        </is>
      </c>
      <c r="N798" s="2" t="inlineStr">
        <is>
          <t>No Issue Found</t>
        </is>
      </c>
      <c r="O798" s="11" t="n">
        <v>545</v>
      </c>
      <c r="P798" s="2" t="inlineStr">
        <is>
          <t>NA</t>
        </is>
      </c>
      <c r="Q798" s="2" t="inlineStr">
        <is>
          <t>NA</t>
        </is>
      </c>
      <c r="R798" s="2" t="inlineStr">
        <is>
          <t>NA</t>
        </is>
      </c>
      <c r="S798" s="1" t="inlineStr">
        <is>
          <t>G2TB</t>
        </is>
      </c>
      <c r="T798" s="1" t="inlineStr">
        <is>
          <t>P2 - PEPPL</t>
        </is>
      </c>
      <c r="U798" s="2" t="inlineStr">
        <is>
          <t>No Issue Found</t>
        </is>
      </c>
      <c r="V798" s="6" t="inlineStr">
        <is>
          <t>Inspection</t>
        </is>
      </c>
      <c r="W798" s="1" t="inlineStr">
        <is>
          <t>Rejected</t>
        </is>
      </c>
      <c r="X798" s="5" t="n">
        <v>46179</v>
      </c>
      <c r="Y798" s="1">
        <f>IF(X798="","",X798-A798)</f>
        <v/>
      </c>
      <c r="Z798" s="5" t="n">
        <v>46179</v>
      </c>
      <c r="AA798" s="3" t="n"/>
      <c r="AB798" s="3" t="n"/>
      <c r="AE798" s="146">
        <f>IF(AND(F798="Closed",X798&gt;=DATE(2026,6,1),X798&lt;=DATE(2026,6,30)),"Closed in June","other")</f>
        <v/>
      </c>
    </row>
    <row r="799" hidden="1">
      <c r="A799" s="49" t="n">
        <v>46162</v>
      </c>
      <c r="B799" s="1" t="n">
        <v>2026</v>
      </c>
      <c r="C799" s="8" t="inlineStr">
        <is>
          <t>Vashi</t>
        </is>
      </c>
      <c r="D799" s="8" t="inlineStr">
        <is>
          <t>Channel Sales</t>
        </is>
      </c>
      <c r="E799" s="1" t="n"/>
      <c r="F799" s="1" t="inlineStr">
        <is>
          <t>Closed</t>
        </is>
      </c>
      <c r="G799" s="8" t="inlineStr">
        <is>
          <t>Nachiket Buchade</t>
        </is>
      </c>
      <c r="H799" s="28" t="n">
        <v>8828840014</v>
      </c>
      <c r="I799" s="10" t="inlineStr">
        <is>
          <t>PE20052602</t>
        </is>
      </c>
      <c r="J799" s="8" t="inlineStr">
        <is>
          <t>Decrease in production</t>
        </is>
      </c>
      <c r="K799" s="8" t="inlineStr">
        <is>
          <t>Indore</t>
        </is>
      </c>
      <c r="L799" s="8" t="inlineStr">
        <is>
          <t>MP</t>
        </is>
      </c>
      <c r="M799" s="2" t="inlineStr">
        <is>
          <t>OK</t>
        </is>
      </c>
      <c r="N799" s="2" t="inlineStr">
        <is>
          <t>No Issue Found</t>
        </is>
      </c>
      <c r="O799" s="11" t="n">
        <v>545</v>
      </c>
      <c r="P799" s="2" t="inlineStr">
        <is>
          <t>NA</t>
        </is>
      </c>
      <c r="Q799" s="2" t="inlineStr">
        <is>
          <t>NA</t>
        </is>
      </c>
      <c r="R799" s="2" t="inlineStr">
        <is>
          <t>NA</t>
        </is>
      </c>
      <c r="S799" s="1" t="inlineStr">
        <is>
          <t>G2TB</t>
        </is>
      </c>
      <c r="T799" s="1" t="inlineStr">
        <is>
          <t>P2 - PEPPL</t>
        </is>
      </c>
      <c r="U799" s="2" t="inlineStr">
        <is>
          <t>No Issue Found</t>
        </is>
      </c>
      <c r="V799" s="6" t="inlineStr">
        <is>
          <t>Inspection</t>
        </is>
      </c>
      <c r="W799" s="1" t="inlineStr">
        <is>
          <t>Rejected</t>
        </is>
      </c>
      <c r="X799" s="5" t="n">
        <v>46179</v>
      </c>
      <c r="Y799" s="1">
        <f>IF(X799="","",X799-A799)</f>
        <v/>
      </c>
      <c r="Z799" s="5" t="n">
        <v>46179</v>
      </c>
      <c r="AA799" s="3" t="n"/>
      <c r="AB799" s="3" t="n"/>
      <c r="AE799" s="146">
        <f>IF(AND(F799="Closed",X799&gt;=DATE(2026,6,1),X799&lt;=DATE(2026,6,30)),"Closed in June","other")</f>
        <v/>
      </c>
    </row>
    <row r="800" hidden="1">
      <c r="A800" s="49" t="n">
        <v>46162</v>
      </c>
      <c r="B800" s="1" t="n">
        <v>2026</v>
      </c>
      <c r="C800" s="8" t="inlineStr">
        <is>
          <t>Vashi</t>
        </is>
      </c>
      <c r="D800" s="8" t="inlineStr">
        <is>
          <t>Channel Sales</t>
        </is>
      </c>
      <c r="E800" s="1" t="n"/>
      <c r="F800" s="1" t="inlineStr">
        <is>
          <t>Closed</t>
        </is>
      </c>
      <c r="G800" s="8" t="inlineStr">
        <is>
          <t>Nachiket Buchade</t>
        </is>
      </c>
      <c r="H800" s="28" t="n">
        <v>8828840014</v>
      </c>
      <c r="I800" s="10" t="inlineStr">
        <is>
          <t>PE20052602</t>
        </is>
      </c>
      <c r="J800" s="8" t="inlineStr">
        <is>
          <t>Decrease in production</t>
        </is>
      </c>
      <c r="K800" s="8" t="inlineStr">
        <is>
          <t>Indore</t>
        </is>
      </c>
      <c r="L800" s="8" t="inlineStr">
        <is>
          <t>MP</t>
        </is>
      </c>
      <c r="M800" s="2" t="inlineStr">
        <is>
          <t>OK</t>
        </is>
      </c>
      <c r="N800" s="2" t="inlineStr">
        <is>
          <t>No Issue Found</t>
        </is>
      </c>
      <c r="O800" s="11" t="n">
        <v>545</v>
      </c>
      <c r="P800" s="2" t="inlineStr">
        <is>
          <t>NA</t>
        </is>
      </c>
      <c r="Q800" s="2" t="inlineStr">
        <is>
          <t>NA</t>
        </is>
      </c>
      <c r="R800" s="2" t="inlineStr">
        <is>
          <t>NA</t>
        </is>
      </c>
      <c r="S800" s="1" t="inlineStr">
        <is>
          <t>G2TB</t>
        </is>
      </c>
      <c r="T800" s="1" t="inlineStr">
        <is>
          <t>P2 - PEPPL</t>
        </is>
      </c>
      <c r="U800" s="2" t="inlineStr">
        <is>
          <t>No Issue Found</t>
        </is>
      </c>
      <c r="V800" s="6" t="inlineStr">
        <is>
          <t>Inspection</t>
        </is>
      </c>
      <c r="W800" s="1" t="inlineStr">
        <is>
          <t>Rejected</t>
        </is>
      </c>
      <c r="X800" s="5" t="n">
        <v>46179</v>
      </c>
      <c r="Y800" s="1">
        <f>IF(X800="","",X800-A800)</f>
        <v/>
      </c>
      <c r="Z800" s="5" t="n">
        <v>46179</v>
      </c>
      <c r="AA800" s="3" t="n"/>
      <c r="AB800" s="3" t="n"/>
      <c r="AE800" s="146">
        <f>IF(AND(F800="Closed",X800&gt;=DATE(2026,6,1),X800&lt;=DATE(2026,6,30)),"Closed in June","other")</f>
        <v/>
      </c>
    </row>
    <row r="801" hidden="1">
      <c r="A801" s="49" t="n">
        <v>46162</v>
      </c>
      <c r="B801" s="1" t="n">
        <v>2026</v>
      </c>
      <c r="C801" s="8" t="inlineStr">
        <is>
          <t>Vashi</t>
        </is>
      </c>
      <c r="D801" s="8" t="inlineStr">
        <is>
          <t>Channel Sales</t>
        </is>
      </c>
      <c r="E801" s="1" t="n"/>
      <c r="F801" s="1" t="inlineStr">
        <is>
          <t>Closed</t>
        </is>
      </c>
      <c r="G801" s="8" t="inlineStr">
        <is>
          <t>Nachiket Buchade</t>
        </is>
      </c>
      <c r="H801" s="28" t="n">
        <v>8828840014</v>
      </c>
      <c r="I801" s="10" t="inlineStr">
        <is>
          <t>PE20052602</t>
        </is>
      </c>
      <c r="J801" s="8" t="inlineStr">
        <is>
          <t>Decrease in production</t>
        </is>
      </c>
      <c r="K801" s="8" t="inlineStr">
        <is>
          <t>Indore</t>
        </is>
      </c>
      <c r="L801" s="8" t="inlineStr">
        <is>
          <t>MP</t>
        </is>
      </c>
      <c r="M801" s="2" t="inlineStr">
        <is>
          <t>OK</t>
        </is>
      </c>
      <c r="N801" s="2" t="inlineStr">
        <is>
          <t>No Issue Found</t>
        </is>
      </c>
      <c r="O801" s="11" t="n">
        <v>545</v>
      </c>
      <c r="P801" s="2" t="inlineStr">
        <is>
          <t>NA</t>
        </is>
      </c>
      <c r="Q801" s="2" t="inlineStr">
        <is>
          <t>NA</t>
        </is>
      </c>
      <c r="R801" s="2" t="inlineStr">
        <is>
          <t>NA</t>
        </is>
      </c>
      <c r="S801" s="1" t="inlineStr">
        <is>
          <t>G2TB</t>
        </is>
      </c>
      <c r="T801" s="1" t="inlineStr">
        <is>
          <t>P2 - PEPPL</t>
        </is>
      </c>
      <c r="U801" s="2" t="inlineStr">
        <is>
          <t>No Issue Found</t>
        </is>
      </c>
      <c r="V801" s="6" t="inlineStr">
        <is>
          <t>Inspection</t>
        </is>
      </c>
      <c r="W801" s="1" t="inlineStr">
        <is>
          <t>Rejected</t>
        </is>
      </c>
      <c r="X801" s="5" t="n">
        <v>46179</v>
      </c>
      <c r="Y801" s="1">
        <f>IF(X801="","",X801-A801)</f>
        <v/>
      </c>
      <c r="Z801" s="5" t="n">
        <v>46179</v>
      </c>
      <c r="AA801" s="3" t="n"/>
      <c r="AB801" s="3" t="n"/>
      <c r="AE801" s="146">
        <f>IF(AND(F801="Closed",X801&gt;=DATE(2026,6,1),X801&lt;=DATE(2026,6,30)),"Closed in June","other")</f>
        <v/>
      </c>
    </row>
    <row r="802" hidden="1">
      <c r="A802" s="49" t="n">
        <v>46162</v>
      </c>
      <c r="B802" s="1" t="n">
        <v>2026</v>
      </c>
      <c r="C802" s="8" t="inlineStr">
        <is>
          <t>Vashi</t>
        </is>
      </c>
      <c r="D802" s="8" t="inlineStr">
        <is>
          <t>Channel Sales</t>
        </is>
      </c>
      <c r="E802" s="1" t="n"/>
      <c r="F802" s="1" t="inlineStr">
        <is>
          <t>Closed</t>
        </is>
      </c>
      <c r="G802" s="8" t="inlineStr">
        <is>
          <t>Nachiket Buchade</t>
        </is>
      </c>
      <c r="H802" s="28" t="n">
        <v>8828840014</v>
      </c>
      <c r="I802" s="10" t="inlineStr">
        <is>
          <t>PE20052602</t>
        </is>
      </c>
      <c r="J802" s="8" t="inlineStr">
        <is>
          <t>Decrease in production</t>
        </is>
      </c>
      <c r="K802" s="8" t="inlineStr">
        <is>
          <t>Indore</t>
        </is>
      </c>
      <c r="L802" s="8" t="inlineStr">
        <is>
          <t>MP</t>
        </is>
      </c>
      <c r="M802" s="2" t="inlineStr">
        <is>
          <t>OK</t>
        </is>
      </c>
      <c r="N802" s="2" t="inlineStr">
        <is>
          <t>No Issue Found</t>
        </is>
      </c>
      <c r="O802" s="11" t="n">
        <v>545</v>
      </c>
      <c r="P802" s="2" t="inlineStr">
        <is>
          <t>NA</t>
        </is>
      </c>
      <c r="Q802" s="2" t="inlineStr">
        <is>
          <t>NA</t>
        </is>
      </c>
      <c r="R802" s="2" t="inlineStr">
        <is>
          <t>NA</t>
        </is>
      </c>
      <c r="S802" s="1" t="inlineStr">
        <is>
          <t>G2TB</t>
        </is>
      </c>
      <c r="T802" s="1" t="inlineStr">
        <is>
          <t>P2 - PEPPL</t>
        </is>
      </c>
      <c r="U802" s="2" t="inlineStr">
        <is>
          <t>No Issue Found</t>
        </is>
      </c>
      <c r="V802" s="6" t="inlineStr">
        <is>
          <t>Inspection</t>
        </is>
      </c>
      <c r="W802" s="1" t="inlineStr">
        <is>
          <t>Rejected</t>
        </is>
      </c>
      <c r="X802" s="5" t="n">
        <v>46179</v>
      </c>
      <c r="Y802" s="1">
        <f>IF(X802="","",X802-A802)</f>
        <v/>
      </c>
      <c r="Z802" s="5" t="n">
        <v>46179</v>
      </c>
      <c r="AA802" s="3" t="n"/>
      <c r="AB802" s="3" t="n"/>
      <c r="AE802" s="146">
        <f>IF(AND(F802="Closed",X802&gt;=DATE(2026,6,1),X802&lt;=DATE(2026,6,30)),"Closed in June","other")</f>
        <v/>
      </c>
    </row>
    <row r="803" hidden="1">
      <c r="A803" s="49" t="n">
        <v>46162</v>
      </c>
      <c r="B803" s="1" t="n">
        <v>2026</v>
      </c>
      <c r="C803" s="8" t="inlineStr">
        <is>
          <t>Vashi</t>
        </is>
      </c>
      <c r="D803" s="8" t="inlineStr">
        <is>
          <t>Channel Sales</t>
        </is>
      </c>
      <c r="E803" s="1" t="n"/>
      <c r="F803" s="1" t="inlineStr">
        <is>
          <t>Closed</t>
        </is>
      </c>
      <c r="G803" s="8" t="inlineStr">
        <is>
          <t>Nachiket Buchade</t>
        </is>
      </c>
      <c r="H803" s="28" t="n">
        <v>8828840014</v>
      </c>
      <c r="I803" s="10" t="inlineStr">
        <is>
          <t>PE20052602</t>
        </is>
      </c>
      <c r="J803" s="8" t="inlineStr">
        <is>
          <t>Decrease in production</t>
        </is>
      </c>
      <c r="K803" s="8" t="inlineStr">
        <is>
          <t>Indore</t>
        </is>
      </c>
      <c r="L803" s="8" t="inlineStr">
        <is>
          <t>MP</t>
        </is>
      </c>
      <c r="M803" s="2" t="inlineStr">
        <is>
          <t>OK</t>
        </is>
      </c>
      <c r="N803" s="2" t="inlineStr">
        <is>
          <t>No Issue Found</t>
        </is>
      </c>
      <c r="O803" s="11" t="n">
        <v>545</v>
      </c>
      <c r="P803" s="2" t="inlineStr">
        <is>
          <t>NA</t>
        </is>
      </c>
      <c r="Q803" s="2" t="inlineStr">
        <is>
          <t>NA</t>
        </is>
      </c>
      <c r="R803" s="2" t="inlineStr">
        <is>
          <t>NA</t>
        </is>
      </c>
      <c r="S803" s="1" t="inlineStr">
        <is>
          <t>G2TB</t>
        </is>
      </c>
      <c r="T803" s="1" t="inlineStr">
        <is>
          <t>P2 - PEPPL</t>
        </is>
      </c>
      <c r="U803" s="2" t="inlineStr">
        <is>
          <t>No Issue Found</t>
        </is>
      </c>
      <c r="V803" s="6" t="inlineStr">
        <is>
          <t>Inspection</t>
        </is>
      </c>
      <c r="W803" s="1" t="inlineStr">
        <is>
          <t>Rejected</t>
        </is>
      </c>
      <c r="X803" s="5" t="n">
        <v>46179</v>
      </c>
      <c r="Y803" s="1">
        <f>IF(X803="","",X803-A803)</f>
        <v/>
      </c>
      <c r="Z803" s="5" t="n">
        <v>46179</v>
      </c>
      <c r="AA803" s="3" t="n"/>
      <c r="AB803" s="3" t="n"/>
      <c r="AE803" s="146">
        <f>IF(AND(F803="Closed",X803&gt;=DATE(2026,6,1),X803&lt;=DATE(2026,6,30)),"Closed in June","other")</f>
        <v/>
      </c>
    </row>
    <row r="804" hidden="1">
      <c r="A804" s="49" t="n">
        <v>46162</v>
      </c>
      <c r="B804" s="1" t="n">
        <v>2026</v>
      </c>
      <c r="C804" s="8" t="inlineStr">
        <is>
          <t>Vashi</t>
        </is>
      </c>
      <c r="D804" s="8" t="inlineStr">
        <is>
          <t>Channel Sales</t>
        </is>
      </c>
      <c r="E804" s="1" t="n"/>
      <c r="F804" s="1" t="inlineStr">
        <is>
          <t>Closed</t>
        </is>
      </c>
      <c r="G804" s="8" t="inlineStr">
        <is>
          <t>Nachiket Buchade</t>
        </is>
      </c>
      <c r="H804" s="28" t="n">
        <v>8828840014</v>
      </c>
      <c r="I804" s="10" t="inlineStr">
        <is>
          <t>PE20052602</t>
        </is>
      </c>
      <c r="J804" s="8" t="inlineStr">
        <is>
          <t>Decrease in production</t>
        </is>
      </c>
      <c r="K804" s="8" t="inlineStr">
        <is>
          <t>Indore</t>
        </is>
      </c>
      <c r="L804" s="8" t="inlineStr">
        <is>
          <t>MP</t>
        </is>
      </c>
      <c r="M804" s="2" t="inlineStr">
        <is>
          <t>OK</t>
        </is>
      </c>
      <c r="N804" s="2" t="inlineStr">
        <is>
          <t>No Issue Found</t>
        </is>
      </c>
      <c r="O804" s="11" t="n">
        <v>545</v>
      </c>
      <c r="P804" s="2" t="inlineStr">
        <is>
          <t>NA</t>
        </is>
      </c>
      <c r="Q804" s="2" t="inlineStr">
        <is>
          <t>NA</t>
        </is>
      </c>
      <c r="R804" s="2" t="inlineStr">
        <is>
          <t>NA</t>
        </is>
      </c>
      <c r="S804" s="1" t="inlineStr">
        <is>
          <t>G2TB</t>
        </is>
      </c>
      <c r="T804" s="1" t="inlineStr">
        <is>
          <t>P2 - PEPPL</t>
        </is>
      </c>
      <c r="U804" s="2" t="inlineStr">
        <is>
          <t>No Issue Found</t>
        </is>
      </c>
      <c r="V804" s="6" t="inlineStr">
        <is>
          <t>Inspection</t>
        </is>
      </c>
      <c r="W804" s="1" t="inlineStr">
        <is>
          <t>Rejected</t>
        </is>
      </c>
      <c r="X804" s="5" t="n">
        <v>46179</v>
      </c>
      <c r="Y804" s="1">
        <f>IF(X804="","",X804-A804)</f>
        <v/>
      </c>
      <c r="Z804" s="5" t="n">
        <v>46179</v>
      </c>
      <c r="AA804" s="3" t="n"/>
      <c r="AB804" s="3" t="n"/>
      <c r="AE804" s="146">
        <f>IF(AND(F804="Closed",X804&gt;=DATE(2026,6,1),X804&lt;=DATE(2026,6,30)),"Closed in June","other")</f>
        <v/>
      </c>
    </row>
    <row r="805" hidden="1">
      <c r="A805" s="49" t="n">
        <v>46162</v>
      </c>
      <c r="B805" s="1" t="n">
        <v>2026</v>
      </c>
      <c r="C805" s="8" t="inlineStr">
        <is>
          <t>Vashi</t>
        </is>
      </c>
      <c r="D805" s="8" t="inlineStr">
        <is>
          <t>Channel Sales</t>
        </is>
      </c>
      <c r="E805" s="1" t="n"/>
      <c r="F805" s="1" t="inlineStr">
        <is>
          <t>Closed</t>
        </is>
      </c>
      <c r="G805" s="8" t="inlineStr">
        <is>
          <t>Nachiket Buchade</t>
        </is>
      </c>
      <c r="H805" s="28" t="n">
        <v>8828840014</v>
      </c>
      <c r="I805" s="10" t="inlineStr">
        <is>
          <t>PE20052602</t>
        </is>
      </c>
      <c r="J805" s="8" t="inlineStr">
        <is>
          <t>Decrease in production</t>
        </is>
      </c>
      <c r="K805" s="8" t="inlineStr">
        <is>
          <t>Indore</t>
        </is>
      </c>
      <c r="L805" s="8" t="inlineStr">
        <is>
          <t>MP</t>
        </is>
      </c>
      <c r="M805" s="2" t="inlineStr">
        <is>
          <t>OK</t>
        </is>
      </c>
      <c r="N805" s="2" t="inlineStr">
        <is>
          <t>No Issue Found</t>
        </is>
      </c>
      <c r="O805" s="11" t="n">
        <v>545</v>
      </c>
      <c r="P805" s="2" t="inlineStr">
        <is>
          <t>NA</t>
        </is>
      </c>
      <c r="Q805" s="2" t="inlineStr">
        <is>
          <t>NA</t>
        </is>
      </c>
      <c r="R805" s="2" t="inlineStr">
        <is>
          <t>NA</t>
        </is>
      </c>
      <c r="S805" s="1" t="inlineStr">
        <is>
          <t>G2TB</t>
        </is>
      </c>
      <c r="T805" s="1" t="inlineStr">
        <is>
          <t>P2 - PEPPL</t>
        </is>
      </c>
      <c r="U805" s="2" t="inlineStr">
        <is>
          <t>No Issue Found</t>
        </is>
      </c>
      <c r="V805" s="6" t="inlineStr">
        <is>
          <t>Inspection</t>
        </is>
      </c>
      <c r="W805" s="1" t="inlineStr">
        <is>
          <t>Rejected</t>
        </is>
      </c>
      <c r="X805" s="5" t="n">
        <v>46179</v>
      </c>
      <c r="Y805" s="1">
        <f>IF(X805="","",X805-A805)</f>
        <v/>
      </c>
      <c r="Z805" s="5" t="n">
        <v>46179</v>
      </c>
      <c r="AA805" s="3" t="n"/>
      <c r="AB805" s="3" t="n"/>
      <c r="AE805" s="146">
        <f>IF(AND(F805="Closed",X805&gt;=DATE(2026,6,1),X805&lt;=DATE(2026,6,30)),"Closed in June","other")</f>
        <v/>
      </c>
    </row>
    <row r="806" hidden="1">
      <c r="A806" s="49" t="n">
        <v>46162</v>
      </c>
      <c r="B806" s="1" t="n">
        <v>2026</v>
      </c>
      <c r="C806" s="8" t="inlineStr">
        <is>
          <t>Vashi</t>
        </is>
      </c>
      <c r="D806" s="8" t="inlineStr">
        <is>
          <t>Channel Sales</t>
        </is>
      </c>
      <c r="E806" s="1" t="n"/>
      <c r="F806" s="1" t="inlineStr">
        <is>
          <t>Closed</t>
        </is>
      </c>
      <c r="G806" s="8" t="inlineStr">
        <is>
          <t>Nachiket Buchade</t>
        </is>
      </c>
      <c r="H806" s="28" t="n">
        <v>8828840014</v>
      </c>
      <c r="I806" s="10" t="inlineStr">
        <is>
          <t>PE20052602</t>
        </is>
      </c>
      <c r="J806" s="8" t="inlineStr">
        <is>
          <t>Decrease in production</t>
        </is>
      </c>
      <c r="K806" s="8" t="inlineStr">
        <is>
          <t>Indore</t>
        </is>
      </c>
      <c r="L806" s="8" t="inlineStr">
        <is>
          <t>MP</t>
        </is>
      </c>
      <c r="M806" s="2" t="inlineStr">
        <is>
          <t>OK</t>
        </is>
      </c>
      <c r="N806" s="2" t="inlineStr">
        <is>
          <t>No Issue Found</t>
        </is>
      </c>
      <c r="O806" s="11" t="n">
        <v>545</v>
      </c>
      <c r="P806" s="2" t="inlineStr">
        <is>
          <t>NA</t>
        </is>
      </c>
      <c r="Q806" s="2" t="inlineStr">
        <is>
          <t>NA</t>
        </is>
      </c>
      <c r="R806" s="2" t="inlineStr">
        <is>
          <t>NA</t>
        </is>
      </c>
      <c r="S806" s="1" t="inlineStr">
        <is>
          <t>G2TB</t>
        </is>
      </c>
      <c r="T806" s="1" t="inlineStr">
        <is>
          <t>P2 - PEPPL</t>
        </is>
      </c>
      <c r="U806" s="2" t="inlineStr">
        <is>
          <t>No Issue Found</t>
        </is>
      </c>
      <c r="V806" s="6" t="inlineStr">
        <is>
          <t>Inspection</t>
        </is>
      </c>
      <c r="W806" s="1" t="inlineStr">
        <is>
          <t>Rejected</t>
        </is>
      </c>
      <c r="X806" s="5" t="n">
        <v>46179</v>
      </c>
      <c r="Y806" s="1">
        <f>IF(X806="","",X806-A806)</f>
        <v/>
      </c>
      <c r="Z806" s="5" t="n">
        <v>46179</v>
      </c>
      <c r="AA806" s="3" t="n"/>
      <c r="AB806" s="3" t="n"/>
      <c r="AE806" s="146">
        <f>IF(AND(F806="Closed",X806&gt;=DATE(2026,6,1),X806&lt;=DATE(2026,6,30)),"Closed in June","other")</f>
        <v/>
      </c>
    </row>
    <row r="807" hidden="1">
      <c r="A807" s="49" t="n">
        <v>46162</v>
      </c>
      <c r="B807" s="1" t="n">
        <v>2026</v>
      </c>
      <c r="C807" s="8" t="inlineStr">
        <is>
          <t>Vashi</t>
        </is>
      </c>
      <c r="D807" s="8" t="inlineStr">
        <is>
          <t>Channel Sales</t>
        </is>
      </c>
      <c r="E807" s="1" t="n"/>
      <c r="F807" s="1" t="inlineStr">
        <is>
          <t>Closed</t>
        </is>
      </c>
      <c r="G807" s="8" t="inlineStr">
        <is>
          <t>Nachiket Buchade</t>
        </is>
      </c>
      <c r="H807" s="28" t="n">
        <v>8828840014</v>
      </c>
      <c r="I807" s="10" t="inlineStr">
        <is>
          <t>PE20052602</t>
        </is>
      </c>
      <c r="J807" s="8" t="inlineStr">
        <is>
          <t>Decrease in production</t>
        </is>
      </c>
      <c r="K807" s="8" t="inlineStr">
        <is>
          <t>Indore</t>
        </is>
      </c>
      <c r="L807" s="8" t="inlineStr">
        <is>
          <t>MP</t>
        </is>
      </c>
      <c r="M807" s="2" t="inlineStr">
        <is>
          <t>OK</t>
        </is>
      </c>
      <c r="N807" s="2" t="inlineStr">
        <is>
          <t>No Issue Found</t>
        </is>
      </c>
      <c r="O807" s="11" t="n">
        <v>545</v>
      </c>
      <c r="P807" s="2" t="inlineStr">
        <is>
          <t>NA</t>
        </is>
      </c>
      <c r="Q807" s="2" t="inlineStr">
        <is>
          <t>NA</t>
        </is>
      </c>
      <c r="R807" s="2" t="inlineStr">
        <is>
          <t>NA</t>
        </is>
      </c>
      <c r="S807" s="1" t="inlineStr">
        <is>
          <t>G2TB</t>
        </is>
      </c>
      <c r="T807" s="1" t="inlineStr">
        <is>
          <t>P2 - PEPPL</t>
        </is>
      </c>
      <c r="U807" s="2" t="inlineStr">
        <is>
          <t>No Issue Found</t>
        </is>
      </c>
      <c r="V807" s="6" t="inlineStr">
        <is>
          <t>Inspection</t>
        </is>
      </c>
      <c r="W807" s="1" t="inlineStr">
        <is>
          <t>Rejected</t>
        </is>
      </c>
      <c r="X807" s="5" t="n">
        <v>46179</v>
      </c>
      <c r="Y807" s="1">
        <f>IF(X807="","",X807-A807)</f>
        <v/>
      </c>
      <c r="Z807" s="5" t="n">
        <v>46179</v>
      </c>
      <c r="AA807" s="3" t="n"/>
      <c r="AB807" s="3" t="n"/>
      <c r="AE807" s="146">
        <f>IF(AND(F807="Closed",X807&gt;=DATE(2026,6,1),X807&lt;=DATE(2026,6,30)),"Closed in June","other")</f>
        <v/>
      </c>
    </row>
    <row r="808" hidden="1">
      <c r="A808" s="49" t="n">
        <v>46162</v>
      </c>
      <c r="B808" s="1" t="n">
        <v>2026</v>
      </c>
      <c r="C808" s="8" t="inlineStr">
        <is>
          <t>Vashi</t>
        </is>
      </c>
      <c r="D808" s="8" t="inlineStr">
        <is>
          <t>Channel Sales</t>
        </is>
      </c>
      <c r="E808" s="1" t="n"/>
      <c r="F808" s="1" t="inlineStr">
        <is>
          <t>Closed</t>
        </is>
      </c>
      <c r="G808" s="8" t="inlineStr">
        <is>
          <t>Nachiket Buchade</t>
        </is>
      </c>
      <c r="H808" s="28" t="n">
        <v>8828840014</v>
      </c>
      <c r="I808" s="10" t="inlineStr">
        <is>
          <t>PE20052602</t>
        </is>
      </c>
      <c r="J808" s="8" t="inlineStr">
        <is>
          <t>Decrease in production</t>
        </is>
      </c>
      <c r="K808" s="8" t="inlineStr">
        <is>
          <t>Indore</t>
        </is>
      </c>
      <c r="L808" s="8" t="inlineStr">
        <is>
          <t>MP</t>
        </is>
      </c>
      <c r="M808" s="2" t="inlineStr">
        <is>
          <t>OK</t>
        </is>
      </c>
      <c r="N808" s="2" t="inlineStr">
        <is>
          <t>No Issue Found</t>
        </is>
      </c>
      <c r="O808" s="11" t="n">
        <v>545</v>
      </c>
      <c r="P808" s="2" t="inlineStr">
        <is>
          <t>NA</t>
        </is>
      </c>
      <c r="Q808" s="2" t="inlineStr">
        <is>
          <t>NA</t>
        </is>
      </c>
      <c r="R808" s="2" t="inlineStr">
        <is>
          <t>NA</t>
        </is>
      </c>
      <c r="S808" s="1" t="inlineStr">
        <is>
          <t>G2TB</t>
        </is>
      </c>
      <c r="T808" s="1" t="inlineStr">
        <is>
          <t>P2 - PEPPL</t>
        </is>
      </c>
      <c r="U808" s="2" t="inlineStr">
        <is>
          <t>No Issue Found</t>
        </is>
      </c>
      <c r="V808" s="6" t="inlineStr">
        <is>
          <t>Inspection</t>
        </is>
      </c>
      <c r="W808" s="1" t="inlineStr">
        <is>
          <t>Rejected</t>
        </is>
      </c>
      <c r="X808" s="5" t="n">
        <v>46179</v>
      </c>
      <c r="Y808" s="1">
        <f>IF(X808="","",X808-A808)</f>
        <v/>
      </c>
      <c r="Z808" s="5" t="n">
        <v>46179</v>
      </c>
      <c r="AA808" s="3" t="n"/>
      <c r="AB808" s="3" t="n"/>
      <c r="AE808" s="146">
        <f>IF(AND(F808="Closed",X808&gt;=DATE(2026,6,1),X808&lt;=DATE(2026,6,30)),"Closed in June","other")</f>
        <v/>
      </c>
    </row>
    <row r="809" hidden="1">
      <c r="A809" s="49" t="n">
        <v>46162</v>
      </c>
      <c r="B809" s="1" t="n">
        <v>2026</v>
      </c>
      <c r="C809" s="8" t="inlineStr">
        <is>
          <t>Vashi</t>
        </is>
      </c>
      <c r="D809" s="8" t="inlineStr">
        <is>
          <t>Channel Sales</t>
        </is>
      </c>
      <c r="E809" s="1" t="n"/>
      <c r="F809" s="1" t="inlineStr">
        <is>
          <t>Closed</t>
        </is>
      </c>
      <c r="G809" s="8" t="inlineStr">
        <is>
          <t>Nachiket Buchade</t>
        </is>
      </c>
      <c r="H809" s="28" t="n">
        <v>8828840014</v>
      </c>
      <c r="I809" s="10" t="inlineStr">
        <is>
          <t>PE20052602</t>
        </is>
      </c>
      <c r="J809" s="8" t="inlineStr">
        <is>
          <t>Decrease in production</t>
        </is>
      </c>
      <c r="K809" s="8" t="inlineStr">
        <is>
          <t>Indore</t>
        </is>
      </c>
      <c r="L809" s="8" t="inlineStr">
        <is>
          <t>MP</t>
        </is>
      </c>
      <c r="M809" s="2" t="inlineStr">
        <is>
          <t>OK</t>
        </is>
      </c>
      <c r="N809" s="2" t="inlineStr">
        <is>
          <t>No Issue Found</t>
        </is>
      </c>
      <c r="O809" s="11" t="n">
        <v>545</v>
      </c>
      <c r="P809" s="2" t="inlineStr">
        <is>
          <t>NA</t>
        </is>
      </c>
      <c r="Q809" s="2" t="inlineStr">
        <is>
          <t>NA</t>
        </is>
      </c>
      <c r="R809" s="2" t="inlineStr">
        <is>
          <t>NA</t>
        </is>
      </c>
      <c r="S809" s="1" t="inlineStr">
        <is>
          <t>G2TB</t>
        </is>
      </c>
      <c r="T809" s="1" t="inlineStr">
        <is>
          <t>P2 - PEPPL</t>
        </is>
      </c>
      <c r="U809" s="2" t="inlineStr">
        <is>
          <t>No Issue Found</t>
        </is>
      </c>
      <c r="V809" s="6" t="inlineStr">
        <is>
          <t>Inspection</t>
        </is>
      </c>
      <c r="W809" s="1" t="inlineStr">
        <is>
          <t>Rejected</t>
        </is>
      </c>
      <c r="X809" s="5" t="n">
        <v>46179</v>
      </c>
      <c r="Y809" s="1">
        <f>IF(X809="","",X809-A809)</f>
        <v/>
      </c>
      <c r="Z809" s="5" t="n">
        <v>46179</v>
      </c>
      <c r="AA809" s="3" t="n"/>
      <c r="AB809" s="3" t="n"/>
      <c r="AE809" s="146">
        <f>IF(AND(F809="Closed",X809&gt;=DATE(2026,6,1),X809&lt;=DATE(2026,6,30)),"Closed in June","other")</f>
        <v/>
      </c>
    </row>
    <row r="810" hidden="1">
      <c r="A810" s="49" t="n">
        <v>46162</v>
      </c>
      <c r="B810" s="1" t="n">
        <v>2026</v>
      </c>
      <c r="C810" s="8" t="inlineStr">
        <is>
          <t>Vashi</t>
        </is>
      </c>
      <c r="D810" s="8" t="inlineStr">
        <is>
          <t>Channel Sales</t>
        </is>
      </c>
      <c r="E810" s="1" t="n"/>
      <c r="F810" s="1" t="inlineStr">
        <is>
          <t>Closed</t>
        </is>
      </c>
      <c r="G810" s="8" t="inlineStr">
        <is>
          <t>Nachiket Buchade</t>
        </is>
      </c>
      <c r="H810" s="28" t="n">
        <v>8828840014</v>
      </c>
      <c r="I810" s="10" t="inlineStr">
        <is>
          <t>PE20052602</t>
        </is>
      </c>
      <c r="J810" s="8" t="inlineStr">
        <is>
          <t>Decrease in production</t>
        </is>
      </c>
      <c r="K810" s="8" t="inlineStr">
        <is>
          <t>Indore</t>
        </is>
      </c>
      <c r="L810" s="8" t="inlineStr">
        <is>
          <t>MP</t>
        </is>
      </c>
      <c r="M810" s="2" t="inlineStr">
        <is>
          <t>OK</t>
        </is>
      </c>
      <c r="N810" s="2" t="inlineStr">
        <is>
          <t>No Issue Found</t>
        </is>
      </c>
      <c r="O810" s="11" t="n">
        <v>545</v>
      </c>
      <c r="P810" s="2" t="inlineStr">
        <is>
          <t>NA</t>
        </is>
      </c>
      <c r="Q810" s="2" t="inlineStr">
        <is>
          <t>NA</t>
        </is>
      </c>
      <c r="R810" s="2" t="inlineStr">
        <is>
          <t>NA</t>
        </is>
      </c>
      <c r="S810" s="1" t="inlineStr">
        <is>
          <t>G2TB</t>
        </is>
      </c>
      <c r="T810" s="1" t="inlineStr">
        <is>
          <t>P2 - PEPPL</t>
        </is>
      </c>
      <c r="U810" s="2" t="inlineStr">
        <is>
          <t>No Issue Found</t>
        </is>
      </c>
      <c r="V810" s="6" t="inlineStr">
        <is>
          <t>Inspection</t>
        </is>
      </c>
      <c r="W810" s="1" t="inlineStr">
        <is>
          <t>Rejected</t>
        </is>
      </c>
      <c r="X810" s="5" t="n">
        <v>46179</v>
      </c>
      <c r="Y810" s="1">
        <f>IF(X810="","",X810-A810)</f>
        <v/>
      </c>
      <c r="Z810" s="5" t="n">
        <v>46179</v>
      </c>
      <c r="AA810" s="3" t="n"/>
      <c r="AB810" s="3" t="n"/>
      <c r="AE810" s="146">
        <f>IF(AND(F810="Closed",X810&gt;=DATE(2026,6,1),X810&lt;=DATE(2026,6,30)),"Closed in June","other")</f>
        <v/>
      </c>
    </row>
    <row r="811" hidden="1">
      <c r="A811" s="49" t="n">
        <v>46162</v>
      </c>
      <c r="B811" s="1" t="n">
        <v>2026</v>
      </c>
      <c r="C811" s="8" t="inlineStr">
        <is>
          <t>Vashi</t>
        </is>
      </c>
      <c r="D811" s="8" t="inlineStr">
        <is>
          <t>Channel Sales</t>
        </is>
      </c>
      <c r="E811" s="1" t="n"/>
      <c r="F811" s="1" t="inlineStr">
        <is>
          <t>Closed</t>
        </is>
      </c>
      <c r="G811" s="8" t="inlineStr">
        <is>
          <t>Nachiket Buchade</t>
        </is>
      </c>
      <c r="H811" s="28" t="n">
        <v>8828840014</v>
      </c>
      <c r="I811" s="10" t="inlineStr">
        <is>
          <t>PE20052602</t>
        </is>
      </c>
      <c r="J811" s="8" t="inlineStr">
        <is>
          <t>Decrease in production</t>
        </is>
      </c>
      <c r="K811" s="8" t="inlineStr">
        <is>
          <t>Indore</t>
        </is>
      </c>
      <c r="L811" s="8" t="inlineStr">
        <is>
          <t>MP</t>
        </is>
      </c>
      <c r="M811" s="2" t="inlineStr">
        <is>
          <t>OK</t>
        </is>
      </c>
      <c r="N811" s="2" t="inlineStr">
        <is>
          <t>No Issue Found</t>
        </is>
      </c>
      <c r="O811" s="11" t="n">
        <v>545</v>
      </c>
      <c r="P811" s="2" t="inlineStr">
        <is>
          <t>NA</t>
        </is>
      </c>
      <c r="Q811" s="2" t="inlineStr">
        <is>
          <t>NA</t>
        </is>
      </c>
      <c r="R811" s="2" t="inlineStr">
        <is>
          <t>NA</t>
        </is>
      </c>
      <c r="S811" s="1" t="inlineStr">
        <is>
          <t>G2TB</t>
        </is>
      </c>
      <c r="T811" s="1" t="inlineStr">
        <is>
          <t>P2 - PEPPL</t>
        </is>
      </c>
      <c r="U811" s="2" t="inlineStr">
        <is>
          <t>No Issue Found</t>
        </is>
      </c>
      <c r="V811" s="6" t="inlineStr">
        <is>
          <t>Inspection</t>
        </is>
      </c>
      <c r="W811" s="1" t="inlineStr">
        <is>
          <t>Rejected</t>
        </is>
      </c>
      <c r="X811" s="5" t="n">
        <v>46179</v>
      </c>
      <c r="Y811" s="1">
        <f>IF(X811="","",X811-A811)</f>
        <v/>
      </c>
      <c r="Z811" s="5" t="n">
        <v>46179</v>
      </c>
      <c r="AA811" s="3" t="n"/>
      <c r="AB811" s="3" t="n"/>
      <c r="AE811" s="146">
        <f>IF(AND(F811="Closed",X811&gt;=DATE(2026,6,1),X811&lt;=DATE(2026,6,30)),"Closed in June","other")</f>
        <v/>
      </c>
    </row>
    <row r="812" hidden="1">
      <c r="A812" s="49" t="n">
        <v>46162</v>
      </c>
      <c r="B812" s="1" t="n">
        <v>2026</v>
      </c>
      <c r="C812" s="8" t="inlineStr">
        <is>
          <t>Vashi</t>
        </is>
      </c>
      <c r="D812" s="8" t="inlineStr">
        <is>
          <t>Channel Sales</t>
        </is>
      </c>
      <c r="E812" s="1" t="n"/>
      <c r="F812" s="1" t="inlineStr">
        <is>
          <t>Closed</t>
        </is>
      </c>
      <c r="G812" s="8" t="inlineStr">
        <is>
          <t>Nachiket Buchade</t>
        </is>
      </c>
      <c r="H812" s="28" t="n">
        <v>8828840014</v>
      </c>
      <c r="I812" s="10" t="inlineStr">
        <is>
          <t>PE20052602</t>
        </is>
      </c>
      <c r="J812" s="8" t="inlineStr">
        <is>
          <t>Decrease in production</t>
        </is>
      </c>
      <c r="K812" s="8" t="inlineStr">
        <is>
          <t>Indore</t>
        </is>
      </c>
      <c r="L812" s="8" t="inlineStr">
        <is>
          <t>MP</t>
        </is>
      </c>
      <c r="M812" s="2" t="inlineStr">
        <is>
          <t>OK</t>
        </is>
      </c>
      <c r="N812" s="2" t="inlineStr">
        <is>
          <t>No Issue Found</t>
        </is>
      </c>
      <c r="O812" s="11" t="n">
        <v>545</v>
      </c>
      <c r="P812" s="2" t="inlineStr">
        <is>
          <t>NA</t>
        </is>
      </c>
      <c r="Q812" s="2" t="inlineStr">
        <is>
          <t>NA</t>
        </is>
      </c>
      <c r="R812" s="2" t="inlineStr">
        <is>
          <t>NA</t>
        </is>
      </c>
      <c r="S812" s="1" t="inlineStr">
        <is>
          <t>G2TB</t>
        </is>
      </c>
      <c r="T812" s="1" t="inlineStr">
        <is>
          <t>P2 - PEPPL</t>
        </is>
      </c>
      <c r="U812" s="2" t="inlineStr">
        <is>
          <t>No Issue Found</t>
        </is>
      </c>
      <c r="V812" s="6" t="inlineStr">
        <is>
          <t>Inspection</t>
        </is>
      </c>
      <c r="W812" s="1" t="inlineStr">
        <is>
          <t>Rejected</t>
        </is>
      </c>
      <c r="X812" s="5" t="n">
        <v>46179</v>
      </c>
      <c r="Y812" s="1">
        <f>IF(X812="","",X812-A812)</f>
        <v/>
      </c>
      <c r="Z812" s="5" t="n">
        <v>46179</v>
      </c>
      <c r="AA812" s="3" t="n"/>
      <c r="AB812" s="3" t="n"/>
      <c r="AE812" s="146">
        <f>IF(AND(F812="Closed",X812&gt;=DATE(2026,6,1),X812&lt;=DATE(2026,6,30)),"Closed in June","other")</f>
        <v/>
      </c>
    </row>
    <row r="813" hidden="1">
      <c r="A813" s="49" t="n">
        <v>46162</v>
      </c>
      <c r="B813" s="1" t="n">
        <v>2026</v>
      </c>
      <c r="C813" s="8" t="inlineStr">
        <is>
          <t>Vashi</t>
        </is>
      </c>
      <c r="D813" s="8" t="inlineStr">
        <is>
          <t>Channel Sales</t>
        </is>
      </c>
      <c r="E813" s="1" t="n"/>
      <c r="F813" s="1" t="inlineStr">
        <is>
          <t>Closed</t>
        </is>
      </c>
      <c r="G813" s="8" t="inlineStr">
        <is>
          <t>Nachiket Buchade</t>
        </is>
      </c>
      <c r="H813" s="28" t="n">
        <v>8828840014</v>
      </c>
      <c r="I813" s="10" t="inlineStr">
        <is>
          <t>PE20052602</t>
        </is>
      </c>
      <c r="J813" s="8" t="inlineStr">
        <is>
          <t>Decrease in production</t>
        </is>
      </c>
      <c r="K813" s="8" t="inlineStr">
        <is>
          <t>Indore</t>
        </is>
      </c>
      <c r="L813" s="8" t="inlineStr">
        <is>
          <t>MP</t>
        </is>
      </c>
      <c r="M813" s="2" t="inlineStr">
        <is>
          <t>OK</t>
        </is>
      </c>
      <c r="N813" s="2" t="inlineStr">
        <is>
          <t>No Issue Found</t>
        </is>
      </c>
      <c r="O813" s="11" t="n">
        <v>545</v>
      </c>
      <c r="P813" s="2" t="inlineStr">
        <is>
          <t>NA</t>
        </is>
      </c>
      <c r="Q813" s="2" t="inlineStr">
        <is>
          <t>NA</t>
        </is>
      </c>
      <c r="R813" s="2" t="inlineStr">
        <is>
          <t>NA</t>
        </is>
      </c>
      <c r="S813" s="1" t="inlineStr">
        <is>
          <t>G2TB</t>
        </is>
      </c>
      <c r="T813" s="1" t="inlineStr">
        <is>
          <t>P2 - PEPPL</t>
        </is>
      </c>
      <c r="U813" s="2" t="inlineStr">
        <is>
          <t>No Issue Found</t>
        </is>
      </c>
      <c r="V813" s="6" t="inlineStr">
        <is>
          <t>Inspection</t>
        </is>
      </c>
      <c r="W813" s="1" t="inlineStr">
        <is>
          <t>Rejected</t>
        </is>
      </c>
      <c r="X813" s="5" t="n">
        <v>46179</v>
      </c>
      <c r="Y813" s="1">
        <f>IF(X813="","",X813-A813)</f>
        <v/>
      </c>
      <c r="Z813" s="5" t="n">
        <v>46179</v>
      </c>
      <c r="AA813" s="3" t="n"/>
      <c r="AB813" s="3" t="n"/>
      <c r="AE813" s="146">
        <f>IF(AND(F813="Closed",X813&gt;=DATE(2026,6,1),X813&lt;=DATE(2026,6,30)),"Closed in June","other")</f>
        <v/>
      </c>
    </row>
    <row r="814" hidden="1">
      <c r="A814" s="49" t="n">
        <v>46162</v>
      </c>
      <c r="B814" s="1" t="n">
        <v>2026</v>
      </c>
      <c r="C814" s="8" t="inlineStr">
        <is>
          <t>Vashi</t>
        </is>
      </c>
      <c r="D814" s="8" t="inlineStr">
        <is>
          <t>Channel Sales</t>
        </is>
      </c>
      <c r="E814" s="1" t="n"/>
      <c r="F814" s="1" t="inlineStr">
        <is>
          <t>Closed</t>
        </is>
      </c>
      <c r="G814" s="8" t="inlineStr">
        <is>
          <t>Nachiket Buchade</t>
        </is>
      </c>
      <c r="H814" s="28" t="n">
        <v>8828840014</v>
      </c>
      <c r="I814" s="10" t="inlineStr">
        <is>
          <t>PE20052602</t>
        </is>
      </c>
      <c r="J814" s="8" t="inlineStr">
        <is>
          <t>Decrease in production</t>
        </is>
      </c>
      <c r="K814" s="8" t="inlineStr">
        <is>
          <t>Indore</t>
        </is>
      </c>
      <c r="L814" s="8" t="inlineStr">
        <is>
          <t>MP</t>
        </is>
      </c>
      <c r="M814" s="2" t="inlineStr">
        <is>
          <t>OK</t>
        </is>
      </c>
      <c r="N814" s="2" t="inlineStr">
        <is>
          <t>No Issue Found</t>
        </is>
      </c>
      <c r="O814" s="11" t="n">
        <v>545</v>
      </c>
      <c r="P814" s="2" t="inlineStr">
        <is>
          <t>NA</t>
        </is>
      </c>
      <c r="Q814" s="2" t="inlineStr">
        <is>
          <t>NA</t>
        </is>
      </c>
      <c r="R814" s="2" t="inlineStr">
        <is>
          <t>NA</t>
        </is>
      </c>
      <c r="S814" s="1" t="inlineStr">
        <is>
          <t>G2TB</t>
        </is>
      </c>
      <c r="T814" s="1" t="inlineStr">
        <is>
          <t>P2 - PEPPL</t>
        </is>
      </c>
      <c r="U814" s="2" t="inlineStr">
        <is>
          <t>No Issue Found</t>
        </is>
      </c>
      <c r="V814" s="6" t="inlineStr">
        <is>
          <t>Inspection</t>
        </is>
      </c>
      <c r="W814" s="1" t="inlineStr">
        <is>
          <t>Rejected</t>
        </is>
      </c>
      <c r="X814" s="5" t="n">
        <v>46179</v>
      </c>
      <c r="Y814" s="1">
        <f>IF(X814="","",X814-A814)</f>
        <v/>
      </c>
      <c r="Z814" s="5" t="n">
        <v>46179</v>
      </c>
      <c r="AA814" s="3" t="n"/>
      <c r="AB814" s="3" t="n"/>
      <c r="AE814" s="146">
        <f>IF(AND(F814="Closed",X814&gt;=DATE(2026,6,1),X814&lt;=DATE(2026,6,30)),"Closed in June","other")</f>
        <v/>
      </c>
    </row>
    <row r="815" hidden="1">
      <c r="A815" s="49" t="n">
        <v>46162</v>
      </c>
      <c r="B815" s="1" t="n">
        <v>2026</v>
      </c>
      <c r="C815" s="8" t="inlineStr">
        <is>
          <t>Vashi</t>
        </is>
      </c>
      <c r="D815" s="8" t="inlineStr">
        <is>
          <t>Channel Sales</t>
        </is>
      </c>
      <c r="E815" s="1" t="n"/>
      <c r="F815" s="1" t="inlineStr">
        <is>
          <t>Closed</t>
        </is>
      </c>
      <c r="G815" s="8" t="inlineStr">
        <is>
          <t>Nachiket Buchade</t>
        </is>
      </c>
      <c r="H815" s="28" t="n">
        <v>8828840014</v>
      </c>
      <c r="I815" s="10" t="inlineStr">
        <is>
          <t>PE20052602</t>
        </is>
      </c>
      <c r="J815" s="8" t="inlineStr">
        <is>
          <t>Decrease in production</t>
        </is>
      </c>
      <c r="K815" s="8" t="inlineStr">
        <is>
          <t>Indore</t>
        </is>
      </c>
      <c r="L815" s="8" t="inlineStr">
        <is>
          <t>MP</t>
        </is>
      </c>
      <c r="M815" s="2" t="inlineStr">
        <is>
          <t>OK</t>
        </is>
      </c>
      <c r="N815" s="2" t="inlineStr">
        <is>
          <t>No Issue Found</t>
        </is>
      </c>
      <c r="O815" s="11" t="n">
        <v>545</v>
      </c>
      <c r="P815" s="2" t="inlineStr">
        <is>
          <t>NA</t>
        </is>
      </c>
      <c r="Q815" s="2" t="inlineStr">
        <is>
          <t>NA</t>
        </is>
      </c>
      <c r="R815" s="2" t="inlineStr">
        <is>
          <t>NA</t>
        </is>
      </c>
      <c r="S815" s="1" t="inlineStr">
        <is>
          <t>G2TB</t>
        </is>
      </c>
      <c r="T815" s="1" t="inlineStr">
        <is>
          <t>P2 - PEPPL</t>
        </is>
      </c>
      <c r="U815" s="2" t="inlineStr">
        <is>
          <t>No Issue Found</t>
        </is>
      </c>
      <c r="V815" s="6" t="inlineStr">
        <is>
          <t>Inspection</t>
        </is>
      </c>
      <c r="W815" s="1" t="inlineStr">
        <is>
          <t>Rejected</t>
        </is>
      </c>
      <c r="X815" s="5" t="n">
        <v>46179</v>
      </c>
      <c r="Y815" s="1">
        <f>IF(X815="","",X815-A815)</f>
        <v/>
      </c>
      <c r="Z815" s="5" t="n">
        <v>46179</v>
      </c>
      <c r="AA815" s="3" t="n"/>
      <c r="AB815" s="3" t="n"/>
      <c r="AE815" s="146">
        <f>IF(AND(F815="Closed",X815&gt;=DATE(2026,6,1),X815&lt;=DATE(2026,6,30)),"Closed in June","other")</f>
        <v/>
      </c>
    </row>
    <row r="816" hidden="1">
      <c r="A816" s="49" t="n">
        <v>46162</v>
      </c>
      <c r="B816" s="1" t="n">
        <v>2026</v>
      </c>
      <c r="C816" s="8" t="inlineStr">
        <is>
          <t>Vashi</t>
        </is>
      </c>
      <c r="D816" s="8" t="inlineStr">
        <is>
          <t>Channel Sales</t>
        </is>
      </c>
      <c r="E816" s="1" t="n"/>
      <c r="F816" s="1" t="inlineStr">
        <is>
          <t>Closed</t>
        </is>
      </c>
      <c r="G816" s="8" t="inlineStr">
        <is>
          <t>Nachiket Buchade</t>
        </is>
      </c>
      <c r="H816" s="28" t="n">
        <v>8828840014</v>
      </c>
      <c r="I816" s="10" t="inlineStr">
        <is>
          <t>PE20052602</t>
        </is>
      </c>
      <c r="J816" s="8" t="inlineStr">
        <is>
          <t>Decrease in production</t>
        </is>
      </c>
      <c r="K816" s="8" t="inlineStr">
        <is>
          <t>Indore</t>
        </is>
      </c>
      <c r="L816" s="8" t="inlineStr">
        <is>
          <t>MP</t>
        </is>
      </c>
      <c r="M816" s="2" t="inlineStr">
        <is>
          <t>OK</t>
        </is>
      </c>
      <c r="N816" s="2" t="inlineStr">
        <is>
          <t>No Issue Found</t>
        </is>
      </c>
      <c r="O816" s="11" t="n">
        <v>545</v>
      </c>
      <c r="P816" s="2" t="inlineStr">
        <is>
          <t>NA</t>
        </is>
      </c>
      <c r="Q816" s="2" t="inlineStr">
        <is>
          <t>NA</t>
        </is>
      </c>
      <c r="R816" s="2" t="inlineStr">
        <is>
          <t>NA</t>
        </is>
      </c>
      <c r="S816" s="1" t="inlineStr">
        <is>
          <t>G2TB</t>
        </is>
      </c>
      <c r="T816" s="1" t="inlineStr">
        <is>
          <t>P2 - PEPPL</t>
        </is>
      </c>
      <c r="U816" s="2" t="inlineStr">
        <is>
          <t>No Issue Found</t>
        </is>
      </c>
      <c r="V816" s="6" t="inlineStr">
        <is>
          <t>Inspection</t>
        </is>
      </c>
      <c r="W816" s="1" t="inlineStr">
        <is>
          <t>Rejected</t>
        </is>
      </c>
      <c r="X816" s="5" t="n">
        <v>46179</v>
      </c>
      <c r="Y816" s="1">
        <f>IF(X816="","",X816-A816)</f>
        <v/>
      </c>
      <c r="Z816" s="5" t="n">
        <v>46179</v>
      </c>
      <c r="AA816" s="3" t="n"/>
      <c r="AB816" s="3" t="n"/>
      <c r="AE816" s="146">
        <f>IF(AND(F816="Closed",X816&gt;=DATE(2026,6,1),X816&lt;=DATE(2026,6,30)),"Closed in June","other")</f>
        <v/>
      </c>
    </row>
    <row r="817" hidden="1">
      <c r="A817" s="49" t="n">
        <v>46162</v>
      </c>
      <c r="B817" s="1" t="n">
        <v>2026</v>
      </c>
      <c r="C817" s="8" t="inlineStr">
        <is>
          <t>Vashi</t>
        </is>
      </c>
      <c r="D817" s="8" t="inlineStr">
        <is>
          <t>Channel Sales</t>
        </is>
      </c>
      <c r="E817" s="1" t="n"/>
      <c r="F817" s="1" t="inlineStr">
        <is>
          <t>Closed</t>
        </is>
      </c>
      <c r="G817" s="8" t="inlineStr">
        <is>
          <t>Nachiket Buchade</t>
        </is>
      </c>
      <c r="H817" s="28" t="n">
        <v>8828840014</v>
      </c>
      <c r="I817" s="10" t="inlineStr">
        <is>
          <t>PE20052602</t>
        </is>
      </c>
      <c r="J817" s="8" t="inlineStr">
        <is>
          <t>Decrease in production</t>
        </is>
      </c>
      <c r="K817" s="8" t="inlineStr">
        <is>
          <t>Indore</t>
        </is>
      </c>
      <c r="L817" s="8" t="inlineStr">
        <is>
          <t>MP</t>
        </is>
      </c>
      <c r="M817" s="2" t="inlineStr">
        <is>
          <t>OK</t>
        </is>
      </c>
      <c r="N817" s="2" t="inlineStr">
        <is>
          <t>No Issue Found</t>
        </is>
      </c>
      <c r="O817" s="11" t="n">
        <v>545</v>
      </c>
      <c r="P817" s="2" t="inlineStr">
        <is>
          <t>NA</t>
        </is>
      </c>
      <c r="Q817" s="2" t="inlineStr">
        <is>
          <t>NA</t>
        </is>
      </c>
      <c r="R817" s="2" t="inlineStr">
        <is>
          <t>NA</t>
        </is>
      </c>
      <c r="S817" s="1" t="inlineStr">
        <is>
          <t>G2TB</t>
        </is>
      </c>
      <c r="T817" s="1" t="inlineStr">
        <is>
          <t>P2 - PEPPL</t>
        </is>
      </c>
      <c r="U817" s="2" t="inlineStr">
        <is>
          <t>No Issue Found</t>
        </is>
      </c>
      <c r="V817" s="6" t="inlineStr">
        <is>
          <t>Inspection</t>
        </is>
      </c>
      <c r="W817" s="1" t="inlineStr">
        <is>
          <t>Rejected</t>
        </is>
      </c>
      <c r="X817" s="5" t="n">
        <v>46179</v>
      </c>
      <c r="Y817" s="1">
        <f>IF(X817="","",X817-A817)</f>
        <v/>
      </c>
      <c r="Z817" s="5" t="n">
        <v>46179</v>
      </c>
      <c r="AA817" s="3" t="n"/>
      <c r="AB817" s="3" t="n"/>
      <c r="AE817" s="146">
        <f>IF(AND(F817="Closed",X817&gt;=DATE(2026,6,1),X817&lt;=DATE(2026,6,30)),"Closed in June","other")</f>
        <v/>
      </c>
    </row>
    <row r="818" hidden="1">
      <c r="A818" s="49" t="n">
        <v>46162</v>
      </c>
      <c r="B818" s="1" t="n">
        <v>2026</v>
      </c>
      <c r="C818" s="8" t="inlineStr">
        <is>
          <t>Vashi</t>
        </is>
      </c>
      <c r="D818" s="8" t="inlineStr">
        <is>
          <t>Channel Sales</t>
        </is>
      </c>
      <c r="E818" s="1" t="n"/>
      <c r="F818" s="1" t="inlineStr">
        <is>
          <t>Closed</t>
        </is>
      </c>
      <c r="G818" s="8" t="inlineStr">
        <is>
          <t>Nachiket Buchade</t>
        </is>
      </c>
      <c r="H818" s="28" t="n">
        <v>8828840014</v>
      </c>
      <c r="I818" s="10" t="inlineStr">
        <is>
          <t>PE20052602</t>
        </is>
      </c>
      <c r="J818" s="8" t="inlineStr">
        <is>
          <t>Decrease in production</t>
        </is>
      </c>
      <c r="K818" s="8" t="inlineStr">
        <is>
          <t>Indore</t>
        </is>
      </c>
      <c r="L818" s="8" t="inlineStr">
        <is>
          <t>MP</t>
        </is>
      </c>
      <c r="M818" s="2" t="inlineStr">
        <is>
          <t>OK</t>
        </is>
      </c>
      <c r="N818" s="2" t="inlineStr">
        <is>
          <t>No Issue Found</t>
        </is>
      </c>
      <c r="O818" s="11" t="n">
        <v>545</v>
      </c>
      <c r="P818" s="2" t="inlineStr">
        <is>
          <t>NA</t>
        </is>
      </c>
      <c r="Q818" s="2" t="inlineStr">
        <is>
          <t>NA</t>
        </is>
      </c>
      <c r="R818" s="2" t="inlineStr">
        <is>
          <t>NA</t>
        </is>
      </c>
      <c r="S818" s="1" t="inlineStr">
        <is>
          <t>G2TB</t>
        </is>
      </c>
      <c r="T818" s="1" t="inlineStr">
        <is>
          <t>P2 - PEPPL</t>
        </is>
      </c>
      <c r="U818" s="2" t="inlineStr">
        <is>
          <t>No Issue Found</t>
        </is>
      </c>
      <c r="V818" s="6" t="inlineStr">
        <is>
          <t>Inspection</t>
        </is>
      </c>
      <c r="W818" s="1" t="inlineStr">
        <is>
          <t>Rejected</t>
        </is>
      </c>
      <c r="X818" s="5" t="n">
        <v>46179</v>
      </c>
      <c r="Y818" s="1">
        <f>IF(X818="","",X818-A818)</f>
        <v/>
      </c>
      <c r="Z818" s="5" t="n">
        <v>46179</v>
      </c>
      <c r="AA818" s="3" t="n"/>
      <c r="AB818" s="3" t="n"/>
      <c r="AE818" s="146">
        <f>IF(AND(F818="Closed",X818&gt;=DATE(2026,6,1),X818&lt;=DATE(2026,6,30)),"Closed in June","other")</f>
        <v/>
      </c>
    </row>
    <row r="819" hidden="1">
      <c r="A819" s="49" t="n">
        <v>46162</v>
      </c>
      <c r="B819" s="1" t="n">
        <v>2026</v>
      </c>
      <c r="C819" s="8" t="inlineStr">
        <is>
          <t>Vashi</t>
        </is>
      </c>
      <c r="D819" s="8" t="inlineStr">
        <is>
          <t>Channel Sales</t>
        </is>
      </c>
      <c r="E819" s="1" t="n"/>
      <c r="F819" s="1" t="inlineStr">
        <is>
          <t>Closed</t>
        </is>
      </c>
      <c r="G819" s="8" t="inlineStr">
        <is>
          <t>Nachiket Buchade</t>
        </is>
      </c>
      <c r="H819" s="28" t="n">
        <v>8828840014</v>
      </c>
      <c r="I819" s="10" t="inlineStr">
        <is>
          <t>PE20052602</t>
        </is>
      </c>
      <c r="J819" s="8" t="inlineStr">
        <is>
          <t>Decrease in production</t>
        </is>
      </c>
      <c r="K819" s="8" t="inlineStr">
        <is>
          <t>Indore</t>
        </is>
      </c>
      <c r="L819" s="8" t="inlineStr">
        <is>
          <t>MP</t>
        </is>
      </c>
      <c r="M819" s="2" t="inlineStr">
        <is>
          <t>OK</t>
        </is>
      </c>
      <c r="N819" s="2" t="inlineStr">
        <is>
          <t>No Issue Found</t>
        </is>
      </c>
      <c r="O819" s="11" t="n">
        <v>545</v>
      </c>
      <c r="P819" s="2" t="inlineStr">
        <is>
          <t>NA</t>
        </is>
      </c>
      <c r="Q819" s="2" t="inlineStr">
        <is>
          <t>NA</t>
        </is>
      </c>
      <c r="R819" s="2" t="inlineStr">
        <is>
          <t>NA</t>
        </is>
      </c>
      <c r="S819" s="1" t="inlineStr">
        <is>
          <t>G2TB</t>
        </is>
      </c>
      <c r="T819" s="1" t="inlineStr">
        <is>
          <t>P2 - PEPPL</t>
        </is>
      </c>
      <c r="U819" s="2" t="inlineStr">
        <is>
          <t>No Issue Found</t>
        </is>
      </c>
      <c r="V819" s="6" t="inlineStr">
        <is>
          <t>Inspection</t>
        </is>
      </c>
      <c r="W819" s="1" t="inlineStr">
        <is>
          <t>Rejected</t>
        </is>
      </c>
      <c r="X819" s="5" t="n">
        <v>46179</v>
      </c>
      <c r="Y819" s="1">
        <f>IF(X819="","",X819-A819)</f>
        <v/>
      </c>
      <c r="Z819" s="5" t="n">
        <v>46179</v>
      </c>
      <c r="AA819" s="3" t="n"/>
      <c r="AB819" s="3" t="n"/>
      <c r="AE819" s="146">
        <f>IF(AND(F819="Closed",X819&gt;=DATE(2026,6,1),X819&lt;=DATE(2026,6,30)),"Closed in June","other")</f>
        <v/>
      </c>
    </row>
    <row r="820" hidden="1">
      <c r="A820" s="49" t="n">
        <v>46162</v>
      </c>
      <c r="B820" s="1" t="n">
        <v>2026</v>
      </c>
      <c r="C820" s="8" t="inlineStr">
        <is>
          <t>Vashi</t>
        </is>
      </c>
      <c r="D820" s="8" t="inlineStr">
        <is>
          <t>Channel Sales</t>
        </is>
      </c>
      <c r="E820" s="1" t="n"/>
      <c r="F820" s="1" t="inlineStr">
        <is>
          <t>Closed</t>
        </is>
      </c>
      <c r="G820" s="8" t="inlineStr">
        <is>
          <t>Nachiket Buchade</t>
        </is>
      </c>
      <c r="H820" s="28" t="n">
        <v>8828840014</v>
      </c>
      <c r="I820" s="10" t="inlineStr">
        <is>
          <t>PE20052602</t>
        </is>
      </c>
      <c r="J820" s="8" t="inlineStr">
        <is>
          <t>Decrease in production</t>
        </is>
      </c>
      <c r="K820" s="8" t="inlineStr">
        <is>
          <t>Indore</t>
        </is>
      </c>
      <c r="L820" s="8" t="inlineStr">
        <is>
          <t>MP</t>
        </is>
      </c>
      <c r="M820" s="2" t="inlineStr">
        <is>
          <t>OK</t>
        </is>
      </c>
      <c r="N820" s="2" t="inlineStr">
        <is>
          <t>No Issue Found</t>
        </is>
      </c>
      <c r="O820" s="11" t="n">
        <v>545</v>
      </c>
      <c r="P820" s="2" t="inlineStr">
        <is>
          <t>NA</t>
        </is>
      </c>
      <c r="Q820" s="2" t="inlineStr">
        <is>
          <t>NA</t>
        </is>
      </c>
      <c r="R820" s="2" t="inlineStr">
        <is>
          <t>NA</t>
        </is>
      </c>
      <c r="S820" s="1" t="inlineStr">
        <is>
          <t>G2TB</t>
        </is>
      </c>
      <c r="T820" s="1" t="inlineStr">
        <is>
          <t>P2 - PEPPL</t>
        </is>
      </c>
      <c r="U820" s="2" t="inlineStr">
        <is>
          <t>No Issue Found</t>
        </is>
      </c>
      <c r="V820" s="6" t="inlineStr">
        <is>
          <t>Inspection</t>
        </is>
      </c>
      <c r="W820" s="1" t="inlineStr">
        <is>
          <t>Rejected</t>
        </is>
      </c>
      <c r="X820" s="5" t="n">
        <v>46179</v>
      </c>
      <c r="Y820" s="1">
        <f>IF(X820="","",X820-A820)</f>
        <v/>
      </c>
      <c r="Z820" s="5" t="n">
        <v>46179</v>
      </c>
      <c r="AA820" s="3" t="n"/>
      <c r="AB820" s="3" t="n"/>
      <c r="AE820" s="146">
        <f>IF(AND(F820="Closed",X820&gt;=DATE(2026,6,1),X820&lt;=DATE(2026,6,30)),"Closed in June","other")</f>
        <v/>
      </c>
    </row>
    <row r="821" hidden="1">
      <c r="A821" s="49" t="n">
        <v>46162</v>
      </c>
      <c r="B821" s="1" t="n">
        <v>2026</v>
      </c>
      <c r="C821" s="8" t="inlineStr">
        <is>
          <t>Vashi</t>
        </is>
      </c>
      <c r="D821" s="8" t="inlineStr">
        <is>
          <t>Channel Sales</t>
        </is>
      </c>
      <c r="E821" s="1" t="n"/>
      <c r="F821" s="1" t="inlineStr">
        <is>
          <t>Closed</t>
        </is>
      </c>
      <c r="G821" s="8" t="inlineStr">
        <is>
          <t>Nachiket Buchade</t>
        </is>
      </c>
      <c r="H821" s="28" t="n">
        <v>8828840014</v>
      </c>
      <c r="I821" s="10" t="inlineStr">
        <is>
          <t>PE20052602</t>
        </is>
      </c>
      <c r="J821" s="8" t="inlineStr">
        <is>
          <t>Decrease in production</t>
        </is>
      </c>
      <c r="K821" s="8" t="inlineStr">
        <is>
          <t>Indore</t>
        </is>
      </c>
      <c r="L821" s="8" t="inlineStr">
        <is>
          <t>MP</t>
        </is>
      </c>
      <c r="M821" s="2" t="inlineStr">
        <is>
          <t>OK</t>
        </is>
      </c>
      <c r="N821" s="2" t="inlineStr">
        <is>
          <t>No Issue Found</t>
        </is>
      </c>
      <c r="O821" s="11" t="n">
        <v>545</v>
      </c>
      <c r="P821" s="2" t="inlineStr">
        <is>
          <t>NA</t>
        </is>
      </c>
      <c r="Q821" s="2" t="inlineStr">
        <is>
          <t>NA</t>
        </is>
      </c>
      <c r="R821" s="2" t="inlineStr">
        <is>
          <t>NA</t>
        </is>
      </c>
      <c r="S821" s="1" t="inlineStr">
        <is>
          <t>G2TB</t>
        </is>
      </c>
      <c r="T821" s="1" t="inlineStr">
        <is>
          <t>P2 - PEPPL</t>
        </is>
      </c>
      <c r="U821" s="2" t="inlineStr">
        <is>
          <t>No Issue Found</t>
        </is>
      </c>
      <c r="V821" s="6" t="inlineStr">
        <is>
          <t>Inspection</t>
        </is>
      </c>
      <c r="W821" s="1" t="inlineStr">
        <is>
          <t>Rejected</t>
        </is>
      </c>
      <c r="X821" s="5" t="n">
        <v>46179</v>
      </c>
      <c r="Y821" s="1">
        <f>IF(X821="","",X821-A821)</f>
        <v/>
      </c>
      <c r="Z821" s="5" t="n">
        <v>46179</v>
      </c>
      <c r="AA821" s="3" t="n"/>
      <c r="AB821" s="3" t="n"/>
      <c r="AE821" s="146">
        <f>IF(AND(F821="Closed",X821&gt;=DATE(2026,6,1),X821&lt;=DATE(2026,6,30)),"Closed in June","other")</f>
        <v/>
      </c>
    </row>
    <row r="822" hidden="1">
      <c r="A822" s="49" t="n">
        <v>46162</v>
      </c>
      <c r="B822" s="1" t="n">
        <v>2026</v>
      </c>
      <c r="C822" s="8" t="inlineStr">
        <is>
          <t>Vashi</t>
        </is>
      </c>
      <c r="D822" s="8" t="inlineStr">
        <is>
          <t>Channel Sales</t>
        </is>
      </c>
      <c r="E822" s="1" t="n"/>
      <c r="F822" s="1" t="inlineStr">
        <is>
          <t>Closed</t>
        </is>
      </c>
      <c r="G822" s="8" t="inlineStr">
        <is>
          <t>Nachiket Buchade</t>
        </is>
      </c>
      <c r="H822" s="28" t="n">
        <v>8828840014</v>
      </c>
      <c r="I822" s="10" t="inlineStr">
        <is>
          <t>PE20052602</t>
        </is>
      </c>
      <c r="J822" s="8" t="inlineStr">
        <is>
          <t>Decrease in production</t>
        </is>
      </c>
      <c r="K822" s="8" t="inlineStr">
        <is>
          <t>Indore</t>
        </is>
      </c>
      <c r="L822" s="8" t="inlineStr">
        <is>
          <t>MP</t>
        </is>
      </c>
      <c r="M822" s="2" t="inlineStr">
        <is>
          <t>OK</t>
        </is>
      </c>
      <c r="N822" s="2" t="inlineStr">
        <is>
          <t>No Issue Found</t>
        </is>
      </c>
      <c r="O822" s="11" t="n">
        <v>545</v>
      </c>
      <c r="P822" s="2" t="inlineStr">
        <is>
          <t>NA</t>
        </is>
      </c>
      <c r="Q822" s="2" t="inlineStr">
        <is>
          <t>NA</t>
        </is>
      </c>
      <c r="R822" s="2" t="inlineStr">
        <is>
          <t>NA</t>
        </is>
      </c>
      <c r="S822" s="1" t="inlineStr">
        <is>
          <t>G2TB</t>
        </is>
      </c>
      <c r="T822" s="1" t="inlineStr">
        <is>
          <t>P2 - PEPPL</t>
        </is>
      </c>
      <c r="U822" s="2" t="inlineStr">
        <is>
          <t>No Issue Found</t>
        </is>
      </c>
      <c r="V822" s="6" t="inlineStr">
        <is>
          <t>Inspection</t>
        </is>
      </c>
      <c r="W822" s="1" t="inlineStr">
        <is>
          <t>Rejected</t>
        </is>
      </c>
      <c r="X822" s="5" t="n">
        <v>46179</v>
      </c>
      <c r="Y822" s="1">
        <f>IF(X822="","",X822-A822)</f>
        <v/>
      </c>
      <c r="Z822" s="5" t="n">
        <v>46179</v>
      </c>
      <c r="AA822" s="3" t="n"/>
      <c r="AB822" s="3" t="n"/>
      <c r="AE822" s="146">
        <f>IF(AND(F822="Closed",X822&gt;=DATE(2026,6,1),X822&lt;=DATE(2026,6,30)),"Closed in June","other")</f>
        <v/>
      </c>
    </row>
    <row r="823" hidden="1">
      <c r="A823" s="49" t="n">
        <v>46162</v>
      </c>
      <c r="B823" s="1" t="n">
        <v>2026</v>
      </c>
      <c r="C823" s="8" t="inlineStr">
        <is>
          <t>Vashi</t>
        </is>
      </c>
      <c r="D823" s="8" t="inlineStr">
        <is>
          <t>Channel Sales</t>
        </is>
      </c>
      <c r="E823" s="1" t="n"/>
      <c r="F823" s="1" t="inlineStr">
        <is>
          <t>Closed</t>
        </is>
      </c>
      <c r="G823" s="8" t="inlineStr">
        <is>
          <t>Nachiket Buchade</t>
        </is>
      </c>
      <c r="H823" s="28" t="n">
        <v>8828840014</v>
      </c>
      <c r="I823" s="10" t="inlineStr">
        <is>
          <t>PE20052602</t>
        </is>
      </c>
      <c r="J823" s="8" t="inlineStr">
        <is>
          <t>Decrease in production</t>
        </is>
      </c>
      <c r="K823" s="8" t="inlineStr">
        <is>
          <t>Indore</t>
        </is>
      </c>
      <c r="L823" s="8" t="inlineStr">
        <is>
          <t>MP</t>
        </is>
      </c>
      <c r="M823" s="2" t="inlineStr">
        <is>
          <t>OK</t>
        </is>
      </c>
      <c r="N823" s="2" t="inlineStr">
        <is>
          <t>No Issue Found</t>
        </is>
      </c>
      <c r="O823" s="11" t="n">
        <v>545</v>
      </c>
      <c r="P823" s="2" t="inlineStr">
        <is>
          <t>NA</t>
        </is>
      </c>
      <c r="Q823" s="2" t="inlineStr">
        <is>
          <t>NA</t>
        </is>
      </c>
      <c r="R823" s="2" t="inlineStr">
        <is>
          <t>NA</t>
        </is>
      </c>
      <c r="S823" s="1" t="inlineStr">
        <is>
          <t>G2TB</t>
        </is>
      </c>
      <c r="T823" s="1" t="inlineStr">
        <is>
          <t>P2 - PEPPL</t>
        </is>
      </c>
      <c r="U823" s="2" t="inlineStr">
        <is>
          <t>No Issue Found</t>
        </is>
      </c>
      <c r="V823" s="6" t="inlineStr">
        <is>
          <t>Inspection</t>
        </is>
      </c>
      <c r="W823" s="1" t="inlineStr">
        <is>
          <t>Rejected</t>
        </is>
      </c>
      <c r="X823" s="5" t="n">
        <v>46179</v>
      </c>
      <c r="Y823" s="1">
        <f>IF(X823="","",X823-A823)</f>
        <v/>
      </c>
      <c r="Z823" s="5" t="n">
        <v>46179</v>
      </c>
      <c r="AA823" s="3" t="n"/>
      <c r="AB823" s="3" t="n"/>
      <c r="AE823" s="146">
        <f>IF(AND(F823="Closed",X823&gt;=DATE(2026,6,1),X823&lt;=DATE(2026,6,30)),"Closed in June","other")</f>
        <v/>
      </c>
    </row>
    <row r="824" hidden="1">
      <c r="A824" s="49" t="n">
        <v>46162</v>
      </c>
      <c r="B824" s="1" t="n">
        <v>2026</v>
      </c>
      <c r="C824" s="8" t="inlineStr">
        <is>
          <t>Vashi</t>
        </is>
      </c>
      <c r="D824" s="8" t="inlineStr">
        <is>
          <t>Channel Sales</t>
        </is>
      </c>
      <c r="E824" s="1" t="n"/>
      <c r="F824" s="1" t="inlineStr">
        <is>
          <t>Closed</t>
        </is>
      </c>
      <c r="G824" s="8" t="inlineStr">
        <is>
          <t>Nachiket Buchade</t>
        </is>
      </c>
      <c r="H824" s="28" t="n">
        <v>8828840014</v>
      </c>
      <c r="I824" s="10" t="inlineStr">
        <is>
          <t>PE20052602</t>
        </is>
      </c>
      <c r="J824" s="8" t="inlineStr">
        <is>
          <t>Decrease in production</t>
        </is>
      </c>
      <c r="K824" s="8" t="inlineStr">
        <is>
          <t>Indore</t>
        </is>
      </c>
      <c r="L824" s="8" t="inlineStr">
        <is>
          <t>MP</t>
        </is>
      </c>
      <c r="M824" s="2" t="inlineStr">
        <is>
          <t>OK</t>
        </is>
      </c>
      <c r="N824" s="2" t="inlineStr">
        <is>
          <t>No Issue Found</t>
        </is>
      </c>
      <c r="O824" s="11" t="n">
        <v>545</v>
      </c>
      <c r="P824" s="2" t="inlineStr">
        <is>
          <t>NA</t>
        </is>
      </c>
      <c r="Q824" s="2" t="inlineStr">
        <is>
          <t>NA</t>
        </is>
      </c>
      <c r="R824" s="2" t="inlineStr">
        <is>
          <t>NA</t>
        </is>
      </c>
      <c r="S824" s="1" t="inlineStr">
        <is>
          <t>G2TB</t>
        </is>
      </c>
      <c r="T824" s="1" t="inlineStr">
        <is>
          <t>P2 - PEPPL</t>
        </is>
      </c>
      <c r="U824" s="2" t="inlineStr">
        <is>
          <t>No Issue Found</t>
        </is>
      </c>
      <c r="V824" s="6" t="inlineStr">
        <is>
          <t>Inspection</t>
        </is>
      </c>
      <c r="W824" s="1" t="inlineStr">
        <is>
          <t>Rejected</t>
        </is>
      </c>
      <c r="X824" s="5" t="n">
        <v>46179</v>
      </c>
      <c r="Y824" s="1">
        <f>IF(X824="","",X824-A824)</f>
        <v/>
      </c>
      <c r="Z824" s="5" t="n">
        <v>46179</v>
      </c>
      <c r="AA824" s="3" t="n"/>
      <c r="AB824" s="3" t="n"/>
      <c r="AE824" s="146">
        <f>IF(AND(F824="Closed",X824&gt;=DATE(2026,6,1),X824&lt;=DATE(2026,6,30)),"Closed in June","other")</f>
        <v/>
      </c>
    </row>
    <row r="825" hidden="1">
      <c r="A825" s="49" t="n">
        <v>46162</v>
      </c>
      <c r="B825" s="1" t="n">
        <v>2026</v>
      </c>
      <c r="C825" s="8" t="inlineStr">
        <is>
          <t>Vashi</t>
        </is>
      </c>
      <c r="D825" s="8" t="inlineStr">
        <is>
          <t>Channel Sales</t>
        </is>
      </c>
      <c r="E825" s="1" t="n"/>
      <c r="F825" s="1" t="inlineStr">
        <is>
          <t>Closed</t>
        </is>
      </c>
      <c r="G825" s="8" t="inlineStr">
        <is>
          <t>Nachiket Buchade</t>
        </is>
      </c>
      <c r="H825" s="28" t="n">
        <v>8828840014</v>
      </c>
      <c r="I825" s="10" t="inlineStr">
        <is>
          <t>PE20052602</t>
        </is>
      </c>
      <c r="J825" s="8" t="inlineStr">
        <is>
          <t>Decrease in production</t>
        </is>
      </c>
      <c r="K825" s="8" t="inlineStr">
        <is>
          <t>Indore</t>
        </is>
      </c>
      <c r="L825" s="8" t="inlineStr">
        <is>
          <t>MP</t>
        </is>
      </c>
      <c r="M825" s="2" t="inlineStr">
        <is>
          <t>OK</t>
        </is>
      </c>
      <c r="N825" s="2" t="inlineStr">
        <is>
          <t>No Issue Found</t>
        </is>
      </c>
      <c r="O825" s="11" t="n">
        <v>545</v>
      </c>
      <c r="P825" s="2" t="inlineStr">
        <is>
          <t>NA</t>
        </is>
      </c>
      <c r="Q825" s="2" t="inlineStr">
        <is>
          <t>NA</t>
        </is>
      </c>
      <c r="R825" s="2" t="inlineStr">
        <is>
          <t>NA</t>
        </is>
      </c>
      <c r="S825" s="1" t="inlineStr">
        <is>
          <t>G2TB</t>
        </is>
      </c>
      <c r="T825" s="1" t="inlineStr">
        <is>
          <t>P2 - PEPPL</t>
        </is>
      </c>
      <c r="U825" s="2" t="inlineStr">
        <is>
          <t>No Issue Found</t>
        </is>
      </c>
      <c r="V825" s="6" t="inlineStr">
        <is>
          <t>Inspection</t>
        </is>
      </c>
      <c r="W825" s="1" t="inlineStr">
        <is>
          <t>Rejected</t>
        </is>
      </c>
      <c r="X825" s="5" t="n">
        <v>46179</v>
      </c>
      <c r="Y825" s="1">
        <f>IF(X825="","",X825-A825)</f>
        <v/>
      </c>
      <c r="Z825" s="5" t="n">
        <v>46179</v>
      </c>
      <c r="AA825" s="3" t="n"/>
      <c r="AB825" s="3" t="n"/>
      <c r="AE825" s="146">
        <f>IF(AND(F825="Closed",X825&gt;=DATE(2026,6,1),X825&lt;=DATE(2026,6,30)),"Closed in June","other")</f>
        <v/>
      </c>
    </row>
    <row r="826" hidden="1">
      <c r="A826" s="49" t="n">
        <v>46162</v>
      </c>
      <c r="B826" s="1" t="n">
        <v>2026</v>
      </c>
      <c r="C826" s="8" t="inlineStr">
        <is>
          <t>Vashi</t>
        </is>
      </c>
      <c r="D826" s="8" t="inlineStr">
        <is>
          <t>Channel Sales</t>
        </is>
      </c>
      <c r="E826" s="1" t="n"/>
      <c r="F826" s="1" t="inlineStr">
        <is>
          <t>Closed</t>
        </is>
      </c>
      <c r="G826" s="8" t="inlineStr">
        <is>
          <t>Nachiket Buchade</t>
        </is>
      </c>
      <c r="H826" s="28" t="n">
        <v>8828840014</v>
      </c>
      <c r="I826" s="10" t="inlineStr">
        <is>
          <t>PE20052602</t>
        </is>
      </c>
      <c r="J826" s="8" t="inlineStr">
        <is>
          <t>Decrease in production</t>
        </is>
      </c>
      <c r="K826" s="8" t="inlineStr">
        <is>
          <t>Indore</t>
        </is>
      </c>
      <c r="L826" s="8" t="inlineStr">
        <is>
          <t>MP</t>
        </is>
      </c>
      <c r="M826" s="2" t="inlineStr">
        <is>
          <t>OK</t>
        </is>
      </c>
      <c r="N826" s="2" t="inlineStr">
        <is>
          <t>No Issue Found</t>
        </is>
      </c>
      <c r="O826" s="11" t="n">
        <v>545</v>
      </c>
      <c r="P826" s="2" t="inlineStr">
        <is>
          <t>NA</t>
        </is>
      </c>
      <c r="Q826" s="2" t="inlineStr">
        <is>
          <t>NA</t>
        </is>
      </c>
      <c r="R826" s="2" t="inlineStr">
        <is>
          <t>NA</t>
        </is>
      </c>
      <c r="S826" s="1" t="inlineStr">
        <is>
          <t>G2TB</t>
        </is>
      </c>
      <c r="T826" s="1" t="inlineStr">
        <is>
          <t>P2 - PEPPL</t>
        </is>
      </c>
      <c r="U826" s="2" t="inlineStr">
        <is>
          <t>No Issue Found</t>
        </is>
      </c>
      <c r="V826" s="6" t="inlineStr">
        <is>
          <t>Inspection</t>
        </is>
      </c>
      <c r="W826" s="1" t="inlineStr">
        <is>
          <t>Rejected</t>
        </is>
      </c>
      <c r="X826" s="5" t="n">
        <v>46179</v>
      </c>
      <c r="Y826" s="1">
        <f>IF(X826="","",X826-A826)</f>
        <v/>
      </c>
      <c r="Z826" s="5" t="n">
        <v>46179</v>
      </c>
      <c r="AA826" s="3" t="n"/>
      <c r="AB826" s="3" t="n"/>
      <c r="AE826" s="146">
        <f>IF(AND(F826="Closed",X826&gt;=DATE(2026,6,1),X826&lt;=DATE(2026,6,30)),"Closed in June","other")</f>
        <v/>
      </c>
    </row>
    <row r="827" hidden="1">
      <c r="A827" s="49" t="n">
        <v>46162</v>
      </c>
      <c r="B827" s="1" t="n">
        <v>2026</v>
      </c>
      <c r="C827" s="8" t="inlineStr">
        <is>
          <t>Vashi</t>
        </is>
      </c>
      <c r="D827" s="8" t="inlineStr">
        <is>
          <t>Channel Sales</t>
        </is>
      </c>
      <c r="E827" s="1" t="n"/>
      <c r="F827" s="1" t="inlineStr">
        <is>
          <t>Closed</t>
        </is>
      </c>
      <c r="G827" s="8" t="inlineStr">
        <is>
          <t>Nachiket Buchade</t>
        </is>
      </c>
      <c r="H827" s="28" t="n">
        <v>8828840014</v>
      </c>
      <c r="I827" s="10" t="inlineStr">
        <is>
          <t>PE20052602</t>
        </is>
      </c>
      <c r="J827" s="8" t="inlineStr">
        <is>
          <t>Decrease in production</t>
        </is>
      </c>
      <c r="K827" s="8" t="inlineStr">
        <is>
          <t>Indore</t>
        </is>
      </c>
      <c r="L827" s="8" t="inlineStr">
        <is>
          <t>MP</t>
        </is>
      </c>
      <c r="M827" s="2" t="inlineStr">
        <is>
          <t>OK</t>
        </is>
      </c>
      <c r="N827" s="2" t="inlineStr">
        <is>
          <t>No Issue Found</t>
        </is>
      </c>
      <c r="O827" s="11" t="n">
        <v>545</v>
      </c>
      <c r="P827" s="2" t="inlineStr">
        <is>
          <t>NA</t>
        </is>
      </c>
      <c r="Q827" s="2" t="inlineStr">
        <is>
          <t>NA</t>
        </is>
      </c>
      <c r="R827" s="2" t="inlineStr">
        <is>
          <t>NA</t>
        </is>
      </c>
      <c r="S827" s="1" t="inlineStr">
        <is>
          <t>G2TB</t>
        </is>
      </c>
      <c r="T827" s="1" t="inlineStr">
        <is>
          <t>P2 - PEPPL</t>
        </is>
      </c>
      <c r="U827" s="2" t="inlineStr">
        <is>
          <t>No Issue Found</t>
        </is>
      </c>
      <c r="V827" s="6" t="inlineStr">
        <is>
          <t>Inspection</t>
        </is>
      </c>
      <c r="W827" s="1" t="inlineStr">
        <is>
          <t>Rejected</t>
        </is>
      </c>
      <c r="X827" s="5" t="n">
        <v>46179</v>
      </c>
      <c r="Y827" s="1">
        <f>IF(X827="","",X827-A827)</f>
        <v/>
      </c>
      <c r="Z827" s="5" t="n">
        <v>46179</v>
      </c>
      <c r="AA827" s="3" t="n"/>
      <c r="AB827" s="3" t="n"/>
      <c r="AE827" s="146">
        <f>IF(AND(F827="Closed",X827&gt;=DATE(2026,6,1),X827&lt;=DATE(2026,6,30)),"Closed in June","other")</f>
        <v/>
      </c>
    </row>
    <row r="828" hidden="1">
      <c r="A828" s="49" t="n">
        <v>46162</v>
      </c>
      <c r="B828" s="1" t="n">
        <v>2026</v>
      </c>
      <c r="C828" s="8" t="inlineStr">
        <is>
          <t>Vashi</t>
        </is>
      </c>
      <c r="D828" s="8" t="inlineStr">
        <is>
          <t>Channel Sales</t>
        </is>
      </c>
      <c r="E828" s="1" t="n"/>
      <c r="F828" s="1" t="inlineStr">
        <is>
          <t>Closed</t>
        </is>
      </c>
      <c r="G828" s="8" t="inlineStr">
        <is>
          <t>Nachiket Buchade</t>
        </is>
      </c>
      <c r="H828" s="28" t="n">
        <v>8828840014</v>
      </c>
      <c r="I828" s="10" t="inlineStr">
        <is>
          <t>PE20052602</t>
        </is>
      </c>
      <c r="J828" s="8" t="inlineStr">
        <is>
          <t>Decrease in production</t>
        </is>
      </c>
      <c r="K828" s="8" t="inlineStr">
        <is>
          <t>Indore</t>
        </is>
      </c>
      <c r="L828" s="8" t="inlineStr">
        <is>
          <t>MP</t>
        </is>
      </c>
      <c r="M828" s="2" t="inlineStr">
        <is>
          <t>OK</t>
        </is>
      </c>
      <c r="N828" s="2" t="inlineStr">
        <is>
          <t>No Issue Found</t>
        </is>
      </c>
      <c r="O828" s="11" t="n">
        <v>545</v>
      </c>
      <c r="P828" s="2" t="inlineStr">
        <is>
          <t>NA</t>
        </is>
      </c>
      <c r="Q828" s="2" t="inlineStr">
        <is>
          <t>NA</t>
        </is>
      </c>
      <c r="R828" s="2" t="inlineStr">
        <is>
          <t>NA</t>
        </is>
      </c>
      <c r="S828" s="1" t="inlineStr">
        <is>
          <t>G2TB</t>
        </is>
      </c>
      <c r="T828" s="1" t="inlineStr">
        <is>
          <t>P2 - PEPPL</t>
        </is>
      </c>
      <c r="U828" s="2" t="inlineStr">
        <is>
          <t>No Issue Found</t>
        </is>
      </c>
      <c r="V828" s="6" t="inlineStr">
        <is>
          <t>Inspection</t>
        </is>
      </c>
      <c r="W828" s="1" t="inlineStr">
        <is>
          <t>Rejected</t>
        </is>
      </c>
      <c r="X828" s="5" t="n">
        <v>46179</v>
      </c>
      <c r="Y828" s="1">
        <f>IF(X828="","",X828-A828)</f>
        <v/>
      </c>
      <c r="Z828" s="5" t="n">
        <v>46179</v>
      </c>
      <c r="AA828" s="3" t="n"/>
      <c r="AB828" s="3" t="n"/>
      <c r="AE828" s="146">
        <f>IF(AND(F828="Closed",X828&gt;=DATE(2026,6,1),X828&lt;=DATE(2026,6,30)),"Closed in June","other")</f>
        <v/>
      </c>
    </row>
    <row r="829" hidden="1">
      <c r="A829" s="49" t="n">
        <v>46162</v>
      </c>
      <c r="B829" s="1" t="n">
        <v>2026</v>
      </c>
      <c r="C829" s="8" t="inlineStr">
        <is>
          <t>Vashi</t>
        </is>
      </c>
      <c r="D829" s="8" t="inlineStr">
        <is>
          <t>Channel Sales</t>
        </is>
      </c>
      <c r="E829" s="1" t="n"/>
      <c r="F829" s="1" t="inlineStr">
        <is>
          <t>Closed</t>
        </is>
      </c>
      <c r="G829" s="8" t="inlineStr">
        <is>
          <t>Nachiket Buchade</t>
        </is>
      </c>
      <c r="H829" s="28" t="n">
        <v>8828840014</v>
      </c>
      <c r="I829" s="10" t="inlineStr">
        <is>
          <t>PE20052602</t>
        </is>
      </c>
      <c r="J829" s="8" t="inlineStr">
        <is>
          <t>Decrease in production</t>
        </is>
      </c>
      <c r="K829" s="8" t="inlineStr">
        <is>
          <t>Indore</t>
        </is>
      </c>
      <c r="L829" s="8" t="inlineStr">
        <is>
          <t>MP</t>
        </is>
      </c>
      <c r="M829" s="2" t="inlineStr">
        <is>
          <t>OK</t>
        </is>
      </c>
      <c r="N829" s="2" t="inlineStr">
        <is>
          <t>No Issue Found</t>
        </is>
      </c>
      <c r="O829" s="11" t="n">
        <v>545</v>
      </c>
      <c r="P829" s="2" t="inlineStr">
        <is>
          <t>NA</t>
        </is>
      </c>
      <c r="Q829" s="2" t="inlineStr">
        <is>
          <t>NA</t>
        </is>
      </c>
      <c r="R829" s="2" t="inlineStr">
        <is>
          <t>NA</t>
        </is>
      </c>
      <c r="S829" s="1" t="inlineStr">
        <is>
          <t>G2TB</t>
        </is>
      </c>
      <c r="T829" s="1" t="inlineStr">
        <is>
          <t>P2 - PEPPL</t>
        </is>
      </c>
      <c r="U829" s="2" t="inlineStr">
        <is>
          <t>No Issue Found</t>
        </is>
      </c>
      <c r="V829" s="6" t="inlineStr">
        <is>
          <t>Inspection</t>
        </is>
      </c>
      <c r="W829" s="1" t="inlineStr">
        <is>
          <t>Rejected</t>
        </is>
      </c>
      <c r="X829" s="5" t="n">
        <v>46179</v>
      </c>
      <c r="Y829" s="1">
        <f>IF(X829="","",X829-A829)</f>
        <v/>
      </c>
      <c r="Z829" s="5" t="n">
        <v>46179</v>
      </c>
      <c r="AA829" s="3" t="n"/>
      <c r="AB829" s="3" t="n"/>
      <c r="AE829" s="146">
        <f>IF(AND(F829="Closed",X829&gt;=DATE(2026,6,1),X829&lt;=DATE(2026,6,30)),"Closed in June","other")</f>
        <v/>
      </c>
    </row>
    <row r="830" hidden="1">
      <c r="A830" s="49" t="n">
        <v>46162</v>
      </c>
      <c r="B830" s="1" t="n">
        <v>2026</v>
      </c>
      <c r="C830" s="8" t="inlineStr">
        <is>
          <t>Vashi</t>
        </is>
      </c>
      <c r="D830" s="8" t="inlineStr">
        <is>
          <t>Channel Sales</t>
        </is>
      </c>
      <c r="E830" s="1" t="n"/>
      <c r="F830" s="1" t="inlineStr">
        <is>
          <t>Closed</t>
        </is>
      </c>
      <c r="G830" s="8" t="inlineStr">
        <is>
          <t>Nachiket Buchade</t>
        </is>
      </c>
      <c r="H830" s="28" t="n">
        <v>8828840014</v>
      </c>
      <c r="I830" s="10" t="inlineStr">
        <is>
          <t>PE20052602</t>
        </is>
      </c>
      <c r="J830" s="8" t="inlineStr">
        <is>
          <t>Decrease in production</t>
        </is>
      </c>
      <c r="K830" s="8" t="inlineStr">
        <is>
          <t>Indore</t>
        </is>
      </c>
      <c r="L830" s="8" t="inlineStr">
        <is>
          <t>MP</t>
        </is>
      </c>
      <c r="M830" s="2" t="inlineStr">
        <is>
          <t>OK</t>
        </is>
      </c>
      <c r="N830" s="2" t="inlineStr">
        <is>
          <t>No Issue Found</t>
        </is>
      </c>
      <c r="O830" s="11" t="n">
        <v>545</v>
      </c>
      <c r="P830" s="2" t="inlineStr">
        <is>
          <t>NA</t>
        </is>
      </c>
      <c r="Q830" s="2" t="inlineStr">
        <is>
          <t>NA</t>
        </is>
      </c>
      <c r="R830" s="2" t="inlineStr">
        <is>
          <t>NA</t>
        </is>
      </c>
      <c r="S830" s="1" t="inlineStr">
        <is>
          <t>G2TB</t>
        </is>
      </c>
      <c r="T830" s="1" t="inlineStr">
        <is>
          <t>P2 - PEPPL</t>
        </is>
      </c>
      <c r="U830" s="2" t="inlineStr">
        <is>
          <t>No Issue Found</t>
        </is>
      </c>
      <c r="V830" s="6" t="inlineStr">
        <is>
          <t>Inspection</t>
        </is>
      </c>
      <c r="W830" s="1" t="inlineStr">
        <is>
          <t>Rejected</t>
        </is>
      </c>
      <c r="X830" s="5" t="n">
        <v>46179</v>
      </c>
      <c r="Y830" s="1">
        <f>IF(X830="","",X830-A830)</f>
        <v/>
      </c>
      <c r="Z830" s="5" t="n">
        <v>46179</v>
      </c>
      <c r="AA830" s="3" t="n"/>
      <c r="AB830" s="3" t="n"/>
      <c r="AE830" s="146">
        <f>IF(AND(F830="Closed",X830&gt;=DATE(2026,6,1),X830&lt;=DATE(2026,6,30)),"Closed in June","other")</f>
        <v/>
      </c>
    </row>
    <row r="831" hidden="1">
      <c r="A831" s="49" t="n">
        <v>46162</v>
      </c>
      <c r="B831" s="1" t="n">
        <v>2026</v>
      </c>
      <c r="C831" s="8" t="inlineStr">
        <is>
          <t>Vashi</t>
        </is>
      </c>
      <c r="D831" s="8" t="inlineStr">
        <is>
          <t>Channel Sales</t>
        </is>
      </c>
      <c r="E831" s="1" t="n"/>
      <c r="F831" s="1" t="inlineStr">
        <is>
          <t>Closed</t>
        </is>
      </c>
      <c r="G831" s="8" t="inlineStr">
        <is>
          <t>Nachiket Buchade</t>
        </is>
      </c>
      <c r="H831" s="28" t="n">
        <v>8828840014</v>
      </c>
      <c r="I831" s="10" t="inlineStr">
        <is>
          <t>PE20052602</t>
        </is>
      </c>
      <c r="J831" s="8" t="inlineStr">
        <is>
          <t>Decrease in production</t>
        </is>
      </c>
      <c r="K831" s="8" t="inlineStr">
        <is>
          <t>Indore</t>
        </is>
      </c>
      <c r="L831" s="8" t="inlineStr">
        <is>
          <t>MP</t>
        </is>
      </c>
      <c r="M831" s="2" t="inlineStr">
        <is>
          <t>OK</t>
        </is>
      </c>
      <c r="N831" s="2" t="inlineStr">
        <is>
          <t>No Issue Found</t>
        </is>
      </c>
      <c r="O831" s="11" t="n">
        <v>545</v>
      </c>
      <c r="P831" s="2" t="inlineStr">
        <is>
          <t>NA</t>
        </is>
      </c>
      <c r="Q831" s="2" t="inlineStr">
        <is>
          <t>NA</t>
        </is>
      </c>
      <c r="R831" s="2" t="inlineStr">
        <is>
          <t>NA</t>
        </is>
      </c>
      <c r="S831" s="1" t="inlineStr">
        <is>
          <t>G2TB</t>
        </is>
      </c>
      <c r="T831" s="1" t="inlineStr">
        <is>
          <t>P2 - PEPPL</t>
        </is>
      </c>
      <c r="U831" s="2" t="inlineStr">
        <is>
          <t>No Issue Found</t>
        </is>
      </c>
      <c r="V831" s="6" t="inlineStr">
        <is>
          <t>Inspection</t>
        </is>
      </c>
      <c r="W831" s="1" t="inlineStr">
        <is>
          <t>Rejected</t>
        </is>
      </c>
      <c r="X831" s="5" t="n">
        <v>46179</v>
      </c>
      <c r="Y831" s="1">
        <f>IF(X831="","",X831-A831)</f>
        <v/>
      </c>
      <c r="Z831" s="5" t="n">
        <v>46179</v>
      </c>
      <c r="AA831" s="3" t="n"/>
      <c r="AB831" s="3" t="n"/>
      <c r="AE831" s="146">
        <f>IF(AND(F831="Closed",X831&gt;=DATE(2026,6,1),X831&lt;=DATE(2026,6,30)),"Closed in June","other")</f>
        <v/>
      </c>
    </row>
    <row r="832" hidden="1">
      <c r="A832" s="49" t="n">
        <v>46162</v>
      </c>
      <c r="B832" s="1" t="n">
        <v>2026</v>
      </c>
      <c r="C832" s="8" t="inlineStr">
        <is>
          <t>Vashi</t>
        </is>
      </c>
      <c r="D832" s="8" t="inlineStr">
        <is>
          <t>Channel Sales</t>
        </is>
      </c>
      <c r="E832" s="1" t="n"/>
      <c r="F832" s="1" t="inlineStr">
        <is>
          <t>Closed</t>
        </is>
      </c>
      <c r="G832" s="8" t="inlineStr">
        <is>
          <t>Nachiket Buchade</t>
        </is>
      </c>
      <c r="H832" s="28" t="n">
        <v>8828840014</v>
      </c>
      <c r="I832" s="10" t="inlineStr">
        <is>
          <t>PE20052602</t>
        </is>
      </c>
      <c r="J832" s="8" t="inlineStr">
        <is>
          <t>Decrease in production</t>
        </is>
      </c>
      <c r="K832" s="8" t="inlineStr">
        <is>
          <t>Indore</t>
        </is>
      </c>
      <c r="L832" s="8" t="inlineStr">
        <is>
          <t>MP</t>
        </is>
      </c>
      <c r="M832" s="2" t="inlineStr">
        <is>
          <t>OK</t>
        </is>
      </c>
      <c r="N832" s="2" t="inlineStr">
        <is>
          <t>No Issue Found</t>
        </is>
      </c>
      <c r="O832" s="11" t="n">
        <v>545</v>
      </c>
      <c r="P832" s="2" t="inlineStr">
        <is>
          <t>NA</t>
        </is>
      </c>
      <c r="Q832" s="2" t="inlineStr">
        <is>
          <t>NA</t>
        </is>
      </c>
      <c r="R832" s="2" t="inlineStr">
        <is>
          <t>NA</t>
        </is>
      </c>
      <c r="S832" s="1" t="inlineStr">
        <is>
          <t>G2TB</t>
        </is>
      </c>
      <c r="T832" s="1" t="inlineStr">
        <is>
          <t>P2 - PEPPL</t>
        </is>
      </c>
      <c r="U832" s="2" t="inlineStr">
        <is>
          <t>No Issue Found</t>
        </is>
      </c>
      <c r="V832" s="6" t="inlineStr">
        <is>
          <t>Inspection</t>
        </is>
      </c>
      <c r="W832" s="1" t="inlineStr">
        <is>
          <t>Rejected</t>
        </is>
      </c>
      <c r="X832" s="5" t="n">
        <v>46179</v>
      </c>
      <c r="Y832" s="1">
        <f>IF(X832="","",X832-A832)</f>
        <v/>
      </c>
      <c r="Z832" s="5" t="n">
        <v>46179</v>
      </c>
      <c r="AA832" s="3" t="n"/>
      <c r="AB832" s="3" t="n"/>
      <c r="AE832" s="146">
        <f>IF(AND(F832="Closed",X832&gt;=DATE(2026,6,1),X832&lt;=DATE(2026,6,30)),"Closed in June","other")</f>
        <v/>
      </c>
    </row>
    <row r="833" hidden="1">
      <c r="A833" s="49" t="n">
        <v>46162</v>
      </c>
      <c r="B833" s="1" t="n">
        <v>2026</v>
      </c>
      <c r="C833" s="8" t="inlineStr">
        <is>
          <t>Vashi</t>
        </is>
      </c>
      <c r="D833" s="8" t="inlineStr">
        <is>
          <t>Channel Sales</t>
        </is>
      </c>
      <c r="E833" s="1" t="n"/>
      <c r="F833" s="1" t="inlineStr">
        <is>
          <t>Closed</t>
        </is>
      </c>
      <c r="G833" s="8" t="inlineStr">
        <is>
          <t>Nachiket Buchade</t>
        </is>
      </c>
      <c r="H833" s="28" t="n">
        <v>8828840014</v>
      </c>
      <c r="I833" s="10" t="inlineStr">
        <is>
          <t>PE20052602</t>
        </is>
      </c>
      <c r="J833" s="8" t="inlineStr">
        <is>
          <t>Decrease in production</t>
        </is>
      </c>
      <c r="K833" s="8" t="inlineStr">
        <is>
          <t>Indore</t>
        </is>
      </c>
      <c r="L833" s="8" t="inlineStr">
        <is>
          <t>MP</t>
        </is>
      </c>
      <c r="M833" s="2" t="inlineStr">
        <is>
          <t>OK</t>
        </is>
      </c>
      <c r="N833" s="2" t="inlineStr">
        <is>
          <t>No Issue Found</t>
        </is>
      </c>
      <c r="O833" s="11" t="n">
        <v>545</v>
      </c>
      <c r="P833" s="2" t="inlineStr">
        <is>
          <t>NA</t>
        </is>
      </c>
      <c r="Q833" s="2" t="inlineStr">
        <is>
          <t>NA</t>
        </is>
      </c>
      <c r="R833" s="2" t="inlineStr">
        <is>
          <t>NA</t>
        </is>
      </c>
      <c r="S833" s="1" t="inlineStr">
        <is>
          <t>G2TB</t>
        </is>
      </c>
      <c r="T833" s="1" t="inlineStr">
        <is>
          <t>P2 - PEPPL</t>
        </is>
      </c>
      <c r="U833" s="2" t="inlineStr">
        <is>
          <t>No Issue Found</t>
        </is>
      </c>
      <c r="V833" s="6" t="inlineStr">
        <is>
          <t>Inspection</t>
        </is>
      </c>
      <c r="W833" s="1" t="inlineStr">
        <is>
          <t>Rejected</t>
        </is>
      </c>
      <c r="X833" s="5" t="n">
        <v>46179</v>
      </c>
      <c r="Y833" s="1">
        <f>IF(X833="","",X833-A833)</f>
        <v/>
      </c>
      <c r="Z833" s="5" t="n">
        <v>46179</v>
      </c>
      <c r="AA833" s="3" t="n"/>
      <c r="AB833" s="3" t="n"/>
      <c r="AE833" s="146">
        <f>IF(AND(F833="Closed",X833&gt;=DATE(2026,6,1),X833&lt;=DATE(2026,6,30)),"Closed in June","other")</f>
        <v/>
      </c>
    </row>
    <row r="834" hidden="1">
      <c r="A834" s="49" t="n">
        <v>46162</v>
      </c>
      <c r="B834" s="1" t="n">
        <v>2026</v>
      </c>
      <c r="C834" s="8" t="inlineStr">
        <is>
          <t>Vashi</t>
        </is>
      </c>
      <c r="D834" s="8" t="inlineStr">
        <is>
          <t>Channel Sales</t>
        </is>
      </c>
      <c r="E834" s="1" t="n"/>
      <c r="F834" s="1" t="inlineStr">
        <is>
          <t>Closed</t>
        </is>
      </c>
      <c r="G834" s="8" t="inlineStr">
        <is>
          <t>Nachiket Buchade</t>
        </is>
      </c>
      <c r="H834" s="28" t="n">
        <v>8828840014</v>
      </c>
      <c r="I834" s="10" t="inlineStr">
        <is>
          <t>PE20052602</t>
        </is>
      </c>
      <c r="J834" s="8" t="inlineStr">
        <is>
          <t>Decrease in production</t>
        </is>
      </c>
      <c r="K834" s="8" t="inlineStr">
        <is>
          <t>Indore</t>
        </is>
      </c>
      <c r="L834" s="8" t="inlineStr">
        <is>
          <t>MP</t>
        </is>
      </c>
      <c r="M834" s="2" t="inlineStr">
        <is>
          <t>OK</t>
        </is>
      </c>
      <c r="N834" s="2" t="inlineStr">
        <is>
          <t>No Issue Found</t>
        </is>
      </c>
      <c r="O834" s="11" t="n">
        <v>545</v>
      </c>
      <c r="P834" s="2" t="inlineStr">
        <is>
          <t>NA</t>
        </is>
      </c>
      <c r="Q834" s="2" t="inlineStr">
        <is>
          <t>NA</t>
        </is>
      </c>
      <c r="R834" s="2" t="inlineStr">
        <is>
          <t>NA</t>
        </is>
      </c>
      <c r="S834" s="1" t="inlineStr">
        <is>
          <t>G2TB</t>
        </is>
      </c>
      <c r="T834" s="1" t="inlineStr">
        <is>
          <t>P2 - PEPPL</t>
        </is>
      </c>
      <c r="U834" s="2" t="inlineStr">
        <is>
          <t>No Issue Found</t>
        </is>
      </c>
      <c r="V834" s="6" t="inlineStr">
        <is>
          <t>Inspection</t>
        </is>
      </c>
      <c r="W834" s="1" t="inlineStr">
        <is>
          <t>Rejected</t>
        </is>
      </c>
      <c r="X834" s="5" t="n">
        <v>46179</v>
      </c>
      <c r="Y834" s="1">
        <f>IF(X834="","",X834-A834)</f>
        <v/>
      </c>
      <c r="Z834" s="5" t="n">
        <v>46179</v>
      </c>
      <c r="AA834" s="3" t="n"/>
      <c r="AB834" s="3" t="n"/>
      <c r="AE834" s="146">
        <f>IF(AND(F834="Closed",X834&gt;=DATE(2026,6,1),X834&lt;=DATE(2026,6,30)),"Closed in June","other")</f>
        <v/>
      </c>
    </row>
    <row r="835" hidden="1">
      <c r="A835" s="49" t="n">
        <v>46162</v>
      </c>
      <c r="B835" s="1" t="n">
        <v>2026</v>
      </c>
      <c r="C835" s="8" t="inlineStr">
        <is>
          <t>Vashi</t>
        </is>
      </c>
      <c r="D835" s="8" t="inlineStr">
        <is>
          <t>Channel Sales</t>
        </is>
      </c>
      <c r="E835" s="1" t="n"/>
      <c r="F835" s="1" t="inlineStr">
        <is>
          <t>Closed</t>
        </is>
      </c>
      <c r="G835" s="8" t="inlineStr">
        <is>
          <t>Nachiket Buchade</t>
        </is>
      </c>
      <c r="H835" s="28" t="n">
        <v>8828840014</v>
      </c>
      <c r="I835" s="10" t="inlineStr">
        <is>
          <t>PE20052602</t>
        </is>
      </c>
      <c r="J835" s="8" t="inlineStr">
        <is>
          <t>Decrease in production</t>
        </is>
      </c>
      <c r="K835" s="8" t="inlineStr">
        <is>
          <t>Indore</t>
        </is>
      </c>
      <c r="L835" s="8" t="inlineStr">
        <is>
          <t>MP</t>
        </is>
      </c>
      <c r="M835" s="2" t="inlineStr">
        <is>
          <t>OK</t>
        </is>
      </c>
      <c r="N835" s="2" t="inlineStr">
        <is>
          <t>No Issue Found</t>
        </is>
      </c>
      <c r="O835" s="11" t="n">
        <v>545</v>
      </c>
      <c r="P835" s="2" t="inlineStr">
        <is>
          <t>NA</t>
        </is>
      </c>
      <c r="Q835" s="2" t="inlineStr">
        <is>
          <t>NA</t>
        </is>
      </c>
      <c r="R835" s="2" t="inlineStr">
        <is>
          <t>NA</t>
        </is>
      </c>
      <c r="S835" s="1" t="inlineStr">
        <is>
          <t>G2TB</t>
        </is>
      </c>
      <c r="T835" s="1" t="inlineStr">
        <is>
          <t>P2 - PEPPL</t>
        </is>
      </c>
      <c r="U835" s="2" t="inlineStr">
        <is>
          <t>No Issue Found</t>
        </is>
      </c>
      <c r="V835" s="6" t="inlineStr">
        <is>
          <t>Inspection</t>
        </is>
      </c>
      <c r="W835" s="1" t="inlineStr">
        <is>
          <t>Rejected</t>
        </is>
      </c>
      <c r="X835" s="5" t="n">
        <v>46179</v>
      </c>
      <c r="Y835" s="1">
        <f>IF(X835="","",X835-A835)</f>
        <v/>
      </c>
      <c r="Z835" s="5" t="n">
        <v>46179</v>
      </c>
      <c r="AA835" s="3" t="n"/>
      <c r="AB835" s="3" t="n"/>
      <c r="AE835" s="146">
        <f>IF(AND(F835="Closed",X835&gt;=DATE(2026,6,1),X835&lt;=DATE(2026,6,30)),"Closed in June","other")</f>
        <v/>
      </c>
    </row>
    <row r="836" hidden="1">
      <c r="A836" s="49" t="n">
        <v>46162</v>
      </c>
      <c r="B836" s="1" t="n">
        <v>2026</v>
      </c>
      <c r="C836" s="8" t="inlineStr">
        <is>
          <t>Vashi</t>
        </is>
      </c>
      <c r="D836" s="8" t="inlineStr">
        <is>
          <t>Channel Sales</t>
        </is>
      </c>
      <c r="E836" s="1" t="n"/>
      <c r="F836" s="1" t="inlineStr">
        <is>
          <t>Closed</t>
        </is>
      </c>
      <c r="G836" s="8" t="inlineStr">
        <is>
          <t>Nachiket Buchade</t>
        </is>
      </c>
      <c r="H836" s="28" t="n">
        <v>8828840014</v>
      </c>
      <c r="I836" s="10" t="inlineStr">
        <is>
          <t>PE20052602</t>
        </is>
      </c>
      <c r="J836" s="8" t="inlineStr">
        <is>
          <t>Decrease in production</t>
        </is>
      </c>
      <c r="K836" s="8" t="inlineStr">
        <is>
          <t>Indore</t>
        </is>
      </c>
      <c r="L836" s="8" t="inlineStr">
        <is>
          <t>MP</t>
        </is>
      </c>
      <c r="M836" s="2" t="inlineStr">
        <is>
          <t>OK</t>
        </is>
      </c>
      <c r="N836" s="2" t="inlineStr">
        <is>
          <t>No Issue Found</t>
        </is>
      </c>
      <c r="O836" s="11" t="n">
        <v>545</v>
      </c>
      <c r="P836" s="2" t="inlineStr">
        <is>
          <t>NA</t>
        </is>
      </c>
      <c r="Q836" s="2" t="inlineStr">
        <is>
          <t>NA</t>
        </is>
      </c>
      <c r="R836" s="2" t="inlineStr">
        <is>
          <t>NA</t>
        </is>
      </c>
      <c r="S836" s="1" t="inlineStr">
        <is>
          <t>G2TB</t>
        </is>
      </c>
      <c r="T836" s="1" t="inlineStr">
        <is>
          <t>P2 - PEPPL</t>
        </is>
      </c>
      <c r="U836" s="2" t="inlineStr">
        <is>
          <t>No Issue Found</t>
        </is>
      </c>
      <c r="V836" s="6" t="inlineStr">
        <is>
          <t>Inspection</t>
        </is>
      </c>
      <c r="W836" s="1" t="inlineStr">
        <is>
          <t>Rejected</t>
        </is>
      </c>
      <c r="X836" s="5" t="n">
        <v>46179</v>
      </c>
      <c r="Y836" s="1">
        <f>IF(X836="","",X836-A836)</f>
        <v/>
      </c>
      <c r="Z836" s="5" t="n">
        <v>46179</v>
      </c>
      <c r="AA836" s="3" t="n"/>
      <c r="AB836" s="3" t="n"/>
      <c r="AE836" s="146">
        <f>IF(AND(F836="Closed",X836&gt;=DATE(2026,6,1),X836&lt;=DATE(2026,6,30)),"Closed in June","other")</f>
        <v/>
      </c>
    </row>
    <row r="837" hidden="1">
      <c r="A837" s="49" t="n">
        <v>46162</v>
      </c>
      <c r="B837" s="1" t="n">
        <v>2026</v>
      </c>
      <c r="C837" s="8" t="inlineStr">
        <is>
          <t>Vashi</t>
        </is>
      </c>
      <c r="D837" s="8" t="inlineStr">
        <is>
          <t>Channel Sales</t>
        </is>
      </c>
      <c r="E837" s="1" t="n"/>
      <c r="F837" s="1" t="inlineStr">
        <is>
          <t>Closed</t>
        </is>
      </c>
      <c r="G837" s="8" t="inlineStr">
        <is>
          <t>Nachiket Buchade</t>
        </is>
      </c>
      <c r="H837" s="28" t="n">
        <v>8828840014</v>
      </c>
      <c r="I837" s="10" t="inlineStr">
        <is>
          <t>PE20052602</t>
        </is>
      </c>
      <c r="J837" s="8" t="inlineStr">
        <is>
          <t>Decrease in production</t>
        </is>
      </c>
      <c r="K837" s="8" t="inlineStr">
        <is>
          <t>Indore</t>
        </is>
      </c>
      <c r="L837" s="8" t="inlineStr">
        <is>
          <t>MP</t>
        </is>
      </c>
      <c r="M837" s="2" t="inlineStr">
        <is>
          <t>OK</t>
        </is>
      </c>
      <c r="N837" s="2" t="inlineStr">
        <is>
          <t>No Issue Found</t>
        </is>
      </c>
      <c r="O837" s="11" t="n">
        <v>545</v>
      </c>
      <c r="P837" s="2" t="inlineStr">
        <is>
          <t>NA</t>
        </is>
      </c>
      <c r="Q837" s="2" t="inlineStr">
        <is>
          <t>NA</t>
        </is>
      </c>
      <c r="R837" s="2" t="inlineStr">
        <is>
          <t>NA</t>
        </is>
      </c>
      <c r="S837" s="1" t="inlineStr">
        <is>
          <t>G2TB</t>
        </is>
      </c>
      <c r="T837" s="1" t="inlineStr">
        <is>
          <t>P2 - PEPPL</t>
        </is>
      </c>
      <c r="U837" s="2" t="inlineStr">
        <is>
          <t>No Issue Found</t>
        </is>
      </c>
      <c r="V837" s="6" t="inlineStr">
        <is>
          <t>Inspection</t>
        </is>
      </c>
      <c r="W837" s="1" t="inlineStr">
        <is>
          <t>Rejected</t>
        </is>
      </c>
      <c r="X837" s="5" t="n">
        <v>46179</v>
      </c>
      <c r="Y837" s="1">
        <f>IF(X837="","",X837-A837)</f>
        <v/>
      </c>
      <c r="Z837" s="5" t="n">
        <v>46179</v>
      </c>
      <c r="AA837" s="3" t="n"/>
      <c r="AB837" s="3" t="n"/>
      <c r="AE837" s="146">
        <f>IF(AND(F837="Closed",X837&gt;=DATE(2026,6,1),X837&lt;=DATE(2026,6,30)),"Closed in June","other")</f>
        <v/>
      </c>
    </row>
    <row r="838" hidden="1">
      <c r="A838" s="49" t="n">
        <v>46162</v>
      </c>
      <c r="B838" s="1" t="n">
        <v>2026</v>
      </c>
      <c r="C838" s="8" t="inlineStr">
        <is>
          <t>Vashi</t>
        </is>
      </c>
      <c r="D838" s="8" t="inlineStr">
        <is>
          <t>Channel Sales</t>
        </is>
      </c>
      <c r="E838" s="1" t="n"/>
      <c r="F838" s="1" t="inlineStr">
        <is>
          <t>Closed</t>
        </is>
      </c>
      <c r="G838" s="8" t="inlineStr">
        <is>
          <t>Nachiket Buchade</t>
        </is>
      </c>
      <c r="H838" s="28" t="n">
        <v>8828840014</v>
      </c>
      <c r="I838" s="10" t="inlineStr">
        <is>
          <t>PE20052602</t>
        </is>
      </c>
      <c r="J838" s="8" t="inlineStr">
        <is>
          <t>Decrease in production</t>
        </is>
      </c>
      <c r="K838" s="8" t="inlineStr">
        <is>
          <t>Indore</t>
        </is>
      </c>
      <c r="L838" s="8" t="inlineStr">
        <is>
          <t>MP</t>
        </is>
      </c>
      <c r="M838" s="2" t="inlineStr">
        <is>
          <t>OK</t>
        </is>
      </c>
      <c r="N838" s="2" t="inlineStr">
        <is>
          <t>No Issue Found</t>
        </is>
      </c>
      <c r="O838" s="11" t="n">
        <v>545</v>
      </c>
      <c r="P838" s="2" t="inlineStr">
        <is>
          <t>NA</t>
        </is>
      </c>
      <c r="Q838" s="2" t="inlineStr">
        <is>
          <t>NA</t>
        </is>
      </c>
      <c r="R838" s="2" t="inlineStr">
        <is>
          <t>NA</t>
        </is>
      </c>
      <c r="S838" s="1" t="inlineStr">
        <is>
          <t>G2TB</t>
        </is>
      </c>
      <c r="T838" s="1" t="inlineStr">
        <is>
          <t>P2 - PEPPL</t>
        </is>
      </c>
      <c r="U838" s="2" t="inlineStr">
        <is>
          <t>No Issue Found</t>
        </is>
      </c>
      <c r="V838" s="6" t="inlineStr">
        <is>
          <t>Inspection</t>
        </is>
      </c>
      <c r="W838" s="1" t="inlineStr">
        <is>
          <t>Rejected</t>
        </is>
      </c>
      <c r="X838" s="5" t="n">
        <v>46179</v>
      </c>
      <c r="Y838" s="1">
        <f>IF(X838="","",X838-A838)</f>
        <v/>
      </c>
      <c r="Z838" s="5" t="n">
        <v>46179</v>
      </c>
      <c r="AA838" s="3" t="n"/>
      <c r="AB838" s="3" t="n"/>
      <c r="AE838" s="146">
        <f>IF(AND(F838="Closed",X838&gt;=DATE(2026,6,1),X838&lt;=DATE(2026,6,30)),"Closed in June","other")</f>
        <v/>
      </c>
    </row>
    <row r="839" hidden="1">
      <c r="A839" s="49" t="n">
        <v>46162</v>
      </c>
      <c r="B839" s="1" t="n">
        <v>2026</v>
      </c>
      <c r="C839" s="8" t="inlineStr">
        <is>
          <t>Vashi</t>
        </is>
      </c>
      <c r="D839" s="8" t="inlineStr">
        <is>
          <t>Channel Sales</t>
        </is>
      </c>
      <c r="E839" s="1" t="n"/>
      <c r="F839" s="1" t="inlineStr">
        <is>
          <t>Closed</t>
        </is>
      </c>
      <c r="G839" s="8" t="inlineStr">
        <is>
          <t>Nachiket Buchade</t>
        </is>
      </c>
      <c r="H839" s="28" t="n">
        <v>8828840014</v>
      </c>
      <c r="I839" s="10" t="inlineStr">
        <is>
          <t>PE20052602</t>
        </is>
      </c>
      <c r="J839" s="8" t="inlineStr">
        <is>
          <t>Decrease in production</t>
        </is>
      </c>
      <c r="K839" s="8" t="inlineStr">
        <is>
          <t>Indore</t>
        </is>
      </c>
      <c r="L839" s="8" t="inlineStr">
        <is>
          <t>MP</t>
        </is>
      </c>
      <c r="M839" s="2" t="inlineStr">
        <is>
          <t>OK</t>
        </is>
      </c>
      <c r="N839" s="2" t="inlineStr">
        <is>
          <t>No Issue Found</t>
        </is>
      </c>
      <c r="O839" s="11" t="n">
        <v>545</v>
      </c>
      <c r="P839" s="2" t="inlineStr">
        <is>
          <t>NA</t>
        </is>
      </c>
      <c r="Q839" s="2" t="inlineStr">
        <is>
          <t>NA</t>
        </is>
      </c>
      <c r="R839" s="2" t="inlineStr">
        <is>
          <t>NA</t>
        </is>
      </c>
      <c r="S839" s="1" t="inlineStr">
        <is>
          <t>G2TB</t>
        </is>
      </c>
      <c r="T839" s="1" t="inlineStr">
        <is>
          <t>P2 - PEPPL</t>
        </is>
      </c>
      <c r="U839" s="2" t="inlineStr">
        <is>
          <t>No Issue Found</t>
        </is>
      </c>
      <c r="V839" s="6" t="inlineStr">
        <is>
          <t>Inspection</t>
        </is>
      </c>
      <c r="W839" s="1" t="inlineStr">
        <is>
          <t>Rejected</t>
        </is>
      </c>
      <c r="X839" s="5" t="n">
        <v>46179</v>
      </c>
      <c r="Y839" s="1">
        <f>IF(X839="","",X839-A839)</f>
        <v/>
      </c>
      <c r="Z839" s="5" t="n">
        <v>46179</v>
      </c>
      <c r="AA839" s="3" t="n"/>
      <c r="AB839" s="3" t="n"/>
      <c r="AE839" s="146">
        <f>IF(AND(F839="Closed",X839&gt;=DATE(2026,6,1),X839&lt;=DATE(2026,6,30)),"Closed in June","other")</f>
        <v/>
      </c>
    </row>
    <row r="840" hidden="1">
      <c r="A840" s="49" t="n">
        <v>46162</v>
      </c>
      <c r="B840" s="1" t="n">
        <v>2026</v>
      </c>
      <c r="C840" s="8" t="inlineStr">
        <is>
          <t>Vashi</t>
        </is>
      </c>
      <c r="D840" s="8" t="inlineStr">
        <is>
          <t>Channel Sales</t>
        </is>
      </c>
      <c r="E840" s="1" t="n"/>
      <c r="F840" s="1" t="inlineStr">
        <is>
          <t>Closed</t>
        </is>
      </c>
      <c r="G840" s="8" t="inlineStr">
        <is>
          <t>Nachiket Buchade</t>
        </is>
      </c>
      <c r="H840" s="28" t="n">
        <v>8828840014</v>
      </c>
      <c r="I840" s="10" t="inlineStr">
        <is>
          <t>PE20052602</t>
        </is>
      </c>
      <c r="J840" s="8" t="inlineStr">
        <is>
          <t>Decrease in production</t>
        </is>
      </c>
      <c r="K840" s="8" t="inlineStr">
        <is>
          <t>Indore</t>
        </is>
      </c>
      <c r="L840" s="8" t="inlineStr">
        <is>
          <t>MP</t>
        </is>
      </c>
      <c r="M840" s="2" t="inlineStr">
        <is>
          <t>OK</t>
        </is>
      </c>
      <c r="N840" s="2" t="inlineStr">
        <is>
          <t>No Issue Found</t>
        </is>
      </c>
      <c r="O840" s="11" t="n">
        <v>545</v>
      </c>
      <c r="P840" s="2" t="inlineStr">
        <is>
          <t>NA</t>
        </is>
      </c>
      <c r="Q840" s="2" t="inlineStr">
        <is>
          <t>NA</t>
        </is>
      </c>
      <c r="R840" s="2" t="inlineStr">
        <is>
          <t>NA</t>
        </is>
      </c>
      <c r="S840" s="1" t="inlineStr">
        <is>
          <t>G2TB</t>
        </is>
      </c>
      <c r="T840" s="1" t="inlineStr">
        <is>
          <t>P2 - PEPPL</t>
        </is>
      </c>
      <c r="U840" s="2" t="inlineStr">
        <is>
          <t>No Issue Found</t>
        </is>
      </c>
      <c r="V840" s="6" t="inlineStr">
        <is>
          <t>Inspection</t>
        </is>
      </c>
      <c r="W840" s="1" t="inlineStr">
        <is>
          <t>Rejected</t>
        </is>
      </c>
      <c r="X840" s="5" t="n">
        <v>46179</v>
      </c>
      <c r="Y840" s="1">
        <f>IF(X840="","",X840-A840)</f>
        <v/>
      </c>
      <c r="Z840" s="5" t="n">
        <v>46179</v>
      </c>
      <c r="AA840" s="3" t="n"/>
      <c r="AB840" s="3" t="n"/>
      <c r="AE840" s="146">
        <f>IF(AND(F840="Closed",X840&gt;=DATE(2026,6,1),X840&lt;=DATE(2026,6,30)),"Closed in June","other")</f>
        <v/>
      </c>
    </row>
    <row r="841" hidden="1">
      <c r="A841" s="49" t="n">
        <v>46162</v>
      </c>
      <c r="B841" s="1" t="n">
        <v>2026</v>
      </c>
      <c r="C841" s="8" t="inlineStr">
        <is>
          <t>Vashi</t>
        </is>
      </c>
      <c r="D841" s="8" t="inlineStr">
        <is>
          <t>Channel Sales</t>
        </is>
      </c>
      <c r="E841" s="1" t="n"/>
      <c r="F841" s="1" t="inlineStr">
        <is>
          <t>Closed</t>
        </is>
      </c>
      <c r="G841" s="8" t="inlineStr">
        <is>
          <t>Nachiket Buchade</t>
        </is>
      </c>
      <c r="H841" s="28" t="n">
        <v>8828840014</v>
      </c>
      <c r="I841" s="10" t="inlineStr">
        <is>
          <t>PE20052602</t>
        </is>
      </c>
      <c r="J841" s="8" t="inlineStr">
        <is>
          <t>Decrease in production</t>
        </is>
      </c>
      <c r="K841" s="8" t="inlineStr">
        <is>
          <t>Indore</t>
        </is>
      </c>
      <c r="L841" s="8" t="inlineStr">
        <is>
          <t>MP</t>
        </is>
      </c>
      <c r="M841" s="2" t="inlineStr">
        <is>
          <t>OK</t>
        </is>
      </c>
      <c r="N841" s="2" t="inlineStr">
        <is>
          <t>No Issue Found</t>
        </is>
      </c>
      <c r="O841" s="11" t="n">
        <v>545</v>
      </c>
      <c r="P841" s="2" t="inlineStr">
        <is>
          <t>NA</t>
        </is>
      </c>
      <c r="Q841" s="2" t="inlineStr">
        <is>
          <t>NA</t>
        </is>
      </c>
      <c r="R841" s="2" t="inlineStr">
        <is>
          <t>NA</t>
        </is>
      </c>
      <c r="S841" s="1" t="inlineStr">
        <is>
          <t>G2TB</t>
        </is>
      </c>
      <c r="T841" s="1" t="inlineStr">
        <is>
          <t>P2 - PEPPL</t>
        </is>
      </c>
      <c r="U841" s="2" t="inlineStr">
        <is>
          <t>No Issue Found</t>
        </is>
      </c>
      <c r="V841" s="6" t="inlineStr">
        <is>
          <t>Inspection</t>
        </is>
      </c>
      <c r="W841" s="1" t="inlineStr">
        <is>
          <t>Rejected</t>
        </is>
      </c>
      <c r="X841" s="5" t="n">
        <v>46179</v>
      </c>
      <c r="Y841" s="1">
        <f>IF(X841="","",X841-A841)</f>
        <v/>
      </c>
      <c r="Z841" s="5" t="n">
        <v>46179</v>
      </c>
      <c r="AA841" s="3" t="n"/>
      <c r="AB841" s="3" t="n"/>
      <c r="AE841" s="146">
        <f>IF(AND(F841="Closed",X841&gt;=DATE(2026,6,1),X841&lt;=DATE(2026,6,30)),"Closed in June","other")</f>
        <v/>
      </c>
    </row>
    <row r="842" hidden="1">
      <c r="A842" s="49" t="n">
        <v>46162</v>
      </c>
      <c r="B842" s="1" t="n">
        <v>2026</v>
      </c>
      <c r="C842" s="8" t="inlineStr">
        <is>
          <t>Vashi</t>
        </is>
      </c>
      <c r="D842" s="8" t="inlineStr">
        <is>
          <t>Channel Sales</t>
        </is>
      </c>
      <c r="E842" s="1" t="n"/>
      <c r="F842" s="1" t="inlineStr">
        <is>
          <t>Closed</t>
        </is>
      </c>
      <c r="G842" s="8" t="inlineStr">
        <is>
          <t>Nachiket Buchade</t>
        </is>
      </c>
      <c r="H842" s="28" t="n">
        <v>8828840014</v>
      </c>
      <c r="I842" s="10" t="inlineStr">
        <is>
          <t>PE20052602</t>
        </is>
      </c>
      <c r="J842" s="8" t="inlineStr">
        <is>
          <t>Decrease in production</t>
        </is>
      </c>
      <c r="K842" s="8" t="inlineStr">
        <is>
          <t>Indore</t>
        </is>
      </c>
      <c r="L842" s="8" t="inlineStr">
        <is>
          <t>MP</t>
        </is>
      </c>
      <c r="M842" s="2" t="inlineStr">
        <is>
          <t>OK</t>
        </is>
      </c>
      <c r="N842" s="2" t="inlineStr">
        <is>
          <t>No Issue Found</t>
        </is>
      </c>
      <c r="O842" s="11" t="n">
        <v>545</v>
      </c>
      <c r="P842" s="2" t="inlineStr">
        <is>
          <t>NA</t>
        </is>
      </c>
      <c r="Q842" s="2" t="inlineStr">
        <is>
          <t>NA</t>
        </is>
      </c>
      <c r="R842" s="2" t="inlineStr">
        <is>
          <t>NA</t>
        </is>
      </c>
      <c r="S842" s="1" t="inlineStr">
        <is>
          <t>G2TB</t>
        </is>
      </c>
      <c r="T842" s="1" t="inlineStr">
        <is>
          <t>P2 - PEPPL</t>
        </is>
      </c>
      <c r="U842" s="2" t="inlineStr">
        <is>
          <t>No Issue Found</t>
        </is>
      </c>
      <c r="V842" s="6" t="inlineStr">
        <is>
          <t>Inspection</t>
        </is>
      </c>
      <c r="W842" s="1" t="inlineStr">
        <is>
          <t>Rejected</t>
        </is>
      </c>
      <c r="X842" s="5" t="n">
        <v>46179</v>
      </c>
      <c r="Y842" s="1">
        <f>IF(X842="","",X842-A842)</f>
        <v/>
      </c>
      <c r="Z842" s="5" t="n">
        <v>46179</v>
      </c>
      <c r="AA842" s="3" t="n"/>
      <c r="AB842" s="3" t="n"/>
      <c r="AE842" s="146">
        <f>IF(AND(F842="Closed",X842&gt;=DATE(2026,6,1),X842&lt;=DATE(2026,6,30)),"Closed in June","other")</f>
        <v/>
      </c>
    </row>
    <row r="843" hidden="1">
      <c r="A843" s="49" t="n">
        <v>46162</v>
      </c>
      <c r="B843" s="1" t="n">
        <v>2026</v>
      </c>
      <c r="C843" s="8" t="inlineStr">
        <is>
          <t>Vashi</t>
        </is>
      </c>
      <c r="D843" s="8" t="inlineStr">
        <is>
          <t>Channel Sales</t>
        </is>
      </c>
      <c r="E843" s="1" t="n"/>
      <c r="F843" s="1" t="inlineStr">
        <is>
          <t>Closed</t>
        </is>
      </c>
      <c r="G843" s="8" t="inlineStr">
        <is>
          <t>Nachiket Buchade</t>
        </is>
      </c>
      <c r="H843" s="28" t="n">
        <v>8828840014</v>
      </c>
      <c r="I843" s="10" t="inlineStr">
        <is>
          <t>PE20052602</t>
        </is>
      </c>
      <c r="J843" s="8" t="inlineStr">
        <is>
          <t>Decrease in production</t>
        </is>
      </c>
      <c r="K843" s="8" t="inlineStr">
        <is>
          <t>Indore</t>
        </is>
      </c>
      <c r="L843" s="8" t="inlineStr">
        <is>
          <t>MP</t>
        </is>
      </c>
      <c r="M843" s="2" t="inlineStr">
        <is>
          <t>OK</t>
        </is>
      </c>
      <c r="N843" s="2" t="inlineStr">
        <is>
          <t>No Issue Found</t>
        </is>
      </c>
      <c r="O843" s="11" t="n">
        <v>545</v>
      </c>
      <c r="P843" s="2" t="inlineStr">
        <is>
          <t>NA</t>
        </is>
      </c>
      <c r="Q843" s="2" t="inlineStr">
        <is>
          <t>NA</t>
        </is>
      </c>
      <c r="R843" s="2" t="inlineStr">
        <is>
          <t>NA</t>
        </is>
      </c>
      <c r="S843" s="1" t="inlineStr">
        <is>
          <t>G2TB</t>
        </is>
      </c>
      <c r="T843" s="1" t="inlineStr">
        <is>
          <t>P2 - PEPPL</t>
        </is>
      </c>
      <c r="U843" s="2" t="inlineStr">
        <is>
          <t>No Issue Found</t>
        </is>
      </c>
      <c r="V843" s="6" t="inlineStr">
        <is>
          <t>Inspection</t>
        </is>
      </c>
      <c r="W843" s="1" t="inlineStr">
        <is>
          <t>Rejected</t>
        </is>
      </c>
      <c r="X843" s="5" t="n">
        <v>46179</v>
      </c>
      <c r="Y843" s="1">
        <f>IF(X843="","",X843-A843)</f>
        <v/>
      </c>
      <c r="Z843" s="5" t="n">
        <v>46179</v>
      </c>
      <c r="AA843" s="3" t="n"/>
      <c r="AB843" s="3" t="n"/>
      <c r="AE843" s="146">
        <f>IF(AND(F843="Closed",X843&gt;=DATE(2026,6,1),X843&lt;=DATE(2026,6,30)),"Closed in June","other")</f>
        <v/>
      </c>
    </row>
    <row r="844" hidden="1">
      <c r="A844" s="49" t="n">
        <v>46162</v>
      </c>
      <c r="B844" s="1" t="n">
        <v>2026</v>
      </c>
      <c r="C844" s="8" t="inlineStr">
        <is>
          <t>Vashi</t>
        </is>
      </c>
      <c r="D844" s="8" t="inlineStr">
        <is>
          <t>Channel Sales</t>
        </is>
      </c>
      <c r="E844" s="1" t="n"/>
      <c r="F844" s="1" t="inlineStr">
        <is>
          <t>Closed</t>
        </is>
      </c>
      <c r="G844" s="8" t="inlineStr">
        <is>
          <t>Nachiket Buchade</t>
        </is>
      </c>
      <c r="H844" s="28" t="n">
        <v>8828840014</v>
      </c>
      <c r="I844" s="10" t="inlineStr">
        <is>
          <t>PE20052602</t>
        </is>
      </c>
      <c r="J844" s="8" t="inlineStr">
        <is>
          <t>Decrease in production</t>
        </is>
      </c>
      <c r="K844" s="8" t="inlineStr">
        <is>
          <t>Indore</t>
        </is>
      </c>
      <c r="L844" s="8" t="inlineStr">
        <is>
          <t>MP</t>
        </is>
      </c>
      <c r="M844" s="2" t="inlineStr">
        <is>
          <t>OK</t>
        </is>
      </c>
      <c r="N844" s="2" t="inlineStr">
        <is>
          <t>No Issue Found</t>
        </is>
      </c>
      <c r="O844" s="11" t="n">
        <v>545</v>
      </c>
      <c r="P844" s="2" t="inlineStr">
        <is>
          <t>NA</t>
        </is>
      </c>
      <c r="Q844" s="2" t="inlineStr">
        <is>
          <t>NA</t>
        </is>
      </c>
      <c r="R844" s="2" t="inlineStr">
        <is>
          <t>NA</t>
        </is>
      </c>
      <c r="S844" s="1" t="inlineStr">
        <is>
          <t>G2TB</t>
        </is>
      </c>
      <c r="T844" s="1" t="inlineStr">
        <is>
          <t>P2 - PEPPL</t>
        </is>
      </c>
      <c r="U844" s="2" t="inlineStr">
        <is>
          <t>No Issue Found</t>
        </is>
      </c>
      <c r="V844" s="6" t="inlineStr">
        <is>
          <t>Inspection</t>
        </is>
      </c>
      <c r="W844" s="1" t="inlineStr">
        <is>
          <t>Rejected</t>
        </is>
      </c>
      <c r="X844" s="5" t="n">
        <v>46179</v>
      </c>
      <c r="Y844" s="1">
        <f>IF(X844="","",X844-A844)</f>
        <v/>
      </c>
      <c r="Z844" s="5" t="n">
        <v>46179</v>
      </c>
      <c r="AA844" s="3" t="n"/>
      <c r="AB844" s="3" t="n"/>
      <c r="AE844" s="146">
        <f>IF(AND(F844="Closed",X844&gt;=DATE(2026,6,1),X844&lt;=DATE(2026,6,30)),"Closed in June","other")</f>
        <v/>
      </c>
    </row>
    <row r="845" hidden="1">
      <c r="A845" s="49" t="n">
        <v>46162</v>
      </c>
      <c r="B845" s="1" t="n">
        <v>2026</v>
      </c>
      <c r="C845" s="8" t="inlineStr">
        <is>
          <t>Vashi</t>
        </is>
      </c>
      <c r="D845" s="8" t="inlineStr">
        <is>
          <t>Channel Sales</t>
        </is>
      </c>
      <c r="E845" s="1" t="n"/>
      <c r="F845" s="1" t="inlineStr">
        <is>
          <t>Closed</t>
        </is>
      </c>
      <c r="G845" s="8" t="inlineStr">
        <is>
          <t>Nachiket Buchade</t>
        </is>
      </c>
      <c r="H845" s="28" t="n">
        <v>8828840014</v>
      </c>
      <c r="I845" s="10" t="inlineStr">
        <is>
          <t>PE20052602</t>
        </is>
      </c>
      <c r="J845" s="8" t="inlineStr">
        <is>
          <t>Decrease in production</t>
        </is>
      </c>
      <c r="K845" s="8" t="inlineStr">
        <is>
          <t>Indore</t>
        </is>
      </c>
      <c r="L845" s="8" t="inlineStr">
        <is>
          <t>MP</t>
        </is>
      </c>
      <c r="M845" s="2" t="inlineStr">
        <is>
          <t>OK</t>
        </is>
      </c>
      <c r="N845" s="2" t="inlineStr">
        <is>
          <t>No Issue Found</t>
        </is>
      </c>
      <c r="O845" s="11" t="n">
        <v>545</v>
      </c>
      <c r="P845" s="2" t="inlineStr">
        <is>
          <t>NA</t>
        </is>
      </c>
      <c r="Q845" s="2" t="inlineStr">
        <is>
          <t>NA</t>
        </is>
      </c>
      <c r="R845" s="2" t="inlineStr">
        <is>
          <t>NA</t>
        </is>
      </c>
      <c r="S845" s="1" t="inlineStr">
        <is>
          <t>G2TB</t>
        </is>
      </c>
      <c r="T845" s="1" t="inlineStr">
        <is>
          <t>P2 - PEPPL</t>
        </is>
      </c>
      <c r="U845" s="2" t="inlineStr">
        <is>
          <t>No Issue Found</t>
        </is>
      </c>
      <c r="V845" s="6" t="inlineStr">
        <is>
          <t>Inspection</t>
        </is>
      </c>
      <c r="W845" s="1" t="inlineStr">
        <is>
          <t>Rejected</t>
        </is>
      </c>
      <c r="X845" s="5" t="n">
        <v>46179</v>
      </c>
      <c r="Y845" s="1">
        <f>IF(X845="","",X845-A845)</f>
        <v/>
      </c>
      <c r="Z845" s="5" t="n">
        <v>46179</v>
      </c>
      <c r="AA845" s="3" t="n"/>
      <c r="AB845" s="3" t="n"/>
      <c r="AE845" s="146">
        <f>IF(AND(F845="Closed",X845&gt;=DATE(2026,6,1),X845&lt;=DATE(2026,6,30)),"Closed in June","other")</f>
        <v/>
      </c>
    </row>
    <row r="846" hidden="1">
      <c r="A846" s="49" t="n">
        <v>46162</v>
      </c>
      <c r="B846" s="1" t="n">
        <v>2026</v>
      </c>
      <c r="C846" s="8" t="inlineStr">
        <is>
          <t>Vashi</t>
        </is>
      </c>
      <c r="D846" s="8" t="inlineStr">
        <is>
          <t>Channel Sales</t>
        </is>
      </c>
      <c r="E846" s="1" t="n"/>
      <c r="F846" s="1" t="inlineStr">
        <is>
          <t>Closed</t>
        </is>
      </c>
      <c r="G846" s="8" t="inlineStr">
        <is>
          <t>Nachiket Buchade</t>
        </is>
      </c>
      <c r="H846" s="28" t="n">
        <v>8828840014</v>
      </c>
      <c r="I846" s="10" t="inlineStr">
        <is>
          <t>PE20052602</t>
        </is>
      </c>
      <c r="J846" s="8" t="inlineStr">
        <is>
          <t>Decrease in production</t>
        </is>
      </c>
      <c r="K846" s="8" t="inlineStr">
        <is>
          <t>Indore</t>
        </is>
      </c>
      <c r="L846" s="8" t="inlineStr">
        <is>
          <t>MP</t>
        </is>
      </c>
      <c r="M846" s="2" t="inlineStr">
        <is>
          <t>OK</t>
        </is>
      </c>
      <c r="N846" s="2" t="inlineStr">
        <is>
          <t>No Issue Found</t>
        </is>
      </c>
      <c r="O846" s="11" t="n">
        <v>545</v>
      </c>
      <c r="P846" s="2" t="inlineStr">
        <is>
          <t>NA</t>
        </is>
      </c>
      <c r="Q846" s="2" t="inlineStr">
        <is>
          <t>NA</t>
        </is>
      </c>
      <c r="R846" s="2" t="inlineStr">
        <is>
          <t>NA</t>
        </is>
      </c>
      <c r="S846" s="1" t="inlineStr">
        <is>
          <t>G2TB</t>
        </is>
      </c>
      <c r="T846" s="1" t="inlineStr">
        <is>
          <t>P2 - PEPPL</t>
        </is>
      </c>
      <c r="U846" s="2" t="inlineStr">
        <is>
          <t>No Issue Found</t>
        </is>
      </c>
      <c r="V846" s="6" t="inlineStr">
        <is>
          <t>Inspection</t>
        </is>
      </c>
      <c r="W846" s="1" t="inlineStr">
        <is>
          <t>Rejected</t>
        </is>
      </c>
      <c r="X846" s="5" t="n">
        <v>46179</v>
      </c>
      <c r="Y846" s="1">
        <f>IF(X846="","",X846-A846)</f>
        <v/>
      </c>
      <c r="Z846" s="5" t="n">
        <v>46179</v>
      </c>
      <c r="AA846" s="3" t="n"/>
      <c r="AB846" s="3" t="n"/>
      <c r="AE846" s="146">
        <f>IF(AND(F846="Closed",X846&gt;=DATE(2026,6,1),X846&lt;=DATE(2026,6,30)),"Closed in June","other")</f>
        <v/>
      </c>
    </row>
    <row r="847" hidden="1">
      <c r="A847" s="49" t="n">
        <v>46162</v>
      </c>
      <c r="B847" s="1" t="n">
        <v>2026</v>
      </c>
      <c r="C847" s="8" t="inlineStr">
        <is>
          <t>Vashi</t>
        </is>
      </c>
      <c r="D847" s="8" t="inlineStr">
        <is>
          <t>Channel Sales</t>
        </is>
      </c>
      <c r="E847" s="1" t="n"/>
      <c r="F847" s="1" t="inlineStr">
        <is>
          <t>Closed</t>
        </is>
      </c>
      <c r="G847" s="8" t="inlineStr">
        <is>
          <t>Nachiket Buchade</t>
        </is>
      </c>
      <c r="H847" s="28" t="n">
        <v>8828840014</v>
      </c>
      <c r="I847" s="10" t="inlineStr">
        <is>
          <t>PE20052602</t>
        </is>
      </c>
      <c r="J847" s="8" t="inlineStr">
        <is>
          <t>Decrease in production</t>
        </is>
      </c>
      <c r="K847" s="8" t="inlineStr">
        <is>
          <t>Indore</t>
        </is>
      </c>
      <c r="L847" s="8" t="inlineStr">
        <is>
          <t>MP</t>
        </is>
      </c>
      <c r="M847" s="2" t="inlineStr">
        <is>
          <t>OK</t>
        </is>
      </c>
      <c r="N847" s="2" t="inlineStr">
        <is>
          <t>No Issue Found</t>
        </is>
      </c>
      <c r="O847" s="11" t="n">
        <v>545</v>
      </c>
      <c r="P847" s="2" t="inlineStr">
        <is>
          <t>NA</t>
        </is>
      </c>
      <c r="Q847" s="2" t="inlineStr">
        <is>
          <t>NA</t>
        </is>
      </c>
      <c r="R847" s="2" t="inlineStr">
        <is>
          <t>NA</t>
        </is>
      </c>
      <c r="S847" s="1" t="inlineStr">
        <is>
          <t>G2TB</t>
        </is>
      </c>
      <c r="T847" s="1" t="inlineStr">
        <is>
          <t>P2 - PEPPL</t>
        </is>
      </c>
      <c r="U847" s="2" t="inlineStr">
        <is>
          <t>No Issue Found</t>
        </is>
      </c>
      <c r="V847" s="6" t="inlineStr">
        <is>
          <t>Inspection</t>
        </is>
      </c>
      <c r="W847" s="1" t="inlineStr">
        <is>
          <t>Rejected</t>
        </is>
      </c>
      <c r="X847" s="5" t="n">
        <v>46179</v>
      </c>
      <c r="Y847" s="1">
        <f>IF(X847="","",X847-A847)</f>
        <v/>
      </c>
      <c r="Z847" s="5" t="n">
        <v>46179</v>
      </c>
      <c r="AA847" s="3" t="n"/>
      <c r="AB847" s="3" t="n"/>
      <c r="AE847" s="146">
        <f>IF(AND(F847="Closed",X847&gt;=DATE(2026,6,1),X847&lt;=DATE(2026,6,30)),"Closed in June","other")</f>
        <v/>
      </c>
    </row>
    <row r="848" hidden="1">
      <c r="A848" s="49" t="n">
        <v>46162</v>
      </c>
      <c r="B848" s="1" t="n">
        <v>2026</v>
      </c>
      <c r="C848" s="8" t="inlineStr">
        <is>
          <t>Vashi</t>
        </is>
      </c>
      <c r="D848" s="8" t="inlineStr">
        <is>
          <t>Channel Sales</t>
        </is>
      </c>
      <c r="E848" s="1" t="n"/>
      <c r="F848" s="1" t="inlineStr">
        <is>
          <t>Closed</t>
        </is>
      </c>
      <c r="G848" s="8" t="inlineStr">
        <is>
          <t>Nachiket Buchade</t>
        </is>
      </c>
      <c r="H848" s="28" t="n">
        <v>8828840014</v>
      </c>
      <c r="I848" s="10" t="inlineStr">
        <is>
          <t>PE20052602</t>
        </is>
      </c>
      <c r="J848" s="8" t="inlineStr">
        <is>
          <t>Decrease in production</t>
        </is>
      </c>
      <c r="K848" s="8" t="inlineStr">
        <is>
          <t>Indore</t>
        </is>
      </c>
      <c r="L848" s="8" t="inlineStr">
        <is>
          <t>MP</t>
        </is>
      </c>
      <c r="M848" s="2" t="inlineStr">
        <is>
          <t>OK</t>
        </is>
      </c>
      <c r="N848" s="2" t="inlineStr">
        <is>
          <t>No Issue Found</t>
        </is>
      </c>
      <c r="O848" s="11" t="n">
        <v>545</v>
      </c>
      <c r="P848" s="2" t="inlineStr">
        <is>
          <t>NA</t>
        </is>
      </c>
      <c r="Q848" s="2" t="inlineStr">
        <is>
          <t>NA</t>
        </is>
      </c>
      <c r="R848" s="2" t="inlineStr">
        <is>
          <t>NA</t>
        </is>
      </c>
      <c r="S848" s="1" t="inlineStr">
        <is>
          <t>G2TB</t>
        </is>
      </c>
      <c r="T848" s="1" t="inlineStr">
        <is>
          <t>P2 - PEPPL</t>
        </is>
      </c>
      <c r="U848" s="2" t="inlineStr">
        <is>
          <t>No Issue Found</t>
        </is>
      </c>
      <c r="V848" s="6" t="inlineStr">
        <is>
          <t>Inspection</t>
        </is>
      </c>
      <c r="W848" s="1" t="inlineStr">
        <is>
          <t>Rejected</t>
        </is>
      </c>
      <c r="X848" s="5" t="n">
        <v>46179</v>
      </c>
      <c r="Y848" s="1">
        <f>IF(X848="","",X848-A848)</f>
        <v/>
      </c>
      <c r="Z848" s="5" t="n">
        <v>46179</v>
      </c>
      <c r="AA848" s="3" t="n"/>
      <c r="AB848" s="3" t="n"/>
      <c r="AE848" s="146">
        <f>IF(AND(F848="Closed",X848&gt;=DATE(2026,6,1),X848&lt;=DATE(2026,6,30)),"Closed in June","other")</f>
        <v/>
      </c>
    </row>
    <row r="849" hidden="1">
      <c r="A849" s="49" t="n">
        <v>46162</v>
      </c>
      <c r="B849" s="1" t="n">
        <v>2026</v>
      </c>
      <c r="C849" s="8" t="inlineStr">
        <is>
          <t>Vashi</t>
        </is>
      </c>
      <c r="D849" s="8" t="inlineStr">
        <is>
          <t>Channel Sales</t>
        </is>
      </c>
      <c r="E849" s="1" t="n"/>
      <c r="F849" s="1" t="inlineStr">
        <is>
          <t>Closed</t>
        </is>
      </c>
      <c r="G849" s="8" t="inlineStr">
        <is>
          <t>Nachiket Buchade</t>
        </is>
      </c>
      <c r="H849" s="28" t="n">
        <v>8828840014</v>
      </c>
      <c r="I849" s="10" t="inlineStr">
        <is>
          <t>PE20052602</t>
        </is>
      </c>
      <c r="J849" s="8" t="inlineStr">
        <is>
          <t>Decrease in production</t>
        </is>
      </c>
      <c r="K849" s="8" t="inlineStr">
        <is>
          <t>Indore</t>
        </is>
      </c>
      <c r="L849" s="8" t="inlineStr">
        <is>
          <t>MP</t>
        </is>
      </c>
      <c r="M849" s="2" t="inlineStr">
        <is>
          <t>OK</t>
        </is>
      </c>
      <c r="N849" s="2" t="inlineStr">
        <is>
          <t>No Issue Found</t>
        </is>
      </c>
      <c r="O849" s="11" t="n">
        <v>545</v>
      </c>
      <c r="P849" s="2" t="inlineStr">
        <is>
          <t>NA</t>
        </is>
      </c>
      <c r="Q849" s="2" t="inlineStr">
        <is>
          <t>NA</t>
        </is>
      </c>
      <c r="R849" s="2" t="inlineStr">
        <is>
          <t>NA</t>
        </is>
      </c>
      <c r="S849" s="1" t="inlineStr">
        <is>
          <t>G2TB</t>
        </is>
      </c>
      <c r="T849" s="1" t="inlineStr">
        <is>
          <t>P2 - PEPPL</t>
        </is>
      </c>
      <c r="U849" s="2" t="inlineStr">
        <is>
          <t>No Issue Found</t>
        </is>
      </c>
      <c r="V849" s="6" t="inlineStr">
        <is>
          <t>Inspection</t>
        </is>
      </c>
      <c r="W849" s="1" t="inlineStr">
        <is>
          <t>Rejected</t>
        </is>
      </c>
      <c r="X849" s="5" t="n">
        <v>46179</v>
      </c>
      <c r="Y849" s="1">
        <f>IF(X849="","",X849-A849)</f>
        <v/>
      </c>
      <c r="Z849" s="5" t="n">
        <v>46179</v>
      </c>
      <c r="AA849" s="3" t="n"/>
      <c r="AB849" s="3" t="n"/>
      <c r="AE849" s="146">
        <f>IF(AND(F849="Closed",X849&gt;=DATE(2026,6,1),X849&lt;=DATE(2026,6,30)),"Closed in June","other")</f>
        <v/>
      </c>
    </row>
    <row r="850" hidden="1">
      <c r="A850" s="49" t="n">
        <v>46162</v>
      </c>
      <c r="B850" s="1" t="n">
        <v>2026</v>
      </c>
      <c r="C850" s="8" t="inlineStr">
        <is>
          <t>Vashi</t>
        </is>
      </c>
      <c r="D850" s="8" t="inlineStr">
        <is>
          <t>Channel Sales</t>
        </is>
      </c>
      <c r="E850" s="1" t="n"/>
      <c r="F850" s="1" t="inlineStr">
        <is>
          <t>Closed</t>
        </is>
      </c>
      <c r="G850" s="8" t="inlineStr">
        <is>
          <t>Nachiket Buchade</t>
        </is>
      </c>
      <c r="H850" s="28" t="n">
        <v>8828840014</v>
      </c>
      <c r="I850" s="10" t="inlineStr">
        <is>
          <t>PE20052602</t>
        </is>
      </c>
      <c r="J850" s="8" t="inlineStr">
        <is>
          <t>Decrease in production</t>
        </is>
      </c>
      <c r="K850" s="8" t="inlineStr">
        <is>
          <t>Indore</t>
        </is>
      </c>
      <c r="L850" s="8" t="inlineStr">
        <is>
          <t>MP</t>
        </is>
      </c>
      <c r="M850" s="2" t="inlineStr">
        <is>
          <t>OK</t>
        </is>
      </c>
      <c r="N850" s="2" t="inlineStr">
        <is>
          <t>No Issue Found</t>
        </is>
      </c>
      <c r="O850" s="11" t="n">
        <v>545</v>
      </c>
      <c r="P850" s="2" t="inlineStr">
        <is>
          <t>NA</t>
        </is>
      </c>
      <c r="Q850" s="2" t="inlineStr">
        <is>
          <t>NA</t>
        </is>
      </c>
      <c r="R850" s="2" t="inlineStr">
        <is>
          <t>NA</t>
        </is>
      </c>
      <c r="S850" s="1" t="inlineStr">
        <is>
          <t>G2TB</t>
        </is>
      </c>
      <c r="T850" s="1" t="inlineStr">
        <is>
          <t>P2 - PEPPL</t>
        </is>
      </c>
      <c r="U850" s="2" t="inlineStr">
        <is>
          <t>No Issue Found</t>
        </is>
      </c>
      <c r="V850" s="6" t="inlineStr">
        <is>
          <t>Inspection</t>
        </is>
      </c>
      <c r="W850" s="1" t="inlineStr">
        <is>
          <t>Rejected</t>
        </is>
      </c>
      <c r="X850" s="5" t="n">
        <v>46179</v>
      </c>
      <c r="Y850" s="1">
        <f>IF(X850="","",X850-A850)</f>
        <v/>
      </c>
      <c r="Z850" s="5" t="n">
        <v>46179</v>
      </c>
      <c r="AA850" s="3" t="n"/>
      <c r="AB850" s="3" t="n"/>
      <c r="AE850" s="146">
        <f>IF(AND(F850="Closed",X850&gt;=DATE(2026,6,1),X850&lt;=DATE(2026,6,30)),"Closed in June","other")</f>
        <v/>
      </c>
    </row>
    <row r="851" hidden="1">
      <c r="A851" s="49" t="n">
        <v>46162</v>
      </c>
      <c r="B851" s="1" t="n">
        <v>2026</v>
      </c>
      <c r="C851" s="8" t="inlineStr">
        <is>
          <t>Vashi</t>
        </is>
      </c>
      <c r="D851" s="8" t="inlineStr">
        <is>
          <t>Channel Sales</t>
        </is>
      </c>
      <c r="E851" s="1" t="n"/>
      <c r="F851" s="1" t="inlineStr">
        <is>
          <t>Closed</t>
        </is>
      </c>
      <c r="G851" s="8" t="inlineStr">
        <is>
          <t>Nachiket Buchade</t>
        </is>
      </c>
      <c r="H851" s="28" t="n">
        <v>8828840014</v>
      </c>
      <c r="I851" s="10" t="inlineStr">
        <is>
          <t>PE20052602</t>
        </is>
      </c>
      <c r="J851" s="8" t="inlineStr">
        <is>
          <t>Decrease in production</t>
        </is>
      </c>
      <c r="K851" s="8" t="inlineStr">
        <is>
          <t>Indore</t>
        </is>
      </c>
      <c r="L851" s="8" t="inlineStr">
        <is>
          <t>MP</t>
        </is>
      </c>
      <c r="M851" s="2" t="inlineStr">
        <is>
          <t>OK</t>
        </is>
      </c>
      <c r="N851" s="2" t="inlineStr">
        <is>
          <t>No Issue Found</t>
        </is>
      </c>
      <c r="O851" s="11" t="n">
        <v>545</v>
      </c>
      <c r="P851" s="2" t="inlineStr">
        <is>
          <t>NA</t>
        </is>
      </c>
      <c r="Q851" s="2" t="inlineStr">
        <is>
          <t>NA</t>
        </is>
      </c>
      <c r="R851" s="2" t="inlineStr">
        <is>
          <t>NA</t>
        </is>
      </c>
      <c r="S851" s="1" t="inlineStr">
        <is>
          <t>G2TB</t>
        </is>
      </c>
      <c r="T851" s="1" t="inlineStr">
        <is>
          <t>P2 - PEPPL</t>
        </is>
      </c>
      <c r="U851" s="2" t="inlineStr">
        <is>
          <t>No Issue Found</t>
        </is>
      </c>
      <c r="V851" s="6" t="inlineStr">
        <is>
          <t>Inspection</t>
        </is>
      </c>
      <c r="W851" s="1" t="inlineStr">
        <is>
          <t>Rejected</t>
        </is>
      </c>
      <c r="X851" s="5" t="n">
        <v>46179</v>
      </c>
      <c r="Y851" s="1">
        <f>IF(X851="","",X851-A851)</f>
        <v/>
      </c>
      <c r="Z851" s="5" t="n">
        <v>46179</v>
      </c>
      <c r="AA851" s="3" t="n"/>
      <c r="AB851" s="3" t="n"/>
      <c r="AE851" s="146">
        <f>IF(AND(F851="Closed",X851&gt;=DATE(2026,6,1),X851&lt;=DATE(2026,6,30)),"Closed in June","other")</f>
        <v/>
      </c>
    </row>
    <row r="852" hidden="1">
      <c r="A852" s="49" t="n">
        <v>46162</v>
      </c>
      <c r="B852" s="1" t="n">
        <v>2026</v>
      </c>
      <c r="C852" s="8" t="inlineStr">
        <is>
          <t>Vashi</t>
        </is>
      </c>
      <c r="D852" s="8" t="inlineStr">
        <is>
          <t>Channel Sales</t>
        </is>
      </c>
      <c r="E852" s="1" t="n"/>
      <c r="F852" s="1" t="inlineStr">
        <is>
          <t>Closed</t>
        </is>
      </c>
      <c r="G852" s="8" t="inlineStr">
        <is>
          <t>Nachiket Buchade</t>
        </is>
      </c>
      <c r="H852" s="28" t="n">
        <v>8828840014</v>
      </c>
      <c r="I852" s="10" t="inlineStr">
        <is>
          <t>PE20052602</t>
        </is>
      </c>
      <c r="J852" s="8" t="inlineStr">
        <is>
          <t>Decrease in production</t>
        </is>
      </c>
      <c r="K852" s="8" t="inlineStr">
        <is>
          <t>Indore</t>
        </is>
      </c>
      <c r="L852" s="8" t="inlineStr">
        <is>
          <t>MP</t>
        </is>
      </c>
      <c r="M852" s="2" t="inlineStr">
        <is>
          <t>OK</t>
        </is>
      </c>
      <c r="N852" s="2" t="inlineStr">
        <is>
          <t>No Issue Found</t>
        </is>
      </c>
      <c r="O852" s="11" t="n">
        <v>545</v>
      </c>
      <c r="P852" s="2" t="inlineStr">
        <is>
          <t>NA</t>
        </is>
      </c>
      <c r="Q852" s="2" t="inlineStr">
        <is>
          <t>NA</t>
        </is>
      </c>
      <c r="R852" s="2" t="inlineStr">
        <is>
          <t>NA</t>
        </is>
      </c>
      <c r="S852" s="1" t="inlineStr">
        <is>
          <t>G2TB</t>
        </is>
      </c>
      <c r="T852" s="1" t="inlineStr">
        <is>
          <t>P2 - PEPPL</t>
        </is>
      </c>
      <c r="U852" s="2" t="inlineStr">
        <is>
          <t>No Issue Found</t>
        </is>
      </c>
      <c r="V852" s="6" t="inlineStr">
        <is>
          <t>Inspection</t>
        </is>
      </c>
      <c r="W852" s="1" t="inlineStr">
        <is>
          <t>Rejected</t>
        </is>
      </c>
      <c r="X852" s="5" t="n">
        <v>46179</v>
      </c>
      <c r="Y852" s="1">
        <f>IF(X852="","",X852-A852)</f>
        <v/>
      </c>
      <c r="Z852" s="5" t="n">
        <v>46179</v>
      </c>
      <c r="AA852" s="3" t="n"/>
      <c r="AB852" s="3" t="n"/>
      <c r="AE852" s="146">
        <f>IF(AND(F852="Closed",X852&gt;=DATE(2026,6,1),X852&lt;=DATE(2026,6,30)),"Closed in June","other")</f>
        <v/>
      </c>
    </row>
    <row r="853" hidden="1">
      <c r="A853" s="49" t="n">
        <v>46162</v>
      </c>
      <c r="B853" s="1" t="n">
        <v>2026</v>
      </c>
      <c r="C853" s="8" t="inlineStr">
        <is>
          <t>Vashi</t>
        </is>
      </c>
      <c r="D853" s="8" t="inlineStr">
        <is>
          <t>Channel Sales</t>
        </is>
      </c>
      <c r="E853" s="1" t="n"/>
      <c r="F853" s="1" t="inlineStr">
        <is>
          <t>Closed</t>
        </is>
      </c>
      <c r="G853" s="8" t="inlineStr">
        <is>
          <t>Nachiket Buchade</t>
        </is>
      </c>
      <c r="H853" s="28" t="n">
        <v>8828840014</v>
      </c>
      <c r="I853" s="10" t="inlineStr">
        <is>
          <t>PE20052602</t>
        </is>
      </c>
      <c r="J853" s="8" t="inlineStr">
        <is>
          <t>Decrease in production</t>
        </is>
      </c>
      <c r="K853" s="8" t="inlineStr">
        <is>
          <t>Indore</t>
        </is>
      </c>
      <c r="L853" s="8" t="inlineStr">
        <is>
          <t>MP</t>
        </is>
      </c>
      <c r="M853" s="2" t="inlineStr">
        <is>
          <t>OK</t>
        </is>
      </c>
      <c r="N853" s="2" t="inlineStr">
        <is>
          <t>No Issue Found</t>
        </is>
      </c>
      <c r="O853" s="11" t="n">
        <v>545</v>
      </c>
      <c r="P853" s="2" t="inlineStr">
        <is>
          <t>NA</t>
        </is>
      </c>
      <c r="Q853" s="2" t="inlineStr">
        <is>
          <t>NA</t>
        </is>
      </c>
      <c r="R853" s="2" t="inlineStr">
        <is>
          <t>NA</t>
        </is>
      </c>
      <c r="S853" s="1" t="inlineStr">
        <is>
          <t>G2TB</t>
        </is>
      </c>
      <c r="T853" s="1" t="inlineStr">
        <is>
          <t>P2 - PEPPL</t>
        </is>
      </c>
      <c r="U853" s="2" t="inlineStr">
        <is>
          <t>No Issue Found</t>
        </is>
      </c>
      <c r="V853" s="6" t="inlineStr">
        <is>
          <t>Inspection</t>
        </is>
      </c>
      <c r="W853" s="1" t="inlineStr">
        <is>
          <t>Rejected</t>
        </is>
      </c>
      <c r="X853" s="5" t="n">
        <v>46179</v>
      </c>
      <c r="Y853" s="1">
        <f>IF(X853="","",X853-A853)</f>
        <v/>
      </c>
      <c r="Z853" s="5" t="n">
        <v>46179</v>
      </c>
      <c r="AA853" s="3" t="n"/>
      <c r="AB853" s="3" t="n"/>
      <c r="AE853" s="146">
        <f>IF(AND(F853="Closed",X853&gt;=DATE(2026,6,1),X853&lt;=DATE(2026,6,30)),"Closed in June","other")</f>
        <v/>
      </c>
    </row>
    <row r="854" hidden="1">
      <c r="A854" s="49" t="n">
        <v>46162</v>
      </c>
      <c r="B854" s="1" t="n">
        <v>2026</v>
      </c>
      <c r="C854" s="8" t="inlineStr">
        <is>
          <t>Vashi</t>
        </is>
      </c>
      <c r="D854" s="8" t="inlineStr">
        <is>
          <t>Channel Sales</t>
        </is>
      </c>
      <c r="E854" s="1" t="n"/>
      <c r="F854" s="1" t="inlineStr">
        <is>
          <t>Closed</t>
        </is>
      </c>
      <c r="G854" s="8" t="inlineStr">
        <is>
          <t>Nachiket Buchade</t>
        </is>
      </c>
      <c r="H854" s="28" t="n">
        <v>8828840014</v>
      </c>
      <c r="I854" s="10" t="inlineStr">
        <is>
          <t>PE20052602</t>
        </is>
      </c>
      <c r="J854" s="8" t="inlineStr">
        <is>
          <t>Decrease in production</t>
        </is>
      </c>
      <c r="K854" s="8" t="inlineStr">
        <is>
          <t>Indore</t>
        </is>
      </c>
      <c r="L854" s="8" t="inlineStr">
        <is>
          <t>MP</t>
        </is>
      </c>
      <c r="M854" s="2" t="inlineStr">
        <is>
          <t>OK</t>
        </is>
      </c>
      <c r="N854" s="2" t="inlineStr">
        <is>
          <t>No Issue Found</t>
        </is>
      </c>
      <c r="O854" s="11" t="n">
        <v>545</v>
      </c>
      <c r="P854" s="2" t="inlineStr">
        <is>
          <t>NA</t>
        </is>
      </c>
      <c r="Q854" s="2" t="inlineStr">
        <is>
          <t>NA</t>
        </is>
      </c>
      <c r="R854" s="2" t="inlineStr">
        <is>
          <t>NA</t>
        </is>
      </c>
      <c r="S854" s="1" t="inlineStr">
        <is>
          <t>G2TB</t>
        </is>
      </c>
      <c r="T854" s="1" t="inlineStr">
        <is>
          <t>P2 - PEPPL</t>
        </is>
      </c>
      <c r="U854" s="2" t="inlineStr">
        <is>
          <t>No Issue Found</t>
        </is>
      </c>
      <c r="V854" s="6" t="inlineStr">
        <is>
          <t>Inspection</t>
        </is>
      </c>
      <c r="W854" s="1" t="inlineStr">
        <is>
          <t>Rejected</t>
        </is>
      </c>
      <c r="X854" s="5" t="n">
        <v>46179</v>
      </c>
      <c r="Y854" s="1">
        <f>IF(X854="","",X854-A854)</f>
        <v/>
      </c>
      <c r="Z854" s="5" t="n">
        <v>46179</v>
      </c>
      <c r="AA854" s="3" t="n"/>
      <c r="AB854" s="3" t="n"/>
      <c r="AE854" s="146">
        <f>IF(AND(F854="Closed",X854&gt;=DATE(2026,6,1),X854&lt;=DATE(2026,6,30)),"Closed in June","other")</f>
        <v/>
      </c>
    </row>
    <row r="855" hidden="1">
      <c r="A855" s="49" t="n">
        <v>46162</v>
      </c>
      <c r="B855" s="1" t="n">
        <v>2026</v>
      </c>
      <c r="C855" s="8" t="inlineStr">
        <is>
          <t>Vashi</t>
        </is>
      </c>
      <c r="D855" s="8" t="inlineStr">
        <is>
          <t>Channel Sales</t>
        </is>
      </c>
      <c r="E855" s="1" t="n"/>
      <c r="F855" s="1" t="inlineStr">
        <is>
          <t>Closed</t>
        </is>
      </c>
      <c r="G855" s="8" t="inlineStr">
        <is>
          <t>Nachiket Buchade</t>
        </is>
      </c>
      <c r="H855" s="28" t="n">
        <v>8828840014</v>
      </c>
      <c r="I855" s="10" t="inlineStr">
        <is>
          <t>PE20052602</t>
        </is>
      </c>
      <c r="J855" s="8" t="inlineStr">
        <is>
          <t>Decrease in production</t>
        </is>
      </c>
      <c r="K855" s="8" t="inlineStr">
        <is>
          <t>Indore</t>
        </is>
      </c>
      <c r="L855" s="8" t="inlineStr">
        <is>
          <t>MP</t>
        </is>
      </c>
      <c r="M855" s="2" t="inlineStr">
        <is>
          <t>OK</t>
        </is>
      </c>
      <c r="N855" s="2" t="inlineStr">
        <is>
          <t>No Issue Found</t>
        </is>
      </c>
      <c r="O855" s="11" t="n">
        <v>545</v>
      </c>
      <c r="P855" s="2" t="inlineStr">
        <is>
          <t>NA</t>
        </is>
      </c>
      <c r="Q855" s="2" t="inlineStr">
        <is>
          <t>NA</t>
        </is>
      </c>
      <c r="R855" s="2" t="inlineStr">
        <is>
          <t>NA</t>
        </is>
      </c>
      <c r="S855" s="1" t="inlineStr">
        <is>
          <t>G2TB</t>
        </is>
      </c>
      <c r="T855" s="1" t="inlineStr">
        <is>
          <t>P2 - PEPPL</t>
        </is>
      </c>
      <c r="U855" s="2" t="inlineStr">
        <is>
          <t>No Issue Found</t>
        </is>
      </c>
      <c r="V855" s="6" t="inlineStr">
        <is>
          <t>Inspection</t>
        </is>
      </c>
      <c r="W855" s="1" t="inlineStr">
        <is>
          <t>Rejected</t>
        </is>
      </c>
      <c r="X855" s="5" t="n">
        <v>46179</v>
      </c>
      <c r="Y855" s="1">
        <f>IF(X855="","",X855-A855)</f>
        <v/>
      </c>
      <c r="Z855" s="5" t="n">
        <v>46179</v>
      </c>
      <c r="AA855" s="3" t="n"/>
      <c r="AB855" s="3" t="n"/>
      <c r="AE855" s="146">
        <f>IF(AND(F855="Closed",X855&gt;=DATE(2026,6,1),X855&lt;=DATE(2026,6,30)),"Closed in June","other")</f>
        <v/>
      </c>
    </row>
    <row r="856" hidden="1">
      <c r="A856" s="49" t="n">
        <v>46162</v>
      </c>
      <c r="B856" s="1" t="n">
        <v>2026</v>
      </c>
      <c r="C856" s="8" t="inlineStr">
        <is>
          <t>Vashi</t>
        </is>
      </c>
      <c r="D856" s="8" t="inlineStr">
        <is>
          <t>Channel Sales</t>
        </is>
      </c>
      <c r="E856" s="1" t="n"/>
      <c r="F856" s="1" t="inlineStr">
        <is>
          <t>Closed</t>
        </is>
      </c>
      <c r="G856" s="8" t="inlineStr">
        <is>
          <t>Nachiket Buchade</t>
        </is>
      </c>
      <c r="H856" s="28" t="n">
        <v>8828840014</v>
      </c>
      <c r="I856" s="10" t="inlineStr">
        <is>
          <t>PE20052602</t>
        </is>
      </c>
      <c r="J856" s="8" t="inlineStr">
        <is>
          <t>Decrease in production</t>
        </is>
      </c>
      <c r="K856" s="8" t="inlineStr">
        <is>
          <t>Indore</t>
        </is>
      </c>
      <c r="L856" s="8" t="inlineStr">
        <is>
          <t>MP</t>
        </is>
      </c>
      <c r="M856" s="2" t="inlineStr">
        <is>
          <t>OK</t>
        </is>
      </c>
      <c r="N856" s="2" t="inlineStr">
        <is>
          <t>No Issue Found</t>
        </is>
      </c>
      <c r="O856" s="11" t="n">
        <v>545</v>
      </c>
      <c r="P856" s="2" t="inlineStr">
        <is>
          <t>NA</t>
        </is>
      </c>
      <c r="Q856" s="2" t="inlineStr">
        <is>
          <t>NA</t>
        </is>
      </c>
      <c r="R856" s="2" t="inlineStr">
        <is>
          <t>NA</t>
        </is>
      </c>
      <c r="S856" s="1" t="inlineStr">
        <is>
          <t>G2TB</t>
        </is>
      </c>
      <c r="T856" s="1" t="inlineStr">
        <is>
          <t>P2 - PEPPL</t>
        </is>
      </c>
      <c r="U856" s="2" t="inlineStr">
        <is>
          <t>No Issue Found</t>
        </is>
      </c>
      <c r="V856" s="6" t="inlineStr">
        <is>
          <t>Inspection</t>
        </is>
      </c>
      <c r="W856" s="1" t="inlineStr">
        <is>
          <t>Rejected</t>
        </is>
      </c>
      <c r="X856" s="5" t="n">
        <v>46179</v>
      </c>
      <c r="Y856" s="1">
        <f>IF(X856="","",X856-A856)</f>
        <v/>
      </c>
      <c r="Z856" s="5" t="n">
        <v>46179</v>
      </c>
      <c r="AA856" s="3" t="n"/>
      <c r="AB856" s="3" t="n"/>
      <c r="AE856" s="146">
        <f>IF(AND(F856="Closed",X856&gt;=DATE(2026,6,1),X856&lt;=DATE(2026,6,30)),"Closed in June","other")</f>
        <v/>
      </c>
    </row>
    <row r="857" hidden="1">
      <c r="A857" s="49" t="n">
        <v>46162</v>
      </c>
      <c r="B857" s="1" t="n">
        <v>2026</v>
      </c>
      <c r="C857" s="8" t="inlineStr">
        <is>
          <t>Vashi</t>
        </is>
      </c>
      <c r="D857" s="8" t="inlineStr">
        <is>
          <t>Channel Sales</t>
        </is>
      </c>
      <c r="E857" s="1" t="n"/>
      <c r="F857" s="1" t="inlineStr">
        <is>
          <t>Closed</t>
        </is>
      </c>
      <c r="G857" s="8" t="inlineStr">
        <is>
          <t>Nachiket Buchade</t>
        </is>
      </c>
      <c r="H857" s="28" t="n">
        <v>8828840014</v>
      </c>
      <c r="I857" s="10" t="inlineStr">
        <is>
          <t>PE20052602</t>
        </is>
      </c>
      <c r="J857" s="8" t="inlineStr">
        <is>
          <t>Decrease in production</t>
        </is>
      </c>
      <c r="K857" s="8" t="inlineStr">
        <is>
          <t>Indore</t>
        </is>
      </c>
      <c r="L857" s="8" t="inlineStr">
        <is>
          <t>MP</t>
        </is>
      </c>
      <c r="M857" s="2" t="inlineStr">
        <is>
          <t>OK</t>
        </is>
      </c>
      <c r="N857" s="2" t="inlineStr">
        <is>
          <t>No Issue Found</t>
        </is>
      </c>
      <c r="O857" s="11" t="n">
        <v>545</v>
      </c>
      <c r="P857" s="2" t="inlineStr">
        <is>
          <t>NA</t>
        </is>
      </c>
      <c r="Q857" s="2" t="inlineStr">
        <is>
          <t>NA</t>
        </is>
      </c>
      <c r="R857" s="2" t="inlineStr">
        <is>
          <t>NA</t>
        </is>
      </c>
      <c r="S857" s="1" t="inlineStr">
        <is>
          <t>G2TB</t>
        </is>
      </c>
      <c r="T857" s="1" t="inlineStr">
        <is>
          <t>P2 - PEPPL</t>
        </is>
      </c>
      <c r="U857" s="2" t="inlineStr">
        <is>
          <t>No Issue Found</t>
        </is>
      </c>
      <c r="V857" s="6" t="inlineStr">
        <is>
          <t>Inspection</t>
        </is>
      </c>
      <c r="W857" s="1" t="inlineStr">
        <is>
          <t>Rejected</t>
        </is>
      </c>
      <c r="X857" s="5" t="n">
        <v>46179</v>
      </c>
      <c r="Y857" s="1">
        <f>IF(X857="","",X857-A857)</f>
        <v/>
      </c>
      <c r="Z857" s="5" t="n">
        <v>46179</v>
      </c>
      <c r="AA857" s="3" t="n"/>
      <c r="AB857" s="3" t="n"/>
      <c r="AE857" s="146">
        <f>IF(AND(F857="Closed",X857&gt;=DATE(2026,6,1),X857&lt;=DATE(2026,6,30)),"Closed in June","other")</f>
        <v/>
      </c>
    </row>
    <row r="858" hidden="1">
      <c r="A858" s="49" t="n">
        <v>46162</v>
      </c>
      <c r="B858" s="1" t="n">
        <v>2026</v>
      </c>
      <c r="C858" s="8" t="inlineStr">
        <is>
          <t>Vashi</t>
        </is>
      </c>
      <c r="D858" s="8" t="inlineStr">
        <is>
          <t>Channel Sales</t>
        </is>
      </c>
      <c r="E858" s="1" t="n"/>
      <c r="F858" s="1" t="inlineStr">
        <is>
          <t>Closed</t>
        </is>
      </c>
      <c r="G858" s="8" t="inlineStr">
        <is>
          <t>Nachiket Buchade</t>
        </is>
      </c>
      <c r="H858" s="28" t="n">
        <v>8828840014</v>
      </c>
      <c r="I858" s="10" t="inlineStr">
        <is>
          <t>PE20052602</t>
        </is>
      </c>
      <c r="J858" s="8" t="inlineStr">
        <is>
          <t>Decrease in production</t>
        </is>
      </c>
      <c r="K858" s="8" t="inlineStr">
        <is>
          <t>Indore</t>
        </is>
      </c>
      <c r="L858" s="8" t="inlineStr">
        <is>
          <t>MP</t>
        </is>
      </c>
      <c r="M858" s="2" t="inlineStr">
        <is>
          <t>OK</t>
        </is>
      </c>
      <c r="N858" s="2" t="inlineStr">
        <is>
          <t>No Issue Found</t>
        </is>
      </c>
      <c r="O858" s="11" t="n">
        <v>545</v>
      </c>
      <c r="P858" s="2" t="inlineStr">
        <is>
          <t>NA</t>
        </is>
      </c>
      <c r="Q858" s="2" t="inlineStr">
        <is>
          <t>NA</t>
        </is>
      </c>
      <c r="R858" s="2" t="inlineStr">
        <is>
          <t>NA</t>
        </is>
      </c>
      <c r="S858" s="1" t="inlineStr">
        <is>
          <t>G2TB</t>
        </is>
      </c>
      <c r="T858" s="1" t="inlineStr">
        <is>
          <t>P2 - PEPPL</t>
        </is>
      </c>
      <c r="U858" s="2" t="inlineStr">
        <is>
          <t>No Issue Found</t>
        </is>
      </c>
      <c r="V858" s="6" t="inlineStr">
        <is>
          <t>Inspection</t>
        </is>
      </c>
      <c r="W858" s="1" t="inlineStr">
        <is>
          <t>Rejected</t>
        </is>
      </c>
      <c r="X858" s="5" t="n">
        <v>46179</v>
      </c>
      <c r="Y858" s="1">
        <f>IF(X858="","",X858-A858)</f>
        <v/>
      </c>
      <c r="Z858" s="5" t="n">
        <v>46179</v>
      </c>
      <c r="AA858" s="3" t="n"/>
      <c r="AB858" s="3" t="n"/>
      <c r="AE858" s="146">
        <f>IF(AND(F858="Closed",X858&gt;=DATE(2026,6,1),X858&lt;=DATE(2026,6,30)),"Closed in June","other")</f>
        <v/>
      </c>
    </row>
    <row r="859" hidden="1">
      <c r="A859" s="49" t="n">
        <v>46162</v>
      </c>
      <c r="B859" s="1" t="n">
        <v>2026</v>
      </c>
      <c r="C859" s="8" t="inlineStr">
        <is>
          <t>Vashi</t>
        </is>
      </c>
      <c r="D859" s="8" t="inlineStr">
        <is>
          <t>Channel Sales</t>
        </is>
      </c>
      <c r="E859" s="1" t="n"/>
      <c r="F859" s="1" t="inlineStr">
        <is>
          <t>Closed</t>
        </is>
      </c>
      <c r="G859" s="8" t="inlineStr">
        <is>
          <t>Nachiket Buchade</t>
        </is>
      </c>
      <c r="H859" s="28" t="n">
        <v>8828840014</v>
      </c>
      <c r="I859" s="10" t="inlineStr">
        <is>
          <t>PE20052602</t>
        </is>
      </c>
      <c r="J859" s="8" t="inlineStr">
        <is>
          <t>Decrease in production</t>
        </is>
      </c>
      <c r="K859" s="8" t="inlineStr">
        <is>
          <t>Indore</t>
        </is>
      </c>
      <c r="L859" s="8" t="inlineStr">
        <is>
          <t>MP</t>
        </is>
      </c>
      <c r="M859" s="2" t="inlineStr">
        <is>
          <t>OK</t>
        </is>
      </c>
      <c r="N859" s="2" t="inlineStr">
        <is>
          <t>No Issue Found</t>
        </is>
      </c>
      <c r="O859" s="11" t="n">
        <v>545</v>
      </c>
      <c r="P859" s="2" t="inlineStr">
        <is>
          <t>NA</t>
        </is>
      </c>
      <c r="Q859" s="2" t="inlineStr">
        <is>
          <t>NA</t>
        </is>
      </c>
      <c r="R859" s="2" t="inlineStr">
        <is>
          <t>NA</t>
        </is>
      </c>
      <c r="S859" s="1" t="inlineStr">
        <is>
          <t>G2TB</t>
        </is>
      </c>
      <c r="T859" s="1" t="inlineStr">
        <is>
          <t>P2 - PEPPL</t>
        </is>
      </c>
      <c r="U859" s="2" t="inlineStr">
        <is>
          <t>No Issue Found</t>
        </is>
      </c>
      <c r="V859" s="6" t="inlineStr">
        <is>
          <t>Inspection</t>
        </is>
      </c>
      <c r="W859" s="1" t="inlineStr">
        <is>
          <t>Rejected</t>
        </is>
      </c>
      <c r="X859" s="5" t="n">
        <v>46179</v>
      </c>
      <c r="Y859" s="1">
        <f>IF(X859="","",X859-A859)</f>
        <v/>
      </c>
      <c r="Z859" s="5" t="n">
        <v>46179</v>
      </c>
      <c r="AA859" s="3" t="n"/>
      <c r="AB859" s="3" t="n"/>
      <c r="AE859" s="146">
        <f>IF(AND(F859="Closed",X859&gt;=DATE(2026,6,1),X859&lt;=DATE(2026,6,30)),"Closed in June","other")</f>
        <v/>
      </c>
    </row>
    <row r="860" hidden="1">
      <c r="A860" s="49" t="n">
        <v>46162</v>
      </c>
      <c r="B860" s="1" t="n">
        <v>2026</v>
      </c>
      <c r="C860" s="8" t="inlineStr">
        <is>
          <t>Vashi</t>
        </is>
      </c>
      <c r="D860" s="8" t="inlineStr">
        <is>
          <t>Channel Sales</t>
        </is>
      </c>
      <c r="E860" s="1" t="n"/>
      <c r="F860" s="1" t="inlineStr">
        <is>
          <t>Closed</t>
        </is>
      </c>
      <c r="G860" s="8" t="inlineStr">
        <is>
          <t>Nachiket Buchade</t>
        </is>
      </c>
      <c r="H860" s="28" t="n">
        <v>8828840014</v>
      </c>
      <c r="I860" s="10" t="inlineStr">
        <is>
          <t>PE20052602</t>
        </is>
      </c>
      <c r="J860" s="8" t="inlineStr">
        <is>
          <t>Decrease in production</t>
        </is>
      </c>
      <c r="K860" s="8" t="inlineStr">
        <is>
          <t>Indore</t>
        </is>
      </c>
      <c r="L860" s="8" t="inlineStr">
        <is>
          <t>MP</t>
        </is>
      </c>
      <c r="M860" s="2" t="inlineStr">
        <is>
          <t>OK</t>
        </is>
      </c>
      <c r="N860" s="2" t="inlineStr">
        <is>
          <t>No Issue Found</t>
        </is>
      </c>
      <c r="O860" s="11" t="n">
        <v>545</v>
      </c>
      <c r="P860" s="2" t="inlineStr">
        <is>
          <t>NA</t>
        </is>
      </c>
      <c r="Q860" s="2" t="inlineStr">
        <is>
          <t>NA</t>
        </is>
      </c>
      <c r="R860" s="2" t="inlineStr">
        <is>
          <t>NA</t>
        </is>
      </c>
      <c r="S860" s="1" t="inlineStr">
        <is>
          <t>G2TB</t>
        </is>
      </c>
      <c r="T860" s="1" t="inlineStr">
        <is>
          <t>P2 - PEPPL</t>
        </is>
      </c>
      <c r="U860" s="2" t="inlineStr">
        <is>
          <t>No Issue Found</t>
        </is>
      </c>
      <c r="V860" s="6" t="inlineStr">
        <is>
          <t>Inspection</t>
        </is>
      </c>
      <c r="W860" s="1" t="inlineStr">
        <is>
          <t>Rejected</t>
        </is>
      </c>
      <c r="X860" s="5" t="n">
        <v>46179</v>
      </c>
      <c r="Y860" s="1">
        <f>IF(X860="","",X860-A860)</f>
        <v/>
      </c>
      <c r="Z860" s="5" t="n">
        <v>46179</v>
      </c>
      <c r="AA860" s="3" t="n"/>
      <c r="AB860" s="3" t="n"/>
      <c r="AE860" s="146">
        <f>IF(AND(F860="Closed",X860&gt;=DATE(2026,6,1),X860&lt;=DATE(2026,6,30)),"Closed in June","other")</f>
        <v/>
      </c>
    </row>
    <row r="861" hidden="1">
      <c r="A861" s="49" t="n">
        <v>46162</v>
      </c>
      <c r="B861" s="1" t="n">
        <v>2026</v>
      </c>
      <c r="C861" s="8" t="inlineStr">
        <is>
          <t>Vashi</t>
        </is>
      </c>
      <c r="D861" s="8" t="inlineStr">
        <is>
          <t>Channel Sales</t>
        </is>
      </c>
      <c r="E861" s="1" t="n"/>
      <c r="F861" s="1" t="inlineStr">
        <is>
          <t>Closed</t>
        </is>
      </c>
      <c r="G861" s="8" t="inlineStr">
        <is>
          <t>Nachiket Buchade</t>
        </is>
      </c>
      <c r="H861" s="28" t="n">
        <v>8828840014</v>
      </c>
      <c r="I861" s="10" t="inlineStr">
        <is>
          <t>PE20052602</t>
        </is>
      </c>
      <c r="J861" s="8" t="inlineStr">
        <is>
          <t>Decrease in production</t>
        </is>
      </c>
      <c r="K861" s="8" t="inlineStr">
        <is>
          <t>Indore</t>
        </is>
      </c>
      <c r="L861" s="8" t="inlineStr">
        <is>
          <t>MP</t>
        </is>
      </c>
      <c r="M861" s="2" t="inlineStr">
        <is>
          <t>OK</t>
        </is>
      </c>
      <c r="N861" s="2" t="inlineStr">
        <is>
          <t>No Issue Found</t>
        </is>
      </c>
      <c r="O861" s="11" t="n">
        <v>545</v>
      </c>
      <c r="P861" s="2" t="inlineStr">
        <is>
          <t>NA</t>
        </is>
      </c>
      <c r="Q861" s="2" t="inlineStr">
        <is>
          <t>NA</t>
        </is>
      </c>
      <c r="R861" s="2" t="inlineStr">
        <is>
          <t>NA</t>
        </is>
      </c>
      <c r="S861" s="1" t="inlineStr">
        <is>
          <t>G2TB</t>
        </is>
      </c>
      <c r="T861" s="1" t="inlineStr">
        <is>
          <t>P2 - PEPPL</t>
        </is>
      </c>
      <c r="U861" s="2" t="inlineStr">
        <is>
          <t>No Issue Found</t>
        </is>
      </c>
      <c r="V861" s="6" t="inlineStr">
        <is>
          <t>Inspection</t>
        </is>
      </c>
      <c r="W861" s="1" t="inlineStr">
        <is>
          <t>Rejected</t>
        </is>
      </c>
      <c r="X861" s="5" t="n">
        <v>46179</v>
      </c>
      <c r="Y861" s="1">
        <f>IF(X861="","",X861-A861)</f>
        <v/>
      </c>
      <c r="Z861" s="5" t="n">
        <v>46179</v>
      </c>
      <c r="AA861" s="3" t="n"/>
      <c r="AB861" s="3" t="n"/>
      <c r="AE861" s="146">
        <f>IF(AND(F861="Closed",X861&gt;=DATE(2026,6,1),X861&lt;=DATE(2026,6,30)),"Closed in June","other")</f>
        <v/>
      </c>
    </row>
    <row r="862" hidden="1">
      <c r="A862" s="49" t="n">
        <v>46162</v>
      </c>
      <c r="B862" s="1" t="n">
        <v>2026</v>
      </c>
      <c r="C862" s="8" t="inlineStr">
        <is>
          <t>Vashi</t>
        </is>
      </c>
      <c r="D862" s="8" t="inlineStr">
        <is>
          <t>Channel Sales</t>
        </is>
      </c>
      <c r="E862" s="1" t="n"/>
      <c r="F862" s="1" t="inlineStr">
        <is>
          <t>Closed</t>
        </is>
      </c>
      <c r="G862" s="8" t="inlineStr">
        <is>
          <t>Nachiket Buchade</t>
        </is>
      </c>
      <c r="H862" s="28" t="n">
        <v>8828840014</v>
      </c>
      <c r="I862" s="10" t="inlineStr">
        <is>
          <t>PE20052602</t>
        </is>
      </c>
      <c r="J862" s="8" t="inlineStr">
        <is>
          <t>Decrease in production</t>
        </is>
      </c>
      <c r="K862" s="8" t="inlineStr">
        <is>
          <t>Indore</t>
        </is>
      </c>
      <c r="L862" s="8" t="inlineStr">
        <is>
          <t>MP</t>
        </is>
      </c>
      <c r="M862" s="2" t="inlineStr">
        <is>
          <t>OK</t>
        </is>
      </c>
      <c r="N862" s="2" t="inlineStr">
        <is>
          <t>No Issue Found</t>
        </is>
      </c>
      <c r="O862" s="11" t="n">
        <v>545</v>
      </c>
      <c r="P862" s="2" t="inlineStr">
        <is>
          <t>NA</t>
        </is>
      </c>
      <c r="Q862" s="2" t="inlineStr">
        <is>
          <t>NA</t>
        </is>
      </c>
      <c r="R862" s="2" t="inlineStr">
        <is>
          <t>NA</t>
        </is>
      </c>
      <c r="S862" s="1" t="inlineStr">
        <is>
          <t>G2TB</t>
        </is>
      </c>
      <c r="T862" s="1" t="inlineStr">
        <is>
          <t>P2 - PEPPL</t>
        </is>
      </c>
      <c r="U862" s="2" t="inlineStr">
        <is>
          <t>No Issue Found</t>
        </is>
      </c>
      <c r="V862" s="6" t="inlineStr">
        <is>
          <t>Inspection</t>
        </is>
      </c>
      <c r="W862" s="1" t="inlineStr">
        <is>
          <t>Rejected</t>
        </is>
      </c>
      <c r="X862" s="5" t="n">
        <v>46179</v>
      </c>
      <c r="Y862" s="1">
        <f>IF(X862="","",X862-A862)</f>
        <v/>
      </c>
      <c r="Z862" s="5" t="n">
        <v>46179</v>
      </c>
      <c r="AA862" s="3" t="n"/>
      <c r="AB862" s="3" t="n"/>
      <c r="AE862" s="146">
        <f>IF(AND(F862="Closed",X862&gt;=DATE(2026,6,1),X862&lt;=DATE(2026,6,30)),"Closed in June","other")</f>
        <v/>
      </c>
    </row>
    <row r="863" hidden="1">
      <c r="A863" s="49" t="n">
        <v>46162</v>
      </c>
      <c r="B863" s="1" t="n">
        <v>2026</v>
      </c>
      <c r="C863" s="8" t="inlineStr">
        <is>
          <t>Vashi</t>
        </is>
      </c>
      <c r="D863" s="8" t="inlineStr">
        <is>
          <t>Channel Sales</t>
        </is>
      </c>
      <c r="E863" s="1" t="n"/>
      <c r="F863" s="1" t="inlineStr">
        <is>
          <t>Closed</t>
        </is>
      </c>
      <c r="G863" s="8" t="inlineStr">
        <is>
          <t>Nachiket Buchade</t>
        </is>
      </c>
      <c r="H863" s="28" t="n">
        <v>8828840014</v>
      </c>
      <c r="I863" s="10" t="inlineStr">
        <is>
          <t>PE20052602</t>
        </is>
      </c>
      <c r="J863" s="8" t="inlineStr">
        <is>
          <t>Decrease in production</t>
        </is>
      </c>
      <c r="K863" s="8" t="inlineStr">
        <is>
          <t>Indore</t>
        </is>
      </c>
      <c r="L863" s="8" t="inlineStr">
        <is>
          <t>MP</t>
        </is>
      </c>
      <c r="M863" s="2" t="inlineStr">
        <is>
          <t>OK</t>
        </is>
      </c>
      <c r="N863" s="2" t="inlineStr">
        <is>
          <t>No Issue Found</t>
        </is>
      </c>
      <c r="O863" s="11" t="n">
        <v>545</v>
      </c>
      <c r="P863" s="2" t="inlineStr">
        <is>
          <t>NA</t>
        </is>
      </c>
      <c r="Q863" s="2" t="inlineStr">
        <is>
          <t>NA</t>
        </is>
      </c>
      <c r="R863" s="2" t="inlineStr">
        <is>
          <t>NA</t>
        </is>
      </c>
      <c r="S863" s="1" t="inlineStr">
        <is>
          <t>G2TB</t>
        </is>
      </c>
      <c r="T863" s="1" t="inlineStr">
        <is>
          <t>P2 - PEPPL</t>
        </is>
      </c>
      <c r="U863" s="2" t="inlineStr">
        <is>
          <t>No Issue Found</t>
        </is>
      </c>
      <c r="V863" s="6" t="inlineStr">
        <is>
          <t>Inspection</t>
        </is>
      </c>
      <c r="W863" s="1" t="inlineStr">
        <is>
          <t>Rejected</t>
        </is>
      </c>
      <c r="X863" s="5" t="n">
        <v>46179</v>
      </c>
      <c r="Y863" s="1">
        <f>IF(X863="","",X863-A863)</f>
        <v/>
      </c>
      <c r="Z863" s="5" t="n">
        <v>46179</v>
      </c>
      <c r="AA863" s="3" t="n"/>
      <c r="AB863" s="3" t="n"/>
      <c r="AE863" s="146">
        <f>IF(AND(F863="Closed",X863&gt;=DATE(2026,6,1),X863&lt;=DATE(2026,6,30)),"Closed in June","other")</f>
        <v/>
      </c>
    </row>
    <row r="864" hidden="1">
      <c r="A864" s="49" t="n">
        <v>46162</v>
      </c>
      <c r="B864" s="1" t="n">
        <v>2026</v>
      </c>
      <c r="C864" s="8" t="inlineStr">
        <is>
          <t>Vashi</t>
        </is>
      </c>
      <c r="D864" s="8" t="inlineStr">
        <is>
          <t>Channel Sales</t>
        </is>
      </c>
      <c r="E864" s="1" t="n"/>
      <c r="F864" s="1" t="inlineStr">
        <is>
          <t>Closed</t>
        </is>
      </c>
      <c r="G864" s="8" t="inlineStr">
        <is>
          <t>Nachiket Buchade</t>
        </is>
      </c>
      <c r="H864" s="28" t="n">
        <v>8828840014</v>
      </c>
      <c r="I864" s="10" t="inlineStr">
        <is>
          <t>PE20052602</t>
        </is>
      </c>
      <c r="J864" s="8" t="inlineStr">
        <is>
          <t>Decrease in production</t>
        </is>
      </c>
      <c r="K864" s="8" t="inlineStr">
        <is>
          <t>Indore</t>
        </is>
      </c>
      <c r="L864" s="8" t="inlineStr">
        <is>
          <t>MP</t>
        </is>
      </c>
      <c r="M864" s="2" t="inlineStr">
        <is>
          <t>OK</t>
        </is>
      </c>
      <c r="N864" s="2" t="inlineStr">
        <is>
          <t>No Issue Found</t>
        </is>
      </c>
      <c r="O864" s="11" t="n">
        <v>545</v>
      </c>
      <c r="P864" s="2" t="inlineStr">
        <is>
          <t>NA</t>
        </is>
      </c>
      <c r="Q864" s="2" t="inlineStr">
        <is>
          <t>NA</t>
        </is>
      </c>
      <c r="R864" s="2" t="inlineStr">
        <is>
          <t>NA</t>
        </is>
      </c>
      <c r="S864" s="1" t="inlineStr">
        <is>
          <t>G2TB</t>
        </is>
      </c>
      <c r="T864" s="1" t="inlineStr">
        <is>
          <t>P2 - PEPPL</t>
        </is>
      </c>
      <c r="U864" s="2" t="inlineStr">
        <is>
          <t>No Issue Found</t>
        </is>
      </c>
      <c r="V864" s="6" t="inlineStr">
        <is>
          <t>Inspection</t>
        </is>
      </c>
      <c r="W864" s="1" t="inlineStr">
        <is>
          <t>Rejected</t>
        </is>
      </c>
      <c r="X864" s="5" t="n">
        <v>46179</v>
      </c>
      <c r="Y864" s="1">
        <f>IF(X864="","",X864-A864)</f>
        <v/>
      </c>
      <c r="Z864" s="5" t="n">
        <v>46179</v>
      </c>
      <c r="AA864" s="3" t="n"/>
      <c r="AB864" s="3" t="n"/>
      <c r="AE864" s="146">
        <f>IF(AND(F864="Closed",X864&gt;=DATE(2026,6,1),X864&lt;=DATE(2026,6,30)),"Closed in June","other")</f>
        <v/>
      </c>
    </row>
    <row r="865" hidden="1">
      <c r="A865" s="49" t="n">
        <v>46162</v>
      </c>
      <c r="B865" s="1" t="n">
        <v>2026</v>
      </c>
      <c r="C865" s="8" t="inlineStr">
        <is>
          <t>Vashi</t>
        </is>
      </c>
      <c r="D865" s="8" t="inlineStr">
        <is>
          <t>Channel Sales</t>
        </is>
      </c>
      <c r="E865" s="1" t="n"/>
      <c r="F865" s="1" t="inlineStr">
        <is>
          <t>Closed</t>
        </is>
      </c>
      <c r="G865" s="8" t="inlineStr">
        <is>
          <t>Nachiket Buchade</t>
        </is>
      </c>
      <c r="H865" s="28" t="n">
        <v>8828840014</v>
      </c>
      <c r="I865" s="10" t="inlineStr">
        <is>
          <t>PE20052602</t>
        </is>
      </c>
      <c r="J865" s="8" t="inlineStr">
        <is>
          <t>Decrease in production</t>
        </is>
      </c>
      <c r="K865" s="8" t="inlineStr">
        <is>
          <t>Indore</t>
        </is>
      </c>
      <c r="L865" s="8" t="inlineStr">
        <is>
          <t>MP</t>
        </is>
      </c>
      <c r="M865" s="2" t="inlineStr">
        <is>
          <t>OK</t>
        </is>
      </c>
      <c r="N865" s="2" t="inlineStr">
        <is>
          <t>No Issue Found</t>
        </is>
      </c>
      <c r="O865" s="11" t="n">
        <v>545</v>
      </c>
      <c r="P865" s="2" t="inlineStr">
        <is>
          <t>NA</t>
        </is>
      </c>
      <c r="Q865" s="2" t="inlineStr">
        <is>
          <t>NA</t>
        </is>
      </c>
      <c r="R865" s="2" t="inlineStr">
        <is>
          <t>NA</t>
        </is>
      </c>
      <c r="S865" s="1" t="inlineStr">
        <is>
          <t>G2TB</t>
        </is>
      </c>
      <c r="T865" s="1" t="inlineStr">
        <is>
          <t>P2 - PEPPL</t>
        </is>
      </c>
      <c r="U865" s="2" t="inlineStr">
        <is>
          <t>No Issue Found</t>
        </is>
      </c>
      <c r="V865" s="6" t="inlineStr">
        <is>
          <t>Inspection</t>
        </is>
      </c>
      <c r="W865" s="1" t="inlineStr">
        <is>
          <t>Rejected</t>
        </is>
      </c>
      <c r="X865" s="5" t="n">
        <v>46179</v>
      </c>
      <c r="Y865" s="1">
        <f>IF(X865="","",X865-A865)</f>
        <v/>
      </c>
      <c r="Z865" s="5" t="n">
        <v>46179</v>
      </c>
      <c r="AA865" s="3" t="n"/>
      <c r="AB865" s="3" t="n"/>
      <c r="AE865" s="146">
        <f>IF(AND(F865="Closed",X865&gt;=DATE(2026,6,1),X865&lt;=DATE(2026,6,30)),"Closed in June","other")</f>
        <v/>
      </c>
    </row>
    <row r="866" hidden="1">
      <c r="A866" s="49" t="n">
        <v>46162</v>
      </c>
      <c r="B866" s="1" t="n">
        <v>2026</v>
      </c>
      <c r="C866" s="8" t="inlineStr">
        <is>
          <t>Vashi</t>
        </is>
      </c>
      <c r="D866" s="8" t="inlineStr">
        <is>
          <t>Channel Sales</t>
        </is>
      </c>
      <c r="E866" s="1" t="n"/>
      <c r="F866" s="1" t="inlineStr">
        <is>
          <t>Closed</t>
        </is>
      </c>
      <c r="G866" s="8" t="inlineStr">
        <is>
          <t>Nachiket Buchade</t>
        </is>
      </c>
      <c r="H866" s="28" t="n">
        <v>8828840014</v>
      </c>
      <c r="I866" s="10" t="inlineStr">
        <is>
          <t>PE20052602</t>
        </is>
      </c>
      <c r="J866" s="8" t="inlineStr">
        <is>
          <t>Decrease in production</t>
        </is>
      </c>
      <c r="K866" s="8" t="inlineStr">
        <is>
          <t>Indore</t>
        </is>
      </c>
      <c r="L866" s="8" t="inlineStr">
        <is>
          <t>MP</t>
        </is>
      </c>
      <c r="M866" s="2" t="inlineStr">
        <is>
          <t>OK</t>
        </is>
      </c>
      <c r="N866" s="2" t="inlineStr">
        <is>
          <t>No Issue Found</t>
        </is>
      </c>
      <c r="O866" s="11" t="n">
        <v>545</v>
      </c>
      <c r="P866" s="2" t="inlineStr">
        <is>
          <t>NA</t>
        </is>
      </c>
      <c r="Q866" s="2" t="inlineStr">
        <is>
          <t>NA</t>
        </is>
      </c>
      <c r="R866" s="2" t="inlineStr">
        <is>
          <t>NA</t>
        </is>
      </c>
      <c r="S866" s="1" t="inlineStr">
        <is>
          <t>G2TB</t>
        </is>
      </c>
      <c r="T866" s="1" t="inlineStr">
        <is>
          <t>P2 - PEPPL</t>
        </is>
      </c>
      <c r="U866" s="2" t="inlineStr">
        <is>
          <t>No Issue Found</t>
        </is>
      </c>
      <c r="V866" s="6" t="inlineStr">
        <is>
          <t>Inspection</t>
        </is>
      </c>
      <c r="W866" s="1" t="inlineStr">
        <is>
          <t>Rejected</t>
        </is>
      </c>
      <c r="X866" s="5" t="n">
        <v>46179</v>
      </c>
      <c r="Y866" s="1">
        <f>IF(X866="","",X866-A866)</f>
        <v/>
      </c>
      <c r="Z866" s="5" t="n">
        <v>46179</v>
      </c>
      <c r="AA866" s="3" t="n"/>
      <c r="AB866" s="3" t="n"/>
      <c r="AE866" s="146">
        <f>IF(AND(F866="Closed",X866&gt;=DATE(2026,6,1),X866&lt;=DATE(2026,6,30)),"Closed in June","other")</f>
        <v/>
      </c>
    </row>
    <row r="867" hidden="1">
      <c r="A867" s="49" t="n">
        <v>46162</v>
      </c>
      <c r="B867" s="1" t="n">
        <v>2026</v>
      </c>
      <c r="C867" s="8" t="inlineStr">
        <is>
          <t>Vashi</t>
        </is>
      </c>
      <c r="D867" s="8" t="inlineStr">
        <is>
          <t>Channel Sales</t>
        </is>
      </c>
      <c r="E867" s="1" t="n"/>
      <c r="F867" s="1" t="inlineStr">
        <is>
          <t>Closed</t>
        </is>
      </c>
      <c r="G867" s="8" t="inlineStr">
        <is>
          <t>Nachiket Buchade</t>
        </is>
      </c>
      <c r="H867" s="28" t="n">
        <v>8828840014</v>
      </c>
      <c r="I867" s="10" t="inlineStr">
        <is>
          <t>PE20052602</t>
        </is>
      </c>
      <c r="J867" s="8" t="inlineStr">
        <is>
          <t>Decrease in production</t>
        </is>
      </c>
      <c r="K867" s="8" t="inlineStr">
        <is>
          <t>Indore</t>
        </is>
      </c>
      <c r="L867" s="8" t="inlineStr">
        <is>
          <t>MP</t>
        </is>
      </c>
      <c r="M867" s="2" t="inlineStr">
        <is>
          <t>OK</t>
        </is>
      </c>
      <c r="N867" s="2" t="inlineStr">
        <is>
          <t>No Issue Found</t>
        </is>
      </c>
      <c r="O867" s="11" t="n">
        <v>545</v>
      </c>
      <c r="P867" s="2" t="inlineStr">
        <is>
          <t>NA</t>
        </is>
      </c>
      <c r="Q867" s="2" t="inlineStr">
        <is>
          <t>NA</t>
        </is>
      </c>
      <c r="R867" s="2" t="inlineStr">
        <is>
          <t>NA</t>
        </is>
      </c>
      <c r="S867" s="1" t="inlineStr">
        <is>
          <t>G2TB</t>
        </is>
      </c>
      <c r="T867" s="1" t="inlineStr">
        <is>
          <t>P2 - PEPPL</t>
        </is>
      </c>
      <c r="U867" s="2" t="inlineStr">
        <is>
          <t>No Issue Found</t>
        </is>
      </c>
      <c r="V867" s="6" t="inlineStr">
        <is>
          <t>Inspection</t>
        </is>
      </c>
      <c r="W867" s="1" t="inlineStr">
        <is>
          <t>Rejected</t>
        </is>
      </c>
      <c r="X867" s="5" t="n">
        <v>46179</v>
      </c>
      <c r="Y867" s="1">
        <f>IF(X867="","",X867-A867)</f>
        <v/>
      </c>
      <c r="Z867" s="5" t="n">
        <v>46179</v>
      </c>
      <c r="AA867" s="3" t="n"/>
      <c r="AB867" s="3" t="n"/>
      <c r="AE867" s="146">
        <f>IF(AND(F867="Closed",X867&gt;=DATE(2026,6,1),X867&lt;=DATE(2026,6,30)),"Closed in June","other")</f>
        <v/>
      </c>
    </row>
    <row r="868" hidden="1">
      <c r="A868" s="49" t="n">
        <v>46162</v>
      </c>
      <c r="B868" s="1" t="n">
        <v>2026</v>
      </c>
      <c r="C868" s="8" t="inlineStr">
        <is>
          <t>Vashi</t>
        </is>
      </c>
      <c r="D868" s="8" t="inlineStr">
        <is>
          <t>Channel Sales</t>
        </is>
      </c>
      <c r="E868" s="1" t="n"/>
      <c r="F868" s="1" t="inlineStr">
        <is>
          <t>Closed</t>
        </is>
      </c>
      <c r="G868" s="8" t="inlineStr">
        <is>
          <t>Nachiket Buchade</t>
        </is>
      </c>
      <c r="H868" s="28" t="n">
        <v>8828840014</v>
      </c>
      <c r="I868" s="10" t="inlineStr">
        <is>
          <t>PE20052602</t>
        </is>
      </c>
      <c r="J868" s="8" t="inlineStr">
        <is>
          <t>Decrease in production</t>
        </is>
      </c>
      <c r="K868" s="8" t="inlineStr">
        <is>
          <t>Indore</t>
        </is>
      </c>
      <c r="L868" s="8" t="inlineStr">
        <is>
          <t>MP</t>
        </is>
      </c>
      <c r="M868" s="2" t="inlineStr">
        <is>
          <t>OK</t>
        </is>
      </c>
      <c r="N868" s="2" t="inlineStr">
        <is>
          <t>No Issue Found</t>
        </is>
      </c>
      <c r="O868" s="11" t="n">
        <v>545</v>
      </c>
      <c r="P868" s="2" t="inlineStr">
        <is>
          <t>NA</t>
        </is>
      </c>
      <c r="Q868" s="2" t="inlineStr">
        <is>
          <t>NA</t>
        </is>
      </c>
      <c r="R868" s="2" t="inlineStr">
        <is>
          <t>NA</t>
        </is>
      </c>
      <c r="S868" s="1" t="inlineStr">
        <is>
          <t>G2TB</t>
        </is>
      </c>
      <c r="T868" s="1" t="inlineStr">
        <is>
          <t>P2 - PEPPL</t>
        </is>
      </c>
      <c r="U868" s="2" t="inlineStr">
        <is>
          <t>No Issue Found</t>
        </is>
      </c>
      <c r="V868" s="6" t="inlineStr">
        <is>
          <t>Inspection</t>
        </is>
      </c>
      <c r="W868" s="1" t="inlineStr">
        <is>
          <t>Rejected</t>
        </is>
      </c>
      <c r="X868" s="5" t="n">
        <v>46179</v>
      </c>
      <c r="Y868" s="1">
        <f>IF(X868="","",X868-A868)</f>
        <v/>
      </c>
      <c r="Z868" s="5" t="n">
        <v>46179</v>
      </c>
      <c r="AA868" s="3" t="n"/>
      <c r="AB868" s="3" t="n"/>
      <c r="AE868" s="146">
        <f>IF(AND(F868="Closed",X868&gt;=DATE(2026,6,1),X868&lt;=DATE(2026,6,30)),"Closed in June","other")</f>
        <v/>
      </c>
    </row>
    <row r="869" hidden="1">
      <c r="A869" s="49" t="n">
        <v>46162</v>
      </c>
      <c r="B869" s="1" t="n">
        <v>2026</v>
      </c>
      <c r="C869" s="8" t="inlineStr">
        <is>
          <t>Vashi</t>
        </is>
      </c>
      <c r="D869" s="8" t="inlineStr">
        <is>
          <t>Channel Sales</t>
        </is>
      </c>
      <c r="E869" s="1" t="n"/>
      <c r="F869" s="1" t="inlineStr">
        <is>
          <t>Closed</t>
        </is>
      </c>
      <c r="G869" s="8" t="inlineStr">
        <is>
          <t>Nachiket Buchade</t>
        </is>
      </c>
      <c r="H869" s="28" t="n">
        <v>8828840014</v>
      </c>
      <c r="I869" s="10" t="inlineStr">
        <is>
          <t>PE20052602</t>
        </is>
      </c>
      <c r="J869" s="8" t="inlineStr">
        <is>
          <t>Decrease in production</t>
        </is>
      </c>
      <c r="K869" s="8" t="inlineStr">
        <is>
          <t>Indore</t>
        </is>
      </c>
      <c r="L869" s="8" t="inlineStr">
        <is>
          <t>MP</t>
        </is>
      </c>
      <c r="M869" s="2" t="inlineStr">
        <is>
          <t>OK</t>
        </is>
      </c>
      <c r="N869" s="2" t="inlineStr">
        <is>
          <t>No Issue Found</t>
        </is>
      </c>
      <c r="O869" s="11" t="n">
        <v>545</v>
      </c>
      <c r="P869" s="2" t="inlineStr">
        <is>
          <t>NA</t>
        </is>
      </c>
      <c r="Q869" s="2" t="inlineStr">
        <is>
          <t>NA</t>
        </is>
      </c>
      <c r="R869" s="2" t="inlineStr">
        <is>
          <t>NA</t>
        </is>
      </c>
      <c r="S869" s="1" t="inlineStr">
        <is>
          <t>G2TB</t>
        </is>
      </c>
      <c r="T869" s="1" t="inlineStr">
        <is>
          <t>P2 - PEPPL</t>
        </is>
      </c>
      <c r="U869" s="2" t="inlineStr">
        <is>
          <t>No Issue Found</t>
        </is>
      </c>
      <c r="V869" s="6" t="inlineStr">
        <is>
          <t>Inspection</t>
        </is>
      </c>
      <c r="W869" s="1" t="inlineStr">
        <is>
          <t>Rejected</t>
        </is>
      </c>
      <c r="X869" s="5" t="n">
        <v>46179</v>
      </c>
      <c r="Y869" s="1">
        <f>IF(X869="","",X869-A869)</f>
        <v/>
      </c>
      <c r="Z869" s="5" t="n">
        <v>46179</v>
      </c>
      <c r="AA869" s="3" t="n"/>
      <c r="AB869" s="3" t="n"/>
      <c r="AE869" s="146">
        <f>IF(AND(F869="Closed",X869&gt;=DATE(2026,6,1),X869&lt;=DATE(2026,6,30)),"Closed in June","other")</f>
        <v/>
      </c>
    </row>
    <row r="870" hidden="1">
      <c r="A870" s="49" t="n">
        <v>46162</v>
      </c>
      <c r="B870" s="1" t="n">
        <v>2026</v>
      </c>
      <c r="C870" s="8" t="inlineStr">
        <is>
          <t>Vashi</t>
        </is>
      </c>
      <c r="D870" s="8" t="inlineStr">
        <is>
          <t>Channel Sales</t>
        </is>
      </c>
      <c r="E870" s="1" t="n"/>
      <c r="F870" s="1" t="inlineStr">
        <is>
          <t>Closed</t>
        </is>
      </c>
      <c r="G870" s="8" t="inlineStr">
        <is>
          <t>Nachiket Buchade</t>
        </is>
      </c>
      <c r="H870" s="28" t="n">
        <v>8828840014</v>
      </c>
      <c r="I870" s="10" t="inlineStr">
        <is>
          <t>PE20052602</t>
        </is>
      </c>
      <c r="J870" s="8" t="inlineStr">
        <is>
          <t>Decrease in production</t>
        </is>
      </c>
      <c r="K870" s="8" t="inlineStr">
        <is>
          <t>Indore</t>
        </is>
      </c>
      <c r="L870" s="8" t="inlineStr">
        <is>
          <t>MP</t>
        </is>
      </c>
      <c r="M870" s="2" t="inlineStr">
        <is>
          <t>OK</t>
        </is>
      </c>
      <c r="N870" s="2" t="inlineStr">
        <is>
          <t>No Issue Found</t>
        </is>
      </c>
      <c r="O870" s="11" t="n">
        <v>545</v>
      </c>
      <c r="P870" s="2" t="inlineStr">
        <is>
          <t>NA</t>
        </is>
      </c>
      <c r="Q870" s="2" t="inlineStr">
        <is>
          <t>NA</t>
        </is>
      </c>
      <c r="R870" s="2" t="inlineStr">
        <is>
          <t>NA</t>
        </is>
      </c>
      <c r="S870" s="1" t="inlineStr">
        <is>
          <t>G2TB</t>
        </is>
      </c>
      <c r="T870" s="1" t="inlineStr">
        <is>
          <t>P2 - PEPPL</t>
        </is>
      </c>
      <c r="U870" s="2" t="inlineStr">
        <is>
          <t>No Issue Found</t>
        </is>
      </c>
      <c r="V870" s="6" t="inlineStr">
        <is>
          <t>Inspection</t>
        </is>
      </c>
      <c r="W870" s="1" t="inlineStr">
        <is>
          <t>Rejected</t>
        </is>
      </c>
      <c r="X870" s="5" t="n">
        <v>46179</v>
      </c>
      <c r="Y870" s="1">
        <f>IF(X870="","",X870-A870)</f>
        <v/>
      </c>
      <c r="Z870" s="5" t="n">
        <v>46179</v>
      </c>
      <c r="AA870" s="3" t="n"/>
      <c r="AB870" s="3" t="n"/>
      <c r="AE870" s="146">
        <f>IF(AND(F870="Closed",X870&gt;=DATE(2026,6,1),X870&lt;=DATE(2026,6,30)),"Closed in June","other")</f>
        <v/>
      </c>
    </row>
    <row r="871" hidden="1">
      <c r="A871" s="49" t="n">
        <v>46162</v>
      </c>
      <c r="B871" s="1" t="n">
        <v>2026</v>
      </c>
      <c r="C871" s="8" t="inlineStr">
        <is>
          <t>Vashi</t>
        </is>
      </c>
      <c r="D871" s="8" t="inlineStr">
        <is>
          <t>Channel Sales</t>
        </is>
      </c>
      <c r="E871" s="1" t="n"/>
      <c r="F871" s="1" t="inlineStr">
        <is>
          <t>Closed</t>
        </is>
      </c>
      <c r="G871" s="8" t="inlineStr">
        <is>
          <t>Nachiket Buchade</t>
        </is>
      </c>
      <c r="H871" s="28" t="n">
        <v>8828840014</v>
      </c>
      <c r="I871" s="10" t="inlineStr">
        <is>
          <t>PE20052602</t>
        </is>
      </c>
      <c r="J871" s="8" t="inlineStr">
        <is>
          <t>Decrease in production</t>
        </is>
      </c>
      <c r="K871" s="8" t="inlineStr">
        <is>
          <t>Indore</t>
        </is>
      </c>
      <c r="L871" s="8" t="inlineStr">
        <is>
          <t>MP</t>
        </is>
      </c>
      <c r="M871" s="2" t="inlineStr">
        <is>
          <t>OK</t>
        </is>
      </c>
      <c r="N871" s="2" t="inlineStr">
        <is>
          <t>No Issue Found</t>
        </is>
      </c>
      <c r="O871" s="11" t="n">
        <v>545</v>
      </c>
      <c r="P871" s="2" t="inlineStr">
        <is>
          <t>NA</t>
        </is>
      </c>
      <c r="Q871" s="2" t="inlineStr">
        <is>
          <t>NA</t>
        </is>
      </c>
      <c r="R871" s="2" t="inlineStr">
        <is>
          <t>NA</t>
        </is>
      </c>
      <c r="S871" s="1" t="inlineStr">
        <is>
          <t>G2TB</t>
        </is>
      </c>
      <c r="T871" s="1" t="inlineStr">
        <is>
          <t>P2 - PEPPL</t>
        </is>
      </c>
      <c r="U871" s="2" t="inlineStr">
        <is>
          <t>No Issue Found</t>
        </is>
      </c>
      <c r="V871" s="6" t="inlineStr">
        <is>
          <t>Inspection</t>
        </is>
      </c>
      <c r="W871" s="1" t="inlineStr">
        <is>
          <t>Rejected</t>
        </is>
      </c>
      <c r="X871" s="5" t="n">
        <v>46179</v>
      </c>
      <c r="Y871" s="1">
        <f>IF(X871="","",X871-A871)</f>
        <v/>
      </c>
      <c r="Z871" s="5" t="n">
        <v>46179</v>
      </c>
      <c r="AA871" s="3" t="n"/>
      <c r="AB871" s="3" t="n"/>
      <c r="AE871" s="146">
        <f>IF(AND(F871="Closed",X871&gt;=DATE(2026,6,1),X871&lt;=DATE(2026,6,30)),"Closed in June","other")</f>
        <v/>
      </c>
    </row>
    <row r="872" hidden="1">
      <c r="A872" s="49" t="n">
        <v>46162</v>
      </c>
      <c r="B872" s="1" t="n">
        <v>2026</v>
      </c>
      <c r="C872" s="8" t="inlineStr">
        <is>
          <t>Vashi</t>
        </is>
      </c>
      <c r="D872" s="8" t="inlineStr">
        <is>
          <t>Channel Sales</t>
        </is>
      </c>
      <c r="E872" s="1" t="n"/>
      <c r="F872" s="1" t="inlineStr">
        <is>
          <t>Closed</t>
        </is>
      </c>
      <c r="G872" s="8" t="inlineStr">
        <is>
          <t>Nachiket Buchade</t>
        </is>
      </c>
      <c r="H872" s="28" t="n">
        <v>8828840014</v>
      </c>
      <c r="I872" s="10" t="inlineStr">
        <is>
          <t>PE20052602</t>
        </is>
      </c>
      <c r="J872" s="8" t="inlineStr">
        <is>
          <t>Decrease in production</t>
        </is>
      </c>
      <c r="K872" s="8" t="inlineStr">
        <is>
          <t>Indore</t>
        </is>
      </c>
      <c r="L872" s="8" t="inlineStr">
        <is>
          <t>MP</t>
        </is>
      </c>
      <c r="M872" s="2" t="inlineStr">
        <is>
          <t>OK</t>
        </is>
      </c>
      <c r="N872" s="2" t="inlineStr">
        <is>
          <t>No Issue Found</t>
        </is>
      </c>
      <c r="O872" s="11" t="n">
        <v>545</v>
      </c>
      <c r="P872" s="2" t="inlineStr">
        <is>
          <t>NA</t>
        </is>
      </c>
      <c r="Q872" s="2" t="inlineStr">
        <is>
          <t>NA</t>
        </is>
      </c>
      <c r="R872" s="2" t="inlineStr">
        <is>
          <t>NA</t>
        </is>
      </c>
      <c r="S872" s="1" t="inlineStr">
        <is>
          <t>G2TB</t>
        </is>
      </c>
      <c r="T872" s="1" t="inlineStr">
        <is>
          <t>P2 - PEPPL</t>
        </is>
      </c>
      <c r="U872" s="2" t="inlineStr">
        <is>
          <t>No Issue Found</t>
        </is>
      </c>
      <c r="V872" s="6" t="inlineStr">
        <is>
          <t>Inspection</t>
        </is>
      </c>
      <c r="W872" s="1" t="inlineStr">
        <is>
          <t>Rejected</t>
        </is>
      </c>
      <c r="X872" s="5" t="n">
        <v>46179</v>
      </c>
      <c r="Y872" s="1">
        <f>IF(X872="","",X872-A872)</f>
        <v/>
      </c>
      <c r="Z872" s="5" t="n">
        <v>46179</v>
      </c>
      <c r="AA872" s="3" t="n"/>
      <c r="AB872" s="3" t="n"/>
      <c r="AE872" s="146">
        <f>IF(AND(F872="Closed",X872&gt;=DATE(2026,6,1),X872&lt;=DATE(2026,6,30)),"Closed in June","other")</f>
        <v/>
      </c>
    </row>
    <row r="873" hidden="1">
      <c r="A873" s="49" t="n">
        <v>46162</v>
      </c>
      <c r="B873" s="1" t="n">
        <v>2026</v>
      </c>
      <c r="C873" s="8" t="inlineStr">
        <is>
          <t>Vashi</t>
        </is>
      </c>
      <c r="D873" s="8" t="inlineStr">
        <is>
          <t>Channel Sales</t>
        </is>
      </c>
      <c r="E873" s="1" t="n"/>
      <c r="F873" s="1" t="inlineStr">
        <is>
          <t>Closed</t>
        </is>
      </c>
      <c r="G873" s="8" t="inlineStr">
        <is>
          <t>Nachiket Buchade</t>
        </is>
      </c>
      <c r="H873" s="28" t="n">
        <v>8828840014</v>
      </c>
      <c r="I873" s="10" t="inlineStr">
        <is>
          <t>PE20052602</t>
        </is>
      </c>
      <c r="J873" s="8" t="inlineStr">
        <is>
          <t>Decrease in production</t>
        </is>
      </c>
      <c r="K873" s="8" t="inlineStr">
        <is>
          <t>Indore</t>
        </is>
      </c>
      <c r="L873" s="8" t="inlineStr">
        <is>
          <t>MP</t>
        </is>
      </c>
      <c r="M873" s="2" t="inlineStr">
        <is>
          <t>OK</t>
        </is>
      </c>
      <c r="N873" s="2" t="inlineStr">
        <is>
          <t>No Issue Found</t>
        </is>
      </c>
      <c r="O873" s="11" t="n">
        <v>545</v>
      </c>
      <c r="P873" s="2" t="inlineStr">
        <is>
          <t>NA</t>
        </is>
      </c>
      <c r="Q873" s="2" t="inlineStr">
        <is>
          <t>NA</t>
        </is>
      </c>
      <c r="R873" s="2" t="inlineStr">
        <is>
          <t>NA</t>
        </is>
      </c>
      <c r="S873" s="1" t="inlineStr">
        <is>
          <t>G2TB</t>
        </is>
      </c>
      <c r="T873" s="1" t="inlineStr">
        <is>
          <t>P2 - PEPPL</t>
        </is>
      </c>
      <c r="U873" s="2" t="inlineStr">
        <is>
          <t>No Issue Found</t>
        </is>
      </c>
      <c r="V873" s="6" t="inlineStr">
        <is>
          <t>Inspection</t>
        </is>
      </c>
      <c r="W873" s="1" t="inlineStr">
        <is>
          <t>Rejected</t>
        </is>
      </c>
      <c r="X873" s="5" t="n">
        <v>46179</v>
      </c>
      <c r="Y873" s="1">
        <f>IF(X873="","",X873-A873)</f>
        <v/>
      </c>
      <c r="Z873" s="5" t="n">
        <v>46179</v>
      </c>
      <c r="AA873" s="3" t="n"/>
      <c r="AB873" s="3" t="n"/>
      <c r="AE873" s="146">
        <f>IF(AND(F873="Closed",X873&gt;=DATE(2026,6,1),X873&lt;=DATE(2026,6,30)),"Closed in June","other")</f>
        <v/>
      </c>
    </row>
    <row r="874" hidden="1">
      <c r="A874" s="49" t="n">
        <v>46162</v>
      </c>
      <c r="B874" s="1" t="n">
        <v>2026</v>
      </c>
      <c r="C874" s="8" t="inlineStr">
        <is>
          <t>Vashi</t>
        </is>
      </c>
      <c r="D874" s="8" t="inlineStr">
        <is>
          <t>Channel Sales</t>
        </is>
      </c>
      <c r="E874" s="1" t="n"/>
      <c r="F874" s="1" t="inlineStr">
        <is>
          <t>Closed</t>
        </is>
      </c>
      <c r="G874" s="8" t="inlineStr">
        <is>
          <t>Nachiket Buchade</t>
        </is>
      </c>
      <c r="H874" s="28" t="n">
        <v>8828840014</v>
      </c>
      <c r="I874" s="10" t="inlineStr">
        <is>
          <t>PE20052602</t>
        </is>
      </c>
      <c r="J874" s="8" t="inlineStr">
        <is>
          <t>Decrease in production</t>
        </is>
      </c>
      <c r="K874" s="8" t="inlineStr">
        <is>
          <t>Indore</t>
        </is>
      </c>
      <c r="L874" s="8" t="inlineStr">
        <is>
          <t>MP</t>
        </is>
      </c>
      <c r="M874" s="2" t="inlineStr">
        <is>
          <t>OK</t>
        </is>
      </c>
      <c r="N874" s="2" t="inlineStr">
        <is>
          <t>No Issue Found</t>
        </is>
      </c>
      <c r="O874" s="11" t="n">
        <v>545</v>
      </c>
      <c r="P874" s="2" t="inlineStr">
        <is>
          <t>NA</t>
        </is>
      </c>
      <c r="Q874" s="2" t="inlineStr">
        <is>
          <t>NA</t>
        </is>
      </c>
      <c r="R874" s="2" t="inlineStr">
        <is>
          <t>NA</t>
        </is>
      </c>
      <c r="S874" s="1" t="inlineStr">
        <is>
          <t>G2TB</t>
        </is>
      </c>
      <c r="T874" s="1" t="inlineStr">
        <is>
          <t>P2 - PEPPL</t>
        </is>
      </c>
      <c r="U874" s="2" t="inlineStr">
        <is>
          <t>No Issue Found</t>
        </is>
      </c>
      <c r="V874" s="6" t="inlineStr">
        <is>
          <t>Inspection</t>
        </is>
      </c>
      <c r="W874" s="1" t="inlineStr">
        <is>
          <t>Rejected</t>
        </is>
      </c>
      <c r="X874" s="5" t="n">
        <v>46179</v>
      </c>
      <c r="Y874" s="1">
        <f>IF(X874="","",X874-A874)</f>
        <v/>
      </c>
      <c r="Z874" s="5" t="n">
        <v>46179</v>
      </c>
      <c r="AA874" s="3" t="n"/>
      <c r="AB874" s="3" t="n"/>
      <c r="AE874" s="146">
        <f>IF(AND(F874="Closed",X874&gt;=DATE(2026,6,1),X874&lt;=DATE(2026,6,30)),"Closed in June","other")</f>
        <v/>
      </c>
    </row>
    <row r="875" hidden="1">
      <c r="A875" s="9" t="n">
        <v>46148</v>
      </c>
      <c r="B875" s="1" t="n">
        <v>2026</v>
      </c>
      <c r="C875" s="8" t="inlineStr">
        <is>
          <t>Continuum</t>
        </is>
      </c>
      <c r="D875" s="1" t="inlineStr">
        <is>
          <t>Utility and C&amp;I</t>
        </is>
      </c>
      <c r="E875" s="1" t="n"/>
      <c r="F875" s="1" t="inlineStr">
        <is>
          <t>Closed</t>
        </is>
      </c>
      <c r="G875" s="8" t="inlineStr">
        <is>
          <t>Amiya Ranjan Behera</t>
        </is>
      </c>
      <c r="H875" s="8" t="n">
        <v>8917436223</v>
      </c>
      <c r="I875" s="10" t="inlineStr">
        <is>
          <t>PE06052602</t>
        </is>
      </c>
      <c r="J875" s="8" t="inlineStr">
        <is>
          <t>Diode Bypass Module Issue</t>
        </is>
      </c>
      <c r="K875" s="8" t="inlineStr">
        <is>
          <t>Bhavnagar</t>
        </is>
      </c>
      <c r="L875" s="8" t="inlineStr">
        <is>
          <t>Gujarat</t>
        </is>
      </c>
      <c r="M875" s="2" t="inlineStr">
        <is>
          <t>NS</t>
        </is>
      </c>
      <c r="N875" s="8" t="inlineStr">
        <is>
          <t>Cold Soldering</t>
        </is>
      </c>
      <c r="O875" s="11" t="n">
        <v>540</v>
      </c>
      <c r="P875" s="2" t="inlineStr">
        <is>
          <t>NSMP2305193135</t>
        </is>
      </c>
      <c r="Q875" s="14">
        <f>MID(P875,5,2)</f>
        <v/>
      </c>
      <c r="R875" s="14">
        <f>MID(P875,7,2)</f>
        <v/>
      </c>
      <c r="S875" s="1" t="inlineStr">
        <is>
          <t>G2B</t>
        </is>
      </c>
      <c r="T875" s="1" t="inlineStr">
        <is>
          <t>P2 - PEPPL</t>
        </is>
      </c>
      <c r="U875" s="6" t="inlineStr">
        <is>
          <t>N JB Cold Soldering</t>
        </is>
      </c>
      <c r="V875" s="6" t="inlineStr">
        <is>
          <t>Soldering</t>
        </is>
      </c>
      <c r="W875" s="1" t="inlineStr">
        <is>
          <t>Repair</t>
        </is>
      </c>
      <c r="X875" s="5" t="n">
        <v>46181</v>
      </c>
      <c r="Y875" s="1">
        <f>IF(X875="","",X875-A875)</f>
        <v/>
      </c>
      <c r="Z875" s="5" t="n">
        <v>46181</v>
      </c>
      <c r="AA875" s="3" t="n"/>
      <c r="AB875" s="3" t="n"/>
      <c r="AE875" s="146">
        <f>IF(AND(F875="Closed",X875&gt;=DATE(2026,6,1),X875&lt;=DATE(2026,6,30)),"Closed in June","other")</f>
        <v/>
      </c>
    </row>
    <row r="876" hidden="1">
      <c r="A876" s="9" t="n">
        <v>46148</v>
      </c>
      <c r="B876" s="1" t="n">
        <v>2026</v>
      </c>
      <c r="C876" s="8" t="inlineStr">
        <is>
          <t>Continuum</t>
        </is>
      </c>
      <c r="D876" s="1" t="inlineStr">
        <is>
          <t>Utility and C&amp;I</t>
        </is>
      </c>
      <c r="E876" s="1" t="n"/>
      <c r="F876" s="1" t="inlineStr">
        <is>
          <t>Closed</t>
        </is>
      </c>
      <c r="G876" s="8" t="inlineStr">
        <is>
          <t>Amiya Ranjan Behera</t>
        </is>
      </c>
      <c r="H876" s="8" t="n">
        <v>8917436223</v>
      </c>
      <c r="I876" s="10" t="inlineStr">
        <is>
          <t>PE06052602</t>
        </is>
      </c>
      <c r="J876" s="8" t="inlineStr">
        <is>
          <t>Diode Bypass Module Issue</t>
        </is>
      </c>
      <c r="K876" s="8" t="inlineStr">
        <is>
          <t>Bhavnagar</t>
        </is>
      </c>
      <c r="L876" s="8" t="inlineStr">
        <is>
          <t>Gujarat</t>
        </is>
      </c>
      <c r="M876" s="2" t="inlineStr">
        <is>
          <t>PS</t>
        </is>
      </c>
      <c r="N876" s="1" t="inlineStr">
        <is>
          <t>Cold Soldering</t>
        </is>
      </c>
      <c r="O876" s="11" t="n">
        <v>540</v>
      </c>
      <c r="P876" s="2" t="inlineStr">
        <is>
          <t>NSMP2305195016</t>
        </is>
      </c>
      <c r="Q876" s="14">
        <f>MID(P876,5,2)</f>
        <v/>
      </c>
      <c r="R876" s="14">
        <f>MID(P876,7,2)</f>
        <v/>
      </c>
      <c r="S876" s="1" t="inlineStr">
        <is>
          <t>G2B</t>
        </is>
      </c>
      <c r="T876" s="1" t="inlineStr">
        <is>
          <t>P2 - PEPPL</t>
        </is>
      </c>
      <c r="U876" s="1" t="inlineStr">
        <is>
          <t>P JB Cold Soldering</t>
        </is>
      </c>
      <c r="V876" s="1" t="inlineStr">
        <is>
          <t>Soldering</t>
        </is>
      </c>
      <c r="W876" s="1" t="inlineStr">
        <is>
          <t>Repair</t>
        </is>
      </c>
      <c r="X876" s="5" t="n">
        <v>46181</v>
      </c>
      <c r="Y876" s="1">
        <f>IF(X876="","",X876-A876)</f>
        <v/>
      </c>
      <c r="Z876" s="5" t="n">
        <v>46181</v>
      </c>
      <c r="AA876" s="3" t="n"/>
      <c r="AB876" s="3" t="n"/>
      <c r="AE876" s="146">
        <f>IF(AND(F876="Closed",X876&gt;=DATE(2026,6,1),X876&lt;=DATE(2026,6,30)),"Closed in June","other")</f>
        <v/>
      </c>
    </row>
    <row r="877" hidden="1">
      <c r="A877" s="9" t="n">
        <v>46148</v>
      </c>
      <c r="B877" s="1" t="n">
        <v>2026</v>
      </c>
      <c r="C877" s="8" t="inlineStr">
        <is>
          <t>Continuum</t>
        </is>
      </c>
      <c r="D877" s="1" t="inlineStr">
        <is>
          <t>Utility and C&amp;I</t>
        </is>
      </c>
      <c r="E877" s="1" t="n"/>
      <c r="F877" s="1" t="inlineStr">
        <is>
          <t>Closed</t>
        </is>
      </c>
      <c r="G877" s="8" t="inlineStr">
        <is>
          <t>Amiya Ranjan Behera</t>
        </is>
      </c>
      <c r="H877" s="8" t="n">
        <v>8917436223</v>
      </c>
      <c r="I877" s="10" t="inlineStr">
        <is>
          <t>PE06052602</t>
        </is>
      </c>
      <c r="J877" s="8" t="inlineStr">
        <is>
          <t>Diode Bypass Module Issue</t>
        </is>
      </c>
      <c r="K877" s="8" t="inlineStr">
        <is>
          <t>Bhavnagar</t>
        </is>
      </c>
      <c r="L877" s="8" t="inlineStr">
        <is>
          <t>Gujarat</t>
        </is>
      </c>
      <c r="M877" s="2" t="inlineStr">
        <is>
          <t>NS</t>
        </is>
      </c>
      <c r="N877" s="8" t="inlineStr">
        <is>
          <t>Cold Soldering</t>
        </is>
      </c>
      <c r="O877" s="11" t="n">
        <v>540</v>
      </c>
      <c r="P877" s="2" t="inlineStr">
        <is>
          <t>NSMP2305195457</t>
        </is>
      </c>
      <c r="Q877" s="14">
        <f>MID(P877,5,2)</f>
        <v/>
      </c>
      <c r="R877" s="14">
        <f>MID(P877,7,2)</f>
        <v/>
      </c>
      <c r="S877" s="1" t="inlineStr">
        <is>
          <t>G2B</t>
        </is>
      </c>
      <c r="T877" s="1" t="inlineStr">
        <is>
          <t>P2 - PEPPL</t>
        </is>
      </c>
      <c r="U877" s="6" t="inlineStr">
        <is>
          <t>N JB Cold Soldering</t>
        </is>
      </c>
      <c r="V877" s="6" t="inlineStr">
        <is>
          <t>Soldering</t>
        </is>
      </c>
      <c r="W877" s="1" t="inlineStr">
        <is>
          <t>Repair</t>
        </is>
      </c>
      <c r="X877" s="5" t="n">
        <v>46181</v>
      </c>
      <c r="Y877" s="1">
        <f>IF(X877="","",X877-A877)</f>
        <v/>
      </c>
      <c r="Z877" s="5" t="n">
        <v>46181</v>
      </c>
      <c r="AA877" s="3" t="n"/>
      <c r="AB877" s="3" t="n"/>
      <c r="AE877" s="146">
        <f>IF(AND(F877="Closed",X877&gt;=DATE(2026,6,1),X877&lt;=DATE(2026,6,30)),"Closed in June","other")</f>
        <v/>
      </c>
    </row>
    <row r="878" hidden="1">
      <c r="A878" s="9" t="n">
        <v>46148</v>
      </c>
      <c r="B878" s="1" t="n">
        <v>2026</v>
      </c>
      <c r="C878" s="8" t="inlineStr">
        <is>
          <t>Continuum</t>
        </is>
      </c>
      <c r="D878" s="1" t="inlineStr">
        <is>
          <t>Utility and C&amp;I</t>
        </is>
      </c>
      <c r="E878" s="1" t="n"/>
      <c r="F878" s="1" t="inlineStr">
        <is>
          <t>Closed</t>
        </is>
      </c>
      <c r="G878" s="8" t="inlineStr">
        <is>
          <t>Amiya Ranjan Behera</t>
        </is>
      </c>
      <c r="H878" s="8" t="n">
        <v>8917436223</v>
      </c>
      <c r="I878" s="10" t="inlineStr">
        <is>
          <t>PE06052602</t>
        </is>
      </c>
      <c r="J878" s="8" t="inlineStr">
        <is>
          <t>Diode Bypass Module Issue</t>
        </is>
      </c>
      <c r="K878" s="8" t="inlineStr">
        <is>
          <t>Bhavnagar</t>
        </is>
      </c>
      <c r="L878" s="8" t="inlineStr">
        <is>
          <t>Gujarat</t>
        </is>
      </c>
      <c r="M878" s="2" t="inlineStr">
        <is>
          <t>NR</t>
        </is>
      </c>
      <c r="N878" s="8" t="inlineStr">
        <is>
          <t>JB Issue</t>
        </is>
      </c>
      <c r="O878" s="11" t="n">
        <v>540</v>
      </c>
      <c r="P878" s="2" t="inlineStr">
        <is>
          <t>NSMP2305195655</t>
        </is>
      </c>
      <c r="Q878" s="14">
        <f>MID(P878,5,2)</f>
        <v/>
      </c>
      <c r="R878" s="14">
        <f>MID(P878,7,2)</f>
        <v/>
      </c>
      <c r="S878" s="1" t="inlineStr">
        <is>
          <t>G2B</t>
        </is>
      </c>
      <c r="T878" s="1" t="inlineStr">
        <is>
          <t>P2 - PEPPL</t>
        </is>
      </c>
      <c r="U878" s="6" t="inlineStr">
        <is>
          <t>N JB Issue</t>
        </is>
      </c>
      <c r="V878" s="6" t="inlineStr">
        <is>
          <t>JB Changed</t>
        </is>
      </c>
      <c r="W878" s="1" t="inlineStr">
        <is>
          <t>Repair</t>
        </is>
      </c>
      <c r="X878" s="5" t="n">
        <v>46181</v>
      </c>
      <c r="Y878" s="1">
        <f>IF(X878="","",X878-A878)</f>
        <v/>
      </c>
      <c r="Z878" s="5" t="n">
        <v>46181</v>
      </c>
      <c r="AA878" s="3" t="n"/>
      <c r="AB878" s="3" t="n"/>
      <c r="AE878" s="146">
        <f>IF(AND(F878="Closed",X878&gt;=DATE(2026,6,1),X878&lt;=DATE(2026,6,30)),"Closed in June","other")</f>
        <v/>
      </c>
    </row>
    <row r="879" hidden="1">
      <c r="A879" s="9" t="n">
        <v>46148</v>
      </c>
      <c r="B879" s="1" t="n">
        <v>2026</v>
      </c>
      <c r="C879" s="8" t="inlineStr">
        <is>
          <t>Continuum</t>
        </is>
      </c>
      <c r="D879" s="1" t="inlineStr">
        <is>
          <t>Utility and C&amp;I</t>
        </is>
      </c>
      <c r="E879" s="1" t="n"/>
      <c r="F879" s="1" t="inlineStr">
        <is>
          <t>Closed</t>
        </is>
      </c>
      <c r="G879" s="8" t="inlineStr">
        <is>
          <t>Amiya Ranjan Behera</t>
        </is>
      </c>
      <c r="H879" s="8" t="n">
        <v>8917436223</v>
      </c>
      <c r="I879" s="10" t="inlineStr">
        <is>
          <t>PE06052602</t>
        </is>
      </c>
      <c r="J879" s="8" t="inlineStr">
        <is>
          <t>Diode Bypass Module Issue</t>
        </is>
      </c>
      <c r="K879" s="8" t="inlineStr">
        <is>
          <t>Bhavnagar</t>
        </is>
      </c>
      <c r="L879" s="8" t="inlineStr">
        <is>
          <t>Gujarat</t>
        </is>
      </c>
      <c r="M879" s="2" t="inlineStr">
        <is>
          <t>PS</t>
        </is>
      </c>
      <c r="N879" s="1" t="inlineStr">
        <is>
          <t>Cold Soldering</t>
        </is>
      </c>
      <c r="O879" s="11" t="n">
        <v>540</v>
      </c>
      <c r="P879" s="2" t="inlineStr">
        <is>
          <t>NSMP2305189657</t>
        </is>
      </c>
      <c r="Q879" s="14">
        <f>MID(P879,5,2)</f>
        <v/>
      </c>
      <c r="R879" s="14">
        <f>MID(P879,7,2)</f>
        <v/>
      </c>
      <c r="S879" s="1" t="inlineStr">
        <is>
          <t>G2B</t>
        </is>
      </c>
      <c r="T879" s="1" t="inlineStr">
        <is>
          <t>P2 - PEPPL</t>
        </is>
      </c>
      <c r="U879" s="1" t="inlineStr">
        <is>
          <t>P JB Cold Soldering</t>
        </is>
      </c>
      <c r="V879" s="1" t="inlineStr">
        <is>
          <t>Soldering</t>
        </is>
      </c>
      <c r="W879" s="1" t="inlineStr">
        <is>
          <t>Repair</t>
        </is>
      </c>
      <c r="X879" s="5" t="n">
        <v>46181</v>
      </c>
      <c r="Y879" s="1">
        <f>IF(X879="","",X879-A879)</f>
        <v/>
      </c>
      <c r="Z879" s="5" t="n">
        <v>46181</v>
      </c>
      <c r="AA879" s="3" t="n"/>
      <c r="AB879" s="3" t="n"/>
      <c r="AE879" s="146">
        <f>IF(AND(F879="Closed",X879&gt;=DATE(2026,6,1),X879&lt;=DATE(2026,6,30)),"Closed in June","other")</f>
        <v/>
      </c>
    </row>
    <row r="880" hidden="1">
      <c r="A880" s="9" t="n">
        <v>46148</v>
      </c>
      <c r="B880" s="1" t="n">
        <v>2026</v>
      </c>
      <c r="C880" s="8" t="inlineStr">
        <is>
          <t>Continuum</t>
        </is>
      </c>
      <c r="D880" s="1" t="inlineStr">
        <is>
          <t>Utility and C&amp;I</t>
        </is>
      </c>
      <c r="E880" s="1" t="n"/>
      <c r="F880" s="1" t="inlineStr">
        <is>
          <t>Closed</t>
        </is>
      </c>
      <c r="G880" s="8" t="inlineStr">
        <is>
          <t>Amiya Ranjan Behera</t>
        </is>
      </c>
      <c r="H880" s="8" t="n">
        <v>8917436223</v>
      </c>
      <c r="I880" s="10" t="inlineStr">
        <is>
          <t>PE06052602</t>
        </is>
      </c>
      <c r="J880" s="8" t="inlineStr">
        <is>
          <t>Diode Bypass Module Issue</t>
        </is>
      </c>
      <c r="K880" s="8" t="inlineStr">
        <is>
          <t>Bhavnagar</t>
        </is>
      </c>
      <c r="L880" s="8" t="inlineStr">
        <is>
          <t>Gujarat</t>
        </is>
      </c>
      <c r="M880" s="2" t="inlineStr">
        <is>
          <t>PS</t>
        </is>
      </c>
      <c r="N880" s="1" t="inlineStr">
        <is>
          <t>Cold Soldering</t>
        </is>
      </c>
      <c r="O880" s="11" t="n">
        <v>540</v>
      </c>
      <c r="P880" s="2" t="inlineStr">
        <is>
          <t>NSMP2305181413</t>
        </is>
      </c>
      <c r="Q880" s="14">
        <f>MID(P880,5,2)</f>
        <v/>
      </c>
      <c r="R880" s="14">
        <f>MID(P880,7,2)</f>
        <v/>
      </c>
      <c r="S880" s="1" t="inlineStr">
        <is>
          <t>G2B</t>
        </is>
      </c>
      <c r="T880" s="1" t="inlineStr">
        <is>
          <t>P2 - PEPPL</t>
        </is>
      </c>
      <c r="U880" s="1" t="inlineStr">
        <is>
          <t>P JB Cold Soldering</t>
        </is>
      </c>
      <c r="V880" s="1" t="inlineStr">
        <is>
          <t>Soldering</t>
        </is>
      </c>
      <c r="W880" s="1" t="inlineStr">
        <is>
          <t>Repair</t>
        </is>
      </c>
      <c r="X880" s="5" t="n">
        <v>46181</v>
      </c>
      <c r="Y880" s="1">
        <f>IF(X880="","",X880-A880)</f>
        <v/>
      </c>
      <c r="Z880" s="5" t="n">
        <v>46181</v>
      </c>
      <c r="AA880" s="3" t="n"/>
      <c r="AB880" s="3" t="n"/>
      <c r="AE880" s="146">
        <f>IF(AND(F880="Closed",X880&gt;=DATE(2026,6,1),X880&lt;=DATE(2026,6,30)),"Closed in June","other")</f>
        <v/>
      </c>
    </row>
    <row r="881" hidden="1">
      <c r="A881" s="9" t="n">
        <v>46148</v>
      </c>
      <c r="B881" s="1" t="n">
        <v>2026</v>
      </c>
      <c r="C881" s="8" t="inlineStr">
        <is>
          <t>Continuum</t>
        </is>
      </c>
      <c r="D881" s="1" t="inlineStr">
        <is>
          <t>Utility and C&amp;I</t>
        </is>
      </c>
      <c r="E881" s="1" t="n"/>
      <c r="F881" s="1" t="inlineStr">
        <is>
          <t>Closed</t>
        </is>
      </c>
      <c r="G881" s="8" t="inlineStr">
        <is>
          <t>Amiya Ranjan Behera</t>
        </is>
      </c>
      <c r="H881" s="8" t="n">
        <v>8917436223</v>
      </c>
      <c r="I881" s="10" t="inlineStr">
        <is>
          <t>PE06052602</t>
        </is>
      </c>
      <c r="J881" s="8" t="inlineStr">
        <is>
          <t>Diode Bypass Module Issue</t>
        </is>
      </c>
      <c r="K881" s="8" t="inlineStr">
        <is>
          <t>Bhavnagar</t>
        </is>
      </c>
      <c r="L881" s="8" t="inlineStr">
        <is>
          <t>Gujarat</t>
        </is>
      </c>
      <c r="M881" s="2" t="inlineStr">
        <is>
          <t>PS</t>
        </is>
      </c>
      <c r="N881" s="1" t="inlineStr">
        <is>
          <t>Cold Soldering</t>
        </is>
      </c>
      <c r="O881" s="11" t="n">
        <v>540</v>
      </c>
      <c r="P881" s="2" t="inlineStr">
        <is>
          <t>NSMP2305181396</t>
        </is>
      </c>
      <c r="Q881" s="14">
        <f>MID(P881,5,2)</f>
        <v/>
      </c>
      <c r="R881" s="14">
        <f>MID(P881,7,2)</f>
        <v/>
      </c>
      <c r="S881" s="1" t="inlineStr">
        <is>
          <t>G2B</t>
        </is>
      </c>
      <c r="T881" s="1" t="inlineStr">
        <is>
          <t>P2 - PEPPL</t>
        </is>
      </c>
      <c r="U881" s="1" t="inlineStr">
        <is>
          <t>P JB Cold Soldering</t>
        </is>
      </c>
      <c r="V881" s="1" t="inlineStr">
        <is>
          <t>Soldering</t>
        </is>
      </c>
      <c r="W881" s="1" t="inlineStr">
        <is>
          <t>Repair</t>
        </is>
      </c>
      <c r="X881" s="5" t="n">
        <v>46181</v>
      </c>
      <c r="Y881" s="1">
        <f>IF(X881="","",X881-A881)</f>
        <v/>
      </c>
      <c r="Z881" s="5" t="n">
        <v>46181</v>
      </c>
      <c r="AA881" s="3" t="n"/>
      <c r="AB881" s="3" t="n"/>
      <c r="AE881" s="146">
        <f>IF(AND(F881="Closed",X881&gt;=DATE(2026,6,1),X881&lt;=DATE(2026,6,30)),"Closed in June","other")</f>
        <v/>
      </c>
    </row>
    <row r="882" hidden="1">
      <c r="A882" s="9" t="n">
        <v>46148</v>
      </c>
      <c r="B882" s="1" t="n">
        <v>2026</v>
      </c>
      <c r="C882" s="8" t="inlineStr">
        <is>
          <t>Continuum</t>
        </is>
      </c>
      <c r="D882" s="1" t="inlineStr">
        <is>
          <t>Utility and C&amp;I</t>
        </is>
      </c>
      <c r="E882" s="1" t="n"/>
      <c r="F882" s="1" t="inlineStr">
        <is>
          <t>Closed</t>
        </is>
      </c>
      <c r="G882" s="8" t="inlineStr">
        <is>
          <t>Amiya Ranjan Behera</t>
        </is>
      </c>
      <c r="H882" s="8" t="n">
        <v>8917436223</v>
      </c>
      <c r="I882" s="10" t="inlineStr">
        <is>
          <t>PE06052602</t>
        </is>
      </c>
      <c r="J882" s="8" t="inlineStr">
        <is>
          <t>Diode Bypass Module Issue</t>
        </is>
      </c>
      <c r="K882" s="8" t="inlineStr">
        <is>
          <t>Bhavnagar</t>
        </is>
      </c>
      <c r="L882" s="8" t="inlineStr">
        <is>
          <t>Gujarat</t>
        </is>
      </c>
      <c r="M882" s="2" t="inlineStr">
        <is>
          <t>PR</t>
        </is>
      </c>
      <c r="N882" s="1" t="inlineStr">
        <is>
          <t>JB Issue</t>
        </is>
      </c>
      <c r="O882" s="11" t="n">
        <v>540</v>
      </c>
      <c r="P882" s="2" t="inlineStr">
        <is>
          <t>NSMP2305191990</t>
        </is>
      </c>
      <c r="Q882" s="14">
        <f>MID(P882,5,2)</f>
        <v/>
      </c>
      <c r="R882" s="14">
        <f>MID(P882,7,2)</f>
        <v/>
      </c>
      <c r="S882" s="1" t="inlineStr">
        <is>
          <t>G2B</t>
        </is>
      </c>
      <c r="T882" s="1" t="inlineStr">
        <is>
          <t>P2 - PEPPL</t>
        </is>
      </c>
      <c r="U882" s="1" t="inlineStr">
        <is>
          <t>P JB Issue</t>
        </is>
      </c>
      <c r="V882" s="3" t="inlineStr">
        <is>
          <t>JB Changed</t>
        </is>
      </c>
      <c r="W882" s="1" t="inlineStr">
        <is>
          <t>Repair</t>
        </is>
      </c>
      <c r="X882" s="5" t="n">
        <v>46181</v>
      </c>
      <c r="Y882" s="1">
        <f>IF(X882="","",X882-A882)</f>
        <v/>
      </c>
      <c r="Z882" s="5" t="n">
        <v>46181</v>
      </c>
      <c r="AA882" s="3" t="n"/>
      <c r="AB882" s="3" t="n"/>
      <c r="AE882" s="146">
        <f>IF(AND(F882="Closed",X882&gt;=DATE(2026,6,1),X882&lt;=DATE(2026,6,30)),"Closed in June","other")</f>
        <v/>
      </c>
    </row>
    <row r="883" hidden="1">
      <c r="A883" s="9" t="n">
        <v>46148</v>
      </c>
      <c r="B883" s="1" t="n">
        <v>2026</v>
      </c>
      <c r="C883" s="8" t="inlineStr">
        <is>
          <t>Continuum</t>
        </is>
      </c>
      <c r="D883" s="1" t="inlineStr">
        <is>
          <t>Utility and C&amp;I</t>
        </is>
      </c>
      <c r="E883" s="1" t="n"/>
      <c r="F883" s="1" t="inlineStr">
        <is>
          <t>Closed</t>
        </is>
      </c>
      <c r="G883" s="8" t="inlineStr">
        <is>
          <t>Amiya Ranjan Behera</t>
        </is>
      </c>
      <c r="H883" s="8" t="n">
        <v>8917436223</v>
      </c>
      <c r="I883" s="10" t="inlineStr">
        <is>
          <t>PE06052602</t>
        </is>
      </c>
      <c r="J883" s="8" t="inlineStr">
        <is>
          <t>Diode Bypass Module Issue</t>
        </is>
      </c>
      <c r="K883" s="8" t="inlineStr">
        <is>
          <t>Bhavnagar</t>
        </is>
      </c>
      <c r="L883" s="8" t="inlineStr">
        <is>
          <t>Gujarat</t>
        </is>
      </c>
      <c r="M883" s="2" t="inlineStr">
        <is>
          <t>NS</t>
        </is>
      </c>
      <c r="N883" s="8" t="inlineStr">
        <is>
          <t>Cold Soldering</t>
        </is>
      </c>
      <c r="O883" s="11" t="n">
        <v>540</v>
      </c>
      <c r="P883" s="2" t="inlineStr">
        <is>
          <t>NSMP2305201210</t>
        </is>
      </c>
      <c r="Q883" s="14">
        <f>MID(P883,5,2)</f>
        <v/>
      </c>
      <c r="R883" s="14">
        <f>MID(P883,7,2)</f>
        <v/>
      </c>
      <c r="S883" s="1" t="inlineStr">
        <is>
          <t>G2B</t>
        </is>
      </c>
      <c r="T883" s="1" t="inlineStr">
        <is>
          <t>P2 - PEPPL</t>
        </is>
      </c>
      <c r="U883" s="6" t="inlineStr">
        <is>
          <t>N JB Cold Soldering</t>
        </is>
      </c>
      <c r="V883" s="6" t="inlineStr">
        <is>
          <t>Soldering</t>
        </is>
      </c>
      <c r="W883" s="1" t="inlineStr">
        <is>
          <t>Repair</t>
        </is>
      </c>
      <c r="X883" s="5" t="n">
        <v>46181</v>
      </c>
      <c r="Y883" s="1">
        <f>IF(X883="","",X883-A883)</f>
        <v/>
      </c>
      <c r="Z883" s="5" t="n">
        <v>46181</v>
      </c>
      <c r="AA883" s="3" t="n"/>
      <c r="AB883" s="3" t="n"/>
      <c r="AE883" s="146">
        <f>IF(AND(F883="Closed",X883&gt;=DATE(2026,6,1),X883&lt;=DATE(2026,6,30)),"Closed in June","other")</f>
        <v/>
      </c>
    </row>
    <row r="884" hidden="1">
      <c r="A884" s="9" t="n">
        <v>46148</v>
      </c>
      <c r="B884" s="1" t="n">
        <v>2026</v>
      </c>
      <c r="C884" s="8" t="inlineStr">
        <is>
          <t>Continuum</t>
        </is>
      </c>
      <c r="D884" s="1" t="inlineStr">
        <is>
          <t>Utility and C&amp;I</t>
        </is>
      </c>
      <c r="E884" s="1" t="n"/>
      <c r="F884" s="1" t="inlineStr">
        <is>
          <t>Closed</t>
        </is>
      </c>
      <c r="G884" s="8" t="inlineStr">
        <is>
          <t>Amiya Ranjan Behera</t>
        </is>
      </c>
      <c r="H884" s="8" t="n">
        <v>8917436223</v>
      </c>
      <c r="I884" s="10" t="inlineStr">
        <is>
          <t>PE06052602</t>
        </is>
      </c>
      <c r="J884" s="8" t="inlineStr">
        <is>
          <t>Diode Bypass Module Issue</t>
        </is>
      </c>
      <c r="K884" s="8" t="inlineStr">
        <is>
          <t>Bhavnagar</t>
        </is>
      </c>
      <c r="L884" s="8" t="inlineStr">
        <is>
          <t>Gujarat</t>
        </is>
      </c>
      <c r="M884" s="2" t="inlineStr">
        <is>
          <t>PS</t>
        </is>
      </c>
      <c r="N884" s="1" t="inlineStr">
        <is>
          <t>Cold Soldering</t>
        </is>
      </c>
      <c r="O884" s="11" t="n">
        <v>540</v>
      </c>
      <c r="P884" s="2" t="inlineStr">
        <is>
          <t>NSMP2305130958</t>
        </is>
      </c>
      <c r="Q884" s="14">
        <f>MID(P884,5,2)</f>
        <v/>
      </c>
      <c r="R884" s="14">
        <f>MID(P884,7,2)</f>
        <v/>
      </c>
      <c r="S884" s="1" t="inlineStr">
        <is>
          <t>G2B</t>
        </is>
      </c>
      <c r="T884" s="1" t="inlineStr">
        <is>
          <t>P2 - PEPPL</t>
        </is>
      </c>
      <c r="U884" s="1" t="inlineStr">
        <is>
          <t>P JB Cold Soldering</t>
        </is>
      </c>
      <c r="V884" s="1" t="inlineStr">
        <is>
          <t>Soldering</t>
        </is>
      </c>
      <c r="W884" s="1" t="inlineStr">
        <is>
          <t>Repair</t>
        </is>
      </c>
      <c r="X884" s="5" t="n">
        <v>46181</v>
      </c>
      <c r="Y884" s="1">
        <f>IF(X884="","",X884-A884)</f>
        <v/>
      </c>
      <c r="Z884" s="5" t="n">
        <v>46181</v>
      </c>
      <c r="AA884" s="3" t="n"/>
      <c r="AB884" s="3" t="n"/>
      <c r="AE884" s="146">
        <f>IF(AND(F884="Closed",X884&gt;=DATE(2026,6,1),X884&lt;=DATE(2026,6,30)),"Closed in June","other")</f>
        <v/>
      </c>
    </row>
    <row r="885" hidden="1">
      <c r="A885" s="9" t="n">
        <v>46148</v>
      </c>
      <c r="B885" s="1" t="n">
        <v>2026</v>
      </c>
      <c r="C885" s="8" t="inlineStr">
        <is>
          <t>Continuum</t>
        </is>
      </c>
      <c r="D885" s="1" t="inlineStr">
        <is>
          <t>Utility and C&amp;I</t>
        </is>
      </c>
      <c r="E885" s="1" t="n"/>
      <c r="F885" s="1" t="inlineStr">
        <is>
          <t>Closed</t>
        </is>
      </c>
      <c r="G885" s="8" t="inlineStr">
        <is>
          <t>Amiya Ranjan Behera</t>
        </is>
      </c>
      <c r="H885" s="8" t="n">
        <v>8917436223</v>
      </c>
      <c r="I885" s="10" t="inlineStr">
        <is>
          <t>PE06052602</t>
        </is>
      </c>
      <c r="J885" s="8" t="inlineStr">
        <is>
          <t>Diode Bypass Module Issue</t>
        </is>
      </c>
      <c r="K885" s="8" t="inlineStr">
        <is>
          <t>Bhavnagar</t>
        </is>
      </c>
      <c r="L885" s="8" t="inlineStr">
        <is>
          <t>Gujarat</t>
        </is>
      </c>
      <c r="M885" s="2" t="inlineStr">
        <is>
          <t>PS</t>
        </is>
      </c>
      <c r="N885" s="1" t="inlineStr">
        <is>
          <t>Cold Soldering</t>
        </is>
      </c>
      <c r="O885" s="11" t="n">
        <v>540</v>
      </c>
      <c r="P885" s="2" t="inlineStr">
        <is>
          <t>NSMP2305189917</t>
        </is>
      </c>
      <c r="Q885" s="14">
        <f>MID(P885,5,2)</f>
        <v/>
      </c>
      <c r="R885" s="14">
        <f>MID(P885,7,2)</f>
        <v/>
      </c>
      <c r="S885" s="1" t="inlineStr">
        <is>
          <t>G2B</t>
        </is>
      </c>
      <c r="T885" s="1" t="inlineStr">
        <is>
          <t>P2 - PEPPL</t>
        </is>
      </c>
      <c r="U885" s="1" t="inlineStr">
        <is>
          <t>P JB Cold Soldering</t>
        </is>
      </c>
      <c r="V885" s="1" t="inlineStr">
        <is>
          <t>Soldering</t>
        </is>
      </c>
      <c r="W885" s="1" t="inlineStr">
        <is>
          <t>Repair</t>
        </is>
      </c>
      <c r="X885" s="5" t="n">
        <v>46181</v>
      </c>
      <c r="Y885" s="1">
        <f>IF(X885="","",X885-A885)</f>
        <v/>
      </c>
      <c r="Z885" s="5" t="n">
        <v>46181</v>
      </c>
      <c r="AA885" s="3" t="n"/>
      <c r="AB885" s="3" t="n"/>
      <c r="AE885" s="146">
        <f>IF(AND(F885="Closed",X885&gt;=DATE(2026,6,1),X885&lt;=DATE(2026,6,30)),"Closed in June","other")</f>
        <v/>
      </c>
    </row>
    <row r="886" hidden="1">
      <c r="A886" s="9" t="n">
        <v>46148</v>
      </c>
      <c r="B886" s="1" t="n">
        <v>2026</v>
      </c>
      <c r="C886" s="8" t="inlineStr">
        <is>
          <t>Continuum</t>
        </is>
      </c>
      <c r="D886" s="1" t="inlineStr">
        <is>
          <t>Utility and C&amp;I</t>
        </is>
      </c>
      <c r="E886" s="1" t="n"/>
      <c r="F886" s="1" t="inlineStr">
        <is>
          <t>Closed</t>
        </is>
      </c>
      <c r="G886" s="8" t="inlineStr">
        <is>
          <t>Amiya Ranjan Behera</t>
        </is>
      </c>
      <c r="H886" s="8" t="n">
        <v>8917436223</v>
      </c>
      <c r="I886" s="10" t="inlineStr">
        <is>
          <t>PE06052602</t>
        </is>
      </c>
      <c r="J886" s="8" t="inlineStr">
        <is>
          <t>Diode Bypass Module Issue</t>
        </is>
      </c>
      <c r="K886" s="8" t="inlineStr">
        <is>
          <t>Bhavnagar</t>
        </is>
      </c>
      <c r="L886" s="8" t="inlineStr">
        <is>
          <t>Gujarat</t>
        </is>
      </c>
      <c r="M886" s="2" t="inlineStr">
        <is>
          <t>PS</t>
        </is>
      </c>
      <c r="N886" s="1" t="inlineStr">
        <is>
          <t>Cold Soldering</t>
        </is>
      </c>
      <c r="O886" s="11" t="n">
        <v>540</v>
      </c>
      <c r="P886" s="2" t="inlineStr">
        <is>
          <t>NSMP2305190254</t>
        </is>
      </c>
      <c r="Q886" s="14">
        <f>MID(P886,5,2)</f>
        <v/>
      </c>
      <c r="R886" s="14">
        <f>MID(P886,7,2)</f>
        <v/>
      </c>
      <c r="S886" s="1" t="inlineStr">
        <is>
          <t>G2B</t>
        </is>
      </c>
      <c r="T886" s="1" t="inlineStr">
        <is>
          <t>P2 - PEPPL</t>
        </is>
      </c>
      <c r="U886" s="1" t="inlineStr">
        <is>
          <t>P JB Cold Soldering</t>
        </is>
      </c>
      <c r="V886" s="1" t="inlineStr">
        <is>
          <t>Soldering</t>
        </is>
      </c>
      <c r="W886" s="1" t="inlineStr">
        <is>
          <t>Repair</t>
        </is>
      </c>
      <c r="X886" s="5" t="n">
        <v>46181</v>
      </c>
      <c r="Y886" s="1">
        <f>IF(X886="","",X886-A886)</f>
        <v/>
      </c>
      <c r="Z886" s="5" t="n">
        <v>46181</v>
      </c>
      <c r="AA886" s="3" t="n"/>
      <c r="AB886" s="3" t="n"/>
      <c r="AE886" s="146">
        <f>IF(AND(F886="Closed",X886&gt;=DATE(2026,6,1),X886&lt;=DATE(2026,6,30)),"Closed in June","other")</f>
        <v/>
      </c>
    </row>
    <row r="887" hidden="1">
      <c r="A887" s="9" t="n">
        <v>46148</v>
      </c>
      <c r="B887" s="1" t="n">
        <v>2026</v>
      </c>
      <c r="C887" s="8" t="inlineStr">
        <is>
          <t>Continuum</t>
        </is>
      </c>
      <c r="D887" s="1" t="inlineStr">
        <is>
          <t>Utility and C&amp;I</t>
        </is>
      </c>
      <c r="E887" s="1" t="n"/>
      <c r="F887" s="1" t="inlineStr">
        <is>
          <t>Closed</t>
        </is>
      </c>
      <c r="G887" s="8" t="inlineStr">
        <is>
          <t>Amiya Ranjan Behera</t>
        </is>
      </c>
      <c r="H887" s="8" t="n">
        <v>8917436223</v>
      </c>
      <c r="I887" s="10" t="inlineStr">
        <is>
          <t>PE06052602</t>
        </is>
      </c>
      <c r="J887" s="8" t="inlineStr">
        <is>
          <t>Diode Bypass Module Issue</t>
        </is>
      </c>
      <c r="K887" s="8" t="inlineStr">
        <is>
          <t>Bhavnagar</t>
        </is>
      </c>
      <c r="L887" s="8" t="inlineStr">
        <is>
          <t>Gujarat</t>
        </is>
      </c>
      <c r="M887" s="2" t="inlineStr">
        <is>
          <t>PS</t>
        </is>
      </c>
      <c r="N887" s="1" t="inlineStr">
        <is>
          <t>Cold Soldering</t>
        </is>
      </c>
      <c r="O887" s="11" t="n">
        <v>540</v>
      </c>
      <c r="P887" s="2" t="inlineStr">
        <is>
          <t>NSMP2305189920</t>
        </is>
      </c>
      <c r="Q887" s="14">
        <f>MID(P887,5,2)</f>
        <v/>
      </c>
      <c r="R887" s="14">
        <f>MID(P887,7,2)</f>
        <v/>
      </c>
      <c r="S887" s="1" t="inlineStr">
        <is>
          <t>G2B</t>
        </is>
      </c>
      <c r="T887" s="1" t="inlineStr">
        <is>
          <t>P2 - PEPPL</t>
        </is>
      </c>
      <c r="U887" s="1" t="inlineStr">
        <is>
          <t>P JB Cold Soldering</t>
        </is>
      </c>
      <c r="V887" s="1" t="inlineStr">
        <is>
          <t>Soldering</t>
        </is>
      </c>
      <c r="W887" s="1" t="inlineStr">
        <is>
          <t>Repair</t>
        </is>
      </c>
      <c r="X887" s="5" t="n">
        <v>46181</v>
      </c>
      <c r="Y887" s="1">
        <f>IF(X887="","",X887-A887)</f>
        <v/>
      </c>
      <c r="Z887" s="5" t="n">
        <v>46181</v>
      </c>
      <c r="AA887" s="3" t="n"/>
      <c r="AB887" s="3" t="n"/>
      <c r="AE887" s="146">
        <f>IF(AND(F887="Closed",X887&gt;=DATE(2026,6,1),X887&lt;=DATE(2026,6,30)),"Closed in June","other")</f>
        <v/>
      </c>
    </row>
    <row r="888" hidden="1">
      <c r="A888" s="9" t="n">
        <v>46148</v>
      </c>
      <c r="B888" s="1" t="n">
        <v>2026</v>
      </c>
      <c r="C888" s="8" t="inlineStr">
        <is>
          <t>Continuum</t>
        </is>
      </c>
      <c r="D888" s="1" t="inlineStr">
        <is>
          <t>Utility and C&amp;I</t>
        </is>
      </c>
      <c r="E888" s="1" t="n"/>
      <c r="F888" s="1" t="inlineStr">
        <is>
          <t>Closed</t>
        </is>
      </c>
      <c r="G888" s="8" t="inlineStr">
        <is>
          <t>Amiya Ranjan Behera</t>
        </is>
      </c>
      <c r="H888" s="8" t="n">
        <v>8917436223</v>
      </c>
      <c r="I888" s="10" t="inlineStr">
        <is>
          <t>PE06052602</t>
        </is>
      </c>
      <c r="J888" s="8" t="inlineStr">
        <is>
          <t>Diode Bypass Module Issue</t>
        </is>
      </c>
      <c r="K888" s="8" t="inlineStr">
        <is>
          <t>Bhavnagar</t>
        </is>
      </c>
      <c r="L888" s="8" t="inlineStr">
        <is>
          <t>Gujarat</t>
        </is>
      </c>
      <c r="M888" s="2" t="inlineStr">
        <is>
          <t>PS</t>
        </is>
      </c>
      <c r="N888" s="1" t="inlineStr">
        <is>
          <t>Cold Soldering</t>
        </is>
      </c>
      <c r="O888" s="11" t="n">
        <v>540</v>
      </c>
      <c r="P888" s="2" t="inlineStr">
        <is>
          <t>NSMP2305130907</t>
        </is>
      </c>
      <c r="Q888" s="14">
        <f>MID(P888,5,2)</f>
        <v/>
      </c>
      <c r="R888" s="14">
        <f>MID(P888,7,2)</f>
        <v/>
      </c>
      <c r="S888" s="1" t="inlineStr">
        <is>
          <t>G2B</t>
        </is>
      </c>
      <c r="T888" s="1" t="inlineStr">
        <is>
          <t>P2 - PEPPL</t>
        </is>
      </c>
      <c r="U888" s="1" t="inlineStr">
        <is>
          <t>P JB Cold Soldering</t>
        </is>
      </c>
      <c r="V888" s="1" t="inlineStr">
        <is>
          <t>Soldering</t>
        </is>
      </c>
      <c r="W888" s="1" t="inlineStr">
        <is>
          <t>Repair</t>
        </is>
      </c>
      <c r="X888" s="5" t="n">
        <v>46181</v>
      </c>
      <c r="Y888" s="1">
        <f>IF(X888="","",X888-A888)</f>
        <v/>
      </c>
      <c r="Z888" s="5" t="n">
        <v>46181</v>
      </c>
      <c r="AA888" s="3" t="n"/>
      <c r="AB888" s="3" t="n"/>
      <c r="AE888" s="146">
        <f>IF(AND(F888="Closed",X888&gt;=DATE(2026,6,1),X888&lt;=DATE(2026,6,30)),"Closed in June","other")</f>
        <v/>
      </c>
    </row>
    <row r="889" hidden="1">
      <c r="A889" s="9" t="n">
        <v>46148</v>
      </c>
      <c r="B889" s="1" t="n">
        <v>2026</v>
      </c>
      <c r="C889" s="8" t="inlineStr">
        <is>
          <t>Continuum</t>
        </is>
      </c>
      <c r="D889" s="1" t="inlineStr">
        <is>
          <t>Utility and C&amp;I</t>
        </is>
      </c>
      <c r="E889" s="1" t="n"/>
      <c r="F889" s="1" t="inlineStr">
        <is>
          <t>Closed</t>
        </is>
      </c>
      <c r="G889" s="8" t="inlineStr">
        <is>
          <t>Amiya Ranjan Behera</t>
        </is>
      </c>
      <c r="H889" s="8" t="n">
        <v>8917436223</v>
      </c>
      <c r="I889" s="10" t="inlineStr">
        <is>
          <t>PE06052602</t>
        </is>
      </c>
      <c r="J889" s="8" t="inlineStr">
        <is>
          <t>Diode Bypass Module Issue</t>
        </is>
      </c>
      <c r="K889" s="8" t="inlineStr">
        <is>
          <t>Bhavnagar</t>
        </is>
      </c>
      <c r="L889" s="8" t="inlineStr">
        <is>
          <t>Gujarat</t>
        </is>
      </c>
      <c r="M889" s="2" t="inlineStr">
        <is>
          <t>PS</t>
        </is>
      </c>
      <c r="N889" s="1" t="inlineStr">
        <is>
          <t>Cold Soldering</t>
        </is>
      </c>
      <c r="O889" s="11" t="n">
        <v>540</v>
      </c>
      <c r="P889" s="2" t="inlineStr">
        <is>
          <t>NSMP2305193896</t>
        </is>
      </c>
      <c r="Q889" s="14">
        <f>MID(P889,5,2)</f>
        <v/>
      </c>
      <c r="R889" s="14">
        <f>MID(P889,7,2)</f>
        <v/>
      </c>
      <c r="S889" s="1" t="inlineStr">
        <is>
          <t>G2B</t>
        </is>
      </c>
      <c r="T889" s="1" t="inlineStr">
        <is>
          <t>P2 - PEPPL</t>
        </is>
      </c>
      <c r="U889" s="1" t="inlineStr">
        <is>
          <t>P JB Cold Soldering</t>
        </is>
      </c>
      <c r="V889" s="1" t="inlineStr">
        <is>
          <t>Soldering</t>
        </is>
      </c>
      <c r="W889" s="1" t="inlineStr">
        <is>
          <t>Repair</t>
        </is>
      </c>
      <c r="X889" s="5" t="n">
        <v>46181</v>
      </c>
      <c r="Y889" s="1">
        <f>IF(X889="","",X889-A889)</f>
        <v/>
      </c>
      <c r="Z889" s="5" t="n">
        <v>46181</v>
      </c>
      <c r="AA889" s="3" t="n"/>
      <c r="AB889" s="3" t="n"/>
      <c r="AE889" s="146">
        <f>IF(AND(F889="Closed",X889&gt;=DATE(2026,6,1),X889&lt;=DATE(2026,6,30)),"Closed in June","other")</f>
        <v/>
      </c>
    </row>
    <row r="890" hidden="1">
      <c r="A890" s="9" t="n">
        <v>46148</v>
      </c>
      <c r="B890" s="1" t="n">
        <v>2026</v>
      </c>
      <c r="C890" s="8" t="inlineStr">
        <is>
          <t>Continuum</t>
        </is>
      </c>
      <c r="D890" s="1" t="inlineStr">
        <is>
          <t>Utility and C&amp;I</t>
        </is>
      </c>
      <c r="E890" s="1" t="n"/>
      <c r="F890" s="1" t="inlineStr">
        <is>
          <t>Closed</t>
        </is>
      </c>
      <c r="G890" s="8" t="inlineStr">
        <is>
          <t>Amiya Ranjan Behera</t>
        </is>
      </c>
      <c r="H890" s="8" t="n">
        <v>8917436223</v>
      </c>
      <c r="I890" s="10" t="inlineStr">
        <is>
          <t>PE06052602</t>
        </is>
      </c>
      <c r="J890" s="8" t="inlineStr">
        <is>
          <t>Diode Bypass Module Issue</t>
        </is>
      </c>
      <c r="K890" s="8" t="inlineStr">
        <is>
          <t>Bhavnagar</t>
        </is>
      </c>
      <c r="L890" s="8" t="inlineStr">
        <is>
          <t>Gujarat</t>
        </is>
      </c>
      <c r="M890" s="2" t="inlineStr">
        <is>
          <t>PS</t>
        </is>
      </c>
      <c r="N890" s="1" t="inlineStr">
        <is>
          <t>Cold Soldering</t>
        </is>
      </c>
      <c r="O890" s="11" t="n">
        <v>540</v>
      </c>
      <c r="P890" s="2" t="inlineStr">
        <is>
          <t>NSMP2305190545</t>
        </is>
      </c>
      <c r="Q890" s="14">
        <f>MID(P890,5,2)</f>
        <v/>
      </c>
      <c r="R890" s="14">
        <f>MID(P890,7,2)</f>
        <v/>
      </c>
      <c r="S890" s="1" t="inlineStr">
        <is>
          <t>G2B</t>
        </is>
      </c>
      <c r="T890" s="1" t="inlineStr">
        <is>
          <t>P2 - PEPPL</t>
        </is>
      </c>
      <c r="U890" s="1" t="inlineStr">
        <is>
          <t>P JB Cold Soldering</t>
        </is>
      </c>
      <c r="V890" s="1" t="inlineStr">
        <is>
          <t>Soldering</t>
        </is>
      </c>
      <c r="W890" s="1" t="inlineStr">
        <is>
          <t>Repair</t>
        </is>
      </c>
      <c r="X890" s="5" t="n">
        <v>46181</v>
      </c>
      <c r="Y890" s="1">
        <f>IF(X890="","",X890-A890)</f>
        <v/>
      </c>
      <c r="Z890" s="5" t="n">
        <v>46181</v>
      </c>
      <c r="AA890" s="3" t="n"/>
      <c r="AB890" s="3" t="n"/>
      <c r="AE890" s="146">
        <f>IF(AND(F890="Closed",X890&gt;=DATE(2026,6,1),X890&lt;=DATE(2026,6,30)),"Closed in June","other")</f>
        <v/>
      </c>
    </row>
    <row r="891" hidden="1">
      <c r="A891" s="9" t="n">
        <v>46148</v>
      </c>
      <c r="B891" s="1" t="n">
        <v>2026</v>
      </c>
      <c r="C891" s="8" t="inlineStr">
        <is>
          <t>Continuum</t>
        </is>
      </c>
      <c r="D891" s="1" t="inlineStr">
        <is>
          <t>Utility and C&amp;I</t>
        </is>
      </c>
      <c r="E891" s="1" t="n"/>
      <c r="F891" s="1" t="inlineStr">
        <is>
          <t>Closed</t>
        </is>
      </c>
      <c r="G891" s="8" t="inlineStr">
        <is>
          <t>Amiya Ranjan Behera</t>
        </is>
      </c>
      <c r="H891" s="8" t="n">
        <v>8917436223</v>
      </c>
      <c r="I891" s="10" t="inlineStr">
        <is>
          <t>PE06052602</t>
        </is>
      </c>
      <c r="J891" s="8" t="inlineStr">
        <is>
          <t>Diode Bypass Module Issue</t>
        </is>
      </c>
      <c r="K891" s="8" t="inlineStr">
        <is>
          <t>Bhavnagar</t>
        </is>
      </c>
      <c r="L891" s="8" t="inlineStr">
        <is>
          <t>Gujarat</t>
        </is>
      </c>
      <c r="M891" s="2" t="inlineStr">
        <is>
          <t>PS</t>
        </is>
      </c>
      <c r="N891" s="1" t="inlineStr">
        <is>
          <t>Cold Soldering</t>
        </is>
      </c>
      <c r="O891" s="11" t="n">
        <v>540</v>
      </c>
      <c r="P891" s="2" t="inlineStr">
        <is>
          <t>NSMP2305190550</t>
        </is>
      </c>
      <c r="Q891" s="14">
        <f>MID(P891,5,2)</f>
        <v/>
      </c>
      <c r="R891" s="14">
        <f>MID(P891,7,2)</f>
        <v/>
      </c>
      <c r="S891" s="1" t="inlineStr">
        <is>
          <t>G2B</t>
        </is>
      </c>
      <c r="T891" s="1" t="inlineStr">
        <is>
          <t>P2 - PEPPL</t>
        </is>
      </c>
      <c r="U891" s="1" t="inlineStr">
        <is>
          <t>P JB Cold Soldering</t>
        </is>
      </c>
      <c r="V891" s="1" t="inlineStr">
        <is>
          <t>Soldering</t>
        </is>
      </c>
      <c r="W891" s="1" t="inlineStr">
        <is>
          <t>Repair</t>
        </is>
      </c>
      <c r="X891" s="5" t="n">
        <v>46181</v>
      </c>
      <c r="Y891" s="1">
        <f>IF(X891="","",X891-A891)</f>
        <v/>
      </c>
      <c r="Z891" s="5" t="n">
        <v>46181</v>
      </c>
      <c r="AA891" s="3" t="n"/>
      <c r="AB891" s="3" t="n"/>
      <c r="AE891" s="146">
        <f>IF(AND(F891="Closed",X891&gt;=DATE(2026,6,1),X891&lt;=DATE(2026,6,30)),"Closed in June","other")</f>
        <v/>
      </c>
    </row>
    <row r="892" hidden="1">
      <c r="A892" s="9" t="n">
        <v>46148</v>
      </c>
      <c r="B892" s="1" t="n">
        <v>2026</v>
      </c>
      <c r="C892" s="8" t="inlineStr">
        <is>
          <t>Continuum</t>
        </is>
      </c>
      <c r="D892" s="1" t="inlineStr">
        <is>
          <t>Utility and C&amp;I</t>
        </is>
      </c>
      <c r="E892" s="1" t="n"/>
      <c r="F892" s="1" t="inlineStr">
        <is>
          <t>Closed</t>
        </is>
      </c>
      <c r="G892" s="8" t="inlineStr">
        <is>
          <t>Amiya Ranjan Behera</t>
        </is>
      </c>
      <c r="H892" s="8" t="n">
        <v>8917436223</v>
      </c>
      <c r="I892" s="10" t="inlineStr">
        <is>
          <t>PE06052602</t>
        </is>
      </c>
      <c r="J892" s="8" t="inlineStr">
        <is>
          <t>Diode Bypass Module Issue</t>
        </is>
      </c>
      <c r="K892" s="8" t="inlineStr">
        <is>
          <t>Bhavnagar</t>
        </is>
      </c>
      <c r="L892" s="8" t="inlineStr">
        <is>
          <t>Gujarat</t>
        </is>
      </c>
      <c r="M892" s="2" t="inlineStr">
        <is>
          <t>OK</t>
        </is>
      </c>
      <c r="N892" s="2" t="inlineStr">
        <is>
          <t>No Issue Found</t>
        </is>
      </c>
      <c r="O892" s="11" t="n">
        <v>540</v>
      </c>
      <c r="P892" s="2" t="inlineStr">
        <is>
          <t>NSMP2305200072</t>
        </is>
      </c>
      <c r="Q892" s="14">
        <f>MID(P892,5,2)</f>
        <v/>
      </c>
      <c r="R892" s="14">
        <f>MID(P892,7,2)</f>
        <v/>
      </c>
      <c r="S892" s="1" t="inlineStr">
        <is>
          <t>G2B</t>
        </is>
      </c>
      <c r="T892" s="1" t="inlineStr">
        <is>
          <t>P2 - PEPPL</t>
        </is>
      </c>
      <c r="U892" s="6" t="inlineStr">
        <is>
          <t>No Issue Found</t>
        </is>
      </c>
      <c r="V892" s="6" t="inlineStr">
        <is>
          <t>Inspection</t>
        </is>
      </c>
      <c r="W892" s="1" t="inlineStr">
        <is>
          <t>Rejected</t>
        </is>
      </c>
      <c r="X892" s="5" t="n">
        <v>46181</v>
      </c>
      <c r="Y892" s="1">
        <f>IF(X892="","",X892-A892)</f>
        <v/>
      </c>
      <c r="Z892" s="5" t="n">
        <v>46181</v>
      </c>
      <c r="AA892" s="3" t="n"/>
      <c r="AB892" s="3" t="n"/>
      <c r="AE892" s="146">
        <f>IF(AND(F892="Closed",X892&gt;=DATE(2026,6,1),X892&lt;=DATE(2026,6,30)),"Closed in June","other")</f>
        <v/>
      </c>
    </row>
    <row r="893" hidden="1">
      <c r="A893" s="9" t="n">
        <v>46148</v>
      </c>
      <c r="B893" s="1" t="n">
        <v>2026</v>
      </c>
      <c r="C893" s="8" t="inlineStr">
        <is>
          <t>Continuum</t>
        </is>
      </c>
      <c r="D893" s="1" t="inlineStr">
        <is>
          <t>Utility and C&amp;I</t>
        </is>
      </c>
      <c r="E893" s="1" t="n"/>
      <c r="F893" s="1" t="inlineStr">
        <is>
          <t>Closed</t>
        </is>
      </c>
      <c r="G893" s="8" t="inlineStr">
        <is>
          <t>Amiya Ranjan Behera</t>
        </is>
      </c>
      <c r="H893" s="8" t="n">
        <v>8917436223</v>
      </c>
      <c r="I893" s="10" t="inlineStr">
        <is>
          <t>PE06052602</t>
        </is>
      </c>
      <c r="J893" s="8" t="inlineStr">
        <is>
          <t>Diode Bypass Module Issue</t>
        </is>
      </c>
      <c r="K893" s="8" t="inlineStr">
        <is>
          <t>Bhavnagar</t>
        </is>
      </c>
      <c r="L893" s="8" t="inlineStr">
        <is>
          <t>Gujarat</t>
        </is>
      </c>
      <c r="M893" s="2" t="inlineStr">
        <is>
          <t>PS</t>
        </is>
      </c>
      <c r="N893" s="1" t="inlineStr">
        <is>
          <t>Cold Soldering</t>
        </is>
      </c>
      <c r="O893" s="11" t="n">
        <v>540</v>
      </c>
      <c r="P893" s="2" t="inlineStr">
        <is>
          <t>NSMP2305190015</t>
        </is>
      </c>
      <c r="Q893" s="14">
        <f>MID(P893,5,2)</f>
        <v/>
      </c>
      <c r="R893" s="14">
        <f>MID(P893,7,2)</f>
        <v/>
      </c>
      <c r="S893" s="1" t="inlineStr">
        <is>
          <t>G2B</t>
        </is>
      </c>
      <c r="T893" s="1" t="inlineStr">
        <is>
          <t>P2 - PEPPL</t>
        </is>
      </c>
      <c r="U893" s="1" t="inlineStr">
        <is>
          <t>P JB Cold Soldering</t>
        </is>
      </c>
      <c r="V893" s="1" t="inlineStr">
        <is>
          <t>Soldering</t>
        </is>
      </c>
      <c r="W893" s="1" t="inlineStr">
        <is>
          <t>Repair</t>
        </is>
      </c>
      <c r="X893" s="5" t="n">
        <v>46181</v>
      </c>
      <c r="Y893" s="1">
        <f>IF(X893="","",X893-A893)</f>
        <v/>
      </c>
      <c r="Z893" s="5" t="n">
        <v>46181</v>
      </c>
      <c r="AA893" s="3" t="n"/>
      <c r="AB893" s="3" t="n"/>
      <c r="AE893" s="146">
        <f>IF(AND(F893="Closed",X893&gt;=DATE(2026,6,1),X893&lt;=DATE(2026,6,30)),"Closed in June","other")</f>
        <v/>
      </c>
    </row>
    <row r="894" hidden="1">
      <c r="A894" s="9" t="n">
        <v>46148</v>
      </c>
      <c r="B894" s="1" t="n">
        <v>2026</v>
      </c>
      <c r="C894" s="8" t="inlineStr">
        <is>
          <t>Continuum</t>
        </is>
      </c>
      <c r="D894" s="1" t="inlineStr">
        <is>
          <t>Utility and C&amp;I</t>
        </is>
      </c>
      <c r="E894" s="1" t="n"/>
      <c r="F894" s="1" t="inlineStr">
        <is>
          <t>Closed</t>
        </is>
      </c>
      <c r="G894" s="8" t="inlineStr">
        <is>
          <t>Amiya Ranjan Behera</t>
        </is>
      </c>
      <c r="H894" s="8" t="n">
        <v>8917436223</v>
      </c>
      <c r="I894" s="10" t="inlineStr">
        <is>
          <t>PE06052602</t>
        </is>
      </c>
      <c r="J894" s="8" t="inlineStr">
        <is>
          <t>Diode Bypass Module Issue</t>
        </is>
      </c>
      <c r="K894" s="8" t="inlineStr">
        <is>
          <t>Bhavnagar</t>
        </is>
      </c>
      <c r="L894" s="8" t="inlineStr">
        <is>
          <t>Gujarat</t>
        </is>
      </c>
      <c r="M894" s="2" t="inlineStr">
        <is>
          <t>PS</t>
        </is>
      </c>
      <c r="N894" s="1" t="inlineStr">
        <is>
          <t>Cold Soldering</t>
        </is>
      </c>
      <c r="O894" s="11" t="n">
        <v>540</v>
      </c>
      <c r="P894" s="2" t="inlineStr">
        <is>
          <t>NSMP2305190538</t>
        </is>
      </c>
      <c r="Q894" s="14">
        <f>MID(P894,5,2)</f>
        <v/>
      </c>
      <c r="R894" s="14">
        <f>MID(P894,7,2)</f>
        <v/>
      </c>
      <c r="S894" s="1" t="inlineStr">
        <is>
          <t>G2B</t>
        </is>
      </c>
      <c r="T894" s="1" t="inlineStr">
        <is>
          <t>P2 - PEPPL</t>
        </is>
      </c>
      <c r="U894" s="1" t="inlineStr">
        <is>
          <t>P JB Cold Soldering</t>
        </is>
      </c>
      <c r="V894" s="1" t="inlineStr">
        <is>
          <t>Soldering</t>
        </is>
      </c>
      <c r="W894" s="1" t="inlineStr">
        <is>
          <t>Repair</t>
        </is>
      </c>
      <c r="X894" s="5" t="n">
        <v>46181</v>
      </c>
      <c r="Y894" s="1">
        <f>IF(X894="","",X894-A894)</f>
        <v/>
      </c>
      <c r="Z894" s="5" t="n">
        <v>46181</v>
      </c>
      <c r="AA894" s="3" t="n"/>
      <c r="AB894" s="3" t="n"/>
      <c r="AE894" s="146">
        <f>IF(AND(F894="Closed",X894&gt;=DATE(2026,6,1),X894&lt;=DATE(2026,6,30)),"Closed in June","other")</f>
        <v/>
      </c>
    </row>
    <row r="895" hidden="1">
      <c r="A895" s="9" t="n">
        <v>46148</v>
      </c>
      <c r="B895" s="1" t="n">
        <v>2026</v>
      </c>
      <c r="C895" s="8" t="inlineStr">
        <is>
          <t>Continuum</t>
        </is>
      </c>
      <c r="D895" s="1" t="inlineStr">
        <is>
          <t>Utility and C&amp;I</t>
        </is>
      </c>
      <c r="E895" s="1" t="n"/>
      <c r="F895" s="1" t="inlineStr">
        <is>
          <t>Closed</t>
        </is>
      </c>
      <c r="G895" s="8" t="inlineStr">
        <is>
          <t>Amiya Ranjan Behera</t>
        </is>
      </c>
      <c r="H895" s="8" t="n">
        <v>8917436223</v>
      </c>
      <c r="I895" s="10" t="inlineStr">
        <is>
          <t>PE06052602</t>
        </is>
      </c>
      <c r="J895" s="8" t="inlineStr">
        <is>
          <t>Diode Bypass Module Issue</t>
        </is>
      </c>
      <c r="K895" s="8" t="inlineStr">
        <is>
          <t>Bhavnagar</t>
        </is>
      </c>
      <c r="L895" s="8" t="inlineStr">
        <is>
          <t>Gujarat</t>
        </is>
      </c>
      <c r="M895" s="2" t="inlineStr">
        <is>
          <t>PR</t>
        </is>
      </c>
      <c r="N895" s="1" t="inlineStr">
        <is>
          <t>JB Issue</t>
        </is>
      </c>
      <c r="O895" s="11" t="n">
        <v>540</v>
      </c>
      <c r="P895" s="2" t="inlineStr">
        <is>
          <t>NSMP2304075538</t>
        </is>
      </c>
      <c r="Q895" s="14">
        <f>MID(P895,5,2)</f>
        <v/>
      </c>
      <c r="R895" s="14">
        <f>MID(P895,7,2)</f>
        <v/>
      </c>
      <c r="S895" s="1" t="inlineStr">
        <is>
          <t>G2B</t>
        </is>
      </c>
      <c r="T895" s="1" t="inlineStr">
        <is>
          <t>P2 - PEPPL</t>
        </is>
      </c>
      <c r="U895" s="1" t="inlineStr">
        <is>
          <t>P JB Issue</t>
        </is>
      </c>
      <c r="V895" s="3" t="inlineStr">
        <is>
          <t>JB Changed</t>
        </is>
      </c>
      <c r="W895" s="1" t="inlineStr">
        <is>
          <t>Repair</t>
        </is>
      </c>
      <c r="X895" s="5" t="n">
        <v>46181</v>
      </c>
      <c r="Y895" s="1">
        <f>IF(X895="","",X895-A895)</f>
        <v/>
      </c>
      <c r="Z895" s="5" t="n">
        <v>46181</v>
      </c>
      <c r="AA895" s="3" t="n"/>
      <c r="AB895" s="3" t="n"/>
      <c r="AE895" s="146">
        <f>IF(AND(F895="Closed",X895&gt;=DATE(2026,6,1),X895&lt;=DATE(2026,6,30)),"Closed in June","other")</f>
        <v/>
      </c>
    </row>
    <row r="896" hidden="1">
      <c r="A896" s="9" t="n">
        <v>46148</v>
      </c>
      <c r="B896" s="1" t="n">
        <v>2026</v>
      </c>
      <c r="C896" s="8" t="inlineStr">
        <is>
          <t>Continuum</t>
        </is>
      </c>
      <c r="D896" s="1" t="inlineStr">
        <is>
          <t>Utility and C&amp;I</t>
        </is>
      </c>
      <c r="E896" s="1" t="n"/>
      <c r="F896" s="1" t="inlineStr">
        <is>
          <t>Closed</t>
        </is>
      </c>
      <c r="G896" s="8" t="inlineStr">
        <is>
          <t>Amiya Ranjan Behera</t>
        </is>
      </c>
      <c r="H896" s="8" t="n">
        <v>8917436223</v>
      </c>
      <c r="I896" s="10" t="inlineStr">
        <is>
          <t>PE06052602</t>
        </is>
      </c>
      <c r="J896" s="8" t="inlineStr">
        <is>
          <t>Diode Bypass Module Issue</t>
        </is>
      </c>
      <c r="K896" s="8" t="inlineStr">
        <is>
          <t>Bhavnagar</t>
        </is>
      </c>
      <c r="L896" s="8" t="inlineStr">
        <is>
          <t>Gujarat</t>
        </is>
      </c>
      <c r="M896" s="2" t="inlineStr">
        <is>
          <t>PS</t>
        </is>
      </c>
      <c r="N896" s="1" t="inlineStr">
        <is>
          <t>Cold Soldering</t>
        </is>
      </c>
      <c r="O896" s="11" t="n">
        <v>540</v>
      </c>
      <c r="P896" s="2" t="inlineStr">
        <is>
          <t>NSMP2305191838</t>
        </is>
      </c>
      <c r="Q896" s="14">
        <f>MID(P896,5,2)</f>
        <v/>
      </c>
      <c r="R896" s="14">
        <f>MID(P896,7,2)</f>
        <v/>
      </c>
      <c r="S896" s="1" t="inlineStr">
        <is>
          <t>G2B</t>
        </is>
      </c>
      <c r="T896" s="1" t="inlineStr">
        <is>
          <t>P2 - PEPPL</t>
        </is>
      </c>
      <c r="U896" s="1" t="inlineStr">
        <is>
          <t>P JB Cold Soldering</t>
        </is>
      </c>
      <c r="V896" s="1" t="inlineStr">
        <is>
          <t>Soldering</t>
        </is>
      </c>
      <c r="W896" s="1" t="inlineStr">
        <is>
          <t>Repair</t>
        </is>
      </c>
      <c r="X896" s="5" t="n">
        <v>46181</v>
      </c>
      <c r="Y896" s="1">
        <f>IF(X896="","",X896-A896)</f>
        <v/>
      </c>
      <c r="Z896" s="5" t="n">
        <v>46181</v>
      </c>
      <c r="AA896" s="3" t="n"/>
      <c r="AB896" s="3" t="n"/>
      <c r="AE896" s="146">
        <f>IF(AND(F896="Closed",X896&gt;=DATE(2026,6,1),X896&lt;=DATE(2026,6,30)),"Closed in June","other")</f>
        <v/>
      </c>
    </row>
    <row r="897" hidden="1">
      <c r="A897" s="9" t="n">
        <v>46148</v>
      </c>
      <c r="B897" s="1" t="n">
        <v>2026</v>
      </c>
      <c r="C897" s="8" t="inlineStr">
        <is>
          <t>Continuum</t>
        </is>
      </c>
      <c r="D897" s="1" t="inlineStr">
        <is>
          <t>Utility and C&amp;I</t>
        </is>
      </c>
      <c r="E897" s="1" t="n"/>
      <c r="F897" s="1" t="inlineStr">
        <is>
          <t>Closed</t>
        </is>
      </c>
      <c r="G897" s="8" t="inlineStr">
        <is>
          <t>Amiya Ranjan Behera</t>
        </is>
      </c>
      <c r="H897" s="8" t="n">
        <v>8917436223</v>
      </c>
      <c r="I897" s="10" t="inlineStr">
        <is>
          <t>PE06052602</t>
        </is>
      </c>
      <c r="J897" s="8" t="inlineStr">
        <is>
          <t>Diode Bypass Module Issue</t>
        </is>
      </c>
      <c r="K897" s="8" t="inlineStr">
        <is>
          <t>Bhavnagar</t>
        </is>
      </c>
      <c r="L897" s="8" t="inlineStr">
        <is>
          <t>Gujarat</t>
        </is>
      </c>
      <c r="M897" s="2" t="inlineStr">
        <is>
          <t>PS</t>
        </is>
      </c>
      <c r="N897" s="1" t="inlineStr">
        <is>
          <t>Cold Soldering</t>
        </is>
      </c>
      <c r="O897" s="11" t="n">
        <v>540</v>
      </c>
      <c r="P897" s="2" t="inlineStr">
        <is>
          <t>NSMP2305193657</t>
        </is>
      </c>
      <c r="Q897" s="14">
        <f>MID(P897,5,2)</f>
        <v/>
      </c>
      <c r="R897" s="14">
        <f>MID(P897,7,2)</f>
        <v/>
      </c>
      <c r="S897" s="1" t="inlineStr">
        <is>
          <t>G2B</t>
        </is>
      </c>
      <c r="T897" s="1" t="inlineStr">
        <is>
          <t>P2 - PEPPL</t>
        </is>
      </c>
      <c r="U897" s="1" t="inlineStr">
        <is>
          <t>P JB Cold Soldering</t>
        </is>
      </c>
      <c r="V897" s="1" t="inlineStr">
        <is>
          <t>Soldering</t>
        </is>
      </c>
      <c r="W897" s="1" t="inlineStr">
        <is>
          <t>Repair</t>
        </is>
      </c>
      <c r="X897" s="5" t="n">
        <v>46181</v>
      </c>
      <c r="Y897" s="1">
        <f>IF(X897="","",X897-A897)</f>
        <v/>
      </c>
      <c r="Z897" s="5" t="n">
        <v>46181</v>
      </c>
      <c r="AA897" s="3" t="n"/>
      <c r="AB897" s="3" t="n"/>
      <c r="AE897" s="146">
        <f>IF(AND(F897="Closed",X897&gt;=DATE(2026,6,1),X897&lt;=DATE(2026,6,30)),"Closed in June","other")</f>
        <v/>
      </c>
    </row>
    <row r="898" hidden="1">
      <c r="A898" s="9" t="n">
        <v>46148</v>
      </c>
      <c r="B898" s="1" t="n">
        <v>2026</v>
      </c>
      <c r="C898" s="8" t="inlineStr">
        <is>
          <t>Continuum</t>
        </is>
      </c>
      <c r="D898" s="1" t="inlineStr">
        <is>
          <t>Utility and C&amp;I</t>
        </is>
      </c>
      <c r="E898" s="1" t="n"/>
      <c r="F898" s="1" t="inlineStr">
        <is>
          <t>Closed</t>
        </is>
      </c>
      <c r="G898" s="8" t="inlineStr">
        <is>
          <t>Amiya Ranjan Behera</t>
        </is>
      </c>
      <c r="H898" s="8" t="n">
        <v>8917436223</v>
      </c>
      <c r="I898" s="10" t="inlineStr">
        <is>
          <t>PE06052602</t>
        </is>
      </c>
      <c r="J898" s="8" t="inlineStr">
        <is>
          <t>Diode Bypass Module Issue</t>
        </is>
      </c>
      <c r="K898" s="8" t="inlineStr">
        <is>
          <t>Bhavnagar</t>
        </is>
      </c>
      <c r="L898" s="8" t="inlineStr">
        <is>
          <t>Gujarat</t>
        </is>
      </c>
      <c r="M898" s="2" t="inlineStr">
        <is>
          <t>PS</t>
        </is>
      </c>
      <c r="N898" s="1" t="inlineStr">
        <is>
          <t>Cold Soldering</t>
        </is>
      </c>
      <c r="O898" s="11" t="n">
        <v>540</v>
      </c>
      <c r="P898" s="2" t="inlineStr">
        <is>
          <t>NSMP2305191792</t>
        </is>
      </c>
      <c r="Q898" s="14">
        <f>MID(P898,5,2)</f>
        <v/>
      </c>
      <c r="R898" s="14">
        <f>MID(P898,7,2)</f>
        <v/>
      </c>
      <c r="S898" s="1" t="inlineStr">
        <is>
          <t>G2B</t>
        </is>
      </c>
      <c r="T898" s="1" t="inlineStr">
        <is>
          <t>P2 - PEPPL</t>
        </is>
      </c>
      <c r="U898" s="1" t="inlineStr">
        <is>
          <t>P JB Cold Soldering</t>
        </is>
      </c>
      <c r="V898" s="1" t="inlineStr">
        <is>
          <t>Soldering</t>
        </is>
      </c>
      <c r="W898" s="1" t="inlineStr">
        <is>
          <t>Repair</t>
        </is>
      </c>
      <c r="X898" s="5" t="n">
        <v>46181</v>
      </c>
      <c r="Y898" s="1">
        <f>IF(X898="","",X898-A898)</f>
        <v/>
      </c>
      <c r="Z898" s="5" t="n">
        <v>46181</v>
      </c>
      <c r="AA898" s="3" t="n"/>
      <c r="AB898" s="3" t="n"/>
      <c r="AE898" s="146">
        <f>IF(AND(F898="Closed",X898&gt;=DATE(2026,6,1),X898&lt;=DATE(2026,6,30)),"Closed in June","other")</f>
        <v/>
      </c>
    </row>
    <row r="899" hidden="1">
      <c r="A899" s="9" t="n">
        <v>46148</v>
      </c>
      <c r="B899" s="1" t="n">
        <v>2026</v>
      </c>
      <c r="C899" s="8" t="inlineStr">
        <is>
          <t>Continuum</t>
        </is>
      </c>
      <c r="D899" s="1" t="inlineStr">
        <is>
          <t>Utility and C&amp;I</t>
        </is>
      </c>
      <c r="E899" s="1" t="n"/>
      <c r="F899" s="1" t="inlineStr">
        <is>
          <t>Closed</t>
        </is>
      </c>
      <c r="G899" s="8" t="inlineStr">
        <is>
          <t>Amiya Ranjan Behera</t>
        </is>
      </c>
      <c r="H899" s="8" t="n">
        <v>8917436223</v>
      </c>
      <c r="I899" s="10" t="inlineStr">
        <is>
          <t>PE06052602</t>
        </is>
      </c>
      <c r="J899" s="8" t="inlineStr">
        <is>
          <t>Diode Bypass Module Issue</t>
        </is>
      </c>
      <c r="K899" s="8" t="inlineStr">
        <is>
          <t>Bhavnagar</t>
        </is>
      </c>
      <c r="L899" s="8" t="inlineStr">
        <is>
          <t>Gujarat</t>
        </is>
      </c>
      <c r="M899" s="2" t="inlineStr">
        <is>
          <t>PR</t>
        </is>
      </c>
      <c r="N899" s="1" t="inlineStr">
        <is>
          <t>JB Issue</t>
        </is>
      </c>
      <c r="O899" s="11" t="n">
        <v>540</v>
      </c>
      <c r="P899" s="2" t="inlineStr">
        <is>
          <t>NSMP2305191800</t>
        </is>
      </c>
      <c r="Q899" s="14">
        <f>MID(P899,5,2)</f>
        <v/>
      </c>
      <c r="R899" s="14">
        <f>MID(P899,7,2)</f>
        <v/>
      </c>
      <c r="S899" s="1" t="inlineStr">
        <is>
          <t>G2B</t>
        </is>
      </c>
      <c r="T899" s="1" t="inlineStr">
        <is>
          <t>P2 - PEPPL</t>
        </is>
      </c>
      <c r="U899" s="1" t="inlineStr">
        <is>
          <t>P JB Issue</t>
        </is>
      </c>
      <c r="V899" s="3" t="inlineStr">
        <is>
          <t>JB Changed</t>
        </is>
      </c>
      <c r="W899" s="1" t="inlineStr">
        <is>
          <t>Repair</t>
        </is>
      </c>
      <c r="X899" s="5" t="n">
        <v>46181</v>
      </c>
      <c r="Y899" s="1">
        <f>IF(X899="","",X899-A899)</f>
        <v/>
      </c>
      <c r="Z899" s="5" t="n">
        <v>46181</v>
      </c>
      <c r="AA899" s="3" t="n"/>
      <c r="AB899" s="3" t="n"/>
      <c r="AE899" s="146">
        <f>IF(AND(F899="Closed",X899&gt;=DATE(2026,6,1),X899&lt;=DATE(2026,6,30)),"Closed in June","other")</f>
        <v/>
      </c>
    </row>
    <row r="900" hidden="1">
      <c r="A900" s="9" t="n">
        <v>46148</v>
      </c>
      <c r="B900" s="1" t="n">
        <v>2026</v>
      </c>
      <c r="C900" s="8" t="inlineStr">
        <is>
          <t>Continuum</t>
        </is>
      </c>
      <c r="D900" s="1" t="inlineStr">
        <is>
          <t>Utility and C&amp;I</t>
        </is>
      </c>
      <c r="E900" s="1" t="n"/>
      <c r="F900" s="1" t="inlineStr">
        <is>
          <t>Closed</t>
        </is>
      </c>
      <c r="G900" s="8" t="inlineStr">
        <is>
          <t>Amiya Ranjan Behera</t>
        </is>
      </c>
      <c r="H900" s="8" t="n">
        <v>8917436223</v>
      </c>
      <c r="I900" s="10" t="inlineStr">
        <is>
          <t>PE06052602</t>
        </is>
      </c>
      <c r="J900" s="8" t="inlineStr">
        <is>
          <t>Diode Bypass Module Issue</t>
        </is>
      </c>
      <c r="K900" s="8" t="inlineStr">
        <is>
          <t>Bhavnagar</t>
        </is>
      </c>
      <c r="L900" s="8" t="inlineStr">
        <is>
          <t>Gujarat</t>
        </is>
      </c>
      <c r="M900" s="2" t="inlineStr">
        <is>
          <t>PS</t>
        </is>
      </c>
      <c r="N900" s="1" t="inlineStr">
        <is>
          <t>Cold Soldering</t>
        </is>
      </c>
      <c r="O900" s="11" t="n">
        <v>540</v>
      </c>
      <c r="P900" s="2" t="inlineStr">
        <is>
          <t>NSMP2305191786</t>
        </is>
      </c>
      <c r="Q900" s="14">
        <f>MID(P900,5,2)</f>
        <v/>
      </c>
      <c r="R900" s="14">
        <f>MID(P900,7,2)</f>
        <v/>
      </c>
      <c r="S900" s="1" t="inlineStr">
        <is>
          <t>G2B</t>
        </is>
      </c>
      <c r="T900" s="1" t="inlineStr">
        <is>
          <t>P2 - PEPPL</t>
        </is>
      </c>
      <c r="U900" s="1" t="inlineStr">
        <is>
          <t>P JB Cold Soldering</t>
        </is>
      </c>
      <c r="V900" s="1" t="inlineStr">
        <is>
          <t>Soldering</t>
        </is>
      </c>
      <c r="W900" s="1" t="inlineStr">
        <is>
          <t>Repair</t>
        </is>
      </c>
      <c r="X900" s="5" t="n">
        <v>46181</v>
      </c>
      <c r="Y900" s="1">
        <f>IF(X900="","",X900-A900)</f>
        <v/>
      </c>
      <c r="Z900" s="5" t="n">
        <v>46181</v>
      </c>
      <c r="AA900" s="3" t="n"/>
      <c r="AB900" s="3" t="n"/>
      <c r="AE900" s="146">
        <f>IF(AND(F900="Closed",X900&gt;=DATE(2026,6,1),X900&lt;=DATE(2026,6,30)),"Closed in June","other")</f>
        <v/>
      </c>
    </row>
    <row r="901" hidden="1">
      <c r="A901" s="9" t="n">
        <v>46148</v>
      </c>
      <c r="B901" s="1" t="n">
        <v>2026</v>
      </c>
      <c r="C901" s="8" t="inlineStr">
        <is>
          <t>Continuum</t>
        </is>
      </c>
      <c r="D901" s="1" t="inlineStr">
        <is>
          <t>Utility and C&amp;I</t>
        </is>
      </c>
      <c r="E901" s="1" t="n"/>
      <c r="F901" s="1" t="inlineStr">
        <is>
          <t>Closed</t>
        </is>
      </c>
      <c r="G901" s="8" t="inlineStr">
        <is>
          <t>Amiya Ranjan Behera</t>
        </is>
      </c>
      <c r="H901" s="8" t="n">
        <v>8917436223</v>
      </c>
      <c r="I901" s="10" t="inlineStr">
        <is>
          <t>PE06052602</t>
        </is>
      </c>
      <c r="J901" s="8" t="inlineStr">
        <is>
          <t>Diode Bypass Module Issue</t>
        </is>
      </c>
      <c r="K901" s="8" t="inlineStr">
        <is>
          <t>Bhavnagar</t>
        </is>
      </c>
      <c r="L901" s="8" t="inlineStr">
        <is>
          <t>Gujarat</t>
        </is>
      </c>
      <c r="M901" s="2" t="inlineStr">
        <is>
          <t>PS</t>
        </is>
      </c>
      <c r="N901" s="1" t="inlineStr">
        <is>
          <t>Cold Soldering</t>
        </is>
      </c>
      <c r="O901" s="11" t="n">
        <v>540</v>
      </c>
      <c r="P901" s="2" t="inlineStr">
        <is>
          <t>NSMP2305191850</t>
        </is>
      </c>
      <c r="Q901" s="14">
        <f>MID(P901,5,2)</f>
        <v/>
      </c>
      <c r="R901" s="14">
        <f>MID(P901,7,2)</f>
        <v/>
      </c>
      <c r="S901" s="1" t="inlineStr">
        <is>
          <t>G2B</t>
        </is>
      </c>
      <c r="T901" s="1" t="inlineStr">
        <is>
          <t>P2 - PEPPL</t>
        </is>
      </c>
      <c r="U901" s="1" t="inlineStr">
        <is>
          <t>P JB Cold Soldering</t>
        </is>
      </c>
      <c r="V901" s="1" t="inlineStr">
        <is>
          <t>Soldering</t>
        </is>
      </c>
      <c r="W901" s="1" t="inlineStr">
        <is>
          <t>Repair</t>
        </is>
      </c>
      <c r="X901" s="5" t="n">
        <v>46181</v>
      </c>
      <c r="Y901" s="1">
        <f>IF(X901="","",X901-A901)</f>
        <v/>
      </c>
      <c r="Z901" s="5" t="n">
        <v>46181</v>
      </c>
      <c r="AA901" s="3" t="n"/>
      <c r="AB901" s="3" t="n"/>
      <c r="AE901" s="146">
        <f>IF(AND(F901="Closed",X901&gt;=DATE(2026,6,1),X901&lt;=DATE(2026,6,30)),"Closed in June","other")</f>
        <v/>
      </c>
    </row>
    <row r="902" hidden="1">
      <c r="A902" s="9" t="n">
        <v>46148</v>
      </c>
      <c r="B902" s="1" t="n">
        <v>2026</v>
      </c>
      <c r="C902" s="8" t="inlineStr">
        <is>
          <t>Continuum</t>
        </is>
      </c>
      <c r="D902" s="1" t="inlineStr">
        <is>
          <t>Utility and C&amp;I</t>
        </is>
      </c>
      <c r="E902" s="1" t="n"/>
      <c r="F902" s="1" t="inlineStr">
        <is>
          <t>Closed</t>
        </is>
      </c>
      <c r="G902" s="8" t="inlineStr">
        <is>
          <t>Amiya Ranjan Behera</t>
        </is>
      </c>
      <c r="H902" s="8" t="n">
        <v>8917436223</v>
      </c>
      <c r="I902" s="10" t="inlineStr">
        <is>
          <t>PE06052602</t>
        </is>
      </c>
      <c r="J902" s="8" t="inlineStr">
        <is>
          <t>Diode Bypass Module Issue</t>
        </is>
      </c>
      <c r="K902" s="8" t="inlineStr">
        <is>
          <t>Bhavnagar</t>
        </is>
      </c>
      <c r="L902" s="8" t="inlineStr">
        <is>
          <t>Gujarat</t>
        </is>
      </c>
      <c r="M902" s="2" t="inlineStr">
        <is>
          <t>PS</t>
        </is>
      </c>
      <c r="N902" s="1" t="inlineStr">
        <is>
          <t>Cold Soldering</t>
        </is>
      </c>
      <c r="O902" s="11" t="n">
        <v>540</v>
      </c>
      <c r="P902" s="2" t="inlineStr">
        <is>
          <t>NSMP2305191847</t>
        </is>
      </c>
      <c r="Q902" s="14">
        <f>MID(P902,5,2)</f>
        <v/>
      </c>
      <c r="R902" s="14">
        <f>MID(P902,7,2)</f>
        <v/>
      </c>
      <c r="S902" s="1" t="inlineStr">
        <is>
          <t>G2B</t>
        </is>
      </c>
      <c r="T902" s="1" t="inlineStr">
        <is>
          <t>P2 - PEPPL</t>
        </is>
      </c>
      <c r="U902" s="1" t="inlineStr">
        <is>
          <t>P JB Cold Soldering</t>
        </is>
      </c>
      <c r="V902" s="1" t="inlineStr">
        <is>
          <t>Soldering</t>
        </is>
      </c>
      <c r="W902" s="1" t="inlineStr">
        <is>
          <t>Repair</t>
        </is>
      </c>
      <c r="X902" s="5" t="n">
        <v>46181</v>
      </c>
      <c r="Y902" s="1">
        <f>IF(X902="","",X902-A902)</f>
        <v/>
      </c>
      <c r="Z902" s="5" t="n">
        <v>46181</v>
      </c>
      <c r="AA902" s="3" t="n"/>
      <c r="AB902" s="3" t="n"/>
      <c r="AE902" s="146">
        <f>IF(AND(F902="Closed",X902&gt;=DATE(2026,6,1),X902&lt;=DATE(2026,6,30)),"Closed in June","other")</f>
        <v/>
      </c>
    </row>
    <row r="903" hidden="1">
      <c r="A903" s="9" t="n">
        <v>46148</v>
      </c>
      <c r="B903" s="1" t="n">
        <v>2026</v>
      </c>
      <c r="C903" s="8" t="inlineStr">
        <is>
          <t>Continuum</t>
        </is>
      </c>
      <c r="D903" s="1" t="inlineStr">
        <is>
          <t>Utility and C&amp;I</t>
        </is>
      </c>
      <c r="E903" s="1" t="n"/>
      <c r="F903" s="1" t="inlineStr">
        <is>
          <t>Closed</t>
        </is>
      </c>
      <c r="G903" s="8" t="inlineStr">
        <is>
          <t>Amiya Ranjan Behera</t>
        </is>
      </c>
      <c r="H903" s="8" t="n">
        <v>8917436223</v>
      </c>
      <c r="I903" s="10" t="inlineStr">
        <is>
          <t>PE06052602</t>
        </is>
      </c>
      <c r="J903" s="8" t="inlineStr">
        <is>
          <t>Diode Bypass Module Issue</t>
        </is>
      </c>
      <c r="K903" s="8" t="inlineStr">
        <is>
          <t>Bhavnagar</t>
        </is>
      </c>
      <c r="L903" s="8" t="inlineStr">
        <is>
          <t>Gujarat</t>
        </is>
      </c>
      <c r="M903" s="2" t="inlineStr">
        <is>
          <t>PR</t>
        </is>
      </c>
      <c r="N903" s="1" t="inlineStr">
        <is>
          <t>JB Issue</t>
        </is>
      </c>
      <c r="O903" s="11" t="n">
        <v>540</v>
      </c>
      <c r="P903" s="2" t="inlineStr">
        <is>
          <t>NSMP2305191837</t>
        </is>
      </c>
      <c r="Q903" s="14">
        <f>MID(P903,5,2)</f>
        <v/>
      </c>
      <c r="R903" s="14">
        <f>MID(P903,7,2)</f>
        <v/>
      </c>
      <c r="S903" s="1" t="inlineStr">
        <is>
          <t>G2B</t>
        </is>
      </c>
      <c r="T903" s="1" t="inlineStr">
        <is>
          <t>P2 - PEPPL</t>
        </is>
      </c>
      <c r="U903" s="1" t="inlineStr">
        <is>
          <t>P JB Issue</t>
        </is>
      </c>
      <c r="V903" s="3" t="inlineStr">
        <is>
          <t>JB Changed</t>
        </is>
      </c>
      <c r="W903" s="1" t="inlineStr">
        <is>
          <t>Repair</t>
        </is>
      </c>
      <c r="X903" s="5" t="n">
        <v>46181</v>
      </c>
      <c r="Y903" s="1">
        <f>IF(X903="","",X903-A903)</f>
        <v/>
      </c>
      <c r="Z903" s="5" t="n">
        <v>46181</v>
      </c>
      <c r="AA903" s="3" t="n"/>
      <c r="AB903" s="3" t="n"/>
      <c r="AE903" s="146">
        <f>IF(AND(F903="Closed",X903&gt;=DATE(2026,6,1),X903&lt;=DATE(2026,6,30)),"Closed in June","other")</f>
        <v/>
      </c>
    </row>
    <row r="904" hidden="1">
      <c r="A904" s="9" t="n">
        <v>46148</v>
      </c>
      <c r="B904" s="1" t="n">
        <v>2026</v>
      </c>
      <c r="C904" s="8" t="inlineStr">
        <is>
          <t>Continuum</t>
        </is>
      </c>
      <c r="D904" s="1" t="inlineStr">
        <is>
          <t>Utility and C&amp;I</t>
        </is>
      </c>
      <c r="E904" s="1" t="n"/>
      <c r="F904" s="1" t="inlineStr">
        <is>
          <t>Closed</t>
        </is>
      </c>
      <c r="G904" s="8" t="inlineStr">
        <is>
          <t>Amiya Ranjan Behera</t>
        </is>
      </c>
      <c r="H904" s="8" t="n">
        <v>8917436223</v>
      </c>
      <c r="I904" s="10" t="inlineStr">
        <is>
          <t>PE06052602</t>
        </is>
      </c>
      <c r="J904" s="8" t="inlineStr">
        <is>
          <t>Diode Bypass Module Issue</t>
        </is>
      </c>
      <c r="K904" s="8" t="inlineStr">
        <is>
          <t>Bhavnagar</t>
        </is>
      </c>
      <c r="L904" s="8" t="inlineStr">
        <is>
          <t>Gujarat</t>
        </is>
      </c>
      <c r="M904" s="2" t="inlineStr">
        <is>
          <t>PS</t>
        </is>
      </c>
      <c r="N904" s="1" t="inlineStr">
        <is>
          <t>Cold Soldering</t>
        </is>
      </c>
      <c r="O904" s="11" t="n">
        <v>540</v>
      </c>
      <c r="P904" s="2" t="inlineStr">
        <is>
          <t>NSMP2305134143</t>
        </is>
      </c>
      <c r="Q904" s="14">
        <f>MID(P904,5,2)</f>
        <v/>
      </c>
      <c r="R904" s="14">
        <f>MID(P904,7,2)</f>
        <v/>
      </c>
      <c r="S904" s="1" t="inlineStr">
        <is>
          <t>G2B</t>
        </is>
      </c>
      <c r="T904" s="1" t="inlineStr">
        <is>
          <t>P2 - PEPPL</t>
        </is>
      </c>
      <c r="U904" s="1" t="inlineStr">
        <is>
          <t>P JB Cold Soldering</t>
        </is>
      </c>
      <c r="V904" s="1" t="inlineStr">
        <is>
          <t>Soldering</t>
        </is>
      </c>
      <c r="W904" s="1" t="inlineStr">
        <is>
          <t>Repair</t>
        </is>
      </c>
      <c r="X904" s="5" t="n">
        <v>46181</v>
      </c>
      <c r="Y904" s="1">
        <f>IF(X904="","",X904-A904)</f>
        <v/>
      </c>
      <c r="Z904" s="5" t="n">
        <v>46181</v>
      </c>
      <c r="AA904" s="3" t="n"/>
      <c r="AB904" s="3" t="n"/>
      <c r="AE904" s="146">
        <f>IF(AND(F904="Closed",X904&gt;=DATE(2026,6,1),X904&lt;=DATE(2026,6,30)),"Closed in June","other")</f>
        <v/>
      </c>
    </row>
    <row r="905" hidden="1">
      <c r="A905" s="9" t="n">
        <v>46148</v>
      </c>
      <c r="B905" s="1" t="n">
        <v>2026</v>
      </c>
      <c r="C905" s="8" t="inlineStr">
        <is>
          <t>Continuum</t>
        </is>
      </c>
      <c r="D905" s="1" t="inlineStr">
        <is>
          <t>Utility and C&amp;I</t>
        </is>
      </c>
      <c r="E905" s="1" t="n"/>
      <c r="F905" s="1" t="inlineStr">
        <is>
          <t>Closed</t>
        </is>
      </c>
      <c r="G905" s="8" t="inlineStr">
        <is>
          <t>Amiya Ranjan Behera</t>
        </is>
      </c>
      <c r="H905" s="8" t="n">
        <v>8917436223</v>
      </c>
      <c r="I905" s="10" t="inlineStr">
        <is>
          <t>PE06052602</t>
        </is>
      </c>
      <c r="J905" s="8" t="inlineStr">
        <is>
          <t>Diode Bypass Module Issue</t>
        </is>
      </c>
      <c r="K905" s="8" t="inlineStr">
        <is>
          <t>Bhavnagar</t>
        </is>
      </c>
      <c r="L905" s="8" t="inlineStr">
        <is>
          <t>Gujarat</t>
        </is>
      </c>
      <c r="M905" s="2" t="inlineStr">
        <is>
          <t>PS</t>
        </is>
      </c>
      <c r="N905" s="1" t="inlineStr">
        <is>
          <t>Cold Soldering</t>
        </is>
      </c>
      <c r="O905" s="11" t="n">
        <v>540</v>
      </c>
      <c r="P905" s="2" t="inlineStr">
        <is>
          <t>NSMP2305195021</t>
        </is>
      </c>
      <c r="Q905" s="14">
        <f>MID(P905,5,2)</f>
        <v/>
      </c>
      <c r="R905" s="14">
        <f>MID(P905,7,2)</f>
        <v/>
      </c>
      <c r="S905" s="1" t="inlineStr">
        <is>
          <t>G2B</t>
        </is>
      </c>
      <c r="T905" s="1" t="inlineStr">
        <is>
          <t>P2 - PEPPL</t>
        </is>
      </c>
      <c r="U905" s="1" t="inlineStr">
        <is>
          <t>P JB Cold Soldering</t>
        </is>
      </c>
      <c r="V905" s="1" t="inlineStr">
        <is>
          <t>Soldering</t>
        </is>
      </c>
      <c r="W905" s="1" t="inlineStr">
        <is>
          <t>Repair</t>
        </is>
      </c>
      <c r="X905" s="5" t="n">
        <v>46181</v>
      </c>
      <c r="Y905" s="1">
        <f>IF(X905="","",X905-A905)</f>
        <v/>
      </c>
      <c r="Z905" s="5" t="n">
        <v>46181</v>
      </c>
      <c r="AA905" s="3" t="n"/>
      <c r="AB905" s="3" t="n"/>
      <c r="AE905" s="146">
        <f>IF(AND(F905="Closed",X905&gt;=DATE(2026,6,1),X905&lt;=DATE(2026,6,30)),"Closed in June","other")</f>
        <v/>
      </c>
    </row>
    <row r="906" hidden="1">
      <c r="A906" s="9" t="n">
        <v>46148</v>
      </c>
      <c r="B906" s="1" t="n">
        <v>2026</v>
      </c>
      <c r="C906" s="8" t="inlineStr">
        <is>
          <t>Continuum</t>
        </is>
      </c>
      <c r="D906" s="1" t="inlineStr">
        <is>
          <t>Utility and C&amp;I</t>
        </is>
      </c>
      <c r="E906" s="1" t="n"/>
      <c r="F906" s="1" t="inlineStr">
        <is>
          <t>Closed</t>
        </is>
      </c>
      <c r="G906" s="8" t="inlineStr">
        <is>
          <t>Amiya Ranjan Behera</t>
        </is>
      </c>
      <c r="H906" s="8" t="n">
        <v>8917436223</v>
      </c>
      <c r="I906" s="10" t="inlineStr">
        <is>
          <t>PE06052602</t>
        </is>
      </c>
      <c r="J906" s="8" t="inlineStr">
        <is>
          <t>Diode Bypass Module Issue</t>
        </is>
      </c>
      <c r="K906" s="8" t="inlineStr">
        <is>
          <t>Bhavnagar</t>
        </is>
      </c>
      <c r="L906" s="8" t="inlineStr">
        <is>
          <t>Gujarat</t>
        </is>
      </c>
      <c r="M906" s="2" t="inlineStr">
        <is>
          <t>NS</t>
        </is>
      </c>
      <c r="N906" s="8" t="inlineStr">
        <is>
          <t>Cold Soldering</t>
        </is>
      </c>
      <c r="O906" s="11" t="n">
        <v>540</v>
      </c>
      <c r="P906" s="2" t="inlineStr">
        <is>
          <t>NSMP2305194976</t>
        </is>
      </c>
      <c r="Q906" s="14">
        <f>MID(P906,5,2)</f>
        <v/>
      </c>
      <c r="R906" s="14">
        <f>MID(P906,7,2)</f>
        <v/>
      </c>
      <c r="S906" s="1" t="inlineStr">
        <is>
          <t>G2B</t>
        </is>
      </c>
      <c r="T906" s="1" t="inlineStr">
        <is>
          <t>P2 - PEPPL</t>
        </is>
      </c>
      <c r="U906" s="6" t="inlineStr">
        <is>
          <t>N JB Cold Soldering</t>
        </is>
      </c>
      <c r="V906" s="6" t="inlineStr">
        <is>
          <t>Soldering</t>
        </is>
      </c>
      <c r="W906" s="1" t="inlineStr">
        <is>
          <t>Repair</t>
        </is>
      </c>
      <c r="X906" s="5" t="n">
        <v>46181</v>
      </c>
      <c r="Y906" s="1">
        <f>IF(X906="","",X906-A906)</f>
        <v/>
      </c>
      <c r="Z906" s="5" t="n">
        <v>46181</v>
      </c>
      <c r="AA906" s="3" t="n"/>
      <c r="AB906" s="3" t="n"/>
      <c r="AE906" s="146">
        <f>IF(AND(F906="Closed",X906&gt;=DATE(2026,6,1),X906&lt;=DATE(2026,6,30)),"Closed in June","other")</f>
        <v/>
      </c>
    </row>
    <row r="907" hidden="1">
      <c r="A907" s="9" t="n">
        <v>46148</v>
      </c>
      <c r="B907" s="1" t="n">
        <v>2026</v>
      </c>
      <c r="C907" s="8" t="inlineStr">
        <is>
          <t>Continuum</t>
        </is>
      </c>
      <c r="D907" s="1" t="inlineStr">
        <is>
          <t>Utility and C&amp;I</t>
        </is>
      </c>
      <c r="E907" s="1" t="n"/>
      <c r="F907" s="1" t="inlineStr">
        <is>
          <t>Closed</t>
        </is>
      </c>
      <c r="G907" s="8" t="inlineStr">
        <is>
          <t>Amiya Ranjan Behera</t>
        </is>
      </c>
      <c r="H907" s="8" t="n">
        <v>8917436223</v>
      </c>
      <c r="I907" s="10" t="inlineStr">
        <is>
          <t>PE06052602</t>
        </is>
      </c>
      <c r="J907" s="8" t="inlineStr">
        <is>
          <t>Diode Bypass Module Issue</t>
        </is>
      </c>
      <c r="K907" s="8" t="inlineStr">
        <is>
          <t>Bhavnagar</t>
        </is>
      </c>
      <c r="L907" s="8" t="inlineStr">
        <is>
          <t>Gujarat</t>
        </is>
      </c>
      <c r="M907" s="2" t="inlineStr">
        <is>
          <t>PR</t>
        </is>
      </c>
      <c r="N907" s="1" t="inlineStr">
        <is>
          <t>JB Issue</t>
        </is>
      </c>
      <c r="O907" s="11" t="n">
        <v>540</v>
      </c>
      <c r="P907" s="2" t="inlineStr">
        <is>
          <t>NSMP2305194938</t>
        </is>
      </c>
      <c r="Q907" s="14">
        <f>MID(P907,5,2)</f>
        <v/>
      </c>
      <c r="R907" s="14">
        <f>MID(P907,7,2)</f>
        <v/>
      </c>
      <c r="S907" s="1" t="inlineStr">
        <is>
          <t>G2B</t>
        </is>
      </c>
      <c r="T907" s="1" t="inlineStr">
        <is>
          <t>P2 - PEPPL</t>
        </is>
      </c>
      <c r="U907" s="1" t="inlineStr">
        <is>
          <t>P JB Issue</t>
        </is>
      </c>
      <c r="V907" s="3" t="inlineStr">
        <is>
          <t>JB Changed</t>
        </is>
      </c>
      <c r="W907" s="1" t="inlineStr">
        <is>
          <t>Repair</t>
        </is>
      </c>
      <c r="X907" s="5" t="n">
        <v>46181</v>
      </c>
      <c r="Y907" s="1">
        <f>IF(X907="","",X907-A907)</f>
        <v/>
      </c>
      <c r="Z907" s="5" t="n">
        <v>46181</v>
      </c>
      <c r="AA907" s="3" t="n"/>
      <c r="AB907" s="3" t="n"/>
      <c r="AE907" s="146">
        <f>IF(AND(F907="Closed",X907&gt;=DATE(2026,6,1),X907&lt;=DATE(2026,6,30)),"Closed in June","other")</f>
        <v/>
      </c>
    </row>
    <row r="908" hidden="1">
      <c r="A908" s="9" t="n">
        <v>46148</v>
      </c>
      <c r="B908" s="1" t="n">
        <v>2026</v>
      </c>
      <c r="C908" s="8" t="inlineStr">
        <is>
          <t>Continuum</t>
        </is>
      </c>
      <c r="D908" s="1" t="inlineStr">
        <is>
          <t>Utility and C&amp;I</t>
        </is>
      </c>
      <c r="E908" s="1" t="n"/>
      <c r="F908" s="1" t="inlineStr">
        <is>
          <t>Closed</t>
        </is>
      </c>
      <c r="G908" s="8" t="inlineStr">
        <is>
          <t>Amiya Ranjan Behera</t>
        </is>
      </c>
      <c r="H908" s="8" t="n">
        <v>8917436223</v>
      </c>
      <c r="I908" s="10" t="inlineStr">
        <is>
          <t>PE06052602</t>
        </is>
      </c>
      <c r="J908" s="8" t="inlineStr">
        <is>
          <t>Diode Bypass Module Issue</t>
        </is>
      </c>
      <c r="K908" s="8" t="inlineStr">
        <is>
          <t>Bhavnagar</t>
        </is>
      </c>
      <c r="L908" s="8" t="inlineStr">
        <is>
          <t>Gujarat</t>
        </is>
      </c>
      <c r="M908" s="2" t="inlineStr">
        <is>
          <t>NS</t>
        </is>
      </c>
      <c r="N908" s="8" t="inlineStr">
        <is>
          <t>Cold Soldering</t>
        </is>
      </c>
      <c r="O908" s="11" t="n">
        <v>540</v>
      </c>
      <c r="P908" s="2" t="inlineStr">
        <is>
          <t>NSMP2305194960</t>
        </is>
      </c>
      <c r="Q908" s="14">
        <f>MID(P908,5,2)</f>
        <v/>
      </c>
      <c r="R908" s="14">
        <f>MID(P908,7,2)</f>
        <v/>
      </c>
      <c r="S908" s="1" t="inlineStr">
        <is>
          <t>G2B</t>
        </is>
      </c>
      <c r="T908" s="1" t="inlineStr">
        <is>
          <t>P2 - PEPPL</t>
        </is>
      </c>
      <c r="U908" s="6" t="inlineStr">
        <is>
          <t>N JB Cold Soldering</t>
        </is>
      </c>
      <c r="V908" s="6" t="inlineStr">
        <is>
          <t>Soldering</t>
        </is>
      </c>
      <c r="W908" s="1" t="inlineStr">
        <is>
          <t>Repair</t>
        </is>
      </c>
      <c r="X908" s="5" t="n">
        <v>46181</v>
      </c>
      <c r="Y908" s="1">
        <f>IF(X908="","",X908-A908)</f>
        <v/>
      </c>
      <c r="Z908" s="5" t="n">
        <v>46181</v>
      </c>
      <c r="AA908" s="3" t="n"/>
      <c r="AB908" s="3" t="n"/>
      <c r="AE908" s="146">
        <f>IF(AND(F908="Closed",X908&gt;=DATE(2026,6,1),X908&lt;=DATE(2026,6,30)),"Closed in June","other")</f>
        <v/>
      </c>
    </row>
    <row r="909" hidden="1">
      <c r="A909" s="9" t="n">
        <v>46148</v>
      </c>
      <c r="B909" s="1" t="n">
        <v>2026</v>
      </c>
      <c r="C909" s="8" t="inlineStr">
        <is>
          <t>Continuum</t>
        </is>
      </c>
      <c r="D909" s="1" t="inlineStr">
        <is>
          <t>Utility and C&amp;I</t>
        </is>
      </c>
      <c r="E909" s="1" t="n"/>
      <c r="F909" s="1" t="inlineStr">
        <is>
          <t>Closed</t>
        </is>
      </c>
      <c r="G909" s="8" t="inlineStr">
        <is>
          <t>Amiya Ranjan Behera</t>
        </is>
      </c>
      <c r="H909" s="8" t="n">
        <v>8917436223</v>
      </c>
      <c r="I909" s="10" t="inlineStr">
        <is>
          <t>PE06052602</t>
        </is>
      </c>
      <c r="J909" s="8" t="inlineStr">
        <is>
          <t>Diode Bypass Module Issue</t>
        </is>
      </c>
      <c r="K909" s="8" t="inlineStr">
        <is>
          <t>Bhavnagar</t>
        </is>
      </c>
      <c r="L909" s="8" t="inlineStr">
        <is>
          <t>Gujarat</t>
        </is>
      </c>
      <c r="M909" s="2" t="inlineStr">
        <is>
          <t>OK</t>
        </is>
      </c>
      <c r="N909" s="2" t="inlineStr">
        <is>
          <t>No Issue Found</t>
        </is>
      </c>
      <c r="O909" s="11" t="n">
        <v>540</v>
      </c>
      <c r="P909" s="2" t="inlineStr">
        <is>
          <t>NSMP2305177914</t>
        </is>
      </c>
      <c r="Q909" s="14">
        <f>MID(P909,5,2)</f>
        <v/>
      </c>
      <c r="R909" s="14">
        <f>MID(P909,7,2)</f>
        <v/>
      </c>
      <c r="S909" s="1" t="inlineStr">
        <is>
          <t>G2B</t>
        </is>
      </c>
      <c r="T909" s="1" t="inlineStr">
        <is>
          <t>P2 - PEPPL</t>
        </is>
      </c>
      <c r="U909" s="6" t="inlineStr">
        <is>
          <t>No Issue Found</t>
        </is>
      </c>
      <c r="V909" s="6" t="inlineStr">
        <is>
          <t>Inspection</t>
        </is>
      </c>
      <c r="W909" s="1" t="inlineStr">
        <is>
          <t>Rejected</t>
        </is>
      </c>
      <c r="X909" s="5" t="n">
        <v>46181</v>
      </c>
      <c r="Y909" s="1">
        <f>IF(X909="","",X909-A909)</f>
        <v/>
      </c>
      <c r="Z909" s="5" t="n">
        <v>46181</v>
      </c>
      <c r="AA909" s="3" t="n"/>
      <c r="AB909" s="3" t="n"/>
      <c r="AE909" s="146">
        <f>IF(AND(F909="Closed",X909&gt;=DATE(2026,6,1),X909&lt;=DATE(2026,6,30)),"Closed in June","other")</f>
        <v/>
      </c>
    </row>
    <row r="910" hidden="1">
      <c r="A910" s="9" t="n">
        <v>46148</v>
      </c>
      <c r="B910" s="1" t="n">
        <v>2026</v>
      </c>
      <c r="C910" s="8" t="inlineStr">
        <is>
          <t>Continuum</t>
        </is>
      </c>
      <c r="D910" s="1" t="inlineStr">
        <is>
          <t>Utility and C&amp;I</t>
        </is>
      </c>
      <c r="E910" s="1" t="n"/>
      <c r="F910" s="1" t="inlineStr">
        <is>
          <t>Closed</t>
        </is>
      </c>
      <c r="G910" s="8" t="inlineStr">
        <is>
          <t>Amiya Ranjan Behera</t>
        </is>
      </c>
      <c r="H910" s="8" t="n">
        <v>8917436223</v>
      </c>
      <c r="I910" s="10" t="inlineStr">
        <is>
          <t>PE06052602</t>
        </is>
      </c>
      <c r="J910" s="8" t="inlineStr">
        <is>
          <t>Diode Bypass Module Issue</t>
        </is>
      </c>
      <c r="K910" s="8" t="inlineStr">
        <is>
          <t>Bhavnagar</t>
        </is>
      </c>
      <c r="L910" s="8" t="inlineStr">
        <is>
          <t>Gujarat</t>
        </is>
      </c>
      <c r="M910" s="2" t="inlineStr">
        <is>
          <t>PS</t>
        </is>
      </c>
      <c r="N910" s="1" t="inlineStr">
        <is>
          <t>Cold Soldering</t>
        </is>
      </c>
      <c r="O910" s="11" t="n">
        <v>540</v>
      </c>
      <c r="P910" s="2" t="inlineStr">
        <is>
          <t>NSMP2305192303</t>
        </is>
      </c>
      <c r="Q910" s="14">
        <f>MID(P910,5,2)</f>
        <v/>
      </c>
      <c r="R910" s="14">
        <f>MID(P910,7,2)</f>
        <v/>
      </c>
      <c r="S910" s="1" t="inlineStr">
        <is>
          <t>G2B</t>
        </is>
      </c>
      <c r="T910" s="1" t="inlineStr">
        <is>
          <t>P2 - PEPPL</t>
        </is>
      </c>
      <c r="U910" s="1" t="inlineStr">
        <is>
          <t>P JB Cold Soldering</t>
        </is>
      </c>
      <c r="V910" s="1" t="inlineStr">
        <is>
          <t>Soldering</t>
        </is>
      </c>
      <c r="W910" s="1" t="inlineStr">
        <is>
          <t>Repair</t>
        </is>
      </c>
      <c r="X910" s="5" t="n">
        <v>46181</v>
      </c>
      <c r="Y910" s="1">
        <f>IF(X910="","",X910-A910)</f>
        <v/>
      </c>
      <c r="Z910" s="5" t="n">
        <v>46181</v>
      </c>
      <c r="AA910" s="3" t="n"/>
      <c r="AB910" s="3" t="n"/>
      <c r="AE910" s="146">
        <f>IF(AND(F910="Closed",X910&gt;=DATE(2026,6,1),X910&lt;=DATE(2026,6,30)),"Closed in June","other")</f>
        <v/>
      </c>
    </row>
    <row r="911" hidden="1">
      <c r="A911" s="9" t="n">
        <v>46148</v>
      </c>
      <c r="B911" s="1" t="n">
        <v>2026</v>
      </c>
      <c r="C911" s="8" t="inlineStr">
        <is>
          <t>Continuum</t>
        </is>
      </c>
      <c r="D911" s="1" t="inlineStr">
        <is>
          <t>Utility and C&amp;I</t>
        </is>
      </c>
      <c r="E911" s="1" t="n"/>
      <c r="F911" s="1" t="inlineStr">
        <is>
          <t>Closed</t>
        </is>
      </c>
      <c r="G911" s="8" t="inlineStr">
        <is>
          <t>Amiya Ranjan Behera</t>
        </is>
      </c>
      <c r="H911" s="8" t="n">
        <v>8917436223</v>
      </c>
      <c r="I911" s="10" t="inlineStr">
        <is>
          <t>PE06052602</t>
        </is>
      </c>
      <c r="J911" s="8" t="inlineStr">
        <is>
          <t>Diode Bypass Module Issue</t>
        </is>
      </c>
      <c r="K911" s="8" t="inlineStr">
        <is>
          <t>Bhavnagar</t>
        </is>
      </c>
      <c r="L911" s="8" t="inlineStr">
        <is>
          <t>Gujarat</t>
        </is>
      </c>
      <c r="M911" s="2" t="inlineStr">
        <is>
          <t>PS</t>
        </is>
      </c>
      <c r="N911" s="1" t="inlineStr">
        <is>
          <t>Cold Soldering</t>
        </is>
      </c>
      <c r="O911" s="11" t="n">
        <v>540</v>
      </c>
      <c r="P911" s="2" t="inlineStr">
        <is>
          <t>NSMP2305191704</t>
        </is>
      </c>
      <c r="Q911" s="14">
        <f>MID(P911,5,2)</f>
        <v/>
      </c>
      <c r="R911" s="14">
        <f>MID(P911,7,2)</f>
        <v/>
      </c>
      <c r="S911" s="1" t="inlineStr">
        <is>
          <t>G2B</t>
        </is>
      </c>
      <c r="T911" s="1" t="inlineStr">
        <is>
          <t>P2 - PEPPL</t>
        </is>
      </c>
      <c r="U911" s="1" t="inlineStr">
        <is>
          <t>P JB Cold Soldering</t>
        </is>
      </c>
      <c r="V911" s="1" t="inlineStr">
        <is>
          <t>Soldering</t>
        </is>
      </c>
      <c r="W911" s="1" t="inlineStr">
        <is>
          <t>Repair</t>
        </is>
      </c>
      <c r="X911" s="5" t="n">
        <v>46181</v>
      </c>
      <c r="Y911" s="1">
        <f>IF(X911="","",X911-A911)</f>
        <v/>
      </c>
      <c r="Z911" s="5" t="n">
        <v>46181</v>
      </c>
      <c r="AA911" s="3" t="n"/>
      <c r="AB911" s="3" t="n"/>
      <c r="AE911" s="146">
        <f>IF(AND(F911="Closed",X911&gt;=DATE(2026,6,1),X911&lt;=DATE(2026,6,30)),"Closed in June","other")</f>
        <v/>
      </c>
    </row>
    <row r="912" hidden="1">
      <c r="A912" s="9" t="n">
        <v>46148</v>
      </c>
      <c r="B912" s="1" t="n">
        <v>2026</v>
      </c>
      <c r="C912" s="8" t="inlineStr">
        <is>
          <t>Continuum</t>
        </is>
      </c>
      <c r="D912" s="1" t="inlineStr">
        <is>
          <t>Utility and C&amp;I</t>
        </is>
      </c>
      <c r="E912" s="1" t="n"/>
      <c r="F912" s="1" t="inlineStr">
        <is>
          <t>Closed</t>
        </is>
      </c>
      <c r="G912" s="8" t="inlineStr">
        <is>
          <t>Amiya Ranjan Behera</t>
        </is>
      </c>
      <c r="H912" s="8" t="n">
        <v>8917436223</v>
      </c>
      <c r="I912" s="10" t="inlineStr">
        <is>
          <t>PE06052602</t>
        </is>
      </c>
      <c r="J912" s="8" t="inlineStr">
        <is>
          <t>Diode Bypass Module Issue</t>
        </is>
      </c>
      <c r="K912" s="8" t="inlineStr">
        <is>
          <t>Bhavnagar</t>
        </is>
      </c>
      <c r="L912" s="8" t="inlineStr">
        <is>
          <t>Gujarat</t>
        </is>
      </c>
      <c r="M912" s="2" t="inlineStr">
        <is>
          <t>OK</t>
        </is>
      </c>
      <c r="N912" s="2" t="inlineStr">
        <is>
          <t>No Issue Found</t>
        </is>
      </c>
      <c r="O912" s="11" t="n">
        <v>540</v>
      </c>
      <c r="P912" s="2" t="inlineStr">
        <is>
          <t>NSMP2305201571</t>
        </is>
      </c>
      <c r="Q912" s="14">
        <f>MID(P912,5,2)</f>
        <v/>
      </c>
      <c r="R912" s="14">
        <f>MID(P912,7,2)</f>
        <v/>
      </c>
      <c r="S912" s="1" t="inlineStr">
        <is>
          <t>G2B</t>
        </is>
      </c>
      <c r="T912" s="1" t="inlineStr">
        <is>
          <t>P2 - PEPPL</t>
        </is>
      </c>
      <c r="U912" s="6" t="inlineStr">
        <is>
          <t>No Issue Found</t>
        </is>
      </c>
      <c r="V912" s="6" t="inlineStr">
        <is>
          <t>Inspection</t>
        </is>
      </c>
      <c r="W912" s="1" t="inlineStr">
        <is>
          <t>Rejected</t>
        </is>
      </c>
      <c r="X912" s="5" t="n">
        <v>46181</v>
      </c>
      <c r="Y912" s="1">
        <f>IF(X912="","",X912-A912)</f>
        <v/>
      </c>
      <c r="Z912" s="5" t="n">
        <v>46181</v>
      </c>
      <c r="AA912" s="3" t="n"/>
      <c r="AB912" s="3" t="n"/>
      <c r="AE912" s="146">
        <f>IF(AND(F912="Closed",X912&gt;=DATE(2026,6,1),X912&lt;=DATE(2026,6,30)),"Closed in June","other")</f>
        <v/>
      </c>
    </row>
    <row r="913" hidden="1">
      <c r="A913" s="9" t="n">
        <v>46148</v>
      </c>
      <c r="B913" s="1" t="n">
        <v>2026</v>
      </c>
      <c r="C913" s="8" t="inlineStr">
        <is>
          <t>Continuum</t>
        </is>
      </c>
      <c r="D913" s="1" t="inlineStr">
        <is>
          <t>Utility and C&amp;I</t>
        </is>
      </c>
      <c r="E913" s="1" t="n"/>
      <c r="F913" s="1" t="inlineStr">
        <is>
          <t>Closed</t>
        </is>
      </c>
      <c r="G913" s="8" t="inlineStr">
        <is>
          <t>Amiya Ranjan Behera</t>
        </is>
      </c>
      <c r="H913" s="8" t="n">
        <v>8917436223</v>
      </c>
      <c r="I913" s="10" t="inlineStr">
        <is>
          <t>PE06052602</t>
        </is>
      </c>
      <c r="J913" s="8" t="inlineStr">
        <is>
          <t>Diode Bypass Module Issue</t>
        </is>
      </c>
      <c r="K913" s="8" t="inlineStr">
        <is>
          <t>Bhavnagar</t>
        </is>
      </c>
      <c r="L913" s="8" t="inlineStr">
        <is>
          <t>Gujarat</t>
        </is>
      </c>
      <c r="M913" s="2" t="inlineStr">
        <is>
          <t>NS</t>
        </is>
      </c>
      <c r="N913" s="8" t="inlineStr">
        <is>
          <t>Cold Soldering</t>
        </is>
      </c>
      <c r="O913" s="11" t="n">
        <v>540</v>
      </c>
      <c r="P913" s="2" t="inlineStr">
        <is>
          <t>NSMP2305182435</t>
        </is>
      </c>
      <c r="Q913" s="14">
        <f>MID(P913,5,2)</f>
        <v/>
      </c>
      <c r="R913" s="14">
        <f>MID(P913,7,2)</f>
        <v/>
      </c>
      <c r="S913" s="1" t="inlineStr">
        <is>
          <t>G2B</t>
        </is>
      </c>
      <c r="T913" s="1" t="inlineStr">
        <is>
          <t>P2 - PEPPL</t>
        </is>
      </c>
      <c r="U913" s="6" t="inlineStr">
        <is>
          <t>N JB Cold Soldering</t>
        </is>
      </c>
      <c r="V913" s="6" t="inlineStr">
        <is>
          <t>Soldering</t>
        </is>
      </c>
      <c r="W913" s="1" t="inlineStr">
        <is>
          <t>Repair</t>
        </is>
      </c>
      <c r="X913" s="5" t="n">
        <v>46181</v>
      </c>
      <c r="Y913" s="1">
        <f>IF(X913="","",X913-A913)</f>
        <v/>
      </c>
      <c r="Z913" s="5" t="n">
        <v>46181</v>
      </c>
      <c r="AA913" s="3" t="n"/>
      <c r="AB913" s="3" t="n"/>
      <c r="AE913" s="146">
        <f>IF(AND(F913="Closed",X913&gt;=DATE(2026,6,1),X913&lt;=DATE(2026,6,30)),"Closed in June","other")</f>
        <v/>
      </c>
    </row>
    <row r="914" hidden="1">
      <c r="A914" s="9" t="n">
        <v>46148</v>
      </c>
      <c r="B914" s="1" t="n">
        <v>2026</v>
      </c>
      <c r="C914" s="8" t="inlineStr">
        <is>
          <t>Continuum</t>
        </is>
      </c>
      <c r="D914" s="1" t="inlineStr">
        <is>
          <t>Utility and C&amp;I</t>
        </is>
      </c>
      <c r="E914" s="1" t="n"/>
      <c r="F914" s="1" t="inlineStr">
        <is>
          <t>Closed</t>
        </is>
      </c>
      <c r="G914" s="8" t="inlineStr">
        <is>
          <t>Amiya Ranjan Behera</t>
        </is>
      </c>
      <c r="H914" s="8" t="n">
        <v>8917436223</v>
      </c>
      <c r="I914" s="10" t="inlineStr">
        <is>
          <t>PE06052602</t>
        </is>
      </c>
      <c r="J914" s="8" t="inlineStr">
        <is>
          <t>Diode Bypass Module Issue</t>
        </is>
      </c>
      <c r="K914" s="8" t="inlineStr">
        <is>
          <t>Bhavnagar</t>
        </is>
      </c>
      <c r="L914" s="8" t="inlineStr">
        <is>
          <t>Gujarat</t>
        </is>
      </c>
      <c r="M914" s="2" t="inlineStr">
        <is>
          <t>PS</t>
        </is>
      </c>
      <c r="N914" s="1" t="inlineStr">
        <is>
          <t>Cold Soldering</t>
        </is>
      </c>
      <c r="O914" s="11" t="n">
        <v>540</v>
      </c>
      <c r="P914" s="2" t="inlineStr">
        <is>
          <t>NSMP2305192287</t>
        </is>
      </c>
      <c r="Q914" s="14">
        <f>MID(P914,5,2)</f>
        <v/>
      </c>
      <c r="R914" s="14">
        <f>MID(P914,7,2)</f>
        <v/>
      </c>
      <c r="S914" s="1" t="inlineStr">
        <is>
          <t>G2B</t>
        </is>
      </c>
      <c r="T914" s="1" t="inlineStr">
        <is>
          <t>P2 - PEPPL</t>
        </is>
      </c>
      <c r="U914" s="1" t="inlineStr">
        <is>
          <t>P JB Cold Soldering</t>
        </is>
      </c>
      <c r="V914" s="1" t="inlineStr">
        <is>
          <t>Soldering</t>
        </is>
      </c>
      <c r="W914" s="1" t="inlineStr">
        <is>
          <t>Repair</t>
        </is>
      </c>
      <c r="X914" s="5" t="n">
        <v>46181</v>
      </c>
      <c r="Y914" s="1">
        <f>IF(X914="","",X914-A914)</f>
        <v/>
      </c>
      <c r="Z914" s="5" t="n">
        <v>46181</v>
      </c>
      <c r="AA914" s="3" t="n"/>
      <c r="AB914" s="3" t="n"/>
      <c r="AE914" s="146">
        <f>IF(AND(F914="Closed",X914&gt;=DATE(2026,6,1),X914&lt;=DATE(2026,6,30)),"Closed in June","other")</f>
        <v/>
      </c>
    </row>
    <row r="915" hidden="1">
      <c r="A915" s="9" t="n">
        <v>46148</v>
      </c>
      <c r="B915" s="1" t="n">
        <v>2026</v>
      </c>
      <c r="C915" s="8" t="inlineStr">
        <is>
          <t>Continuum</t>
        </is>
      </c>
      <c r="D915" s="1" t="inlineStr">
        <is>
          <t>Utility and C&amp;I</t>
        </is>
      </c>
      <c r="E915" s="1" t="n"/>
      <c r="F915" s="1" t="inlineStr">
        <is>
          <t>Closed</t>
        </is>
      </c>
      <c r="G915" s="8" t="inlineStr">
        <is>
          <t>Amiya Ranjan Behera</t>
        </is>
      </c>
      <c r="H915" s="8" t="n">
        <v>8917436223</v>
      </c>
      <c r="I915" s="10" t="inlineStr">
        <is>
          <t>PE06052602</t>
        </is>
      </c>
      <c r="J915" s="8" t="inlineStr">
        <is>
          <t>Diode Bypass Module Issue</t>
        </is>
      </c>
      <c r="K915" s="8" t="inlineStr">
        <is>
          <t>Bhavnagar</t>
        </is>
      </c>
      <c r="L915" s="8" t="inlineStr">
        <is>
          <t>Gujarat</t>
        </is>
      </c>
      <c r="M915" s="2" t="inlineStr">
        <is>
          <t>PR</t>
        </is>
      </c>
      <c r="N915" s="1" t="inlineStr">
        <is>
          <t>JB Issue</t>
        </is>
      </c>
      <c r="O915" s="11" t="n">
        <v>540</v>
      </c>
      <c r="P915" s="2" t="inlineStr">
        <is>
          <t>NSMP2305191923</t>
        </is>
      </c>
      <c r="Q915" s="14">
        <f>MID(P915,5,2)</f>
        <v/>
      </c>
      <c r="R915" s="14">
        <f>MID(P915,7,2)</f>
        <v/>
      </c>
      <c r="S915" s="1" t="inlineStr">
        <is>
          <t>G2B</t>
        </is>
      </c>
      <c r="T915" s="1" t="inlineStr">
        <is>
          <t>P2 - PEPPL</t>
        </is>
      </c>
      <c r="U915" s="1" t="inlineStr">
        <is>
          <t>P JB Issue</t>
        </is>
      </c>
      <c r="V915" s="3" t="inlineStr">
        <is>
          <t>JB Changed</t>
        </is>
      </c>
      <c r="W915" s="1" t="inlineStr">
        <is>
          <t>Repair</t>
        </is>
      </c>
      <c r="X915" s="5" t="n">
        <v>46181</v>
      </c>
      <c r="Y915" s="1">
        <f>IF(X915="","",X915-A915)</f>
        <v/>
      </c>
      <c r="Z915" s="5" t="n">
        <v>46181</v>
      </c>
      <c r="AA915" s="3" t="n"/>
      <c r="AB915" s="3" t="n"/>
      <c r="AE915" s="146">
        <f>IF(AND(F915="Closed",X915&gt;=DATE(2026,6,1),X915&lt;=DATE(2026,6,30)),"Closed in June","other")</f>
        <v/>
      </c>
    </row>
    <row r="916" hidden="1">
      <c r="A916" s="9" t="n">
        <v>46148</v>
      </c>
      <c r="B916" s="1" t="n">
        <v>2026</v>
      </c>
      <c r="C916" s="8" t="inlineStr">
        <is>
          <t>Continuum</t>
        </is>
      </c>
      <c r="D916" s="1" t="inlineStr">
        <is>
          <t>Utility and C&amp;I</t>
        </is>
      </c>
      <c r="E916" s="1" t="n"/>
      <c r="F916" s="1" t="inlineStr">
        <is>
          <t>Closed</t>
        </is>
      </c>
      <c r="G916" s="8" t="inlineStr">
        <is>
          <t>Amiya Ranjan Behera</t>
        </is>
      </c>
      <c r="H916" s="8" t="n">
        <v>8917436223</v>
      </c>
      <c r="I916" s="10" t="inlineStr">
        <is>
          <t>PE06052602</t>
        </is>
      </c>
      <c r="J916" s="8" t="inlineStr">
        <is>
          <t>Diode Bypass Module Issue</t>
        </is>
      </c>
      <c r="K916" s="8" t="inlineStr">
        <is>
          <t>Bhavnagar</t>
        </is>
      </c>
      <c r="L916" s="8" t="inlineStr">
        <is>
          <t>Gujarat</t>
        </is>
      </c>
      <c r="M916" s="2" t="inlineStr">
        <is>
          <t>NS</t>
        </is>
      </c>
      <c r="N916" s="8" t="inlineStr">
        <is>
          <t>Cold Soldering</t>
        </is>
      </c>
      <c r="O916" s="11" t="n">
        <v>540</v>
      </c>
      <c r="P916" s="2" t="inlineStr">
        <is>
          <t>NSMP2305177935</t>
        </is>
      </c>
      <c r="Q916" s="14">
        <f>MID(P916,5,2)</f>
        <v/>
      </c>
      <c r="R916" s="14">
        <f>MID(P916,7,2)</f>
        <v/>
      </c>
      <c r="S916" s="1" t="inlineStr">
        <is>
          <t>G2B</t>
        </is>
      </c>
      <c r="T916" s="1" t="inlineStr">
        <is>
          <t>P2 - PEPPL</t>
        </is>
      </c>
      <c r="U916" s="6" t="inlineStr">
        <is>
          <t>N JB Cold Soldering</t>
        </is>
      </c>
      <c r="V916" s="6" t="inlineStr">
        <is>
          <t>Soldering</t>
        </is>
      </c>
      <c r="W916" s="1" t="inlineStr">
        <is>
          <t>Repair</t>
        </is>
      </c>
      <c r="X916" s="5" t="n">
        <v>46181</v>
      </c>
      <c r="Y916" s="1">
        <f>IF(X916="","",X916-A916)</f>
        <v/>
      </c>
      <c r="Z916" s="5" t="n">
        <v>46181</v>
      </c>
      <c r="AA916" s="3" t="n"/>
      <c r="AB916" s="3" t="n"/>
      <c r="AE916" s="146">
        <f>IF(AND(F916="Closed",X916&gt;=DATE(2026,6,1),X916&lt;=DATE(2026,6,30)),"Closed in June","other")</f>
        <v/>
      </c>
    </row>
    <row r="917" hidden="1">
      <c r="A917" s="9" t="n">
        <v>46148</v>
      </c>
      <c r="B917" s="1" t="n">
        <v>2026</v>
      </c>
      <c r="C917" s="8" t="inlineStr">
        <is>
          <t>Continuum</t>
        </is>
      </c>
      <c r="D917" s="1" t="inlineStr">
        <is>
          <t>Utility and C&amp;I</t>
        </is>
      </c>
      <c r="E917" s="1" t="n"/>
      <c r="F917" s="1" t="inlineStr">
        <is>
          <t>Closed</t>
        </is>
      </c>
      <c r="G917" s="8" t="inlineStr">
        <is>
          <t>Amiya Ranjan Behera</t>
        </is>
      </c>
      <c r="H917" s="8" t="n">
        <v>8917436223</v>
      </c>
      <c r="I917" s="10" t="inlineStr">
        <is>
          <t>PE06052602</t>
        </is>
      </c>
      <c r="J917" s="8" t="inlineStr">
        <is>
          <t>Diode Bypass Module Issue</t>
        </is>
      </c>
      <c r="K917" s="8" t="inlineStr">
        <is>
          <t>Bhavnagar</t>
        </is>
      </c>
      <c r="L917" s="8" t="inlineStr">
        <is>
          <t>Gujarat</t>
        </is>
      </c>
      <c r="M917" s="2" t="inlineStr">
        <is>
          <t>PS</t>
        </is>
      </c>
      <c r="N917" s="1" t="inlineStr">
        <is>
          <t>Cold Soldering</t>
        </is>
      </c>
      <c r="O917" s="11" t="n">
        <v>540</v>
      </c>
      <c r="P917" s="2" t="inlineStr">
        <is>
          <t>NSMP2305134503</t>
        </is>
      </c>
      <c r="Q917" s="14">
        <f>MID(P917,5,2)</f>
        <v/>
      </c>
      <c r="R917" s="14">
        <f>MID(P917,7,2)</f>
        <v/>
      </c>
      <c r="S917" s="1" t="inlineStr">
        <is>
          <t>G2B</t>
        </is>
      </c>
      <c r="T917" s="1" t="inlineStr">
        <is>
          <t>P2 - PEPPL</t>
        </is>
      </c>
      <c r="U917" s="1" t="inlineStr">
        <is>
          <t>P JB Cold Soldering</t>
        </is>
      </c>
      <c r="V917" s="1" t="inlineStr">
        <is>
          <t>Soldering</t>
        </is>
      </c>
      <c r="W917" s="1" t="inlineStr">
        <is>
          <t>Repair</t>
        </is>
      </c>
      <c r="X917" s="5" t="n">
        <v>46181</v>
      </c>
      <c r="Y917" s="1">
        <f>IF(X917="","",X917-A917)</f>
        <v/>
      </c>
      <c r="Z917" s="5" t="n">
        <v>46181</v>
      </c>
      <c r="AA917" s="3" t="n"/>
      <c r="AB917" s="3" t="n"/>
      <c r="AE917" s="146">
        <f>IF(AND(F917="Closed",X917&gt;=DATE(2026,6,1),X917&lt;=DATE(2026,6,30)),"Closed in June","other")</f>
        <v/>
      </c>
    </row>
    <row r="918" hidden="1">
      <c r="A918" s="9" t="n">
        <v>46148</v>
      </c>
      <c r="B918" s="1" t="n">
        <v>2026</v>
      </c>
      <c r="C918" s="8" t="inlineStr">
        <is>
          <t>Continuum</t>
        </is>
      </c>
      <c r="D918" s="1" t="inlineStr">
        <is>
          <t>Utility and C&amp;I</t>
        </is>
      </c>
      <c r="E918" s="1" t="n"/>
      <c r="F918" s="1" t="inlineStr">
        <is>
          <t>Closed</t>
        </is>
      </c>
      <c r="G918" s="8" t="inlineStr">
        <is>
          <t>Amiya Ranjan Behera</t>
        </is>
      </c>
      <c r="H918" s="8" t="n">
        <v>8917436223</v>
      </c>
      <c r="I918" s="10" t="inlineStr">
        <is>
          <t>PE06052602</t>
        </is>
      </c>
      <c r="J918" s="8" t="inlineStr">
        <is>
          <t>Diode Bypass Module Issue</t>
        </is>
      </c>
      <c r="K918" s="8" t="inlineStr">
        <is>
          <t>Bhavnagar</t>
        </is>
      </c>
      <c r="L918" s="8" t="inlineStr">
        <is>
          <t>Gujarat</t>
        </is>
      </c>
      <c r="M918" s="2" t="inlineStr">
        <is>
          <t>PS</t>
        </is>
      </c>
      <c r="N918" s="1" t="inlineStr">
        <is>
          <t>Cold Soldering</t>
        </is>
      </c>
      <c r="O918" s="11" t="n">
        <v>540</v>
      </c>
      <c r="P918" s="2" t="inlineStr">
        <is>
          <t>NSMP2305191706</t>
        </is>
      </c>
      <c r="Q918" s="14">
        <f>MID(P918,5,2)</f>
        <v/>
      </c>
      <c r="R918" s="14">
        <f>MID(P918,7,2)</f>
        <v/>
      </c>
      <c r="S918" s="1" t="inlineStr">
        <is>
          <t>G2B</t>
        </is>
      </c>
      <c r="T918" s="1" t="inlineStr">
        <is>
          <t>P2 - PEPPL</t>
        </is>
      </c>
      <c r="U918" s="1" t="inlineStr">
        <is>
          <t>P JB Cold Soldering</t>
        </is>
      </c>
      <c r="V918" s="1" t="inlineStr">
        <is>
          <t>Soldering</t>
        </is>
      </c>
      <c r="W918" s="1" t="inlineStr">
        <is>
          <t>Repair</t>
        </is>
      </c>
      <c r="X918" s="5" t="n">
        <v>46181</v>
      </c>
      <c r="Y918" s="1">
        <f>IF(X918="","",X918-A918)</f>
        <v/>
      </c>
      <c r="Z918" s="5" t="n">
        <v>46181</v>
      </c>
      <c r="AA918" s="3" t="n"/>
      <c r="AB918" s="3" t="n"/>
      <c r="AE918" s="146">
        <f>IF(AND(F918="Closed",X918&gt;=DATE(2026,6,1),X918&lt;=DATE(2026,6,30)),"Closed in June","other")</f>
        <v/>
      </c>
    </row>
    <row r="919" hidden="1">
      <c r="A919" s="9" t="n">
        <v>46148</v>
      </c>
      <c r="B919" s="1" t="n">
        <v>2026</v>
      </c>
      <c r="C919" s="8" t="inlineStr">
        <is>
          <t>Continuum</t>
        </is>
      </c>
      <c r="D919" s="1" t="inlineStr">
        <is>
          <t>Utility and C&amp;I</t>
        </is>
      </c>
      <c r="E919" s="1" t="n"/>
      <c r="F919" s="1" t="inlineStr">
        <is>
          <t>Closed</t>
        </is>
      </c>
      <c r="G919" s="8" t="inlineStr">
        <is>
          <t>Amiya Ranjan Behera</t>
        </is>
      </c>
      <c r="H919" s="8" t="n">
        <v>8917436223</v>
      </c>
      <c r="I919" s="10" t="inlineStr">
        <is>
          <t>PE06052602</t>
        </is>
      </c>
      <c r="J919" s="8" t="inlineStr">
        <is>
          <t>Diode Bypass Module Issue</t>
        </is>
      </c>
      <c r="K919" s="8" t="inlineStr">
        <is>
          <t>Bhavnagar</t>
        </is>
      </c>
      <c r="L919" s="8" t="inlineStr">
        <is>
          <t>Gujarat</t>
        </is>
      </c>
      <c r="M919" s="2" t="inlineStr">
        <is>
          <t>PS</t>
        </is>
      </c>
      <c r="N919" s="1" t="inlineStr">
        <is>
          <t>Cold Soldering</t>
        </is>
      </c>
      <c r="O919" s="11" t="n">
        <v>540</v>
      </c>
      <c r="P919" s="2" t="inlineStr">
        <is>
          <t>NSMP2305191651</t>
        </is>
      </c>
      <c r="Q919" s="14">
        <f>MID(P919,5,2)</f>
        <v/>
      </c>
      <c r="R919" s="14">
        <f>MID(P919,7,2)</f>
        <v/>
      </c>
      <c r="S919" s="1" t="inlineStr">
        <is>
          <t>G2B</t>
        </is>
      </c>
      <c r="T919" s="1" t="inlineStr">
        <is>
          <t>P2 - PEPPL</t>
        </is>
      </c>
      <c r="U919" s="1" t="inlineStr">
        <is>
          <t>P JB Cold Soldering</t>
        </is>
      </c>
      <c r="V919" s="1" t="inlineStr">
        <is>
          <t>Soldering</t>
        </is>
      </c>
      <c r="W919" s="1" t="inlineStr">
        <is>
          <t>Repair</t>
        </is>
      </c>
      <c r="X919" s="5" t="n">
        <v>46181</v>
      </c>
      <c r="Y919" s="1">
        <f>IF(X919="","",X919-A919)</f>
        <v/>
      </c>
      <c r="Z919" s="5" t="n">
        <v>46181</v>
      </c>
      <c r="AA919" s="3" t="n"/>
      <c r="AB919" s="3" t="n"/>
      <c r="AE919" s="146">
        <f>IF(AND(F919="Closed",X919&gt;=DATE(2026,6,1),X919&lt;=DATE(2026,6,30)),"Closed in June","other")</f>
        <v/>
      </c>
    </row>
    <row r="920" hidden="1">
      <c r="A920" s="9" t="n">
        <v>46148</v>
      </c>
      <c r="B920" s="1" t="n">
        <v>2026</v>
      </c>
      <c r="C920" s="8" t="inlineStr">
        <is>
          <t>Continuum</t>
        </is>
      </c>
      <c r="D920" s="1" t="inlineStr">
        <is>
          <t>Utility and C&amp;I</t>
        </is>
      </c>
      <c r="E920" s="1" t="n"/>
      <c r="F920" s="1" t="inlineStr">
        <is>
          <t>Closed</t>
        </is>
      </c>
      <c r="G920" s="8" t="inlineStr">
        <is>
          <t>Amiya Ranjan Behera</t>
        </is>
      </c>
      <c r="H920" s="8" t="n">
        <v>8917436223</v>
      </c>
      <c r="I920" s="10" t="inlineStr">
        <is>
          <t>PE06052602</t>
        </is>
      </c>
      <c r="J920" s="8" t="inlineStr">
        <is>
          <t>Diode Bypass Module Issue</t>
        </is>
      </c>
      <c r="K920" s="8" t="inlineStr">
        <is>
          <t>Bhavnagar</t>
        </is>
      </c>
      <c r="L920" s="8" t="inlineStr">
        <is>
          <t>Gujarat</t>
        </is>
      </c>
      <c r="M920" s="2" t="inlineStr">
        <is>
          <t>PS</t>
        </is>
      </c>
      <c r="N920" s="1" t="inlineStr">
        <is>
          <t>Cold Soldering</t>
        </is>
      </c>
      <c r="O920" s="11" t="n">
        <v>540</v>
      </c>
      <c r="P920" s="2" t="inlineStr">
        <is>
          <t>NSMP2305191714</t>
        </is>
      </c>
      <c r="Q920" s="14">
        <f>MID(P920,5,2)</f>
        <v/>
      </c>
      <c r="R920" s="14">
        <f>MID(P920,7,2)</f>
        <v/>
      </c>
      <c r="S920" s="1" t="inlineStr">
        <is>
          <t>G2B</t>
        </is>
      </c>
      <c r="T920" s="1" t="inlineStr">
        <is>
          <t>P2 - PEPPL</t>
        </is>
      </c>
      <c r="U920" s="1" t="inlineStr">
        <is>
          <t>P JB Cold Soldering</t>
        </is>
      </c>
      <c r="V920" s="1" t="inlineStr">
        <is>
          <t>Soldering</t>
        </is>
      </c>
      <c r="W920" s="1" t="inlineStr">
        <is>
          <t>Repair</t>
        </is>
      </c>
      <c r="X920" s="5" t="n">
        <v>46181</v>
      </c>
      <c r="Y920" s="1">
        <f>IF(X920="","",X920-A920)</f>
        <v/>
      </c>
      <c r="Z920" s="5" t="n">
        <v>46181</v>
      </c>
      <c r="AA920" s="3" t="n"/>
      <c r="AB920" s="3" t="n"/>
      <c r="AE920" s="146">
        <f>IF(AND(F920="Closed",X920&gt;=DATE(2026,6,1),X920&lt;=DATE(2026,6,30)),"Closed in June","other")</f>
        <v/>
      </c>
    </row>
    <row r="921" hidden="1">
      <c r="A921" s="9" t="n">
        <v>46148</v>
      </c>
      <c r="B921" s="1" t="n">
        <v>2026</v>
      </c>
      <c r="C921" s="8" t="inlineStr">
        <is>
          <t>Continuum</t>
        </is>
      </c>
      <c r="D921" s="1" t="inlineStr">
        <is>
          <t>Utility and C&amp;I</t>
        </is>
      </c>
      <c r="E921" s="1" t="n"/>
      <c r="F921" s="1" t="inlineStr">
        <is>
          <t>Closed</t>
        </is>
      </c>
      <c r="G921" s="8" t="inlineStr">
        <is>
          <t>Amiya Ranjan Behera</t>
        </is>
      </c>
      <c r="H921" s="8" t="n">
        <v>8917436223</v>
      </c>
      <c r="I921" s="10" t="inlineStr">
        <is>
          <t>PE06052602</t>
        </is>
      </c>
      <c r="J921" s="8" t="inlineStr">
        <is>
          <t>Diode Bypass Module Issue</t>
        </is>
      </c>
      <c r="K921" s="8" t="inlineStr">
        <is>
          <t>Bhavnagar</t>
        </is>
      </c>
      <c r="L921" s="8" t="inlineStr">
        <is>
          <t>Gujarat</t>
        </is>
      </c>
      <c r="M921" s="2" t="inlineStr">
        <is>
          <t>PS</t>
        </is>
      </c>
      <c r="N921" s="1" t="inlineStr">
        <is>
          <t>Cold Soldering</t>
        </is>
      </c>
      <c r="O921" s="11" t="n">
        <v>540</v>
      </c>
      <c r="P921" s="2" t="inlineStr">
        <is>
          <t>NSMP2305191671</t>
        </is>
      </c>
      <c r="Q921" s="14">
        <f>MID(P921,5,2)</f>
        <v/>
      </c>
      <c r="R921" s="14">
        <f>MID(P921,7,2)</f>
        <v/>
      </c>
      <c r="S921" s="1" t="inlineStr">
        <is>
          <t>G2B</t>
        </is>
      </c>
      <c r="T921" s="1" t="inlineStr">
        <is>
          <t>P2 - PEPPL</t>
        </is>
      </c>
      <c r="U921" s="1" t="inlineStr">
        <is>
          <t>P JB Cold Soldering</t>
        </is>
      </c>
      <c r="V921" s="1" t="inlineStr">
        <is>
          <t>Soldering</t>
        </is>
      </c>
      <c r="W921" s="1" t="inlineStr">
        <is>
          <t>Repair</t>
        </is>
      </c>
      <c r="X921" s="5" t="n">
        <v>46181</v>
      </c>
      <c r="Y921" s="1">
        <f>IF(X921="","",X921-A921)</f>
        <v/>
      </c>
      <c r="Z921" s="5" t="n">
        <v>46181</v>
      </c>
      <c r="AA921" s="3" t="n"/>
      <c r="AB921" s="3" t="n"/>
      <c r="AE921" s="146">
        <f>IF(AND(F921="Closed",X921&gt;=DATE(2026,6,1),X921&lt;=DATE(2026,6,30)),"Closed in June","other")</f>
        <v/>
      </c>
    </row>
    <row r="922" hidden="1">
      <c r="A922" s="9" t="n">
        <v>46148</v>
      </c>
      <c r="B922" s="1" t="n">
        <v>2026</v>
      </c>
      <c r="C922" s="8" t="inlineStr">
        <is>
          <t>Continuum</t>
        </is>
      </c>
      <c r="D922" s="1" t="inlineStr">
        <is>
          <t>Utility and C&amp;I</t>
        </is>
      </c>
      <c r="E922" s="1" t="n"/>
      <c r="F922" s="1" t="inlineStr">
        <is>
          <t>Closed</t>
        </is>
      </c>
      <c r="G922" s="8" t="inlineStr">
        <is>
          <t>Amiya Ranjan Behera</t>
        </is>
      </c>
      <c r="H922" s="8" t="n">
        <v>8917436223</v>
      </c>
      <c r="I922" s="10" t="inlineStr">
        <is>
          <t>PE06052602</t>
        </is>
      </c>
      <c r="J922" s="8" t="inlineStr">
        <is>
          <t>Diode Bypass Module Issue</t>
        </is>
      </c>
      <c r="K922" s="8" t="inlineStr">
        <is>
          <t>Bhavnagar</t>
        </is>
      </c>
      <c r="L922" s="8" t="inlineStr">
        <is>
          <t>Gujarat</t>
        </is>
      </c>
      <c r="M922" s="2" t="inlineStr">
        <is>
          <t>PS</t>
        </is>
      </c>
      <c r="N922" s="1" t="inlineStr">
        <is>
          <t>Cold Soldering</t>
        </is>
      </c>
      <c r="O922" s="11" t="n">
        <v>540</v>
      </c>
      <c r="P922" s="2" t="inlineStr">
        <is>
          <t>NSMP2305191697</t>
        </is>
      </c>
      <c r="Q922" s="14">
        <f>MID(P922,5,2)</f>
        <v/>
      </c>
      <c r="R922" s="14">
        <f>MID(P922,7,2)</f>
        <v/>
      </c>
      <c r="S922" s="1" t="inlineStr">
        <is>
          <t>G2B</t>
        </is>
      </c>
      <c r="T922" s="1" t="inlineStr">
        <is>
          <t>P2 - PEPPL</t>
        </is>
      </c>
      <c r="U922" s="1" t="inlineStr">
        <is>
          <t>P JB Cold Soldering</t>
        </is>
      </c>
      <c r="V922" s="1" t="inlineStr">
        <is>
          <t>Soldering</t>
        </is>
      </c>
      <c r="W922" s="1" t="inlineStr">
        <is>
          <t>Repair</t>
        </is>
      </c>
      <c r="X922" s="5" t="n">
        <v>46181</v>
      </c>
      <c r="Y922" s="1">
        <f>IF(X922="","",X922-A922)</f>
        <v/>
      </c>
      <c r="Z922" s="5" t="n">
        <v>46181</v>
      </c>
      <c r="AA922" s="3" t="n"/>
      <c r="AB922" s="3" t="n"/>
      <c r="AE922" s="146">
        <f>IF(AND(F922="Closed",X922&gt;=DATE(2026,6,1),X922&lt;=DATE(2026,6,30)),"Closed in June","other")</f>
        <v/>
      </c>
    </row>
    <row r="923" hidden="1">
      <c r="A923" s="9" t="n">
        <v>46148</v>
      </c>
      <c r="B923" s="1" t="n">
        <v>2026</v>
      </c>
      <c r="C923" s="8" t="inlineStr">
        <is>
          <t>Continuum</t>
        </is>
      </c>
      <c r="D923" s="1" t="inlineStr">
        <is>
          <t>Utility and C&amp;I</t>
        </is>
      </c>
      <c r="E923" s="1" t="n"/>
      <c r="F923" s="1" t="inlineStr">
        <is>
          <t>Closed</t>
        </is>
      </c>
      <c r="G923" s="8" t="inlineStr">
        <is>
          <t>Amiya Ranjan Behera</t>
        </is>
      </c>
      <c r="H923" s="8" t="n">
        <v>8917436223</v>
      </c>
      <c r="I923" s="10" t="inlineStr">
        <is>
          <t>PE06052602</t>
        </is>
      </c>
      <c r="J923" s="8" t="inlineStr">
        <is>
          <t>Diode Bypass Module Issue</t>
        </is>
      </c>
      <c r="K923" s="8" t="inlineStr">
        <is>
          <t>Bhavnagar</t>
        </is>
      </c>
      <c r="L923" s="8" t="inlineStr">
        <is>
          <t>Gujarat</t>
        </is>
      </c>
      <c r="M923" s="2" t="inlineStr">
        <is>
          <t>PS</t>
        </is>
      </c>
      <c r="N923" s="1" t="inlineStr">
        <is>
          <t>Cold Soldering</t>
        </is>
      </c>
      <c r="O923" s="11" t="n">
        <v>540</v>
      </c>
      <c r="P923" s="2" t="inlineStr">
        <is>
          <t>NSMP2305191730</t>
        </is>
      </c>
      <c r="Q923" s="14">
        <f>MID(P923,5,2)</f>
        <v/>
      </c>
      <c r="R923" s="14">
        <f>MID(P923,7,2)</f>
        <v/>
      </c>
      <c r="S923" s="1" t="inlineStr">
        <is>
          <t>G2B</t>
        </is>
      </c>
      <c r="T923" s="1" t="inlineStr">
        <is>
          <t>P2 - PEPPL</t>
        </is>
      </c>
      <c r="U923" s="1" t="inlineStr">
        <is>
          <t>P JB Cold Soldering</t>
        </is>
      </c>
      <c r="V923" s="1" t="inlineStr">
        <is>
          <t>Soldering</t>
        </is>
      </c>
      <c r="W923" s="1" t="inlineStr">
        <is>
          <t>Repair</t>
        </is>
      </c>
      <c r="X923" s="5" t="n">
        <v>46181</v>
      </c>
      <c r="Y923" s="1">
        <f>IF(X923="","",X923-A923)</f>
        <v/>
      </c>
      <c r="Z923" s="5" t="n">
        <v>46181</v>
      </c>
      <c r="AA923" s="3" t="n"/>
      <c r="AB923" s="3" t="n"/>
      <c r="AE923" s="146">
        <f>IF(AND(F923="Closed",X923&gt;=DATE(2026,6,1),X923&lt;=DATE(2026,6,30)),"Closed in June","other")</f>
        <v/>
      </c>
    </row>
    <row r="924" hidden="1">
      <c r="A924" s="9" t="n">
        <v>46148</v>
      </c>
      <c r="B924" s="1" t="n">
        <v>2026</v>
      </c>
      <c r="C924" s="8" t="inlineStr">
        <is>
          <t>Continuum</t>
        </is>
      </c>
      <c r="D924" s="1" t="inlineStr">
        <is>
          <t>Utility and C&amp;I</t>
        </is>
      </c>
      <c r="E924" s="1" t="n"/>
      <c r="F924" s="1" t="inlineStr">
        <is>
          <t>Closed</t>
        </is>
      </c>
      <c r="G924" s="8" t="inlineStr">
        <is>
          <t>Amiya Ranjan Behera</t>
        </is>
      </c>
      <c r="H924" s="8" t="n">
        <v>8917436223</v>
      </c>
      <c r="I924" s="10" t="inlineStr">
        <is>
          <t>PE06052602</t>
        </is>
      </c>
      <c r="J924" s="8" t="inlineStr">
        <is>
          <t>Diode Bypass Module Issue</t>
        </is>
      </c>
      <c r="K924" s="8" t="inlineStr">
        <is>
          <t>Bhavnagar</t>
        </is>
      </c>
      <c r="L924" s="8" t="inlineStr">
        <is>
          <t>Gujarat</t>
        </is>
      </c>
      <c r="M924" s="2" t="inlineStr">
        <is>
          <t>PS</t>
        </is>
      </c>
      <c r="N924" s="1" t="inlineStr">
        <is>
          <t>Cold Soldering</t>
        </is>
      </c>
      <c r="O924" s="11" t="n">
        <v>540</v>
      </c>
      <c r="P924" s="2" t="inlineStr">
        <is>
          <t>NSMP2305191624</t>
        </is>
      </c>
      <c r="Q924" s="14">
        <f>MID(P924,5,2)</f>
        <v/>
      </c>
      <c r="R924" s="14">
        <f>MID(P924,7,2)</f>
        <v/>
      </c>
      <c r="S924" s="1" t="inlineStr">
        <is>
          <t>G2B</t>
        </is>
      </c>
      <c r="T924" s="1" t="inlineStr">
        <is>
          <t>P2 - PEPPL</t>
        </is>
      </c>
      <c r="U924" s="1" t="inlineStr">
        <is>
          <t>P JB Cold Soldering</t>
        </is>
      </c>
      <c r="V924" s="1" t="inlineStr">
        <is>
          <t>Soldering</t>
        </is>
      </c>
      <c r="W924" s="1" t="inlineStr">
        <is>
          <t>Repair</t>
        </is>
      </c>
      <c r="X924" s="5" t="n">
        <v>46181</v>
      </c>
      <c r="Y924" s="1">
        <f>IF(X924="","",X924-A924)</f>
        <v/>
      </c>
      <c r="Z924" s="5" t="n">
        <v>46181</v>
      </c>
      <c r="AA924" s="3" t="n"/>
      <c r="AB924" s="3" t="n"/>
      <c r="AE924" s="146">
        <f>IF(AND(F924="Closed",X924&gt;=DATE(2026,6,1),X924&lt;=DATE(2026,6,30)),"Closed in June","other")</f>
        <v/>
      </c>
    </row>
    <row r="925" hidden="1">
      <c r="A925" s="9" t="n">
        <v>46148</v>
      </c>
      <c r="B925" s="1" t="n">
        <v>2026</v>
      </c>
      <c r="C925" s="8" t="inlineStr">
        <is>
          <t>Continuum</t>
        </is>
      </c>
      <c r="D925" s="1" t="inlineStr">
        <is>
          <t>Utility and C&amp;I</t>
        </is>
      </c>
      <c r="E925" s="1" t="n"/>
      <c r="F925" s="1" t="inlineStr">
        <is>
          <t>Closed</t>
        </is>
      </c>
      <c r="G925" s="8" t="inlineStr">
        <is>
          <t>Amiya Ranjan Behera</t>
        </is>
      </c>
      <c r="H925" s="8" t="n">
        <v>8917436223</v>
      </c>
      <c r="I925" s="10" t="inlineStr">
        <is>
          <t>PE06052602</t>
        </is>
      </c>
      <c r="J925" s="8" t="inlineStr">
        <is>
          <t>Diode Bypass Module Issue</t>
        </is>
      </c>
      <c r="K925" s="8" t="inlineStr">
        <is>
          <t>Bhavnagar</t>
        </is>
      </c>
      <c r="L925" s="8" t="inlineStr">
        <is>
          <t>Gujarat</t>
        </is>
      </c>
      <c r="M925" s="2" t="inlineStr">
        <is>
          <t>NS</t>
        </is>
      </c>
      <c r="N925" s="8" t="inlineStr">
        <is>
          <t>Cold Soldering</t>
        </is>
      </c>
      <c r="O925" s="11" t="n">
        <v>540</v>
      </c>
      <c r="P925" s="2" t="inlineStr">
        <is>
          <t>NSMP2305191425</t>
        </is>
      </c>
      <c r="Q925" s="14">
        <f>MID(P925,5,2)</f>
        <v/>
      </c>
      <c r="R925" s="14">
        <f>MID(P925,7,2)</f>
        <v/>
      </c>
      <c r="S925" s="1" t="inlineStr">
        <is>
          <t>G2B</t>
        </is>
      </c>
      <c r="T925" s="1" t="inlineStr">
        <is>
          <t>P2 - PEPPL</t>
        </is>
      </c>
      <c r="U925" s="6" t="inlineStr">
        <is>
          <t>N JB Cold Soldering</t>
        </is>
      </c>
      <c r="V925" s="6" t="inlineStr">
        <is>
          <t>Soldering</t>
        </is>
      </c>
      <c r="W925" s="1" t="inlineStr">
        <is>
          <t>Repair</t>
        </is>
      </c>
      <c r="X925" s="5" t="n">
        <v>46181</v>
      </c>
      <c r="Y925" s="1">
        <f>IF(X925="","",X925-A925)</f>
        <v/>
      </c>
      <c r="Z925" s="5" t="n">
        <v>46181</v>
      </c>
      <c r="AA925" s="3" t="n"/>
      <c r="AB925" s="3" t="n"/>
      <c r="AE925" s="146">
        <f>IF(AND(F925="Closed",X925&gt;=DATE(2026,6,1),X925&lt;=DATE(2026,6,30)),"Closed in June","other")</f>
        <v/>
      </c>
    </row>
    <row r="926" hidden="1">
      <c r="A926" s="9" t="n">
        <v>46148</v>
      </c>
      <c r="B926" s="1" t="n">
        <v>2026</v>
      </c>
      <c r="C926" s="8" t="inlineStr">
        <is>
          <t>Continuum</t>
        </is>
      </c>
      <c r="D926" s="1" t="inlineStr">
        <is>
          <t>Utility and C&amp;I</t>
        </is>
      </c>
      <c r="E926" s="1" t="n"/>
      <c r="F926" s="1" t="inlineStr">
        <is>
          <t>Closed</t>
        </is>
      </c>
      <c r="G926" s="8" t="inlineStr">
        <is>
          <t>Amiya Ranjan Behera</t>
        </is>
      </c>
      <c r="H926" s="8" t="n">
        <v>8917436223</v>
      </c>
      <c r="I926" s="10" t="inlineStr">
        <is>
          <t>PE06052602</t>
        </is>
      </c>
      <c r="J926" s="8" t="inlineStr">
        <is>
          <t>Diode Bypass Module Issue</t>
        </is>
      </c>
      <c r="K926" s="8" t="inlineStr">
        <is>
          <t>Bhavnagar</t>
        </is>
      </c>
      <c r="L926" s="8" t="inlineStr">
        <is>
          <t>Gujarat</t>
        </is>
      </c>
      <c r="M926" s="2" t="inlineStr">
        <is>
          <t>PS</t>
        </is>
      </c>
      <c r="N926" s="1" t="inlineStr">
        <is>
          <t>Cold Soldering</t>
        </is>
      </c>
      <c r="O926" s="11" t="n">
        <v>540</v>
      </c>
      <c r="P926" s="2" t="inlineStr">
        <is>
          <t>NSMP2305191460</t>
        </is>
      </c>
      <c r="Q926" s="14">
        <f>MID(P926,5,2)</f>
        <v/>
      </c>
      <c r="R926" s="14">
        <f>MID(P926,7,2)</f>
        <v/>
      </c>
      <c r="S926" s="1" t="inlineStr">
        <is>
          <t>G2B</t>
        </is>
      </c>
      <c r="T926" s="1" t="inlineStr">
        <is>
          <t>P2 - PEPPL</t>
        </is>
      </c>
      <c r="U926" s="1" t="inlineStr">
        <is>
          <t>P JB Cold Soldering</t>
        </is>
      </c>
      <c r="V926" s="1" t="inlineStr">
        <is>
          <t>Soldering</t>
        </is>
      </c>
      <c r="W926" s="1" t="inlineStr">
        <is>
          <t>Repair</t>
        </is>
      </c>
      <c r="X926" s="5" t="n">
        <v>46181</v>
      </c>
      <c r="Y926" s="1">
        <f>IF(X926="","",X926-A926)</f>
        <v/>
      </c>
      <c r="Z926" s="5" t="n">
        <v>46181</v>
      </c>
      <c r="AA926" s="3" t="n"/>
      <c r="AB926" s="3" t="n"/>
      <c r="AE926" s="146">
        <f>IF(AND(F926="Closed",X926&gt;=DATE(2026,6,1),X926&lt;=DATE(2026,6,30)),"Closed in June","other")</f>
        <v/>
      </c>
    </row>
    <row r="927" hidden="1">
      <c r="A927" s="9" t="n">
        <v>46148</v>
      </c>
      <c r="B927" s="1" t="n">
        <v>2026</v>
      </c>
      <c r="C927" s="8" t="inlineStr">
        <is>
          <t>Continuum</t>
        </is>
      </c>
      <c r="D927" s="1" t="inlineStr">
        <is>
          <t>Utility and C&amp;I</t>
        </is>
      </c>
      <c r="E927" s="1" t="n"/>
      <c r="F927" s="1" t="inlineStr">
        <is>
          <t>Closed</t>
        </is>
      </c>
      <c r="G927" s="8" t="inlineStr">
        <is>
          <t>Amiya Ranjan Behera</t>
        </is>
      </c>
      <c r="H927" s="8" t="n">
        <v>8917436223</v>
      </c>
      <c r="I927" s="10" t="inlineStr">
        <is>
          <t>PE06052602</t>
        </is>
      </c>
      <c r="J927" s="8" t="inlineStr">
        <is>
          <t>Diode Bypass Module Issue</t>
        </is>
      </c>
      <c r="K927" s="8" t="inlineStr">
        <is>
          <t>Bhavnagar</t>
        </is>
      </c>
      <c r="L927" s="8" t="inlineStr">
        <is>
          <t>Gujarat</t>
        </is>
      </c>
      <c r="M927" s="2" t="inlineStr">
        <is>
          <t>PS</t>
        </is>
      </c>
      <c r="N927" s="1" t="inlineStr">
        <is>
          <t>Cold Soldering</t>
        </is>
      </c>
      <c r="O927" s="11" t="n">
        <v>540</v>
      </c>
      <c r="P927" s="2" t="inlineStr">
        <is>
          <t>NSMP2305191654</t>
        </is>
      </c>
      <c r="Q927" s="14">
        <f>MID(P927,5,2)</f>
        <v/>
      </c>
      <c r="R927" s="14">
        <f>MID(P927,7,2)</f>
        <v/>
      </c>
      <c r="S927" s="1" t="inlineStr">
        <is>
          <t>G2B</t>
        </is>
      </c>
      <c r="T927" s="1" t="inlineStr">
        <is>
          <t>P2 - PEPPL</t>
        </is>
      </c>
      <c r="U927" s="1" t="inlineStr">
        <is>
          <t>P JB Cold Soldering</t>
        </is>
      </c>
      <c r="V927" s="1" t="inlineStr">
        <is>
          <t>Soldering</t>
        </is>
      </c>
      <c r="W927" s="1" t="inlineStr">
        <is>
          <t>Repair</t>
        </is>
      </c>
      <c r="X927" s="5" t="n">
        <v>46181</v>
      </c>
      <c r="Y927" s="1">
        <f>IF(X927="","",X927-A927)</f>
        <v/>
      </c>
      <c r="Z927" s="5" t="n">
        <v>46181</v>
      </c>
      <c r="AA927" s="3" t="n"/>
      <c r="AB927" s="3" t="n"/>
      <c r="AE927" s="146">
        <f>IF(AND(F927="Closed",X927&gt;=DATE(2026,6,1),X927&lt;=DATE(2026,6,30)),"Closed in June","other")</f>
        <v/>
      </c>
    </row>
    <row r="928" hidden="1">
      <c r="A928" s="9" t="n">
        <v>46148</v>
      </c>
      <c r="B928" s="1" t="n">
        <v>2026</v>
      </c>
      <c r="C928" s="8" t="inlineStr">
        <is>
          <t>Continuum</t>
        </is>
      </c>
      <c r="D928" s="1" t="inlineStr">
        <is>
          <t>Utility and C&amp;I</t>
        </is>
      </c>
      <c r="E928" s="1" t="n"/>
      <c r="F928" s="1" t="inlineStr">
        <is>
          <t>Closed</t>
        </is>
      </c>
      <c r="G928" s="8" t="inlineStr">
        <is>
          <t>Amiya Ranjan Behera</t>
        </is>
      </c>
      <c r="H928" s="8" t="n">
        <v>8917436223</v>
      </c>
      <c r="I928" s="10" t="inlineStr">
        <is>
          <t>PE06052602</t>
        </is>
      </c>
      <c r="J928" s="8" t="inlineStr">
        <is>
          <t>Diode Bypass Module Issue</t>
        </is>
      </c>
      <c r="K928" s="8" t="inlineStr">
        <is>
          <t>Bhavnagar</t>
        </is>
      </c>
      <c r="L928" s="8" t="inlineStr">
        <is>
          <t>Gujarat</t>
        </is>
      </c>
      <c r="M928" s="2" t="inlineStr">
        <is>
          <t>PS</t>
        </is>
      </c>
      <c r="N928" s="1" t="inlineStr">
        <is>
          <t>Cold Soldering</t>
        </is>
      </c>
      <c r="O928" s="11" t="n">
        <v>540</v>
      </c>
      <c r="P928" s="2" t="inlineStr">
        <is>
          <t>NSMP2305129645</t>
        </is>
      </c>
      <c r="Q928" s="14">
        <f>MID(P928,5,2)</f>
        <v/>
      </c>
      <c r="R928" s="14">
        <f>MID(P928,7,2)</f>
        <v/>
      </c>
      <c r="S928" s="1" t="inlineStr">
        <is>
          <t>G2B</t>
        </is>
      </c>
      <c r="T928" s="1" t="inlineStr">
        <is>
          <t>P2 - PEPPL</t>
        </is>
      </c>
      <c r="U928" s="1" t="inlineStr">
        <is>
          <t>P JB Cold Soldering</t>
        </is>
      </c>
      <c r="V928" s="1" t="inlineStr">
        <is>
          <t>Soldering</t>
        </is>
      </c>
      <c r="W928" s="1" t="inlineStr">
        <is>
          <t>Repair</t>
        </is>
      </c>
      <c r="X928" s="5" t="n">
        <v>46181</v>
      </c>
      <c r="Y928" s="1">
        <f>IF(X928="","",X928-A928)</f>
        <v/>
      </c>
      <c r="Z928" s="5" t="n">
        <v>46181</v>
      </c>
      <c r="AA928" s="3" t="n"/>
      <c r="AB928" s="3" t="n"/>
      <c r="AE928" s="146">
        <f>IF(AND(F928="Closed",X928&gt;=DATE(2026,6,1),X928&lt;=DATE(2026,6,30)),"Closed in June","other")</f>
        <v/>
      </c>
    </row>
    <row r="929" hidden="1">
      <c r="A929" s="9" t="n">
        <v>46148</v>
      </c>
      <c r="B929" s="1" t="n">
        <v>2026</v>
      </c>
      <c r="C929" s="8" t="inlineStr">
        <is>
          <t>Continuum</t>
        </is>
      </c>
      <c r="D929" s="1" t="inlineStr">
        <is>
          <t>Utility and C&amp;I</t>
        </is>
      </c>
      <c r="E929" s="1" t="n"/>
      <c r="F929" s="1" t="inlineStr">
        <is>
          <t>Closed</t>
        </is>
      </c>
      <c r="G929" s="8" t="inlineStr">
        <is>
          <t>Amiya Ranjan Behera</t>
        </is>
      </c>
      <c r="H929" s="8" t="n">
        <v>8917436223</v>
      </c>
      <c r="I929" s="10" t="inlineStr">
        <is>
          <t>PE06052602</t>
        </is>
      </c>
      <c r="J929" s="8" t="inlineStr">
        <is>
          <t>Diode Bypass Module Issue</t>
        </is>
      </c>
      <c r="K929" s="8" t="inlineStr">
        <is>
          <t>Bhavnagar</t>
        </is>
      </c>
      <c r="L929" s="8" t="inlineStr">
        <is>
          <t>Gujarat</t>
        </is>
      </c>
      <c r="M929" s="2" t="inlineStr">
        <is>
          <t>PS</t>
        </is>
      </c>
      <c r="N929" s="1" t="inlineStr">
        <is>
          <t>Cold Soldering</t>
        </is>
      </c>
      <c r="O929" s="11" t="n">
        <v>540</v>
      </c>
      <c r="P929" s="2" t="inlineStr">
        <is>
          <t>NSMP2305191421</t>
        </is>
      </c>
      <c r="Q929" s="14">
        <f>MID(P929,5,2)</f>
        <v/>
      </c>
      <c r="R929" s="14">
        <f>MID(P929,7,2)</f>
        <v/>
      </c>
      <c r="S929" s="1" t="inlineStr">
        <is>
          <t>G2B</t>
        </is>
      </c>
      <c r="T929" s="1" t="inlineStr">
        <is>
          <t>P2 - PEPPL</t>
        </is>
      </c>
      <c r="U929" s="1" t="inlineStr">
        <is>
          <t>P JB Cold Soldering</t>
        </is>
      </c>
      <c r="V929" s="1" t="inlineStr">
        <is>
          <t>Soldering</t>
        </is>
      </c>
      <c r="W929" s="1" t="inlineStr">
        <is>
          <t>Repair</t>
        </is>
      </c>
      <c r="X929" s="5" t="n">
        <v>46181</v>
      </c>
      <c r="Y929" s="1">
        <f>IF(X929="","",X929-A929)</f>
        <v/>
      </c>
      <c r="Z929" s="5" t="n">
        <v>46181</v>
      </c>
      <c r="AA929" s="3" t="n"/>
      <c r="AB929" s="3" t="n"/>
      <c r="AE929" s="146">
        <f>IF(AND(F929="Closed",X929&gt;=DATE(2026,6,1),X929&lt;=DATE(2026,6,30)),"Closed in June","other")</f>
        <v/>
      </c>
    </row>
    <row r="930" hidden="1">
      <c r="A930" s="9" t="n">
        <v>46148</v>
      </c>
      <c r="B930" s="1" t="n">
        <v>2026</v>
      </c>
      <c r="C930" s="8" t="inlineStr">
        <is>
          <t>Continuum</t>
        </is>
      </c>
      <c r="D930" s="1" t="inlineStr">
        <is>
          <t>Utility and C&amp;I</t>
        </is>
      </c>
      <c r="E930" s="1" t="n"/>
      <c r="F930" s="1" t="inlineStr">
        <is>
          <t>Closed</t>
        </is>
      </c>
      <c r="G930" s="8" t="inlineStr">
        <is>
          <t>Amiya Ranjan Behera</t>
        </is>
      </c>
      <c r="H930" s="8" t="n">
        <v>8917436223</v>
      </c>
      <c r="I930" s="10" t="inlineStr">
        <is>
          <t>PE06052602</t>
        </is>
      </c>
      <c r="J930" s="8" t="inlineStr">
        <is>
          <t>Diode Bypass Module Issue</t>
        </is>
      </c>
      <c r="K930" s="8" t="inlineStr">
        <is>
          <t>Bhavnagar</t>
        </is>
      </c>
      <c r="L930" s="8" t="inlineStr">
        <is>
          <t>Gujarat</t>
        </is>
      </c>
      <c r="M930" s="2" t="inlineStr">
        <is>
          <t>PR</t>
        </is>
      </c>
      <c r="N930" s="1" t="inlineStr">
        <is>
          <t>JB Issue</t>
        </is>
      </c>
      <c r="O930" s="11" t="n">
        <v>540</v>
      </c>
      <c r="P930" s="2" t="inlineStr">
        <is>
          <t>NSMP2305191381</t>
        </is>
      </c>
      <c r="Q930" s="14">
        <f>MID(P930,5,2)</f>
        <v/>
      </c>
      <c r="R930" s="14">
        <f>MID(P930,7,2)</f>
        <v/>
      </c>
      <c r="S930" s="1" t="inlineStr">
        <is>
          <t>G2B</t>
        </is>
      </c>
      <c r="T930" s="1" t="inlineStr">
        <is>
          <t>P2 - PEPPL</t>
        </is>
      </c>
      <c r="U930" s="1" t="inlineStr">
        <is>
          <t>P JB Issue</t>
        </is>
      </c>
      <c r="V930" s="3" t="inlineStr">
        <is>
          <t>JB Changed</t>
        </is>
      </c>
      <c r="W930" s="1" t="inlineStr">
        <is>
          <t>Repair</t>
        </is>
      </c>
      <c r="X930" s="5" t="n">
        <v>46181</v>
      </c>
      <c r="Y930" s="1">
        <f>IF(X930="","",X930-A930)</f>
        <v/>
      </c>
      <c r="Z930" s="5" t="n">
        <v>46181</v>
      </c>
      <c r="AA930" s="3" t="n"/>
      <c r="AB930" s="3" t="n"/>
      <c r="AE930" s="146">
        <f>IF(AND(F930="Closed",X930&gt;=DATE(2026,6,1),X930&lt;=DATE(2026,6,30)),"Closed in June","other")</f>
        <v/>
      </c>
    </row>
    <row r="931" hidden="1">
      <c r="A931" s="9" t="n">
        <v>46148</v>
      </c>
      <c r="B931" s="1" t="n">
        <v>2026</v>
      </c>
      <c r="C931" s="8" t="inlineStr">
        <is>
          <t>Continuum</t>
        </is>
      </c>
      <c r="D931" s="1" t="inlineStr">
        <is>
          <t>Utility and C&amp;I</t>
        </is>
      </c>
      <c r="E931" s="1" t="n"/>
      <c r="F931" s="1" t="inlineStr">
        <is>
          <t>Closed</t>
        </is>
      </c>
      <c r="G931" s="8" t="inlineStr">
        <is>
          <t>Amiya Ranjan Behera</t>
        </is>
      </c>
      <c r="H931" s="8" t="n">
        <v>8917436223</v>
      </c>
      <c r="I931" s="10" t="inlineStr">
        <is>
          <t>PE06052602</t>
        </is>
      </c>
      <c r="J931" s="8" t="inlineStr">
        <is>
          <t>Diode Bypass Module Issue</t>
        </is>
      </c>
      <c r="K931" s="8" t="inlineStr">
        <is>
          <t>Bhavnagar</t>
        </is>
      </c>
      <c r="L931" s="8" t="inlineStr">
        <is>
          <t>Gujarat</t>
        </is>
      </c>
      <c r="M931" s="2" t="inlineStr">
        <is>
          <t>PS</t>
        </is>
      </c>
      <c r="N931" s="1" t="inlineStr">
        <is>
          <t>Cold Soldering</t>
        </is>
      </c>
      <c r="O931" s="11" t="n">
        <v>540</v>
      </c>
      <c r="P931" s="2" t="inlineStr">
        <is>
          <t>NSMP2305191385</t>
        </is>
      </c>
      <c r="Q931" s="14">
        <f>MID(P931,5,2)</f>
        <v/>
      </c>
      <c r="R931" s="14">
        <f>MID(P931,7,2)</f>
        <v/>
      </c>
      <c r="S931" s="1" t="inlineStr">
        <is>
          <t>G2B</t>
        </is>
      </c>
      <c r="T931" s="1" t="inlineStr">
        <is>
          <t>P2 - PEPPL</t>
        </is>
      </c>
      <c r="U931" s="1" t="inlineStr">
        <is>
          <t>P JB Cold Soldering</t>
        </is>
      </c>
      <c r="V931" s="1" t="inlineStr">
        <is>
          <t>Soldering</t>
        </is>
      </c>
      <c r="W931" s="1" t="inlineStr">
        <is>
          <t>Repair</t>
        </is>
      </c>
      <c r="X931" s="5" t="n">
        <v>46181</v>
      </c>
      <c r="Y931" s="1">
        <f>IF(X931="","",X931-A931)</f>
        <v/>
      </c>
      <c r="Z931" s="5" t="n">
        <v>46181</v>
      </c>
      <c r="AA931" s="3" t="n"/>
      <c r="AB931" s="3" t="n"/>
      <c r="AE931" s="146">
        <f>IF(AND(F931="Closed",X931&gt;=DATE(2026,6,1),X931&lt;=DATE(2026,6,30)),"Closed in June","other")</f>
        <v/>
      </c>
    </row>
    <row r="932" hidden="1">
      <c r="A932" s="9" t="n">
        <v>46148</v>
      </c>
      <c r="B932" s="1" t="n">
        <v>2026</v>
      </c>
      <c r="C932" s="8" t="inlineStr">
        <is>
          <t>Continuum</t>
        </is>
      </c>
      <c r="D932" s="1" t="inlineStr">
        <is>
          <t>Utility and C&amp;I</t>
        </is>
      </c>
      <c r="E932" s="1" t="n"/>
      <c r="F932" s="1" t="inlineStr">
        <is>
          <t>Closed</t>
        </is>
      </c>
      <c r="G932" s="8" t="inlineStr">
        <is>
          <t>Amiya Ranjan Behera</t>
        </is>
      </c>
      <c r="H932" s="8" t="n">
        <v>8917436223</v>
      </c>
      <c r="I932" s="10" t="inlineStr">
        <is>
          <t>PE06052602</t>
        </is>
      </c>
      <c r="J932" s="8" t="inlineStr">
        <is>
          <t>Diode Bypass Module Issue</t>
        </is>
      </c>
      <c r="K932" s="8" t="inlineStr">
        <is>
          <t>Bhavnagar</t>
        </is>
      </c>
      <c r="L932" s="8" t="inlineStr">
        <is>
          <t>Gujarat</t>
        </is>
      </c>
      <c r="M932" s="2" t="inlineStr">
        <is>
          <t>PS</t>
        </is>
      </c>
      <c r="N932" s="1" t="inlineStr">
        <is>
          <t>Cold Soldering</t>
        </is>
      </c>
      <c r="O932" s="11" t="n">
        <v>540</v>
      </c>
      <c r="P932" s="2" t="inlineStr">
        <is>
          <t>NSMP2305200385</t>
        </is>
      </c>
      <c r="Q932" s="14">
        <f>MID(P932,5,2)</f>
        <v/>
      </c>
      <c r="R932" s="14">
        <f>MID(P932,7,2)</f>
        <v/>
      </c>
      <c r="S932" s="1" t="inlineStr">
        <is>
          <t>G2B</t>
        </is>
      </c>
      <c r="T932" s="1" t="inlineStr">
        <is>
          <t>P2 - PEPPL</t>
        </is>
      </c>
      <c r="U932" s="1" t="inlineStr">
        <is>
          <t>P JB Cold Soldering</t>
        </is>
      </c>
      <c r="V932" s="1" t="inlineStr">
        <is>
          <t>Soldering</t>
        </is>
      </c>
      <c r="W932" s="1" t="inlineStr">
        <is>
          <t>Repair</t>
        </is>
      </c>
      <c r="X932" s="5" t="n">
        <v>46181</v>
      </c>
      <c r="Y932" s="1">
        <f>IF(X932="","",X932-A932)</f>
        <v/>
      </c>
      <c r="Z932" s="5" t="n">
        <v>46181</v>
      </c>
      <c r="AA932" s="3" t="n"/>
      <c r="AB932" s="3" t="n"/>
      <c r="AE932" s="146">
        <f>IF(AND(F932="Closed",X932&gt;=DATE(2026,6,1),X932&lt;=DATE(2026,6,30)),"Closed in June","other")</f>
        <v/>
      </c>
    </row>
    <row r="933" hidden="1">
      <c r="A933" s="9" t="n">
        <v>46148</v>
      </c>
      <c r="B933" s="1" t="n">
        <v>2026</v>
      </c>
      <c r="C933" s="8" t="inlineStr">
        <is>
          <t>Continuum</t>
        </is>
      </c>
      <c r="D933" s="1" t="inlineStr">
        <is>
          <t>Utility and C&amp;I</t>
        </is>
      </c>
      <c r="E933" s="1" t="n"/>
      <c r="F933" s="1" t="inlineStr">
        <is>
          <t>Closed</t>
        </is>
      </c>
      <c r="G933" s="8" t="inlineStr">
        <is>
          <t>Amiya Ranjan Behera</t>
        </is>
      </c>
      <c r="H933" s="8" t="n">
        <v>8917436223</v>
      </c>
      <c r="I933" s="10" t="inlineStr">
        <is>
          <t>PE06052602</t>
        </is>
      </c>
      <c r="J933" s="8" t="inlineStr">
        <is>
          <t>Diode Bypass Module Issue</t>
        </is>
      </c>
      <c r="K933" s="8" t="inlineStr">
        <is>
          <t>Bhavnagar</t>
        </is>
      </c>
      <c r="L933" s="8" t="inlineStr">
        <is>
          <t>Gujarat</t>
        </is>
      </c>
      <c r="M933" s="2" t="inlineStr">
        <is>
          <t>PR</t>
        </is>
      </c>
      <c r="N933" s="1" t="inlineStr">
        <is>
          <t>JB Issue</t>
        </is>
      </c>
      <c r="O933" s="11" t="n">
        <v>540</v>
      </c>
      <c r="P933" s="2" t="inlineStr">
        <is>
          <t>NSMP2305189842</t>
        </is>
      </c>
      <c r="Q933" s="14">
        <f>MID(P933,5,2)</f>
        <v/>
      </c>
      <c r="R933" s="14">
        <f>MID(P933,7,2)</f>
        <v/>
      </c>
      <c r="S933" s="1" t="inlineStr">
        <is>
          <t>G2B</t>
        </is>
      </c>
      <c r="T933" s="1" t="inlineStr">
        <is>
          <t>P2 - PEPPL</t>
        </is>
      </c>
      <c r="U933" s="1" t="inlineStr">
        <is>
          <t>P JB Issue</t>
        </is>
      </c>
      <c r="V933" s="3" t="inlineStr">
        <is>
          <t>JB Changed</t>
        </is>
      </c>
      <c r="W933" s="1" t="inlineStr">
        <is>
          <t>Repair</t>
        </is>
      </c>
      <c r="X933" s="5" t="n">
        <v>46181</v>
      </c>
      <c r="Y933" s="1">
        <f>IF(X933="","",X933-A933)</f>
        <v/>
      </c>
      <c r="Z933" s="5" t="n">
        <v>46181</v>
      </c>
      <c r="AA933" s="3" t="n"/>
      <c r="AB933" s="3" t="n"/>
      <c r="AE933" s="146">
        <f>IF(AND(F933="Closed",X933&gt;=DATE(2026,6,1),X933&lt;=DATE(2026,6,30)),"Closed in June","other")</f>
        <v/>
      </c>
    </row>
    <row r="934" hidden="1">
      <c r="A934" s="9" t="n">
        <v>46148</v>
      </c>
      <c r="B934" s="1" t="n">
        <v>2026</v>
      </c>
      <c r="C934" s="8" t="inlineStr">
        <is>
          <t>Continuum</t>
        </is>
      </c>
      <c r="D934" s="1" t="inlineStr">
        <is>
          <t>Utility and C&amp;I</t>
        </is>
      </c>
      <c r="E934" s="1" t="n"/>
      <c r="F934" s="1" t="inlineStr">
        <is>
          <t>Closed</t>
        </is>
      </c>
      <c r="G934" s="8" t="inlineStr">
        <is>
          <t>Amiya Ranjan Behera</t>
        </is>
      </c>
      <c r="H934" s="8" t="n">
        <v>8917436223</v>
      </c>
      <c r="I934" s="10" t="inlineStr">
        <is>
          <t>PE06052602</t>
        </is>
      </c>
      <c r="J934" s="8" t="inlineStr">
        <is>
          <t>Diode Bypass Module Issue</t>
        </is>
      </c>
      <c r="K934" s="8" t="inlineStr">
        <is>
          <t>Bhavnagar</t>
        </is>
      </c>
      <c r="L934" s="8" t="inlineStr">
        <is>
          <t>Gujarat</t>
        </is>
      </c>
      <c r="M934" s="2" t="inlineStr">
        <is>
          <t>PS</t>
        </is>
      </c>
      <c r="N934" s="1" t="inlineStr">
        <is>
          <t>Cold Soldering</t>
        </is>
      </c>
      <c r="O934" s="11" t="n">
        <v>540</v>
      </c>
      <c r="P934" s="2" t="inlineStr">
        <is>
          <t>NSMP2305191302</t>
        </is>
      </c>
      <c r="Q934" s="14">
        <f>MID(P934,5,2)</f>
        <v/>
      </c>
      <c r="R934" s="14">
        <f>MID(P934,7,2)</f>
        <v/>
      </c>
      <c r="S934" s="1" t="inlineStr">
        <is>
          <t>G2B</t>
        </is>
      </c>
      <c r="T934" s="1" t="inlineStr">
        <is>
          <t>P2 - PEPPL</t>
        </is>
      </c>
      <c r="U934" s="1" t="inlineStr">
        <is>
          <t>P JB Cold Soldering</t>
        </is>
      </c>
      <c r="V934" s="1" t="inlineStr">
        <is>
          <t>Soldering</t>
        </is>
      </c>
      <c r="W934" s="1" t="inlineStr">
        <is>
          <t>Repair</t>
        </is>
      </c>
      <c r="X934" s="5" t="n">
        <v>46181</v>
      </c>
      <c r="Y934" s="1">
        <f>IF(X934="","",X934-A934)</f>
        <v/>
      </c>
      <c r="Z934" s="5" t="n">
        <v>46181</v>
      </c>
      <c r="AA934" s="3" t="n"/>
      <c r="AB934" s="3" t="n"/>
      <c r="AE934" s="146">
        <f>IF(AND(F934="Closed",X934&gt;=DATE(2026,6,1),X934&lt;=DATE(2026,6,30)),"Closed in June","other")</f>
        <v/>
      </c>
    </row>
    <row r="935" hidden="1">
      <c r="A935" s="9" t="n">
        <v>46148</v>
      </c>
      <c r="B935" s="1" t="n">
        <v>2026</v>
      </c>
      <c r="C935" s="8" t="inlineStr">
        <is>
          <t>Continuum</t>
        </is>
      </c>
      <c r="D935" s="1" t="inlineStr">
        <is>
          <t>Utility and C&amp;I</t>
        </is>
      </c>
      <c r="E935" s="1" t="n"/>
      <c r="F935" s="1" t="inlineStr">
        <is>
          <t>Closed</t>
        </is>
      </c>
      <c r="G935" s="8" t="inlineStr">
        <is>
          <t>Amiya Ranjan Behera</t>
        </is>
      </c>
      <c r="H935" s="8" t="n">
        <v>8917436223</v>
      </c>
      <c r="I935" s="10" t="inlineStr">
        <is>
          <t>PE06052602</t>
        </is>
      </c>
      <c r="J935" s="8" t="inlineStr">
        <is>
          <t>Diode Bypass Module Issue</t>
        </is>
      </c>
      <c r="K935" s="8" t="inlineStr">
        <is>
          <t>Bhavnagar</t>
        </is>
      </c>
      <c r="L935" s="8" t="inlineStr">
        <is>
          <t>Gujarat</t>
        </is>
      </c>
      <c r="M935" s="2" t="inlineStr">
        <is>
          <t>PS</t>
        </is>
      </c>
      <c r="N935" s="1" t="inlineStr">
        <is>
          <t>Cold Soldering</t>
        </is>
      </c>
      <c r="O935" s="11" t="n">
        <v>540</v>
      </c>
      <c r="P935" s="2" t="inlineStr">
        <is>
          <t>NSMP2305191337</t>
        </is>
      </c>
      <c r="Q935" s="14">
        <f>MID(P935,5,2)</f>
        <v/>
      </c>
      <c r="R935" s="14">
        <f>MID(P935,7,2)</f>
        <v/>
      </c>
      <c r="S935" s="1" t="inlineStr">
        <is>
          <t>G2B</t>
        </is>
      </c>
      <c r="T935" s="1" t="inlineStr">
        <is>
          <t>P2 - PEPPL</t>
        </is>
      </c>
      <c r="U935" s="1" t="inlineStr">
        <is>
          <t>P JB Cold Soldering</t>
        </is>
      </c>
      <c r="V935" s="1" t="inlineStr">
        <is>
          <t>Soldering</t>
        </is>
      </c>
      <c r="W935" s="1" t="inlineStr">
        <is>
          <t>Repair</t>
        </is>
      </c>
      <c r="X935" s="5" t="n">
        <v>46181</v>
      </c>
      <c r="Y935" s="1">
        <f>IF(X935="","",X935-A935)</f>
        <v/>
      </c>
      <c r="Z935" s="5" t="n">
        <v>46181</v>
      </c>
      <c r="AA935" s="3" t="n"/>
      <c r="AB935" s="3" t="n"/>
      <c r="AE935" s="146">
        <f>IF(AND(F935="Closed",X935&gt;=DATE(2026,6,1),X935&lt;=DATE(2026,6,30)),"Closed in June","other")</f>
        <v/>
      </c>
    </row>
    <row r="936" hidden="1">
      <c r="A936" s="9" t="n">
        <v>46148</v>
      </c>
      <c r="B936" s="1" t="n">
        <v>2026</v>
      </c>
      <c r="C936" s="8" t="inlineStr">
        <is>
          <t>Continuum</t>
        </is>
      </c>
      <c r="D936" s="1" t="inlineStr">
        <is>
          <t>Utility and C&amp;I</t>
        </is>
      </c>
      <c r="E936" s="1" t="n"/>
      <c r="F936" s="1" t="inlineStr">
        <is>
          <t>Closed</t>
        </is>
      </c>
      <c r="G936" s="8" t="inlineStr">
        <is>
          <t>Amiya Ranjan Behera</t>
        </is>
      </c>
      <c r="H936" s="8" t="n">
        <v>8917436223</v>
      </c>
      <c r="I936" s="10" t="inlineStr">
        <is>
          <t>PE06052602</t>
        </is>
      </c>
      <c r="J936" s="8" t="inlineStr">
        <is>
          <t>Diode Bypass Module Issue</t>
        </is>
      </c>
      <c r="K936" s="8" t="inlineStr">
        <is>
          <t>Bhavnagar</t>
        </is>
      </c>
      <c r="L936" s="8" t="inlineStr">
        <is>
          <t>Gujarat</t>
        </is>
      </c>
      <c r="M936" s="2" t="inlineStr">
        <is>
          <t>PS</t>
        </is>
      </c>
      <c r="N936" s="1" t="inlineStr">
        <is>
          <t>Cold Soldering</t>
        </is>
      </c>
      <c r="O936" s="11" t="n">
        <v>540</v>
      </c>
      <c r="P936" s="2" t="inlineStr">
        <is>
          <t>NSMP2305191386</t>
        </is>
      </c>
      <c r="Q936" s="14">
        <f>MID(P936,5,2)</f>
        <v/>
      </c>
      <c r="R936" s="14">
        <f>MID(P936,7,2)</f>
        <v/>
      </c>
      <c r="S936" s="1" t="inlineStr">
        <is>
          <t>G2B</t>
        </is>
      </c>
      <c r="T936" s="1" t="inlineStr">
        <is>
          <t>P2 - PEPPL</t>
        </is>
      </c>
      <c r="U936" s="1" t="inlineStr">
        <is>
          <t>P JB Cold Soldering</t>
        </is>
      </c>
      <c r="V936" s="1" t="inlineStr">
        <is>
          <t>Soldering</t>
        </is>
      </c>
      <c r="W936" s="1" t="inlineStr">
        <is>
          <t>Repair</t>
        </is>
      </c>
      <c r="X936" s="5" t="n">
        <v>46181</v>
      </c>
      <c r="Y936" s="1">
        <f>IF(X936="","",X936-A936)</f>
        <v/>
      </c>
      <c r="Z936" s="5" t="n">
        <v>46181</v>
      </c>
      <c r="AA936" s="3" t="n"/>
      <c r="AB936" s="3" t="n"/>
      <c r="AE936" s="146">
        <f>IF(AND(F936="Closed",X936&gt;=DATE(2026,6,1),X936&lt;=DATE(2026,6,30)),"Closed in June","other")</f>
        <v/>
      </c>
    </row>
    <row r="937" hidden="1">
      <c r="A937" s="9" t="n">
        <v>46148</v>
      </c>
      <c r="B937" s="1" t="n">
        <v>2026</v>
      </c>
      <c r="C937" s="8" t="inlineStr">
        <is>
          <t>Continuum</t>
        </is>
      </c>
      <c r="D937" s="1" t="inlineStr">
        <is>
          <t>Utility and C&amp;I</t>
        </is>
      </c>
      <c r="E937" s="1" t="n"/>
      <c r="F937" s="1" t="inlineStr">
        <is>
          <t>Closed</t>
        </is>
      </c>
      <c r="G937" s="8" t="inlineStr">
        <is>
          <t>Amiya Ranjan Behera</t>
        </is>
      </c>
      <c r="H937" s="8" t="n">
        <v>8917436223</v>
      </c>
      <c r="I937" s="10" t="inlineStr">
        <is>
          <t>PE06052602</t>
        </is>
      </c>
      <c r="J937" s="8" t="inlineStr">
        <is>
          <t>Diode Bypass Module Issue</t>
        </is>
      </c>
      <c r="K937" s="8" t="inlineStr">
        <is>
          <t>Bhavnagar</t>
        </is>
      </c>
      <c r="L937" s="8" t="inlineStr">
        <is>
          <t>Gujarat</t>
        </is>
      </c>
      <c r="M937" s="2" t="inlineStr">
        <is>
          <t>PS</t>
        </is>
      </c>
      <c r="N937" s="1" t="inlineStr">
        <is>
          <t>Cold Soldering</t>
        </is>
      </c>
      <c r="O937" s="11" t="n">
        <v>540</v>
      </c>
      <c r="P937" s="2" t="inlineStr">
        <is>
          <t>NSMP2305191351</t>
        </is>
      </c>
      <c r="Q937" s="14">
        <f>MID(P937,5,2)</f>
        <v/>
      </c>
      <c r="R937" s="14">
        <f>MID(P937,7,2)</f>
        <v/>
      </c>
      <c r="S937" s="1" t="inlineStr">
        <is>
          <t>G2B</t>
        </is>
      </c>
      <c r="T937" s="1" t="inlineStr">
        <is>
          <t>P2 - PEPPL</t>
        </is>
      </c>
      <c r="U937" s="1" t="inlineStr">
        <is>
          <t>P JB Cold Soldering</t>
        </is>
      </c>
      <c r="V937" s="1" t="inlineStr">
        <is>
          <t>Soldering</t>
        </is>
      </c>
      <c r="W937" s="1" t="inlineStr">
        <is>
          <t>Repair</t>
        </is>
      </c>
      <c r="X937" s="5" t="n">
        <v>46181</v>
      </c>
      <c r="Y937" s="1">
        <f>IF(X937="","",X937-A937)</f>
        <v/>
      </c>
      <c r="Z937" s="5" t="n">
        <v>46181</v>
      </c>
      <c r="AA937" s="3" t="n"/>
      <c r="AB937" s="3" t="n"/>
      <c r="AE937" s="146">
        <f>IF(AND(F937="Closed",X937&gt;=DATE(2026,6,1),X937&lt;=DATE(2026,6,30)),"Closed in June","other")</f>
        <v/>
      </c>
    </row>
    <row r="938" hidden="1">
      <c r="A938" s="9" t="n">
        <v>46148</v>
      </c>
      <c r="B938" s="1" t="n">
        <v>2026</v>
      </c>
      <c r="C938" s="8" t="inlineStr">
        <is>
          <t>Continuum</t>
        </is>
      </c>
      <c r="D938" s="1" t="inlineStr">
        <is>
          <t>Utility and C&amp;I</t>
        </is>
      </c>
      <c r="E938" s="1" t="n"/>
      <c r="F938" s="1" t="inlineStr">
        <is>
          <t>Closed</t>
        </is>
      </c>
      <c r="G938" s="8" t="inlineStr">
        <is>
          <t>Amiya Ranjan Behera</t>
        </is>
      </c>
      <c r="H938" s="8" t="n">
        <v>8917436223</v>
      </c>
      <c r="I938" s="10" t="inlineStr">
        <is>
          <t>PE06052602</t>
        </is>
      </c>
      <c r="J938" s="8" t="inlineStr">
        <is>
          <t>Diode Bypass Module Issue</t>
        </is>
      </c>
      <c r="K938" s="8" t="inlineStr">
        <is>
          <t>Bhavnagar</t>
        </is>
      </c>
      <c r="L938" s="8" t="inlineStr">
        <is>
          <t>Gujarat</t>
        </is>
      </c>
      <c r="M938" s="2" t="inlineStr">
        <is>
          <t>PS</t>
        </is>
      </c>
      <c r="N938" s="1" t="inlineStr">
        <is>
          <t>Cold Soldering</t>
        </is>
      </c>
      <c r="O938" s="11" t="n">
        <v>540</v>
      </c>
      <c r="P938" s="2" t="inlineStr">
        <is>
          <t>NSMP2305191342</t>
        </is>
      </c>
      <c r="Q938" s="14">
        <f>MID(P938,5,2)</f>
        <v/>
      </c>
      <c r="R938" s="14">
        <f>MID(P938,7,2)</f>
        <v/>
      </c>
      <c r="S938" s="1" t="inlineStr">
        <is>
          <t>G2B</t>
        </is>
      </c>
      <c r="T938" s="1" t="inlineStr">
        <is>
          <t>P2 - PEPPL</t>
        </is>
      </c>
      <c r="U938" s="1" t="inlineStr">
        <is>
          <t>P JB Cold Soldering</t>
        </is>
      </c>
      <c r="V938" s="1" t="inlineStr">
        <is>
          <t>Soldering</t>
        </is>
      </c>
      <c r="W938" s="1" t="inlineStr">
        <is>
          <t>Repair</t>
        </is>
      </c>
      <c r="X938" s="5" t="n">
        <v>46181</v>
      </c>
      <c r="Y938" s="1">
        <f>IF(X938="","",X938-A938)</f>
        <v/>
      </c>
      <c r="Z938" s="5" t="n">
        <v>46181</v>
      </c>
      <c r="AA938" s="3" t="n"/>
      <c r="AB938" s="3" t="n"/>
      <c r="AE938" s="146">
        <f>IF(AND(F938="Closed",X938&gt;=DATE(2026,6,1),X938&lt;=DATE(2026,6,30)),"Closed in June","other")</f>
        <v/>
      </c>
    </row>
    <row r="939" hidden="1">
      <c r="A939" s="9" t="n">
        <v>46148</v>
      </c>
      <c r="B939" s="1" t="n">
        <v>2026</v>
      </c>
      <c r="C939" s="8" t="inlineStr">
        <is>
          <t>Continuum</t>
        </is>
      </c>
      <c r="D939" s="1" t="inlineStr">
        <is>
          <t>Utility and C&amp;I</t>
        </is>
      </c>
      <c r="E939" s="1" t="n"/>
      <c r="F939" s="1" t="inlineStr">
        <is>
          <t>Closed</t>
        </is>
      </c>
      <c r="G939" s="8" t="inlineStr">
        <is>
          <t>Amiya Ranjan Behera</t>
        </is>
      </c>
      <c r="H939" s="8" t="n">
        <v>8917436223</v>
      </c>
      <c r="I939" s="10" t="inlineStr">
        <is>
          <t>PE06052602</t>
        </is>
      </c>
      <c r="J939" s="8" t="inlineStr">
        <is>
          <t>Diode Bypass Module Issue</t>
        </is>
      </c>
      <c r="K939" s="8" t="inlineStr">
        <is>
          <t>Bhavnagar</t>
        </is>
      </c>
      <c r="L939" s="8" t="inlineStr">
        <is>
          <t>Gujarat</t>
        </is>
      </c>
      <c r="M939" s="2" t="inlineStr">
        <is>
          <t>PS</t>
        </is>
      </c>
      <c r="N939" s="1" t="inlineStr">
        <is>
          <t>Cold Soldering</t>
        </is>
      </c>
      <c r="O939" s="11" t="n">
        <v>540</v>
      </c>
      <c r="P939" s="2" t="inlineStr">
        <is>
          <t>NSMP2305191333</t>
        </is>
      </c>
      <c r="Q939" s="14">
        <f>MID(P939,5,2)</f>
        <v/>
      </c>
      <c r="R939" s="14">
        <f>MID(P939,7,2)</f>
        <v/>
      </c>
      <c r="S939" s="1" t="inlineStr">
        <is>
          <t>G2B</t>
        </is>
      </c>
      <c r="T939" s="1" t="inlineStr">
        <is>
          <t>P2 - PEPPL</t>
        </is>
      </c>
      <c r="U939" s="1" t="inlineStr">
        <is>
          <t>P JB Cold Soldering</t>
        </is>
      </c>
      <c r="V939" s="1" t="inlineStr">
        <is>
          <t>Soldering</t>
        </is>
      </c>
      <c r="W939" s="1" t="inlineStr">
        <is>
          <t>Repair</t>
        </is>
      </c>
      <c r="X939" s="5" t="n">
        <v>46181</v>
      </c>
      <c r="Y939" s="1">
        <f>IF(X939="","",X939-A939)</f>
        <v/>
      </c>
      <c r="Z939" s="5" t="n">
        <v>46181</v>
      </c>
      <c r="AA939" s="3" t="n"/>
      <c r="AB939" s="3" t="n"/>
      <c r="AE939" s="146">
        <f>IF(AND(F939="Closed",X939&gt;=DATE(2026,6,1),X939&lt;=DATE(2026,6,30)),"Closed in June","other")</f>
        <v/>
      </c>
    </row>
    <row r="940" hidden="1">
      <c r="A940" s="9" t="n">
        <v>46148</v>
      </c>
      <c r="B940" s="1" t="n">
        <v>2026</v>
      </c>
      <c r="C940" s="8" t="inlineStr">
        <is>
          <t>Continuum</t>
        </is>
      </c>
      <c r="D940" s="1" t="inlineStr">
        <is>
          <t>Utility and C&amp;I</t>
        </is>
      </c>
      <c r="E940" s="1" t="n"/>
      <c r="F940" s="1" t="inlineStr">
        <is>
          <t>Closed</t>
        </is>
      </c>
      <c r="G940" s="8" t="inlineStr">
        <is>
          <t>Amiya Ranjan Behera</t>
        </is>
      </c>
      <c r="H940" s="8" t="n">
        <v>8917436223</v>
      </c>
      <c r="I940" s="10" t="inlineStr">
        <is>
          <t>PE06052602</t>
        </is>
      </c>
      <c r="J940" s="8" t="inlineStr">
        <is>
          <t>Diode Bypass Module Issue</t>
        </is>
      </c>
      <c r="K940" s="8" t="inlineStr">
        <is>
          <t>Bhavnagar</t>
        </is>
      </c>
      <c r="L940" s="8" t="inlineStr">
        <is>
          <t>Gujarat</t>
        </is>
      </c>
      <c r="M940" s="2" t="inlineStr">
        <is>
          <t>PS</t>
        </is>
      </c>
      <c r="N940" s="1" t="inlineStr">
        <is>
          <t>Cold Soldering</t>
        </is>
      </c>
      <c r="O940" s="11" t="n">
        <v>540</v>
      </c>
      <c r="P940" s="2" t="inlineStr">
        <is>
          <t>NSMP2305191325</t>
        </is>
      </c>
      <c r="Q940" s="14">
        <f>MID(P940,5,2)</f>
        <v/>
      </c>
      <c r="R940" s="14">
        <f>MID(P940,7,2)</f>
        <v/>
      </c>
      <c r="S940" s="1" t="inlineStr">
        <is>
          <t>G2B</t>
        </is>
      </c>
      <c r="T940" s="1" t="inlineStr">
        <is>
          <t>P2 - PEPPL</t>
        </is>
      </c>
      <c r="U940" s="1" t="inlineStr">
        <is>
          <t>P JB Cold Soldering</t>
        </is>
      </c>
      <c r="V940" s="1" t="inlineStr">
        <is>
          <t>Soldering</t>
        </is>
      </c>
      <c r="W940" s="1" t="inlineStr">
        <is>
          <t>Repair</t>
        </is>
      </c>
      <c r="X940" s="5" t="n">
        <v>46181</v>
      </c>
      <c r="Y940" s="1">
        <f>IF(X940="","",X940-A940)</f>
        <v/>
      </c>
      <c r="Z940" s="5" t="n">
        <v>46181</v>
      </c>
      <c r="AA940" s="3" t="n"/>
      <c r="AB940" s="3" t="n"/>
      <c r="AE940" s="146">
        <f>IF(AND(F940="Closed",X940&gt;=DATE(2026,6,1),X940&lt;=DATE(2026,6,30)),"Closed in June","other")</f>
        <v/>
      </c>
    </row>
    <row r="941" hidden="1">
      <c r="A941" s="9" t="n">
        <v>46148</v>
      </c>
      <c r="B941" s="1" t="n">
        <v>2026</v>
      </c>
      <c r="C941" s="8" t="inlineStr">
        <is>
          <t>Continuum</t>
        </is>
      </c>
      <c r="D941" s="1" t="inlineStr">
        <is>
          <t>Utility and C&amp;I</t>
        </is>
      </c>
      <c r="E941" s="1" t="n"/>
      <c r="F941" s="1" t="inlineStr">
        <is>
          <t>Closed</t>
        </is>
      </c>
      <c r="G941" s="8" t="inlineStr">
        <is>
          <t>Amiya Ranjan Behera</t>
        </is>
      </c>
      <c r="H941" s="8" t="n">
        <v>8917436223</v>
      </c>
      <c r="I941" s="10" t="inlineStr">
        <is>
          <t>PE06052602</t>
        </is>
      </c>
      <c r="J941" s="8" t="inlineStr">
        <is>
          <t>Diode Bypass Module Issue</t>
        </is>
      </c>
      <c r="K941" s="8" t="inlineStr">
        <is>
          <t>Bhavnagar</t>
        </is>
      </c>
      <c r="L941" s="8" t="inlineStr">
        <is>
          <t>Gujarat</t>
        </is>
      </c>
      <c r="M941" s="2" t="inlineStr">
        <is>
          <t>PS</t>
        </is>
      </c>
      <c r="N941" s="1" t="inlineStr">
        <is>
          <t>Cold Soldering</t>
        </is>
      </c>
      <c r="O941" s="11" t="n">
        <v>540</v>
      </c>
      <c r="P941" s="2" t="inlineStr">
        <is>
          <t>NSMP2305191291</t>
        </is>
      </c>
      <c r="Q941" s="14">
        <f>MID(P941,5,2)</f>
        <v/>
      </c>
      <c r="R941" s="14">
        <f>MID(P941,7,2)</f>
        <v/>
      </c>
      <c r="S941" s="1" t="inlineStr">
        <is>
          <t>G2B</t>
        </is>
      </c>
      <c r="T941" s="1" t="inlineStr">
        <is>
          <t>P2 - PEPPL</t>
        </is>
      </c>
      <c r="U941" s="1" t="inlineStr">
        <is>
          <t>P JB Cold Soldering</t>
        </is>
      </c>
      <c r="V941" s="1" t="inlineStr">
        <is>
          <t>Soldering</t>
        </is>
      </c>
      <c r="W941" s="1" t="inlineStr">
        <is>
          <t>Repair</t>
        </is>
      </c>
      <c r="X941" s="5" t="n">
        <v>46181</v>
      </c>
      <c r="Y941" s="1">
        <f>IF(X941="","",X941-A941)</f>
        <v/>
      </c>
      <c r="Z941" s="5" t="n">
        <v>46181</v>
      </c>
      <c r="AA941" s="3" t="n"/>
      <c r="AB941" s="3" t="n"/>
      <c r="AE941" s="146">
        <f>IF(AND(F941="Closed",X941&gt;=DATE(2026,6,1),X941&lt;=DATE(2026,6,30)),"Closed in June","other")</f>
        <v/>
      </c>
    </row>
    <row r="942" hidden="1">
      <c r="A942" s="9" t="n">
        <v>46148</v>
      </c>
      <c r="B942" s="1" t="n">
        <v>2026</v>
      </c>
      <c r="C942" s="8" t="inlineStr">
        <is>
          <t>Continuum</t>
        </is>
      </c>
      <c r="D942" s="1" t="inlineStr">
        <is>
          <t>Utility and C&amp;I</t>
        </is>
      </c>
      <c r="E942" s="1" t="n"/>
      <c r="F942" s="1" t="inlineStr">
        <is>
          <t>Closed</t>
        </is>
      </c>
      <c r="G942" s="8" t="inlineStr">
        <is>
          <t>Amiya Ranjan Behera</t>
        </is>
      </c>
      <c r="H942" s="8" t="n">
        <v>8917436223</v>
      </c>
      <c r="I942" s="10" t="inlineStr">
        <is>
          <t>PE06052602</t>
        </is>
      </c>
      <c r="J942" s="8" t="inlineStr">
        <is>
          <t>Diode Bypass Module Issue</t>
        </is>
      </c>
      <c r="K942" s="8" t="inlineStr">
        <is>
          <t>Bhavnagar</t>
        </is>
      </c>
      <c r="L942" s="8" t="inlineStr">
        <is>
          <t>Gujarat</t>
        </is>
      </c>
      <c r="M942" s="2" t="inlineStr">
        <is>
          <t>PS</t>
        </is>
      </c>
      <c r="N942" s="1" t="inlineStr">
        <is>
          <t>Cold Soldering</t>
        </is>
      </c>
      <c r="O942" s="11" t="n">
        <v>540</v>
      </c>
      <c r="P942" s="2" t="inlineStr">
        <is>
          <t>NSMP2305191355</t>
        </is>
      </c>
      <c r="Q942" s="14">
        <f>MID(P942,5,2)</f>
        <v/>
      </c>
      <c r="R942" s="14">
        <f>MID(P942,7,2)</f>
        <v/>
      </c>
      <c r="S942" s="1" t="inlineStr">
        <is>
          <t>G2B</t>
        </is>
      </c>
      <c r="T942" s="1" t="inlineStr">
        <is>
          <t>P2 - PEPPL</t>
        </is>
      </c>
      <c r="U942" s="1" t="inlineStr">
        <is>
          <t>P JB Cold Soldering</t>
        </is>
      </c>
      <c r="V942" s="1" t="inlineStr">
        <is>
          <t>Soldering</t>
        </is>
      </c>
      <c r="W942" s="1" t="inlineStr">
        <is>
          <t>Repair</t>
        </is>
      </c>
      <c r="X942" s="5" t="n">
        <v>46181</v>
      </c>
      <c r="Y942" s="1">
        <f>IF(X942="","",X942-A942)</f>
        <v/>
      </c>
      <c r="Z942" s="5" t="n">
        <v>46181</v>
      </c>
      <c r="AA942" s="3" t="n"/>
      <c r="AB942" s="3" t="n"/>
      <c r="AE942" s="146">
        <f>IF(AND(F942="Closed",X942&gt;=DATE(2026,6,1),X942&lt;=DATE(2026,6,30)),"Closed in June","other")</f>
        <v/>
      </c>
    </row>
    <row r="943" hidden="1">
      <c r="A943" s="9" t="n">
        <v>46148</v>
      </c>
      <c r="B943" s="1" t="n">
        <v>2026</v>
      </c>
      <c r="C943" s="8" t="inlineStr">
        <is>
          <t>Continuum</t>
        </is>
      </c>
      <c r="D943" s="1" t="inlineStr">
        <is>
          <t>Utility and C&amp;I</t>
        </is>
      </c>
      <c r="E943" s="1" t="n"/>
      <c r="F943" s="1" t="inlineStr">
        <is>
          <t>Closed</t>
        </is>
      </c>
      <c r="G943" s="8" t="inlineStr">
        <is>
          <t>Amiya Ranjan Behera</t>
        </is>
      </c>
      <c r="H943" s="8" t="n">
        <v>8917436223</v>
      </c>
      <c r="I943" s="10" t="inlineStr">
        <is>
          <t>PE06052602</t>
        </is>
      </c>
      <c r="J943" s="8" t="inlineStr">
        <is>
          <t>Diode Bypass Module Issue</t>
        </is>
      </c>
      <c r="K943" s="8" t="inlineStr">
        <is>
          <t>Bhavnagar</t>
        </is>
      </c>
      <c r="L943" s="8" t="inlineStr">
        <is>
          <t>Gujarat</t>
        </is>
      </c>
      <c r="M943" s="2" t="inlineStr">
        <is>
          <t>PR</t>
        </is>
      </c>
      <c r="N943" s="1" t="inlineStr">
        <is>
          <t>JB Issue</t>
        </is>
      </c>
      <c r="O943" s="11" t="n">
        <v>540</v>
      </c>
      <c r="P943" s="2" t="inlineStr">
        <is>
          <t>NSMP2305191368</t>
        </is>
      </c>
      <c r="Q943" s="14">
        <f>MID(P943,5,2)</f>
        <v/>
      </c>
      <c r="R943" s="14">
        <f>MID(P943,7,2)</f>
        <v/>
      </c>
      <c r="S943" s="1" t="inlineStr">
        <is>
          <t>G2B</t>
        </is>
      </c>
      <c r="T943" s="1" t="inlineStr">
        <is>
          <t>P2 - PEPPL</t>
        </is>
      </c>
      <c r="U943" s="1" t="inlineStr">
        <is>
          <t>P JB Issue</t>
        </is>
      </c>
      <c r="V943" s="3" t="inlineStr">
        <is>
          <t>JB Changed</t>
        </is>
      </c>
      <c r="W943" s="1" t="inlineStr">
        <is>
          <t>Repair</t>
        </is>
      </c>
      <c r="X943" s="5" t="n">
        <v>46181</v>
      </c>
      <c r="Y943" s="1">
        <f>IF(X943="","",X943-A943)</f>
        <v/>
      </c>
      <c r="Z943" s="5" t="n">
        <v>46181</v>
      </c>
      <c r="AA943" s="3" t="n"/>
      <c r="AB943" s="3" t="n"/>
      <c r="AE943" s="146">
        <f>IF(AND(F943="Closed",X943&gt;=DATE(2026,6,1),X943&lt;=DATE(2026,6,30)),"Closed in June","other")</f>
        <v/>
      </c>
    </row>
    <row r="944" hidden="1">
      <c r="A944" s="9" t="n">
        <v>46148</v>
      </c>
      <c r="B944" s="1" t="n">
        <v>2026</v>
      </c>
      <c r="C944" s="8" t="inlineStr">
        <is>
          <t>Continuum</t>
        </is>
      </c>
      <c r="D944" s="1" t="inlineStr">
        <is>
          <t>Utility and C&amp;I</t>
        </is>
      </c>
      <c r="E944" s="1" t="n"/>
      <c r="F944" s="1" t="inlineStr">
        <is>
          <t>Closed</t>
        </is>
      </c>
      <c r="G944" s="8" t="inlineStr">
        <is>
          <t>Amiya Ranjan Behera</t>
        </is>
      </c>
      <c r="H944" s="8" t="n">
        <v>8917436223</v>
      </c>
      <c r="I944" s="10" t="inlineStr">
        <is>
          <t>PE06052602</t>
        </is>
      </c>
      <c r="J944" s="8" t="inlineStr">
        <is>
          <t>Diode Bypass Module Issue</t>
        </is>
      </c>
      <c r="K944" s="8" t="inlineStr">
        <is>
          <t>Bhavnagar</t>
        </is>
      </c>
      <c r="L944" s="8" t="inlineStr">
        <is>
          <t>Gujarat</t>
        </is>
      </c>
      <c r="M944" s="2" t="inlineStr">
        <is>
          <t>PS</t>
        </is>
      </c>
      <c r="N944" s="1" t="inlineStr">
        <is>
          <t>Cold Soldering</t>
        </is>
      </c>
      <c r="O944" s="11" t="n">
        <v>540</v>
      </c>
      <c r="P944" s="2" t="inlineStr">
        <is>
          <t>NSMP2305191383</t>
        </is>
      </c>
      <c r="Q944" s="14">
        <f>MID(P944,5,2)</f>
        <v/>
      </c>
      <c r="R944" s="14">
        <f>MID(P944,7,2)</f>
        <v/>
      </c>
      <c r="S944" s="1" t="inlineStr">
        <is>
          <t>G2B</t>
        </is>
      </c>
      <c r="T944" s="1" t="inlineStr">
        <is>
          <t>P2 - PEPPL</t>
        </is>
      </c>
      <c r="U944" s="1" t="inlineStr">
        <is>
          <t>P JB Cold Soldering</t>
        </is>
      </c>
      <c r="V944" s="1" t="inlineStr">
        <is>
          <t>Soldering</t>
        </is>
      </c>
      <c r="W944" s="1" t="inlineStr">
        <is>
          <t>Repair</t>
        </is>
      </c>
      <c r="X944" s="5" t="n">
        <v>46181</v>
      </c>
      <c r="Y944" s="1">
        <f>IF(X944="","",X944-A944)</f>
        <v/>
      </c>
      <c r="Z944" s="5" t="n">
        <v>46181</v>
      </c>
      <c r="AA944" s="3" t="n"/>
      <c r="AB944" s="3" t="n"/>
      <c r="AE944" s="146">
        <f>IF(AND(F944="Closed",X944&gt;=DATE(2026,6,1),X944&lt;=DATE(2026,6,30)),"Closed in June","other")</f>
        <v/>
      </c>
    </row>
    <row r="945" hidden="1">
      <c r="A945" s="9" t="n">
        <v>46148</v>
      </c>
      <c r="B945" s="1" t="n">
        <v>2026</v>
      </c>
      <c r="C945" s="8" t="inlineStr">
        <is>
          <t>Continuum</t>
        </is>
      </c>
      <c r="D945" s="1" t="inlineStr">
        <is>
          <t>Utility and C&amp;I</t>
        </is>
      </c>
      <c r="E945" s="1" t="n"/>
      <c r="F945" s="1" t="inlineStr">
        <is>
          <t>Closed</t>
        </is>
      </c>
      <c r="G945" s="8" t="inlineStr">
        <is>
          <t>Amiya Ranjan Behera</t>
        </is>
      </c>
      <c r="H945" s="8" t="n">
        <v>8917436223</v>
      </c>
      <c r="I945" s="10" t="inlineStr">
        <is>
          <t>PE06052602</t>
        </is>
      </c>
      <c r="J945" s="8" t="inlineStr">
        <is>
          <t>Diode Bypass Module Issue</t>
        </is>
      </c>
      <c r="K945" s="8" t="inlineStr">
        <is>
          <t>Bhavnagar</t>
        </is>
      </c>
      <c r="L945" s="8" t="inlineStr">
        <is>
          <t>Gujarat</t>
        </is>
      </c>
      <c r="M945" s="2" t="inlineStr">
        <is>
          <t>PS</t>
        </is>
      </c>
      <c r="N945" s="1" t="inlineStr">
        <is>
          <t>Cold Soldering</t>
        </is>
      </c>
      <c r="O945" s="11" t="n">
        <v>540</v>
      </c>
      <c r="P945" s="2" t="inlineStr">
        <is>
          <t>NSMP2305191348</t>
        </is>
      </c>
      <c r="Q945" s="14">
        <f>MID(P945,5,2)</f>
        <v/>
      </c>
      <c r="R945" s="14">
        <f>MID(P945,7,2)</f>
        <v/>
      </c>
      <c r="S945" s="1" t="inlineStr">
        <is>
          <t>G2B</t>
        </is>
      </c>
      <c r="T945" s="1" t="inlineStr">
        <is>
          <t>P2 - PEPPL</t>
        </is>
      </c>
      <c r="U945" s="1" t="inlineStr">
        <is>
          <t>P JB Cold Soldering</t>
        </is>
      </c>
      <c r="V945" s="1" t="inlineStr">
        <is>
          <t>Soldering</t>
        </is>
      </c>
      <c r="W945" s="1" t="inlineStr">
        <is>
          <t>Repair</t>
        </is>
      </c>
      <c r="X945" s="5" t="n">
        <v>46181</v>
      </c>
      <c r="Y945" s="1">
        <f>IF(X945="","",X945-A945)</f>
        <v/>
      </c>
      <c r="Z945" s="5" t="n">
        <v>46181</v>
      </c>
      <c r="AA945" s="3" t="n"/>
      <c r="AB945" s="3" t="n"/>
      <c r="AE945" s="146">
        <f>IF(AND(F945="Closed",X945&gt;=DATE(2026,6,1),X945&lt;=DATE(2026,6,30)),"Closed in June","other")</f>
        <v/>
      </c>
    </row>
    <row r="946" hidden="1">
      <c r="A946" s="9" t="n">
        <v>46148</v>
      </c>
      <c r="B946" s="1" t="n">
        <v>2026</v>
      </c>
      <c r="C946" s="8" t="inlineStr">
        <is>
          <t>Continuum</t>
        </is>
      </c>
      <c r="D946" s="1" t="inlineStr">
        <is>
          <t>Utility and C&amp;I</t>
        </is>
      </c>
      <c r="E946" s="1" t="n"/>
      <c r="F946" s="1" t="inlineStr">
        <is>
          <t>Closed</t>
        </is>
      </c>
      <c r="G946" s="8" t="inlineStr">
        <is>
          <t>Amiya Ranjan Behera</t>
        </is>
      </c>
      <c r="H946" s="8" t="n">
        <v>8917436223</v>
      </c>
      <c r="I946" s="10" t="inlineStr">
        <is>
          <t>PE06052602</t>
        </is>
      </c>
      <c r="J946" s="8" t="inlineStr">
        <is>
          <t>Diode Bypass Module Issue</t>
        </is>
      </c>
      <c r="K946" s="8" t="inlineStr">
        <is>
          <t>Bhavnagar</t>
        </is>
      </c>
      <c r="L946" s="8" t="inlineStr">
        <is>
          <t>Gujarat</t>
        </is>
      </c>
      <c r="M946" s="2" t="inlineStr">
        <is>
          <t>PS</t>
        </is>
      </c>
      <c r="N946" s="1" t="inlineStr">
        <is>
          <t>Cold Soldering</t>
        </is>
      </c>
      <c r="O946" s="11" t="n">
        <v>540</v>
      </c>
      <c r="P946" s="2" t="inlineStr">
        <is>
          <t>NSMP2305191374</t>
        </is>
      </c>
      <c r="Q946" s="14">
        <f>MID(P946,5,2)</f>
        <v/>
      </c>
      <c r="R946" s="14">
        <f>MID(P946,7,2)</f>
        <v/>
      </c>
      <c r="S946" s="1" t="inlineStr">
        <is>
          <t>G2B</t>
        </is>
      </c>
      <c r="T946" s="1" t="inlineStr">
        <is>
          <t>P2 - PEPPL</t>
        </is>
      </c>
      <c r="U946" s="1" t="inlineStr">
        <is>
          <t>P JB Cold Soldering</t>
        </is>
      </c>
      <c r="V946" s="1" t="inlineStr">
        <is>
          <t>Soldering</t>
        </is>
      </c>
      <c r="W946" s="1" t="inlineStr">
        <is>
          <t>Repair</t>
        </is>
      </c>
      <c r="X946" s="5" t="n">
        <v>46181</v>
      </c>
      <c r="Y946" s="1">
        <f>IF(X946="","",X946-A946)</f>
        <v/>
      </c>
      <c r="Z946" s="5" t="n">
        <v>46181</v>
      </c>
      <c r="AA946" s="3" t="n"/>
      <c r="AB946" s="3" t="n"/>
      <c r="AE946" s="146">
        <f>IF(AND(F946="Closed",X946&gt;=DATE(2026,6,1),X946&lt;=DATE(2026,6,30)),"Closed in June","other")</f>
        <v/>
      </c>
    </row>
    <row r="947" hidden="1">
      <c r="A947" s="9" t="n">
        <v>46148</v>
      </c>
      <c r="B947" s="1" t="n">
        <v>2026</v>
      </c>
      <c r="C947" s="8" t="inlineStr">
        <is>
          <t>Continuum</t>
        </is>
      </c>
      <c r="D947" s="1" t="inlineStr">
        <is>
          <t>Utility and C&amp;I</t>
        </is>
      </c>
      <c r="E947" s="1" t="n"/>
      <c r="F947" s="1" t="inlineStr">
        <is>
          <t>Closed</t>
        </is>
      </c>
      <c r="G947" s="8" t="inlineStr">
        <is>
          <t>Amiya Ranjan Behera</t>
        </is>
      </c>
      <c r="H947" s="8" t="n">
        <v>8917436223</v>
      </c>
      <c r="I947" s="10" t="inlineStr">
        <is>
          <t>PE06052602</t>
        </is>
      </c>
      <c r="J947" s="8" t="inlineStr">
        <is>
          <t>Diode Bypass Module Issue</t>
        </is>
      </c>
      <c r="K947" s="8" t="inlineStr">
        <is>
          <t>Bhavnagar</t>
        </is>
      </c>
      <c r="L947" s="8" t="inlineStr">
        <is>
          <t>Gujarat</t>
        </is>
      </c>
      <c r="M947" s="2" t="inlineStr">
        <is>
          <t>PNS</t>
        </is>
      </c>
      <c r="N947" s="1" t="inlineStr">
        <is>
          <t>Cold Soldering</t>
        </is>
      </c>
      <c r="O947" s="11" t="n">
        <v>540</v>
      </c>
      <c r="P947" s="2" t="inlineStr">
        <is>
          <t>NSMP2305191340</t>
        </is>
      </c>
      <c r="Q947" s="14">
        <f>MID(P947,5,2)</f>
        <v/>
      </c>
      <c r="R947" s="14">
        <f>MID(P947,7,2)</f>
        <v/>
      </c>
      <c r="S947" s="1" t="inlineStr">
        <is>
          <t>G2B</t>
        </is>
      </c>
      <c r="T947" s="1" t="inlineStr">
        <is>
          <t>P2 - PEPPL</t>
        </is>
      </c>
      <c r="U947" s="1" t="inlineStr">
        <is>
          <t>P &amp; N JB Cold Soldering</t>
        </is>
      </c>
      <c r="V947" s="1" t="inlineStr">
        <is>
          <t>Soldering</t>
        </is>
      </c>
      <c r="W947" s="1" t="inlineStr">
        <is>
          <t>Repair</t>
        </is>
      </c>
      <c r="X947" s="5" t="n">
        <v>46181</v>
      </c>
      <c r="Y947" s="1">
        <f>IF(X947="","",X947-A947)</f>
        <v/>
      </c>
      <c r="Z947" s="5" t="n">
        <v>46181</v>
      </c>
      <c r="AA947" s="3" t="n"/>
      <c r="AB947" s="3" t="n"/>
      <c r="AE947" s="146">
        <f>IF(AND(F947="Closed",X947&gt;=DATE(2026,6,1),X947&lt;=DATE(2026,6,30)),"Closed in June","other")</f>
        <v/>
      </c>
    </row>
    <row r="948" hidden="1">
      <c r="A948" s="9" t="n">
        <v>46148</v>
      </c>
      <c r="B948" s="1" t="n">
        <v>2026</v>
      </c>
      <c r="C948" s="8" t="inlineStr">
        <is>
          <t>Continuum</t>
        </is>
      </c>
      <c r="D948" s="1" t="inlineStr">
        <is>
          <t>Utility and C&amp;I</t>
        </is>
      </c>
      <c r="E948" s="1" t="n"/>
      <c r="F948" s="1" t="inlineStr">
        <is>
          <t>Closed</t>
        </is>
      </c>
      <c r="G948" s="8" t="inlineStr">
        <is>
          <t>Amiya Ranjan Behera</t>
        </is>
      </c>
      <c r="H948" s="8" t="n">
        <v>8917436223</v>
      </c>
      <c r="I948" s="10" t="inlineStr">
        <is>
          <t>PE06052602</t>
        </is>
      </c>
      <c r="J948" s="8" t="inlineStr">
        <is>
          <t>Diode Bypass Module Issue</t>
        </is>
      </c>
      <c r="K948" s="8" t="inlineStr">
        <is>
          <t>Bhavnagar</t>
        </is>
      </c>
      <c r="L948" s="8" t="inlineStr">
        <is>
          <t>Gujarat</t>
        </is>
      </c>
      <c r="M948" s="2" t="inlineStr">
        <is>
          <t>PS</t>
        </is>
      </c>
      <c r="N948" s="1" t="inlineStr">
        <is>
          <t>Cold Soldering</t>
        </is>
      </c>
      <c r="O948" s="11" t="n">
        <v>540</v>
      </c>
      <c r="P948" s="2" t="inlineStr">
        <is>
          <t>NSMP2305191018</t>
        </is>
      </c>
      <c r="Q948" s="14">
        <f>MID(P948,5,2)</f>
        <v/>
      </c>
      <c r="R948" s="14">
        <f>MID(P948,7,2)</f>
        <v/>
      </c>
      <c r="S948" s="1" t="inlineStr">
        <is>
          <t>G2B</t>
        </is>
      </c>
      <c r="T948" s="1" t="inlineStr">
        <is>
          <t>P2 - PEPPL</t>
        </is>
      </c>
      <c r="U948" s="1" t="inlineStr">
        <is>
          <t>P JB Cold Soldering</t>
        </is>
      </c>
      <c r="V948" s="1" t="inlineStr">
        <is>
          <t>Soldering</t>
        </is>
      </c>
      <c r="W948" s="1" t="inlineStr">
        <is>
          <t>Repair</t>
        </is>
      </c>
      <c r="X948" s="5" t="n">
        <v>46181</v>
      </c>
      <c r="Y948" s="1">
        <f>IF(X948="","",X948-A948)</f>
        <v/>
      </c>
      <c r="Z948" s="5" t="n">
        <v>46181</v>
      </c>
      <c r="AA948" s="3" t="n"/>
      <c r="AB948" s="3" t="n"/>
      <c r="AE948" s="146">
        <f>IF(AND(F948="Closed",X948&gt;=DATE(2026,6,1),X948&lt;=DATE(2026,6,30)),"Closed in June","other")</f>
        <v/>
      </c>
    </row>
    <row r="949" hidden="1">
      <c r="A949" s="9" t="n">
        <v>46148</v>
      </c>
      <c r="B949" s="1" t="n">
        <v>2026</v>
      </c>
      <c r="C949" s="8" t="inlineStr">
        <is>
          <t>Continuum</t>
        </is>
      </c>
      <c r="D949" s="1" t="inlineStr">
        <is>
          <t>Utility and C&amp;I</t>
        </is>
      </c>
      <c r="E949" s="1" t="n"/>
      <c r="F949" s="1" t="inlineStr">
        <is>
          <t>Closed</t>
        </is>
      </c>
      <c r="G949" s="8" t="inlineStr">
        <is>
          <t>Amiya Ranjan Behera</t>
        </is>
      </c>
      <c r="H949" s="8" t="n">
        <v>8917436223</v>
      </c>
      <c r="I949" s="10" t="inlineStr">
        <is>
          <t>PE06052602</t>
        </is>
      </c>
      <c r="J949" s="8" t="inlineStr">
        <is>
          <t>Diode Bypass Module Issue</t>
        </is>
      </c>
      <c r="K949" s="8" t="inlineStr">
        <is>
          <t>Bhavnagar</t>
        </is>
      </c>
      <c r="L949" s="8" t="inlineStr">
        <is>
          <t>Gujarat</t>
        </is>
      </c>
      <c r="M949" s="2" t="inlineStr">
        <is>
          <t>PS</t>
        </is>
      </c>
      <c r="N949" s="1" t="inlineStr">
        <is>
          <t>Cold Soldering</t>
        </is>
      </c>
      <c r="O949" s="11" t="n">
        <v>540</v>
      </c>
      <c r="P949" s="2" t="inlineStr">
        <is>
          <t>NSMP2305191332</t>
        </is>
      </c>
      <c r="Q949" s="14">
        <f>MID(P949,5,2)</f>
        <v/>
      </c>
      <c r="R949" s="14">
        <f>MID(P949,7,2)</f>
        <v/>
      </c>
      <c r="S949" s="1" t="inlineStr">
        <is>
          <t>G2B</t>
        </is>
      </c>
      <c r="T949" s="1" t="inlineStr">
        <is>
          <t>P2 - PEPPL</t>
        </is>
      </c>
      <c r="U949" s="1" t="inlineStr">
        <is>
          <t>P JB Cold Soldering</t>
        </is>
      </c>
      <c r="V949" s="1" t="inlineStr">
        <is>
          <t>Soldering</t>
        </is>
      </c>
      <c r="W949" s="1" t="inlineStr">
        <is>
          <t>Repair</t>
        </is>
      </c>
      <c r="X949" s="5" t="n">
        <v>46181</v>
      </c>
      <c r="Y949" s="1">
        <f>IF(X949="","",X949-A949)</f>
        <v/>
      </c>
      <c r="Z949" s="5" t="n">
        <v>46181</v>
      </c>
      <c r="AA949" s="3" t="n"/>
      <c r="AB949" s="3" t="n"/>
      <c r="AE949" s="146">
        <f>IF(AND(F949="Closed",X949&gt;=DATE(2026,6,1),X949&lt;=DATE(2026,6,30)),"Closed in June","other")</f>
        <v/>
      </c>
    </row>
    <row r="950" hidden="1">
      <c r="A950" s="9" t="n">
        <v>46148</v>
      </c>
      <c r="B950" s="1" t="n">
        <v>2026</v>
      </c>
      <c r="C950" s="8" t="inlineStr">
        <is>
          <t>Continuum</t>
        </is>
      </c>
      <c r="D950" s="1" t="inlineStr">
        <is>
          <t>Utility and C&amp;I</t>
        </is>
      </c>
      <c r="E950" s="1" t="n"/>
      <c r="F950" s="1" t="inlineStr">
        <is>
          <t>Closed</t>
        </is>
      </c>
      <c r="G950" s="8" t="inlineStr">
        <is>
          <t>Amiya Ranjan Behera</t>
        </is>
      </c>
      <c r="H950" s="8" t="n">
        <v>8917436223</v>
      </c>
      <c r="I950" s="10" t="inlineStr">
        <is>
          <t>PE06052602</t>
        </is>
      </c>
      <c r="J950" s="8" t="inlineStr">
        <is>
          <t>Diode Bypass Module Issue</t>
        </is>
      </c>
      <c r="K950" s="8" t="inlineStr">
        <is>
          <t>Bhavnagar</t>
        </is>
      </c>
      <c r="L950" s="8" t="inlineStr">
        <is>
          <t>Gujarat</t>
        </is>
      </c>
      <c r="M950" s="2" t="inlineStr">
        <is>
          <t>PS</t>
        </is>
      </c>
      <c r="N950" s="1" t="inlineStr">
        <is>
          <t>Cold Soldering</t>
        </is>
      </c>
      <c r="O950" s="11" t="n">
        <v>540</v>
      </c>
      <c r="P950" s="2" t="inlineStr">
        <is>
          <t>NSMP2305191344</t>
        </is>
      </c>
      <c r="Q950" s="14">
        <f>MID(P950,5,2)</f>
        <v/>
      </c>
      <c r="R950" s="14">
        <f>MID(P950,7,2)</f>
        <v/>
      </c>
      <c r="S950" s="1" t="inlineStr">
        <is>
          <t>G2B</t>
        </is>
      </c>
      <c r="T950" s="1" t="inlineStr">
        <is>
          <t>P2 - PEPPL</t>
        </is>
      </c>
      <c r="U950" s="1" t="inlineStr">
        <is>
          <t>P JB Cold Soldering</t>
        </is>
      </c>
      <c r="V950" s="1" t="inlineStr">
        <is>
          <t>Soldering</t>
        </is>
      </c>
      <c r="W950" s="1" t="inlineStr">
        <is>
          <t>Repair</t>
        </is>
      </c>
      <c r="X950" s="5" t="n">
        <v>46181</v>
      </c>
      <c r="Y950" s="1">
        <f>IF(X950="","",X950-A950)</f>
        <v/>
      </c>
      <c r="Z950" s="5" t="n">
        <v>46181</v>
      </c>
      <c r="AA950" s="3" t="n"/>
      <c r="AB950" s="3" t="n"/>
      <c r="AE950" s="146">
        <f>IF(AND(F950="Closed",X950&gt;=DATE(2026,6,1),X950&lt;=DATE(2026,6,30)),"Closed in June","other")</f>
        <v/>
      </c>
    </row>
    <row r="951" hidden="1">
      <c r="A951" s="9" t="n">
        <v>46148</v>
      </c>
      <c r="B951" s="1" t="n">
        <v>2026</v>
      </c>
      <c r="C951" s="8" t="inlineStr">
        <is>
          <t>Continuum</t>
        </is>
      </c>
      <c r="D951" s="1" t="inlineStr">
        <is>
          <t>Utility and C&amp;I</t>
        </is>
      </c>
      <c r="E951" s="1" t="n"/>
      <c r="F951" s="1" t="inlineStr">
        <is>
          <t>Closed</t>
        </is>
      </c>
      <c r="G951" s="8" t="inlineStr">
        <is>
          <t>Amiya Ranjan Behera</t>
        </is>
      </c>
      <c r="H951" s="8" t="n">
        <v>8917436223</v>
      </c>
      <c r="I951" s="10" t="inlineStr">
        <is>
          <t>PE06052602</t>
        </is>
      </c>
      <c r="J951" s="8" t="inlineStr">
        <is>
          <t>Diode Bypass Module Issue</t>
        </is>
      </c>
      <c r="K951" s="8" t="inlineStr">
        <is>
          <t>Bhavnagar</t>
        </is>
      </c>
      <c r="L951" s="8" t="inlineStr">
        <is>
          <t>Gujarat</t>
        </is>
      </c>
      <c r="M951" s="2" t="inlineStr">
        <is>
          <t>PS</t>
        </is>
      </c>
      <c r="N951" s="1" t="inlineStr">
        <is>
          <t>Cold Soldering</t>
        </is>
      </c>
      <c r="O951" s="11" t="n">
        <v>540</v>
      </c>
      <c r="P951" s="2" t="inlineStr">
        <is>
          <t>NSMP2305192667</t>
        </is>
      </c>
      <c r="Q951" s="14">
        <f>MID(P951,5,2)</f>
        <v/>
      </c>
      <c r="R951" s="14">
        <f>MID(P951,7,2)</f>
        <v/>
      </c>
      <c r="S951" s="1" t="inlineStr">
        <is>
          <t>G2B</t>
        </is>
      </c>
      <c r="T951" s="1" t="inlineStr">
        <is>
          <t>P2 - PEPPL</t>
        </is>
      </c>
      <c r="U951" s="1" t="inlineStr">
        <is>
          <t>P JB Cold Soldering</t>
        </is>
      </c>
      <c r="V951" s="1" t="inlineStr">
        <is>
          <t>Soldering</t>
        </is>
      </c>
      <c r="W951" s="1" t="inlineStr">
        <is>
          <t>Repair</t>
        </is>
      </c>
      <c r="X951" s="5" t="n">
        <v>46181</v>
      </c>
      <c r="Y951" s="1">
        <f>IF(X951="","",X951-A951)</f>
        <v/>
      </c>
      <c r="Z951" s="5" t="n">
        <v>46181</v>
      </c>
      <c r="AA951" s="3" t="n"/>
      <c r="AB951" s="3" t="n"/>
      <c r="AE951" s="146">
        <f>IF(AND(F951="Closed",X951&gt;=DATE(2026,6,1),X951&lt;=DATE(2026,6,30)),"Closed in June","other")</f>
        <v/>
      </c>
    </row>
    <row r="952" hidden="1">
      <c r="A952" s="9" t="n">
        <v>46148</v>
      </c>
      <c r="B952" s="1" t="n">
        <v>2026</v>
      </c>
      <c r="C952" s="8" t="inlineStr">
        <is>
          <t>Continuum</t>
        </is>
      </c>
      <c r="D952" s="1" t="inlineStr">
        <is>
          <t>Utility and C&amp;I</t>
        </is>
      </c>
      <c r="E952" s="1" t="n"/>
      <c r="F952" s="1" t="inlineStr">
        <is>
          <t>Closed</t>
        </is>
      </c>
      <c r="G952" s="8" t="inlineStr">
        <is>
          <t>Amiya Ranjan Behera</t>
        </is>
      </c>
      <c r="H952" s="8" t="n">
        <v>8917436223</v>
      </c>
      <c r="I952" s="10" t="inlineStr">
        <is>
          <t>PE06052602</t>
        </is>
      </c>
      <c r="J952" s="8" t="inlineStr">
        <is>
          <t>Diode Bypass Module Issue</t>
        </is>
      </c>
      <c r="K952" s="8" t="inlineStr">
        <is>
          <t>Bhavnagar</t>
        </is>
      </c>
      <c r="L952" s="8" t="inlineStr">
        <is>
          <t>Gujarat</t>
        </is>
      </c>
      <c r="M952" s="2" t="inlineStr">
        <is>
          <t>PS</t>
        </is>
      </c>
      <c r="N952" s="1" t="inlineStr">
        <is>
          <t>Cold Soldering</t>
        </is>
      </c>
      <c r="O952" s="11" t="n">
        <v>540</v>
      </c>
      <c r="P952" s="2" t="inlineStr">
        <is>
          <t>NSMP2305191616</t>
        </is>
      </c>
      <c r="Q952" s="14">
        <f>MID(P952,5,2)</f>
        <v/>
      </c>
      <c r="R952" s="14">
        <f>MID(P952,7,2)</f>
        <v/>
      </c>
      <c r="S952" s="1" t="inlineStr">
        <is>
          <t>G2B</t>
        </is>
      </c>
      <c r="T952" s="1" t="inlineStr">
        <is>
          <t>P2 - PEPPL</t>
        </is>
      </c>
      <c r="U952" s="1" t="inlineStr">
        <is>
          <t>P JB Cold Soldering</t>
        </is>
      </c>
      <c r="V952" s="1" t="inlineStr">
        <is>
          <t>Soldering</t>
        </is>
      </c>
      <c r="W952" s="1" t="inlineStr">
        <is>
          <t>Repair</t>
        </is>
      </c>
      <c r="X952" s="5" t="n">
        <v>46181</v>
      </c>
      <c r="Y952" s="1">
        <f>IF(X952="","",X952-A952)</f>
        <v/>
      </c>
      <c r="Z952" s="5" t="n">
        <v>46181</v>
      </c>
      <c r="AA952" s="3" t="n"/>
      <c r="AB952" s="3" t="n"/>
      <c r="AE952" s="146">
        <f>IF(AND(F952="Closed",X952&gt;=DATE(2026,6,1),X952&lt;=DATE(2026,6,30)),"Closed in June","other")</f>
        <v/>
      </c>
    </row>
    <row r="953" hidden="1">
      <c r="A953" s="9" t="n">
        <v>46148</v>
      </c>
      <c r="B953" s="1" t="n">
        <v>2026</v>
      </c>
      <c r="C953" s="8" t="inlineStr">
        <is>
          <t>Continuum</t>
        </is>
      </c>
      <c r="D953" s="1" t="inlineStr">
        <is>
          <t>Utility and C&amp;I</t>
        </is>
      </c>
      <c r="E953" s="1" t="n"/>
      <c r="F953" s="1" t="inlineStr">
        <is>
          <t>Closed</t>
        </is>
      </c>
      <c r="G953" s="8" t="inlineStr">
        <is>
          <t>Amiya Ranjan Behera</t>
        </is>
      </c>
      <c r="H953" s="8" t="n">
        <v>8917436223</v>
      </c>
      <c r="I953" s="10" t="inlineStr">
        <is>
          <t>PE06052602</t>
        </is>
      </c>
      <c r="J953" s="8" t="inlineStr">
        <is>
          <t>Diode Bypass Module Issue</t>
        </is>
      </c>
      <c r="K953" s="8" t="inlineStr">
        <is>
          <t>Bhavnagar</t>
        </is>
      </c>
      <c r="L953" s="8" t="inlineStr">
        <is>
          <t>Gujarat</t>
        </is>
      </c>
      <c r="M953" s="2" t="inlineStr">
        <is>
          <t>PS</t>
        </is>
      </c>
      <c r="N953" s="1" t="inlineStr">
        <is>
          <t>Cold Soldering</t>
        </is>
      </c>
      <c r="O953" s="11" t="n">
        <v>540</v>
      </c>
      <c r="P953" s="2" t="inlineStr">
        <is>
          <t>NSMP2305132460</t>
        </is>
      </c>
      <c r="Q953" s="14">
        <f>MID(P953,5,2)</f>
        <v/>
      </c>
      <c r="R953" s="14">
        <f>MID(P953,7,2)</f>
        <v/>
      </c>
      <c r="S953" s="1" t="inlineStr">
        <is>
          <t>G2B</t>
        </is>
      </c>
      <c r="T953" s="1" t="inlineStr">
        <is>
          <t>P2 - PEPPL</t>
        </is>
      </c>
      <c r="U953" s="1" t="inlineStr">
        <is>
          <t>P JB Cold Soldering</t>
        </is>
      </c>
      <c r="V953" s="1" t="inlineStr">
        <is>
          <t>Soldering</t>
        </is>
      </c>
      <c r="W953" s="1" t="inlineStr">
        <is>
          <t>Repair</t>
        </is>
      </c>
      <c r="X953" s="5" t="n">
        <v>46181</v>
      </c>
      <c r="Y953" s="1">
        <f>IF(X953="","",X953-A953)</f>
        <v/>
      </c>
      <c r="Z953" s="5" t="n">
        <v>46181</v>
      </c>
      <c r="AA953" s="3" t="n"/>
      <c r="AB953" s="3" t="n"/>
      <c r="AE953" s="146">
        <f>IF(AND(F953="Closed",X953&gt;=DATE(2026,6,1),X953&lt;=DATE(2026,6,30)),"Closed in June","other")</f>
        <v/>
      </c>
    </row>
    <row r="954" hidden="1">
      <c r="A954" s="9" t="n">
        <v>46148</v>
      </c>
      <c r="B954" s="1" t="n">
        <v>2026</v>
      </c>
      <c r="C954" s="8" t="inlineStr">
        <is>
          <t>Continuum</t>
        </is>
      </c>
      <c r="D954" s="1" t="inlineStr">
        <is>
          <t>Utility and C&amp;I</t>
        </is>
      </c>
      <c r="E954" s="1" t="n"/>
      <c r="F954" s="1" t="inlineStr">
        <is>
          <t>Closed</t>
        </is>
      </c>
      <c r="G954" s="8" t="inlineStr">
        <is>
          <t>Amiya Ranjan Behera</t>
        </is>
      </c>
      <c r="H954" s="8" t="n">
        <v>8917436223</v>
      </c>
      <c r="I954" s="10" t="inlineStr">
        <is>
          <t>PE06052602</t>
        </is>
      </c>
      <c r="J954" s="8" t="inlineStr">
        <is>
          <t>Diode Bypass Module Issue</t>
        </is>
      </c>
      <c r="K954" s="8" t="inlineStr">
        <is>
          <t>Bhavnagar</t>
        </is>
      </c>
      <c r="L954" s="8" t="inlineStr">
        <is>
          <t>Gujarat</t>
        </is>
      </c>
      <c r="M954" s="2" t="inlineStr">
        <is>
          <t>PS</t>
        </is>
      </c>
      <c r="N954" s="1" t="inlineStr">
        <is>
          <t>Cold Soldering</t>
        </is>
      </c>
      <c r="O954" s="11" t="n">
        <v>540</v>
      </c>
      <c r="P954" s="2" t="inlineStr">
        <is>
          <t>NSMP2305131870</t>
        </is>
      </c>
      <c r="Q954" s="14">
        <f>MID(P954,5,2)</f>
        <v/>
      </c>
      <c r="R954" s="14">
        <f>MID(P954,7,2)</f>
        <v/>
      </c>
      <c r="S954" s="1" t="inlineStr">
        <is>
          <t>G2B</t>
        </is>
      </c>
      <c r="T954" s="1" t="inlineStr">
        <is>
          <t>P2 - PEPPL</t>
        </is>
      </c>
      <c r="U954" s="1" t="inlineStr">
        <is>
          <t>P JB Cold Soldering</t>
        </is>
      </c>
      <c r="V954" s="1" t="inlineStr">
        <is>
          <t>Soldering</t>
        </is>
      </c>
      <c r="W954" s="1" t="inlineStr">
        <is>
          <t>Repair</t>
        </is>
      </c>
      <c r="X954" s="5" t="n">
        <v>46181</v>
      </c>
      <c r="Y954" s="1">
        <f>IF(X954="","",X954-A954)</f>
        <v/>
      </c>
      <c r="Z954" s="5" t="n">
        <v>46181</v>
      </c>
      <c r="AA954" s="3" t="n"/>
      <c r="AB954" s="3" t="n"/>
      <c r="AE954" s="146">
        <f>IF(AND(F954="Closed",X954&gt;=DATE(2026,6,1),X954&lt;=DATE(2026,6,30)),"Closed in June","other")</f>
        <v/>
      </c>
    </row>
    <row r="955" hidden="1">
      <c r="A955" s="9" t="n">
        <v>46148</v>
      </c>
      <c r="B955" s="1" t="n">
        <v>2026</v>
      </c>
      <c r="C955" s="8" t="inlineStr">
        <is>
          <t>Continuum</t>
        </is>
      </c>
      <c r="D955" s="1" t="inlineStr">
        <is>
          <t>Utility and C&amp;I</t>
        </is>
      </c>
      <c r="E955" s="1" t="n"/>
      <c r="F955" s="1" t="inlineStr">
        <is>
          <t>Closed</t>
        </is>
      </c>
      <c r="G955" s="8" t="inlineStr">
        <is>
          <t>Amiya Ranjan Behera</t>
        </is>
      </c>
      <c r="H955" s="8" t="n">
        <v>8917436223</v>
      </c>
      <c r="I955" s="10" t="inlineStr">
        <is>
          <t>PE06052602</t>
        </is>
      </c>
      <c r="J955" s="8" t="inlineStr">
        <is>
          <t>Diode Bypass Module Issue</t>
        </is>
      </c>
      <c r="K955" s="8" t="inlineStr">
        <is>
          <t>Bhavnagar</t>
        </is>
      </c>
      <c r="L955" s="8" t="inlineStr">
        <is>
          <t>Gujarat</t>
        </is>
      </c>
      <c r="M955" s="2" t="inlineStr">
        <is>
          <t>PS</t>
        </is>
      </c>
      <c r="N955" s="1" t="inlineStr">
        <is>
          <t>Cold Soldering</t>
        </is>
      </c>
      <c r="O955" s="11" t="n">
        <v>540</v>
      </c>
      <c r="P955" s="2" t="inlineStr">
        <is>
          <t>NSMP2305132412</t>
        </is>
      </c>
      <c r="Q955" s="14">
        <f>MID(P955,5,2)</f>
        <v/>
      </c>
      <c r="R955" s="14">
        <f>MID(P955,7,2)</f>
        <v/>
      </c>
      <c r="S955" s="1" t="inlineStr">
        <is>
          <t>G2B</t>
        </is>
      </c>
      <c r="T955" s="1" t="inlineStr">
        <is>
          <t>P2 - PEPPL</t>
        </is>
      </c>
      <c r="U955" s="1" t="inlineStr">
        <is>
          <t>P JB Cold Soldering</t>
        </is>
      </c>
      <c r="V955" s="1" t="inlineStr">
        <is>
          <t>Soldering</t>
        </is>
      </c>
      <c r="W955" s="1" t="inlineStr">
        <is>
          <t>Repair</t>
        </is>
      </c>
      <c r="X955" s="5" t="n">
        <v>46181</v>
      </c>
      <c r="Y955" s="1">
        <f>IF(X955="","",X955-A955)</f>
        <v/>
      </c>
      <c r="Z955" s="5" t="n">
        <v>46181</v>
      </c>
      <c r="AA955" s="3" t="n"/>
      <c r="AB955" s="3" t="n"/>
      <c r="AE955" s="146">
        <f>IF(AND(F955="Closed",X955&gt;=DATE(2026,6,1),X955&lt;=DATE(2026,6,30)),"Closed in June","other")</f>
        <v/>
      </c>
    </row>
    <row r="956" hidden="1">
      <c r="A956" s="9" t="n">
        <v>46148</v>
      </c>
      <c r="B956" s="1" t="n">
        <v>2026</v>
      </c>
      <c r="C956" s="8" t="inlineStr">
        <is>
          <t>Continuum</t>
        </is>
      </c>
      <c r="D956" s="1" t="inlineStr">
        <is>
          <t>Utility and C&amp;I</t>
        </is>
      </c>
      <c r="E956" s="1" t="n"/>
      <c r="F956" s="1" t="inlineStr">
        <is>
          <t>Closed</t>
        </is>
      </c>
      <c r="G956" s="8" t="inlineStr">
        <is>
          <t>Amiya Ranjan Behera</t>
        </is>
      </c>
      <c r="H956" s="8" t="n">
        <v>8917436223</v>
      </c>
      <c r="I956" s="10" t="inlineStr">
        <is>
          <t>PE06052602</t>
        </is>
      </c>
      <c r="J956" s="8" t="inlineStr">
        <is>
          <t>Diode Bypass Module Issue</t>
        </is>
      </c>
      <c r="K956" s="8" t="inlineStr">
        <is>
          <t>Bhavnagar</t>
        </is>
      </c>
      <c r="L956" s="8" t="inlineStr">
        <is>
          <t>Gujarat</t>
        </is>
      </c>
      <c r="M956" s="2" t="inlineStr">
        <is>
          <t>NS</t>
        </is>
      </c>
      <c r="N956" s="8" t="inlineStr">
        <is>
          <t>Cold Soldering</t>
        </is>
      </c>
      <c r="O956" s="11" t="n">
        <v>540</v>
      </c>
      <c r="P956" s="2" t="inlineStr">
        <is>
          <t>NSMP2305182939</t>
        </is>
      </c>
      <c r="Q956" s="14">
        <f>MID(P956,5,2)</f>
        <v/>
      </c>
      <c r="R956" s="14">
        <f>MID(P956,7,2)</f>
        <v/>
      </c>
      <c r="S956" s="1" t="inlineStr">
        <is>
          <t>G2B</t>
        </is>
      </c>
      <c r="T956" s="1" t="inlineStr">
        <is>
          <t>P2 - PEPPL</t>
        </is>
      </c>
      <c r="U956" s="6" t="inlineStr">
        <is>
          <t>N JB Cold Soldering</t>
        </is>
      </c>
      <c r="V956" s="6" t="inlineStr">
        <is>
          <t>Soldering</t>
        </is>
      </c>
      <c r="W956" s="1" t="inlineStr">
        <is>
          <t>Repair</t>
        </is>
      </c>
      <c r="X956" s="5" t="n">
        <v>46181</v>
      </c>
      <c r="Y956" s="1">
        <f>IF(X956="","",X956-A956)</f>
        <v/>
      </c>
      <c r="Z956" s="5" t="n">
        <v>46181</v>
      </c>
      <c r="AA956" s="3" t="n"/>
      <c r="AB956" s="3" t="n"/>
      <c r="AE956" s="146">
        <f>IF(AND(F956="Closed",X956&gt;=DATE(2026,6,1),X956&lt;=DATE(2026,6,30)),"Closed in June","other")</f>
        <v/>
      </c>
    </row>
    <row r="957" hidden="1">
      <c r="A957" s="9" t="n">
        <v>46148</v>
      </c>
      <c r="B957" s="1" t="n">
        <v>2026</v>
      </c>
      <c r="C957" s="8" t="inlineStr">
        <is>
          <t>Continuum</t>
        </is>
      </c>
      <c r="D957" s="1" t="inlineStr">
        <is>
          <t>Utility and C&amp;I</t>
        </is>
      </c>
      <c r="E957" s="1" t="n"/>
      <c r="F957" s="1" t="inlineStr">
        <is>
          <t>Closed</t>
        </is>
      </c>
      <c r="G957" s="8" t="inlineStr">
        <is>
          <t>Amiya Ranjan Behera</t>
        </is>
      </c>
      <c r="H957" s="8" t="n">
        <v>8917436223</v>
      </c>
      <c r="I957" s="10" t="inlineStr">
        <is>
          <t>PE06052602</t>
        </is>
      </c>
      <c r="J957" s="8" t="inlineStr">
        <is>
          <t>Diode Bypass Module Issue</t>
        </is>
      </c>
      <c r="K957" s="8" t="inlineStr">
        <is>
          <t>Bhavnagar</t>
        </is>
      </c>
      <c r="L957" s="8" t="inlineStr">
        <is>
          <t>Gujarat</t>
        </is>
      </c>
      <c r="M957" s="2" t="inlineStr">
        <is>
          <t>PS</t>
        </is>
      </c>
      <c r="N957" s="1" t="inlineStr">
        <is>
          <t>Cold Soldering</t>
        </is>
      </c>
      <c r="O957" s="11" t="n">
        <v>540</v>
      </c>
      <c r="P957" s="2" t="inlineStr">
        <is>
          <t>NSMP2305191896</t>
        </is>
      </c>
      <c r="Q957" s="14">
        <f>MID(P957,5,2)</f>
        <v/>
      </c>
      <c r="R957" s="14">
        <f>MID(P957,7,2)</f>
        <v/>
      </c>
      <c r="S957" s="1" t="inlineStr">
        <is>
          <t>G2B</t>
        </is>
      </c>
      <c r="T957" s="1" t="inlineStr">
        <is>
          <t>P2 - PEPPL</t>
        </is>
      </c>
      <c r="U957" s="1" t="inlineStr">
        <is>
          <t>P JB Cold Soldering</t>
        </is>
      </c>
      <c r="V957" s="1" t="inlineStr">
        <is>
          <t>Soldering</t>
        </is>
      </c>
      <c r="W957" s="1" t="inlineStr">
        <is>
          <t>Repair</t>
        </is>
      </c>
      <c r="X957" s="5" t="n">
        <v>46181</v>
      </c>
      <c r="Y957" s="1">
        <f>IF(X957="","",X957-A957)</f>
        <v/>
      </c>
      <c r="Z957" s="5" t="n">
        <v>46181</v>
      </c>
      <c r="AA957" s="3" t="n"/>
      <c r="AB957" s="3" t="n"/>
      <c r="AE957" s="146">
        <f>IF(AND(F957="Closed",X957&gt;=DATE(2026,6,1),X957&lt;=DATE(2026,6,30)),"Closed in June","other")</f>
        <v/>
      </c>
    </row>
    <row r="958" hidden="1">
      <c r="A958" s="9" t="n">
        <v>46148</v>
      </c>
      <c r="B958" s="1" t="n">
        <v>2026</v>
      </c>
      <c r="C958" s="8" t="inlineStr">
        <is>
          <t>Continuum</t>
        </is>
      </c>
      <c r="D958" s="1" t="inlineStr">
        <is>
          <t>Utility and C&amp;I</t>
        </is>
      </c>
      <c r="E958" s="1" t="n"/>
      <c r="F958" s="1" t="inlineStr">
        <is>
          <t>Closed</t>
        </is>
      </c>
      <c r="G958" s="8" t="inlineStr">
        <is>
          <t>Amiya Ranjan Behera</t>
        </is>
      </c>
      <c r="H958" s="8" t="n">
        <v>8917436223</v>
      </c>
      <c r="I958" s="10" t="inlineStr">
        <is>
          <t>PE06052602</t>
        </is>
      </c>
      <c r="J958" s="8" t="inlineStr">
        <is>
          <t>Diode Bypass Module Issue</t>
        </is>
      </c>
      <c r="K958" s="8" t="inlineStr">
        <is>
          <t>Bhavnagar</t>
        </is>
      </c>
      <c r="L958" s="8" t="inlineStr">
        <is>
          <t>Gujarat</t>
        </is>
      </c>
      <c r="M958" s="2" t="inlineStr">
        <is>
          <t>PS</t>
        </is>
      </c>
      <c r="N958" s="1" t="inlineStr">
        <is>
          <t>Cold Soldering</t>
        </is>
      </c>
      <c r="O958" s="11" t="n">
        <v>540</v>
      </c>
      <c r="P958" s="2" t="inlineStr">
        <is>
          <t>NSMP2305191828</t>
        </is>
      </c>
      <c r="Q958" s="14">
        <f>MID(P958,5,2)</f>
        <v/>
      </c>
      <c r="R958" s="14">
        <f>MID(P958,7,2)</f>
        <v/>
      </c>
      <c r="S958" s="1" t="inlineStr">
        <is>
          <t>G2B</t>
        </is>
      </c>
      <c r="T958" s="1" t="inlineStr">
        <is>
          <t>P2 - PEPPL</t>
        </is>
      </c>
      <c r="U958" s="1" t="inlineStr">
        <is>
          <t>P JB Cold Soldering</t>
        </is>
      </c>
      <c r="V958" s="1" t="inlineStr">
        <is>
          <t>Soldering</t>
        </is>
      </c>
      <c r="W958" s="1" t="inlineStr">
        <is>
          <t>Repair</t>
        </is>
      </c>
      <c r="X958" s="5" t="n">
        <v>46181</v>
      </c>
      <c r="Y958" s="1">
        <f>IF(X958="","",X958-A958)</f>
        <v/>
      </c>
      <c r="Z958" s="5" t="n">
        <v>46181</v>
      </c>
      <c r="AA958" s="3" t="n"/>
      <c r="AB958" s="3" t="n"/>
      <c r="AE958" s="146">
        <f>IF(AND(F958="Closed",X958&gt;=DATE(2026,6,1),X958&lt;=DATE(2026,6,30)),"Closed in June","other")</f>
        <v/>
      </c>
    </row>
    <row r="959" hidden="1">
      <c r="A959" s="9" t="n">
        <v>46148</v>
      </c>
      <c r="B959" s="1" t="n">
        <v>2026</v>
      </c>
      <c r="C959" s="8" t="inlineStr">
        <is>
          <t>Continuum</t>
        </is>
      </c>
      <c r="D959" s="1" t="inlineStr">
        <is>
          <t>Utility and C&amp;I</t>
        </is>
      </c>
      <c r="E959" s="1" t="n"/>
      <c r="F959" s="1" t="inlineStr">
        <is>
          <t>Closed</t>
        </is>
      </c>
      <c r="G959" s="8" t="inlineStr">
        <is>
          <t>Amiya Ranjan Behera</t>
        </is>
      </c>
      <c r="H959" s="8" t="n">
        <v>8917436223</v>
      </c>
      <c r="I959" s="10" t="inlineStr">
        <is>
          <t>PE06052602</t>
        </is>
      </c>
      <c r="J959" s="8" t="inlineStr">
        <is>
          <t>Diode Bypass Module Issue</t>
        </is>
      </c>
      <c r="K959" s="8" t="inlineStr">
        <is>
          <t>Bhavnagar</t>
        </is>
      </c>
      <c r="L959" s="8" t="inlineStr">
        <is>
          <t>Gujarat</t>
        </is>
      </c>
      <c r="M959" s="2" t="inlineStr">
        <is>
          <t>PS</t>
        </is>
      </c>
      <c r="N959" s="1" t="inlineStr">
        <is>
          <t>Cold Soldering</t>
        </is>
      </c>
      <c r="O959" s="11" t="n">
        <v>540</v>
      </c>
      <c r="P959" s="2" t="inlineStr">
        <is>
          <t>NSMP2305191610</t>
        </is>
      </c>
      <c r="Q959" s="14">
        <f>MID(P959,5,2)</f>
        <v/>
      </c>
      <c r="R959" s="14">
        <f>MID(P959,7,2)</f>
        <v/>
      </c>
      <c r="S959" s="1" t="inlineStr">
        <is>
          <t>G2B</t>
        </is>
      </c>
      <c r="T959" s="1" t="inlineStr">
        <is>
          <t>P2 - PEPPL</t>
        </is>
      </c>
      <c r="U959" s="1" t="inlineStr">
        <is>
          <t>P JB Cold Soldering</t>
        </is>
      </c>
      <c r="V959" s="1" t="inlineStr">
        <is>
          <t>Soldering</t>
        </is>
      </c>
      <c r="W959" s="1" t="inlineStr">
        <is>
          <t>Repair</t>
        </is>
      </c>
      <c r="X959" s="5" t="n">
        <v>46181</v>
      </c>
      <c r="Y959" s="1">
        <f>IF(X959="","",X959-A959)</f>
        <v/>
      </c>
      <c r="Z959" s="5" t="n">
        <v>46181</v>
      </c>
      <c r="AA959" s="3" t="n"/>
      <c r="AB959" s="3" t="n"/>
      <c r="AE959" s="146">
        <f>IF(AND(F959="Closed",X959&gt;=DATE(2026,6,1),X959&lt;=DATE(2026,6,30)),"Closed in June","other")</f>
        <v/>
      </c>
    </row>
    <row r="960" hidden="1">
      <c r="A960" s="9" t="n">
        <v>46148</v>
      </c>
      <c r="B960" s="1" t="n">
        <v>2026</v>
      </c>
      <c r="C960" s="8" t="inlineStr">
        <is>
          <t>Continuum</t>
        </is>
      </c>
      <c r="D960" s="1" t="inlineStr">
        <is>
          <t>Utility and C&amp;I</t>
        </is>
      </c>
      <c r="E960" s="1" t="n"/>
      <c r="F960" s="1" t="inlineStr">
        <is>
          <t>Closed</t>
        </is>
      </c>
      <c r="G960" s="8" t="inlineStr">
        <is>
          <t>Amiya Ranjan Behera</t>
        </is>
      </c>
      <c r="H960" s="8" t="n">
        <v>8917436223</v>
      </c>
      <c r="I960" s="10" t="inlineStr">
        <is>
          <t>PE06052602</t>
        </is>
      </c>
      <c r="J960" s="8" t="inlineStr">
        <is>
          <t>Diode Bypass Module Issue</t>
        </is>
      </c>
      <c r="K960" s="8" t="inlineStr">
        <is>
          <t>Bhavnagar</t>
        </is>
      </c>
      <c r="L960" s="8" t="inlineStr">
        <is>
          <t>Gujarat</t>
        </is>
      </c>
      <c r="M960" s="2" t="inlineStr">
        <is>
          <t>PS</t>
        </is>
      </c>
      <c r="N960" s="1" t="inlineStr">
        <is>
          <t>Cold Soldering</t>
        </is>
      </c>
      <c r="O960" s="11" t="n">
        <v>540</v>
      </c>
      <c r="P960" s="2" t="inlineStr">
        <is>
          <t>NSMP2305130630</t>
        </is>
      </c>
      <c r="Q960" s="14">
        <f>MID(P960,5,2)</f>
        <v/>
      </c>
      <c r="R960" s="14">
        <f>MID(P960,7,2)</f>
        <v/>
      </c>
      <c r="S960" s="1" t="inlineStr">
        <is>
          <t>G2B</t>
        </is>
      </c>
      <c r="T960" s="1" t="inlineStr">
        <is>
          <t>P2 - PEPPL</t>
        </is>
      </c>
      <c r="U960" s="1" t="inlineStr">
        <is>
          <t>P JB Cold Soldering</t>
        </is>
      </c>
      <c r="V960" s="1" t="inlineStr">
        <is>
          <t>Soldering</t>
        </is>
      </c>
      <c r="W960" s="1" t="inlineStr">
        <is>
          <t>Repair</t>
        </is>
      </c>
      <c r="X960" s="5" t="n">
        <v>46181</v>
      </c>
      <c r="Y960" s="1">
        <f>IF(X960="","",X960-A960)</f>
        <v/>
      </c>
      <c r="Z960" s="5" t="n">
        <v>46181</v>
      </c>
      <c r="AA960" s="3" t="n"/>
      <c r="AB960" s="3" t="n"/>
      <c r="AE960" s="146">
        <f>IF(AND(F960="Closed",X960&gt;=DATE(2026,6,1),X960&lt;=DATE(2026,6,30)),"Closed in June","other")</f>
        <v/>
      </c>
    </row>
    <row r="961" hidden="1">
      <c r="A961" s="9" t="n">
        <v>46148</v>
      </c>
      <c r="B961" s="1" t="n">
        <v>2026</v>
      </c>
      <c r="C961" s="8" t="inlineStr">
        <is>
          <t>Continuum</t>
        </is>
      </c>
      <c r="D961" s="1" t="inlineStr">
        <is>
          <t>Utility and C&amp;I</t>
        </is>
      </c>
      <c r="E961" s="1" t="n"/>
      <c r="F961" s="1" t="inlineStr">
        <is>
          <t>Closed</t>
        </is>
      </c>
      <c r="G961" s="8" t="inlineStr">
        <is>
          <t>Amiya Ranjan Behera</t>
        </is>
      </c>
      <c r="H961" s="8" t="n">
        <v>8917436223</v>
      </c>
      <c r="I961" s="10" t="inlineStr">
        <is>
          <t>PE06052602</t>
        </is>
      </c>
      <c r="J961" s="8" t="inlineStr">
        <is>
          <t>Diode Bypass Module Issue</t>
        </is>
      </c>
      <c r="K961" s="8" t="inlineStr">
        <is>
          <t>Bhavnagar</t>
        </is>
      </c>
      <c r="L961" s="8" t="inlineStr">
        <is>
          <t>Gujarat</t>
        </is>
      </c>
      <c r="M961" s="2" t="inlineStr">
        <is>
          <t>PS</t>
        </is>
      </c>
      <c r="N961" s="1" t="inlineStr">
        <is>
          <t>Cold Soldering</t>
        </is>
      </c>
      <c r="O961" s="11" t="n">
        <v>540</v>
      </c>
      <c r="P961" s="2" t="inlineStr">
        <is>
          <t>NSMP2305130595</t>
        </is>
      </c>
      <c r="Q961" s="14">
        <f>MID(P961,5,2)</f>
        <v/>
      </c>
      <c r="R961" s="14">
        <f>MID(P961,7,2)</f>
        <v/>
      </c>
      <c r="S961" s="1" t="inlineStr">
        <is>
          <t>G2B</t>
        </is>
      </c>
      <c r="T961" s="1" t="inlineStr">
        <is>
          <t>P2 - PEPPL</t>
        </is>
      </c>
      <c r="U961" s="1" t="inlineStr">
        <is>
          <t>P JB Cold Soldering</t>
        </is>
      </c>
      <c r="V961" s="1" t="inlineStr">
        <is>
          <t>Soldering</t>
        </is>
      </c>
      <c r="W961" s="1" t="inlineStr">
        <is>
          <t>Repair</t>
        </is>
      </c>
      <c r="X961" s="5" t="n">
        <v>46181</v>
      </c>
      <c r="Y961" s="1">
        <f>IF(X961="","",X961-A961)</f>
        <v/>
      </c>
      <c r="Z961" s="5" t="n">
        <v>46181</v>
      </c>
      <c r="AA961" s="3" t="n"/>
      <c r="AB961" s="3" t="n"/>
      <c r="AE961" s="146">
        <f>IF(AND(F961="Closed",X961&gt;=DATE(2026,6,1),X961&lt;=DATE(2026,6,30)),"Closed in June","other")</f>
        <v/>
      </c>
    </row>
    <row r="962" hidden="1">
      <c r="A962" s="9" t="n">
        <v>46148</v>
      </c>
      <c r="B962" s="1" t="n">
        <v>2026</v>
      </c>
      <c r="C962" s="8" t="inlineStr">
        <is>
          <t>Continuum</t>
        </is>
      </c>
      <c r="D962" s="1" t="inlineStr">
        <is>
          <t>Utility and C&amp;I</t>
        </is>
      </c>
      <c r="E962" s="1" t="n"/>
      <c r="F962" s="1" t="inlineStr">
        <is>
          <t>Closed</t>
        </is>
      </c>
      <c r="G962" s="8" t="inlineStr">
        <is>
          <t>Amiya Ranjan Behera</t>
        </is>
      </c>
      <c r="H962" s="8" t="n">
        <v>8917436223</v>
      </c>
      <c r="I962" s="10" t="inlineStr">
        <is>
          <t>PE06052602</t>
        </is>
      </c>
      <c r="J962" s="8" t="inlineStr">
        <is>
          <t>Diode Bypass Module Issue</t>
        </is>
      </c>
      <c r="K962" s="8" t="inlineStr">
        <is>
          <t>Bhavnagar</t>
        </is>
      </c>
      <c r="L962" s="8" t="inlineStr">
        <is>
          <t>Gujarat</t>
        </is>
      </c>
      <c r="M962" s="2" t="inlineStr">
        <is>
          <t>PS</t>
        </is>
      </c>
      <c r="N962" s="1" t="inlineStr">
        <is>
          <t>Cold Soldering</t>
        </is>
      </c>
      <c r="O962" s="11" t="n">
        <v>540</v>
      </c>
      <c r="P962" s="2" t="inlineStr">
        <is>
          <t>NSMP2305130634</t>
        </is>
      </c>
      <c r="Q962" s="14">
        <f>MID(P962,5,2)</f>
        <v/>
      </c>
      <c r="R962" s="14">
        <f>MID(P962,7,2)</f>
        <v/>
      </c>
      <c r="S962" s="1" t="inlineStr">
        <is>
          <t>G2B</t>
        </is>
      </c>
      <c r="T962" s="1" t="inlineStr">
        <is>
          <t>P2 - PEPPL</t>
        </is>
      </c>
      <c r="U962" s="1" t="inlineStr">
        <is>
          <t>P JB Cold Soldering</t>
        </is>
      </c>
      <c r="V962" s="1" t="inlineStr">
        <is>
          <t>Soldering</t>
        </is>
      </c>
      <c r="W962" s="1" t="inlineStr">
        <is>
          <t>Repair</t>
        </is>
      </c>
      <c r="X962" s="5" t="n">
        <v>46181</v>
      </c>
      <c r="Y962" s="1">
        <f>IF(X962="","",X962-A962)</f>
        <v/>
      </c>
      <c r="Z962" s="5" t="n">
        <v>46181</v>
      </c>
      <c r="AA962" s="3" t="n"/>
      <c r="AB962" s="3" t="n"/>
      <c r="AE962" s="146">
        <f>IF(AND(F962="Closed",X962&gt;=DATE(2026,6,1),X962&lt;=DATE(2026,6,30)),"Closed in June","other")</f>
        <v/>
      </c>
    </row>
    <row r="963" hidden="1">
      <c r="A963" s="9" t="n">
        <v>46148</v>
      </c>
      <c r="B963" s="1" t="n">
        <v>2026</v>
      </c>
      <c r="C963" s="8" t="inlineStr">
        <is>
          <t>Continuum</t>
        </is>
      </c>
      <c r="D963" s="1" t="inlineStr">
        <is>
          <t>Utility and C&amp;I</t>
        </is>
      </c>
      <c r="E963" s="1" t="n"/>
      <c r="F963" s="1" t="inlineStr">
        <is>
          <t>Closed</t>
        </is>
      </c>
      <c r="G963" s="8" t="inlineStr">
        <is>
          <t>Amiya Ranjan Behera</t>
        </is>
      </c>
      <c r="H963" s="8" t="n">
        <v>8917436223</v>
      </c>
      <c r="I963" s="10" t="inlineStr">
        <is>
          <t>PE06052602</t>
        </is>
      </c>
      <c r="J963" s="8" t="inlineStr">
        <is>
          <t>Diode Bypass Module Issue</t>
        </is>
      </c>
      <c r="K963" s="8" t="inlineStr">
        <is>
          <t>Bhavnagar</t>
        </is>
      </c>
      <c r="L963" s="8" t="inlineStr">
        <is>
          <t>Gujarat</t>
        </is>
      </c>
      <c r="M963" s="2" t="inlineStr">
        <is>
          <t>PS</t>
        </is>
      </c>
      <c r="N963" s="1" t="inlineStr">
        <is>
          <t>Cold Soldering</t>
        </is>
      </c>
      <c r="O963" s="11" t="n">
        <v>540</v>
      </c>
      <c r="P963" s="2" t="inlineStr">
        <is>
          <t>NSMP2305194257</t>
        </is>
      </c>
      <c r="Q963" s="14">
        <f>MID(P963,5,2)</f>
        <v/>
      </c>
      <c r="R963" s="14">
        <f>MID(P963,7,2)</f>
        <v/>
      </c>
      <c r="S963" s="1" t="inlineStr">
        <is>
          <t>G2B</t>
        </is>
      </c>
      <c r="T963" s="1" t="inlineStr">
        <is>
          <t>P2 - PEPPL</t>
        </is>
      </c>
      <c r="U963" s="1" t="inlineStr">
        <is>
          <t>P JB Cold Soldering</t>
        </is>
      </c>
      <c r="V963" s="1" t="inlineStr">
        <is>
          <t>Soldering</t>
        </is>
      </c>
      <c r="W963" s="1" t="inlineStr">
        <is>
          <t>Repair</t>
        </is>
      </c>
      <c r="X963" s="5" t="n">
        <v>46181</v>
      </c>
      <c r="Y963" s="1">
        <f>IF(X963="","",X963-A963)</f>
        <v/>
      </c>
      <c r="Z963" s="5" t="n">
        <v>46181</v>
      </c>
      <c r="AA963" s="3" t="n"/>
      <c r="AB963" s="3" t="n"/>
      <c r="AE963" s="146">
        <f>IF(AND(F963="Closed",X963&gt;=DATE(2026,6,1),X963&lt;=DATE(2026,6,30)),"Closed in June","other")</f>
        <v/>
      </c>
    </row>
    <row r="964" hidden="1">
      <c r="A964" s="9" t="n">
        <v>46148</v>
      </c>
      <c r="B964" s="1" t="n">
        <v>2026</v>
      </c>
      <c r="C964" s="8" t="inlineStr">
        <is>
          <t>Continuum</t>
        </is>
      </c>
      <c r="D964" s="1" t="inlineStr">
        <is>
          <t>Utility and C&amp;I</t>
        </is>
      </c>
      <c r="E964" s="1" t="n"/>
      <c r="F964" s="1" t="inlineStr">
        <is>
          <t>Closed</t>
        </is>
      </c>
      <c r="G964" s="8" t="inlineStr">
        <is>
          <t>Amiya Ranjan Behera</t>
        </is>
      </c>
      <c r="H964" s="8" t="n">
        <v>8917436223</v>
      </c>
      <c r="I964" s="10" t="inlineStr">
        <is>
          <t>PE06052602</t>
        </is>
      </c>
      <c r="J964" s="8" t="inlineStr">
        <is>
          <t>Diode Bypass Module Issue</t>
        </is>
      </c>
      <c r="K964" s="8" t="inlineStr">
        <is>
          <t>Bhavnagar</t>
        </is>
      </c>
      <c r="L964" s="8" t="inlineStr">
        <is>
          <t>Gujarat</t>
        </is>
      </c>
      <c r="M964" s="2" t="inlineStr">
        <is>
          <t>PS</t>
        </is>
      </c>
      <c r="N964" s="1" t="inlineStr">
        <is>
          <t>Cold Soldering</t>
        </is>
      </c>
      <c r="O964" s="11" t="n">
        <v>540</v>
      </c>
      <c r="P964" s="2" t="inlineStr">
        <is>
          <t>NSMP2305130744</t>
        </is>
      </c>
      <c r="Q964" s="14">
        <f>MID(P964,5,2)</f>
        <v/>
      </c>
      <c r="R964" s="14">
        <f>MID(P964,7,2)</f>
        <v/>
      </c>
      <c r="S964" s="1" t="inlineStr">
        <is>
          <t>G2B</t>
        </is>
      </c>
      <c r="T964" s="1" t="inlineStr">
        <is>
          <t>P2 - PEPPL</t>
        </is>
      </c>
      <c r="U964" s="1" t="inlineStr">
        <is>
          <t>P JB Cold Soldering</t>
        </is>
      </c>
      <c r="V964" s="1" t="inlineStr">
        <is>
          <t>Soldering</t>
        </is>
      </c>
      <c r="W964" s="1" t="inlineStr">
        <is>
          <t>Repair</t>
        </is>
      </c>
      <c r="X964" s="5" t="n">
        <v>46181</v>
      </c>
      <c r="Y964" s="1">
        <f>IF(X964="","",X964-A964)</f>
        <v/>
      </c>
      <c r="Z964" s="5" t="n">
        <v>46181</v>
      </c>
      <c r="AA964" s="3" t="n"/>
      <c r="AB964" s="3" t="n"/>
      <c r="AE964" s="146">
        <f>IF(AND(F964="Closed",X964&gt;=DATE(2026,6,1),X964&lt;=DATE(2026,6,30)),"Closed in June","other")</f>
        <v/>
      </c>
    </row>
    <row r="965" hidden="1">
      <c r="A965" s="9" t="n">
        <v>46148</v>
      </c>
      <c r="B965" s="1" t="n">
        <v>2026</v>
      </c>
      <c r="C965" s="8" t="inlineStr">
        <is>
          <t>Continuum</t>
        </is>
      </c>
      <c r="D965" s="1" t="inlineStr">
        <is>
          <t>Utility and C&amp;I</t>
        </is>
      </c>
      <c r="E965" s="1" t="n"/>
      <c r="F965" s="1" t="inlineStr">
        <is>
          <t>Closed</t>
        </is>
      </c>
      <c r="G965" s="8" t="inlineStr">
        <is>
          <t>Amiya Ranjan Behera</t>
        </is>
      </c>
      <c r="H965" s="8" t="n">
        <v>8917436223</v>
      </c>
      <c r="I965" s="10" t="inlineStr">
        <is>
          <t>PE06052602</t>
        </is>
      </c>
      <c r="J965" s="8" t="inlineStr">
        <is>
          <t>Diode Bypass Module Issue</t>
        </is>
      </c>
      <c r="K965" s="8" t="inlineStr">
        <is>
          <t>Bhavnagar</t>
        </is>
      </c>
      <c r="L965" s="8" t="inlineStr">
        <is>
          <t>Gujarat</t>
        </is>
      </c>
      <c r="M965" s="2" t="inlineStr">
        <is>
          <t>NS</t>
        </is>
      </c>
      <c r="N965" s="8" t="inlineStr">
        <is>
          <t>Cold Soldering</t>
        </is>
      </c>
      <c r="O965" s="11" t="n">
        <v>540</v>
      </c>
      <c r="P965" s="2" t="inlineStr">
        <is>
          <t>NSMP2305194723</t>
        </is>
      </c>
      <c r="Q965" s="14">
        <f>MID(P965,5,2)</f>
        <v/>
      </c>
      <c r="R965" s="14">
        <f>MID(P965,7,2)</f>
        <v/>
      </c>
      <c r="S965" s="1" t="inlineStr">
        <is>
          <t>G2B</t>
        </is>
      </c>
      <c r="T965" s="1" t="inlineStr">
        <is>
          <t>P2 - PEPPL</t>
        </is>
      </c>
      <c r="U965" s="6" t="inlineStr">
        <is>
          <t>N JB Cold Soldering</t>
        </is>
      </c>
      <c r="V965" s="6" t="inlineStr">
        <is>
          <t>Soldering</t>
        </is>
      </c>
      <c r="W965" s="1" t="inlineStr">
        <is>
          <t>Repair</t>
        </is>
      </c>
      <c r="X965" s="5" t="n">
        <v>46181</v>
      </c>
      <c r="Y965" s="1">
        <f>IF(X965="","",X965-A965)</f>
        <v/>
      </c>
      <c r="Z965" s="5" t="n">
        <v>46181</v>
      </c>
      <c r="AA965" s="3" t="n"/>
      <c r="AB965" s="3" t="n"/>
      <c r="AE965" s="146">
        <f>IF(AND(F965="Closed",X965&gt;=DATE(2026,6,1),X965&lt;=DATE(2026,6,30)),"Closed in June","other")</f>
        <v/>
      </c>
    </row>
    <row r="966" hidden="1">
      <c r="A966" s="9" t="n">
        <v>46148</v>
      </c>
      <c r="B966" s="1" t="n">
        <v>2026</v>
      </c>
      <c r="C966" s="8" t="inlineStr">
        <is>
          <t>Continuum</t>
        </is>
      </c>
      <c r="D966" s="1" t="inlineStr">
        <is>
          <t>Utility and C&amp;I</t>
        </is>
      </c>
      <c r="E966" s="1" t="n"/>
      <c r="F966" s="1" t="inlineStr">
        <is>
          <t>Closed</t>
        </is>
      </c>
      <c r="G966" s="8" t="inlineStr">
        <is>
          <t>Amiya Ranjan Behera</t>
        </is>
      </c>
      <c r="H966" s="8" t="n">
        <v>8917436223</v>
      </c>
      <c r="I966" s="10" t="inlineStr">
        <is>
          <t>PE06052602</t>
        </is>
      </c>
      <c r="J966" s="8" t="inlineStr">
        <is>
          <t>Diode Bypass Module Issue</t>
        </is>
      </c>
      <c r="K966" s="8" t="inlineStr">
        <is>
          <t>Bhavnagar</t>
        </is>
      </c>
      <c r="L966" s="8" t="inlineStr">
        <is>
          <t>Gujarat</t>
        </is>
      </c>
      <c r="M966" s="2" t="inlineStr">
        <is>
          <t>OK</t>
        </is>
      </c>
      <c r="N966" s="2" t="inlineStr">
        <is>
          <t>No Issue Found</t>
        </is>
      </c>
      <c r="O966" s="11" t="n">
        <v>540</v>
      </c>
      <c r="P966" s="2" t="inlineStr">
        <is>
          <t>NSMP2305194722</t>
        </is>
      </c>
      <c r="Q966" s="14">
        <f>MID(P966,5,2)</f>
        <v/>
      </c>
      <c r="R966" s="14">
        <f>MID(P966,7,2)</f>
        <v/>
      </c>
      <c r="S966" s="1" t="inlineStr">
        <is>
          <t>G2B</t>
        </is>
      </c>
      <c r="T966" s="1" t="inlineStr">
        <is>
          <t>P2 - PEPPL</t>
        </is>
      </c>
      <c r="U966" s="6" t="inlineStr">
        <is>
          <t>No Issue Found</t>
        </is>
      </c>
      <c r="V966" s="6" t="inlineStr">
        <is>
          <t>Inspection</t>
        </is>
      </c>
      <c r="W966" s="1" t="inlineStr">
        <is>
          <t>Rejected</t>
        </is>
      </c>
      <c r="X966" s="5" t="n">
        <v>46181</v>
      </c>
      <c r="Y966" s="1">
        <f>IF(X966="","",X966-A966)</f>
        <v/>
      </c>
      <c r="Z966" s="5" t="n">
        <v>46181</v>
      </c>
      <c r="AA966" s="3" t="n"/>
      <c r="AB966" s="3" t="n"/>
      <c r="AE966" s="146">
        <f>IF(AND(F966="Closed",X966&gt;=DATE(2026,6,1),X966&lt;=DATE(2026,6,30)),"Closed in June","other")</f>
        <v/>
      </c>
    </row>
    <row r="967" hidden="1">
      <c r="A967" s="9" t="n">
        <v>46148</v>
      </c>
      <c r="B967" s="1" t="n">
        <v>2026</v>
      </c>
      <c r="C967" s="8" t="inlineStr">
        <is>
          <t>Continuum</t>
        </is>
      </c>
      <c r="D967" s="1" t="inlineStr">
        <is>
          <t>Utility and C&amp;I</t>
        </is>
      </c>
      <c r="E967" s="1" t="n"/>
      <c r="F967" s="1" t="inlineStr">
        <is>
          <t>Closed</t>
        </is>
      </c>
      <c r="G967" s="8" t="inlineStr">
        <is>
          <t>Amiya Ranjan Behera</t>
        </is>
      </c>
      <c r="H967" s="8" t="n">
        <v>8917436223</v>
      </c>
      <c r="I967" s="10" t="inlineStr">
        <is>
          <t>PE06052602</t>
        </is>
      </c>
      <c r="J967" s="8" t="inlineStr">
        <is>
          <t>Diode Bypass Module Issue</t>
        </is>
      </c>
      <c r="K967" s="8" t="inlineStr">
        <is>
          <t>Bhavnagar</t>
        </is>
      </c>
      <c r="L967" s="8" t="inlineStr">
        <is>
          <t>Gujarat</t>
        </is>
      </c>
      <c r="M967" s="2" t="inlineStr">
        <is>
          <t>PS</t>
        </is>
      </c>
      <c r="N967" s="1" t="inlineStr">
        <is>
          <t>Cold Soldering</t>
        </is>
      </c>
      <c r="O967" s="11" t="n">
        <v>540</v>
      </c>
      <c r="P967" s="2" t="inlineStr">
        <is>
          <t>NSMP2305194682</t>
        </is>
      </c>
      <c r="Q967" s="14">
        <f>MID(P967,5,2)</f>
        <v/>
      </c>
      <c r="R967" s="14">
        <f>MID(P967,7,2)</f>
        <v/>
      </c>
      <c r="S967" s="1" t="inlineStr">
        <is>
          <t>G2B</t>
        </is>
      </c>
      <c r="T967" s="1" t="inlineStr">
        <is>
          <t>P2 - PEPPL</t>
        </is>
      </c>
      <c r="U967" s="1" t="inlineStr">
        <is>
          <t>P JB Cold Soldering</t>
        </is>
      </c>
      <c r="V967" s="1" t="inlineStr">
        <is>
          <t>Soldering</t>
        </is>
      </c>
      <c r="W967" s="1" t="inlineStr">
        <is>
          <t>Repair</t>
        </is>
      </c>
      <c r="X967" s="5" t="n">
        <v>46181</v>
      </c>
      <c r="Y967" s="1">
        <f>IF(X967="","",X967-A967)</f>
        <v/>
      </c>
      <c r="Z967" s="5" t="n">
        <v>46181</v>
      </c>
      <c r="AA967" s="3" t="n"/>
      <c r="AB967" s="3" t="n"/>
      <c r="AE967" s="146">
        <f>IF(AND(F967="Closed",X967&gt;=DATE(2026,6,1),X967&lt;=DATE(2026,6,30)),"Closed in June","other")</f>
        <v/>
      </c>
    </row>
    <row r="968" hidden="1">
      <c r="A968" s="9" t="n">
        <v>46148</v>
      </c>
      <c r="B968" s="1" t="n">
        <v>2026</v>
      </c>
      <c r="C968" s="8" t="inlineStr">
        <is>
          <t>Continuum</t>
        </is>
      </c>
      <c r="D968" s="1" t="inlineStr">
        <is>
          <t>Utility and C&amp;I</t>
        </is>
      </c>
      <c r="E968" s="1" t="n"/>
      <c r="F968" s="1" t="inlineStr">
        <is>
          <t>Closed</t>
        </is>
      </c>
      <c r="G968" s="8" t="inlineStr">
        <is>
          <t>Amiya Ranjan Behera</t>
        </is>
      </c>
      <c r="H968" s="8" t="n">
        <v>8917436223</v>
      </c>
      <c r="I968" s="10" t="inlineStr">
        <is>
          <t>PE06052602</t>
        </is>
      </c>
      <c r="J968" s="8" t="inlineStr">
        <is>
          <t>Diode Bypass Module Issue</t>
        </is>
      </c>
      <c r="K968" s="8" t="inlineStr">
        <is>
          <t>Bhavnagar</t>
        </is>
      </c>
      <c r="L968" s="8" t="inlineStr">
        <is>
          <t>Gujarat</t>
        </is>
      </c>
      <c r="M968" s="2" t="inlineStr">
        <is>
          <t>PS</t>
        </is>
      </c>
      <c r="N968" s="1" t="inlineStr">
        <is>
          <t>Cold Soldering</t>
        </is>
      </c>
      <c r="O968" s="11" t="n">
        <v>540</v>
      </c>
      <c r="P968" s="2" t="inlineStr">
        <is>
          <t>NSMP2305130749</t>
        </is>
      </c>
      <c r="Q968" s="14">
        <f>MID(P968,5,2)</f>
        <v/>
      </c>
      <c r="R968" s="14">
        <f>MID(P968,7,2)</f>
        <v/>
      </c>
      <c r="S968" s="1" t="inlineStr">
        <is>
          <t>G2B</t>
        </is>
      </c>
      <c r="T968" s="1" t="inlineStr">
        <is>
          <t>P2 - PEPPL</t>
        </is>
      </c>
      <c r="U968" s="1" t="inlineStr">
        <is>
          <t>P JB Cold Soldering</t>
        </is>
      </c>
      <c r="V968" s="1" t="inlineStr">
        <is>
          <t>Soldering</t>
        </is>
      </c>
      <c r="W968" s="1" t="inlineStr">
        <is>
          <t>Repair</t>
        </is>
      </c>
      <c r="X968" s="5" t="n">
        <v>46181</v>
      </c>
      <c r="Y968" s="1">
        <f>IF(X968="","",X968-A968)</f>
        <v/>
      </c>
      <c r="Z968" s="5" t="n">
        <v>46181</v>
      </c>
      <c r="AA968" s="3" t="n"/>
      <c r="AB968" s="3" t="n"/>
      <c r="AE968" s="146">
        <f>IF(AND(F968="Closed",X968&gt;=DATE(2026,6,1),X968&lt;=DATE(2026,6,30)),"Closed in June","other")</f>
        <v/>
      </c>
    </row>
    <row r="969" hidden="1">
      <c r="A969" s="9" t="n">
        <v>46148</v>
      </c>
      <c r="B969" s="1" t="n">
        <v>2026</v>
      </c>
      <c r="C969" s="8" t="inlineStr">
        <is>
          <t>Continuum</t>
        </is>
      </c>
      <c r="D969" s="1" t="inlineStr">
        <is>
          <t>Utility and C&amp;I</t>
        </is>
      </c>
      <c r="E969" s="1" t="n"/>
      <c r="F969" s="1" t="inlineStr">
        <is>
          <t>Closed</t>
        </is>
      </c>
      <c r="G969" s="8" t="inlineStr">
        <is>
          <t>Amiya Ranjan Behera</t>
        </is>
      </c>
      <c r="H969" s="8" t="n">
        <v>8917436223</v>
      </c>
      <c r="I969" s="10" t="inlineStr">
        <is>
          <t>PE06052602</t>
        </is>
      </c>
      <c r="J969" s="8" t="inlineStr">
        <is>
          <t>Diode Bypass Module Issue</t>
        </is>
      </c>
      <c r="K969" s="8" t="inlineStr">
        <is>
          <t>Bhavnagar</t>
        </is>
      </c>
      <c r="L969" s="8" t="inlineStr">
        <is>
          <t>Gujarat</t>
        </is>
      </c>
      <c r="M969" s="2" t="inlineStr">
        <is>
          <t>NR</t>
        </is>
      </c>
      <c r="N969" s="8" t="inlineStr">
        <is>
          <t>JB Issue</t>
        </is>
      </c>
      <c r="O969" s="11" t="n">
        <v>540</v>
      </c>
      <c r="P969" s="2" t="inlineStr">
        <is>
          <t>NSMP2305122620</t>
        </is>
      </c>
      <c r="Q969" s="14">
        <f>MID(P969,5,2)</f>
        <v/>
      </c>
      <c r="R969" s="14">
        <f>MID(P969,7,2)</f>
        <v/>
      </c>
      <c r="S969" s="1" t="inlineStr">
        <is>
          <t>G2B</t>
        </is>
      </c>
      <c r="T969" s="1" t="inlineStr">
        <is>
          <t>P2 - PEPPL</t>
        </is>
      </c>
      <c r="U969" s="6" t="inlineStr">
        <is>
          <t>N JB Issue</t>
        </is>
      </c>
      <c r="V969" s="6" t="inlineStr">
        <is>
          <t>JB Changed</t>
        </is>
      </c>
      <c r="W969" s="1" t="inlineStr">
        <is>
          <t>Repair</t>
        </is>
      </c>
      <c r="X969" s="5" t="n">
        <v>46181</v>
      </c>
      <c r="Y969" s="1">
        <f>IF(X969="","",X969-A969)</f>
        <v/>
      </c>
      <c r="Z969" s="5" t="n">
        <v>46181</v>
      </c>
      <c r="AA969" s="3" t="n"/>
      <c r="AB969" s="3" t="n"/>
      <c r="AE969" s="146">
        <f>IF(AND(F969="Closed",X969&gt;=DATE(2026,6,1),X969&lt;=DATE(2026,6,30)),"Closed in June","other")</f>
        <v/>
      </c>
    </row>
    <row r="970" hidden="1">
      <c r="A970" s="9" t="n">
        <v>46148</v>
      </c>
      <c r="B970" s="1" t="n">
        <v>2026</v>
      </c>
      <c r="C970" s="8" t="inlineStr">
        <is>
          <t>Continuum</t>
        </is>
      </c>
      <c r="D970" s="1" t="inlineStr">
        <is>
          <t>Utility and C&amp;I</t>
        </is>
      </c>
      <c r="E970" s="1" t="n"/>
      <c r="F970" s="1" t="inlineStr">
        <is>
          <t>Closed</t>
        </is>
      </c>
      <c r="G970" s="8" t="inlineStr">
        <is>
          <t>Amiya Ranjan Behera</t>
        </is>
      </c>
      <c r="H970" s="8" t="n">
        <v>8917436223</v>
      </c>
      <c r="I970" s="10" t="inlineStr">
        <is>
          <t>PE06052602</t>
        </is>
      </c>
      <c r="J970" s="8" t="inlineStr">
        <is>
          <t>Diode Bypass Module Issue</t>
        </is>
      </c>
      <c r="K970" s="8" t="inlineStr">
        <is>
          <t>Bhavnagar</t>
        </is>
      </c>
      <c r="L970" s="8" t="inlineStr">
        <is>
          <t>Gujarat</t>
        </is>
      </c>
      <c r="M970" s="2" t="inlineStr">
        <is>
          <t>PS</t>
        </is>
      </c>
      <c r="N970" s="1" t="inlineStr">
        <is>
          <t>Cold Soldering</t>
        </is>
      </c>
      <c r="O970" s="11" t="n">
        <v>540</v>
      </c>
      <c r="P970" s="2" t="inlineStr">
        <is>
          <t>NSMP2305194497</t>
        </is>
      </c>
      <c r="Q970" s="14">
        <f>MID(P970,5,2)</f>
        <v/>
      </c>
      <c r="R970" s="14">
        <f>MID(P970,7,2)</f>
        <v/>
      </c>
      <c r="S970" s="1" t="inlineStr">
        <is>
          <t>G2B</t>
        </is>
      </c>
      <c r="T970" s="1" t="inlineStr">
        <is>
          <t>P2 - PEPPL</t>
        </is>
      </c>
      <c r="U970" s="1" t="inlineStr">
        <is>
          <t>P JB Cold Soldering</t>
        </is>
      </c>
      <c r="V970" s="1" t="inlineStr">
        <is>
          <t>Soldering</t>
        </is>
      </c>
      <c r="W970" s="1" t="inlineStr">
        <is>
          <t>Repair</t>
        </is>
      </c>
      <c r="X970" s="5" t="n">
        <v>46181</v>
      </c>
      <c r="Y970" s="1">
        <f>IF(X970="","",X970-A970)</f>
        <v/>
      </c>
      <c r="Z970" s="5" t="n">
        <v>46181</v>
      </c>
      <c r="AA970" s="3" t="n"/>
      <c r="AB970" s="3" t="n"/>
      <c r="AE970" s="146">
        <f>IF(AND(F970="Closed",X970&gt;=DATE(2026,6,1),X970&lt;=DATE(2026,6,30)),"Closed in June","other")</f>
        <v/>
      </c>
    </row>
    <row r="971" hidden="1">
      <c r="A971" s="9" t="n">
        <v>46148</v>
      </c>
      <c r="B971" s="1" t="n">
        <v>2026</v>
      </c>
      <c r="C971" s="8" t="inlineStr">
        <is>
          <t>Continuum</t>
        </is>
      </c>
      <c r="D971" s="1" t="inlineStr">
        <is>
          <t>Utility and C&amp;I</t>
        </is>
      </c>
      <c r="E971" s="1" t="n"/>
      <c r="F971" s="1" t="inlineStr">
        <is>
          <t>Closed</t>
        </is>
      </c>
      <c r="G971" s="8" t="inlineStr">
        <is>
          <t>Amiya Ranjan Behera</t>
        </is>
      </c>
      <c r="H971" s="8" t="n">
        <v>8917436223</v>
      </c>
      <c r="I971" s="10" t="inlineStr">
        <is>
          <t>PE06052602</t>
        </is>
      </c>
      <c r="J971" s="8" t="inlineStr">
        <is>
          <t>Diode Bypass Module Issue</t>
        </is>
      </c>
      <c r="K971" s="8" t="inlineStr">
        <is>
          <t>Bhavnagar</t>
        </is>
      </c>
      <c r="L971" s="8" t="inlineStr">
        <is>
          <t>Gujarat</t>
        </is>
      </c>
      <c r="M971" s="2" t="inlineStr">
        <is>
          <t>PS</t>
        </is>
      </c>
      <c r="N971" s="1" t="inlineStr">
        <is>
          <t>Cold Soldering</t>
        </is>
      </c>
      <c r="O971" s="11" t="n">
        <v>540</v>
      </c>
      <c r="P971" s="2" t="inlineStr">
        <is>
          <t>NSMP2305194534</t>
        </is>
      </c>
      <c r="Q971" s="14">
        <f>MID(P971,5,2)</f>
        <v/>
      </c>
      <c r="R971" s="14">
        <f>MID(P971,7,2)</f>
        <v/>
      </c>
      <c r="S971" s="1" t="inlineStr">
        <is>
          <t>G2B</t>
        </is>
      </c>
      <c r="T971" s="1" t="inlineStr">
        <is>
          <t>P2 - PEPPL</t>
        </is>
      </c>
      <c r="U971" s="1" t="inlineStr">
        <is>
          <t>P JB Cold Soldering</t>
        </is>
      </c>
      <c r="V971" s="1" t="inlineStr">
        <is>
          <t>Soldering</t>
        </is>
      </c>
      <c r="W971" s="1" t="inlineStr">
        <is>
          <t>Repair</t>
        </is>
      </c>
      <c r="X971" s="5" t="n">
        <v>46181</v>
      </c>
      <c r="Y971" s="1">
        <f>IF(X971="","",X971-A971)</f>
        <v/>
      </c>
      <c r="Z971" s="5" t="n">
        <v>46181</v>
      </c>
      <c r="AA971" s="3" t="n"/>
      <c r="AB971" s="3" t="n"/>
      <c r="AE971" s="146">
        <f>IF(AND(F971="Closed",X971&gt;=DATE(2026,6,1),X971&lt;=DATE(2026,6,30)),"Closed in June","other")</f>
        <v/>
      </c>
    </row>
    <row r="972" hidden="1">
      <c r="A972" s="9" t="n">
        <v>46148</v>
      </c>
      <c r="B972" s="1" t="n">
        <v>2026</v>
      </c>
      <c r="C972" s="8" t="inlineStr">
        <is>
          <t>Continuum</t>
        </is>
      </c>
      <c r="D972" s="1" t="inlineStr">
        <is>
          <t>Utility and C&amp;I</t>
        </is>
      </c>
      <c r="E972" s="1" t="n"/>
      <c r="F972" s="1" t="inlineStr">
        <is>
          <t>Closed</t>
        </is>
      </c>
      <c r="G972" s="8" t="inlineStr">
        <is>
          <t>Amiya Ranjan Behera</t>
        </is>
      </c>
      <c r="H972" s="8" t="n">
        <v>8917436223</v>
      </c>
      <c r="I972" s="10" t="inlineStr">
        <is>
          <t>PE06052602</t>
        </is>
      </c>
      <c r="J972" s="8" t="inlineStr">
        <is>
          <t>Diode Bypass Module Issue</t>
        </is>
      </c>
      <c r="K972" s="8" t="inlineStr">
        <is>
          <t>Bhavnagar</t>
        </is>
      </c>
      <c r="L972" s="8" t="inlineStr">
        <is>
          <t>Gujarat</t>
        </is>
      </c>
      <c r="M972" s="2" t="inlineStr">
        <is>
          <t>PS</t>
        </is>
      </c>
      <c r="N972" s="1" t="inlineStr">
        <is>
          <t>Cold Soldering</t>
        </is>
      </c>
      <c r="O972" s="11" t="n">
        <v>540</v>
      </c>
      <c r="P972" s="2" t="inlineStr">
        <is>
          <t>NSMP2305194537</t>
        </is>
      </c>
      <c r="Q972" s="14">
        <f>MID(P972,5,2)</f>
        <v/>
      </c>
      <c r="R972" s="14">
        <f>MID(P972,7,2)</f>
        <v/>
      </c>
      <c r="S972" s="1" t="inlineStr">
        <is>
          <t>G2B</t>
        </is>
      </c>
      <c r="T972" s="1" t="inlineStr">
        <is>
          <t>P2 - PEPPL</t>
        </is>
      </c>
      <c r="U972" s="1" t="inlineStr">
        <is>
          <t>P JB Cold Soldering</t>
        </is>
      </c>
      <c r="V972" s="1" t="inlineStr">
        <is>
          <t>Soldering</t>
        </is>
      </c>
      <c r="W972" s="1" t="inlineStr">
        <is>
          <t>Repair</t>
        </is>
      </c>
      <c r="X972" s="5" t="n">
        <v>46181</v>
      </c>
      <c r="Y972" s="1">
        <f>IF(X972="","",X972-A972)</f>
        <v/>
      </c>
      <c r="Z972" s="5" t="n">
        <v>46181</v>
      </c>
      <c r="AA972" s="3" t="n"/>
      <c r="AB972" s="3" t="n"/>
      <c r="AE972" s="146">
        <f>IF(AND(F972="Closed",X972&gt;=DATE(2026,6,1),X972&lt;=DATE(2026,6,30)),"Closed in June","other")</f>
        <v/>
      </c>
    </row>
    <row r="973" hidden="1">
      <c r="A973" s="9" t="n">
        <v>46148</v>
      </c>
      <c r="B973" s="1" t="n">
        <v>2026</v>
      </c>
      <c r="C973" s="8" t="inlineStr">
        <is>
          <t>Continuum</t>
        </is>
      </c>
      <c r="D973" s="1" t="inlineStr">
        <is>
          <t>Utility and C&amp;I</t>
        </is>
      </c>
      <c r="E973" s="1" t="n"/>
      <c r="F973" s="1" t="inlineStr">
        <is>
          <t>Closed</t>
        </is>
      </c>
      <c r="G973" s="8" t="inlineStr">
        <is>
          <t>Amiya Ranjan Behera</t>
        </is>
      </c>
      <c r="H973" s="8" t="n">
        <v>8917436223</v>
      </c>
      <c r="I973" s="10" t="inlineStr">
        <is>
          <t>PE06052602</t>
        </is>
      </c>
      <c r="J973" s="8" t="inlineStr">
        <is>
          <t>Diode Bypass Module Issue</t>
        </is>
      </c>
      <c r="K973" s="8" t="inlineStr">
        <is>
          <t>Bhavnagar</t>
        </is>
      </c>
      <c r="L973" s="8" t="inlineStr">
        <is>
          <t>Gujarat</t>
        </is>
      </c>
      <c r="M973" s="2" t="inlineStr">
        <is>
          <t>PS</t>
        </is>
      </c>
      <c r="N973" s="1" t="inlineStr">
        <is>
          <t>Cold Soldering</t>
        </is>
      </c>
      <c r="O973" s="11" t="n">
        <v>540</v>
      </c>
      <c r="P973" s="2" t="inlineStr">
        <is>
          <t>NSMP2305189848</t>
        </is>
      </c>
      <c r="Q973" s="14">
        <f>MID(P973,5,2)</f>
        <v/>
      </c>
      <c r="R973" s="14">
        <f>MID(P973,7,2)</f>
        <v/>
      </c>
      <c r="S973" s="1" t="inlineStr">
        <is>
          <t>G2B</t>
        </is>
      </c>
      <c r="T973" s="1" t="inlineStr">
        <is>
          <t>P2 - PEPPL</t>
        </is>
      </c>
      <c r="U973" s="1" t="inlineStr">
        <is>
          <t>P JB Cold Soldering</t>
        </is>
      </c>
      <c r="V973" s="1" t="inlineStr">
        <is>
          <t>Soldering</t>
        </is>
      </c>
      <c r="W973" s="1" t="inlineStr">
        <is>
          <t>Repair</t>
        </is>
      </c>
      <c r="X973" s="5" t="n">
        <v>46182</v>
      </c>
      <c r="Y973" s="1">
        <f>IF(X973="","",X973-A973)</f>
        <v/>
      </c>
      <c r="Z973" s="5" t="n">
        <v>46182</v>
      </c>
      <c r="AA973" s="3" t="n"/>
      <c r="AB973" s="3" t="n"/>
      <c r="AE973" s="146">
        <f>IF(AND(F973="Closed",X973&gt;=DATE(2026,6,1),X973&lt;=DATE(2026,6,30)),"Closed in June","other")</f>
        <v/>
      </c>
    </row>
    <row r="974" hidden="1">
      <c r="A974" s="9" t="n">
        <v>46148</v>
      </c>
      <c r="B974" s="1" t="n">
        <v>2026</v>
      </c>
      <c r="C974" s="8" t="inlineStr">
        <is>
          <t>Continuum</t>
        </is>
      </c>
      <c r="D974" s="1" t="inlineStr">
        <is>
          <t>Utility and C&amp;I</t>
        </is>
      </c>
      <c r="E974" s="1" t="n"/>
      <c r="F974" s="1" t="inlineStr">
        <is>
          <t>Closed</t>
        </is>
      </c>
      <c r="G974" s="8" t="inlineStr">
        <is>
          <t>Amiya Ranjan Behera</t>
        </is>
      </c>
      <c r="H974" s="8" t="n">
        <v>8917436223</v>
      </c>
      <c r="I974" s="10" t="inlineStr">
        <is>
          <t>PE06052602</t>
        </is>
      </c>
      <c r="J974" s="8" t="inlineStr">
        <is>
          <t>Diode Bypass Module Issue</t>
        </is>
      </c>
      <c r="K974" s="8" t="inlineStr">
        <is>
          <t>Bhavnagar</t>
        </is>
      </c>
      <c r="L974" s="8" t="inlineStr">
        <is>
          <t>Gujarat</t>
        </is>
      </c>
      <c r="M974" s="2" t="inlineStr">
        <is>
          <t>PS</t>
        </is>
      </c>
      <c r="N974" s="1" t="inlineStr">
        <is>
          <t>Cold Soldering</t>
        </is>
      </c>
      <c r="O974" s="11" t="n">
        <v>540</v>
      </c>
      <c r="P974" s="2" t="inlineStr">
        <is>
          <t>NSMP2305189844</t>
        </is>
      </c>
      <c r="Q974" s="14">
        <f>MID(P974,5,2)</f>
        <v/>
      </c>
      <c r="R974" s="14">
        <f>MID(P974,7,2)</f>
        <v/>
      </c>
      <c r="S974" s="1" t="inlineStr">
        <is>
          <t>G2B</t>
        </is>
      </c>
      <c r="T974" s="1" t="inlineStr">
        <is>
          <t>P2 - PEPPL</t>
        </is>
      </c>
      <c r="U974" s="1" t="inlineStr">
        <is>
          <t>P JB Cold Soldering</t>
        </is>
      </c>
      <c r="V974" s="1" t="inlineStr">
        <is>
          <t>Soldering</t>
        </is>
      </c>
      <c r="W974" s="1" t="inlineStr">
        <is>
          <t>Repair</t>
        </is>
      </c>
      <c r="X974" s="5" t="n">
        <v>46182</v>
      </c>
      <c r="Y974" s="1">
        <f>IF(X974="","",X974-A974)</f>
        <v/>
      </c>
      <c r="Z974" s="5" t="n">
        <v>46182</v>
      </c>
      <c r="AA974" s="3" t="n"/>
      <c r="AB974" s="3" t="n"/>
      <c r="AE974" s="146">
        <f>IF(AND(F974="Closed",X974&gt;=DATE(2026,6,1),X974&lt;=DATE(2026,6,30)),"Closed in June","other")</f>
        <v/>
      </c>
    </row>
    <row r="975" hidden="1">
      <c r="A975" s="9" t="n">
        <v>46148</v>
      </c>
      <c r="B975" s="1" t="n">
        <v>2026</v>
      </c>
      <c r="C975" s="8" t="inlineStr">
        <is>
          <t>Continuum</t>
        </is>
      </c>
      <c r="D975" s="1" t="inlineStr">
        <is>
          <t>Utility and C&amp;I</t>
        </is>
      </c>
      <c r="E975" s="1" t="n"/>
      <c r="F975" s="1" t="inlineStr">
        <is>
          <t>Closed</t>
        </is>
      </c>
      <c r="G975" s="8" t="inlineStr">
        <is>
          <t>Amiya Ranjan Behera</t>
        </is>
      </c>
      <c r="H975" s="8" t="n">
        <v>8917436223</v>
      </c>
      <c r="I975" s="10" t="inlineStr">
        <is>
          <t>PE06052602</t>
        </is>
      </c>
      <c r="J975" s="8" t="inlineStr">
        <is>
          <t>Diode Bypass Module Issue</t>
        </is>
      </c>
      <c r="K975" s="8" t="inlineStr">
        <is>
          <t>Bhavnagar</t>
        </is>
      </c>
      <c r="L975" s="8" t="inlineStr">
        <is>
          <t>Gujarat</t>
        </is>
      </c>
      <c r="M975" s="2" t="inlineStr">
        <is>
          <t>PS</t>
        </is>
      </c>
      <c r="N975" s="1" t="inlineStr">
        <is>
          <t>Cold Soldering</t>
        </is>
      </c>
      <c r="O975" s="11" t="n">
        <v>540</v>
      </c>
      <c r="P975" s="2" t="inlineStr">
        <is>
          <t>NSMP2305191824</t>
        </is>
      </c>
      <c r="Q975" s="14">
        <f>MID(P975,5,2)</f>
        <v/>
      </c>
      <c r="R975" s="14">
        <f>MID(P975,7,2)</f>
        <v/>
      </c>
      <c r="S975" s="1" t="inlineStr">
        <is>
          <t>G2B</t>
        </is>
      </c>
      <c r="T975" s="1" t="inlineStr">
        <is>
          <t>P2 - PEPPL</t>
        </is>
      </c>
      <c r="U975" s="1" t="inlineStr">
        <is>
          <t>P JB Cold Soldering</t>
        </is>
      </c>
      <c r="V975" s="1" t="inlineStr">
        <is>
          <t>Soldering</t>
        </is>
      </c>
      <c r="W975" s="1" t="inlineStr">
        <is>
          <t>Repair</t>
        </is>
      </c>
      <c r="X975" s="5" t="n">
        <v>46182</v>
      </c>
      <c r="Y975" s="1">
        <f>IF(X975="","",X975-A975)</f>
        <v/>
      </c>
      <c r="Z975" s="5" t="n">
        <v>46182</v>
      </c>
      <c r="AA975" s="3" t="n"/>
      <c r="AB975" s="3" t="n"/>
      <c r="AE975" s="146">
        <f>IF(AND(F975="Closed",X975&gt;=DATE(2026,6,1),X975&lt;=DATE(2026,6,30)),"Closed in June","other")</f>
        <v/>
      </c>
    </row>
    <row r="976" hidden="1">
      <c r="A976" s="9" t="n">
        <v>46148</v>
      </c>
      <c r="B976" s="1" t="n">
        <v>2026</v>
      </c>
      <c r="C976" s="8" t="inlineStr">
        <is>
          <t>Continuum</t>
        </is>
      </c>
      <c r="D976" s="1" t="inlineStr">
        <is>
          <t>Utility and C&amp;I</t>
        </is>
      </c>
      <c r="E976" s="1" t="n"/>
      <c r="F976" s="1" t="inlineStr">
        <is>
          <t>Closed</t>
        </is>
      </c>
      <c r="G976" s="8" t="inlineStr">
        <is>
          <t>Amiya Ranjan Behera</t>
        </is>
      </c>
      <c r="H976" s="8" t="n">
        <v>8917436223</v>
      </c>
      <c r="I976" s="10" t="inlineStr">
        <is>
          <t>PE06052602</t>
        </is>
      </c>
      <c r="J976" s="8" t="inlineStr">
        <is>
          <t>Diode Bypass Module Issue</t>
        </is>
      </c>
      <c r="K976" s="8" t="inlineStr">
        <is>
          <t>Bhavnagar</t>
        </is>
      </c>
      <c r="L976" s="8" t="inlineStr">
        <is>
          <t>Gujarat</t>
        </is>
      </c>
      <c r="M976" s="2" t="inlineStr">
        <is>
          <t>PS</t>
        </is>
      </c>
      <c r="N976" s="1" t="inlineStr">
        <is>
          <t>Cold Soldering</t>
        </is>
      </c>
      <c r="O976" s="11" t="n">
        <v>540</v>
      </c>
      <c r="P976" s="2" t="inlineStr">
        <is>
          <t>NSMP2305191375</t>
        </is>
      </c>
      <c r="Q976" s="14">
        <f>MID(P976,5,2)</f>
        <v/>
      </c>
      <c r="R976" s="14">
        <f>MID(P976,7,2)</f>
        <v/>
      </c>
      <c r="S976" s="1" t="inlineStr">
        <is>
          <t>G2B</t>
        </is>
      </c>
      <c r="T976" s="1" t="inlineStr">
        <is>
          <t>P2 - PEPPL</t>
        </is>
      </c>
      <c r="U976" s="1" t="inlineStr">
        <is>
          <t>P JB Cold Soldering</t>
        </is>
      </c>
      <c r="V976" s="1" t="inlineStr">
        <is>
          <t>Soldering</t>
        </is>
      </c>
      <c r="W976" s="1" t="inlineStr">
        <is>
          <t>Repair</t>
        </is>
      </c>
      <c r="X976" s="5" t="n">
        <v>46182</v>
      </c>
      <c r="Y976" s="1">
        <f>IF(X976="","",X976-A976)</f>
        <v/>
      </c>
      <c r="Z976" s="5" t="n">
        <v>46182</v>
      </c>
      <c r="AA976" s="3" t="n"/>
      <c r="AB976" s="3" t="n"/>
      <c r="AE976" s="146">
        <f>IF(AND(F976="Closed",X976&gt;=DATE(2026,6,1),X976&lt;=DATE(2026,6,30)),"Closed in June","other")</f>
        <v/>
      </c>
    </row>
    <row r="977" hidden="1">
      <c r="A977" s="9" t="n">
        <v>46148</v>
      </c>
      <c r="B977" s="1" t="n">
        <v>2026</v>
      </c>
      <c r="C977" s="8" t="inlineStr">
        <is>
          <t>Continuum</t>
        </is>
      </c>
      <c r="D977" s="1" t="inlineStr">
        <is>
          <t>Utility and C&amp;I</t>
        </is>
      </c>
      <c r="E977" s="1" t="n"/>
      <c r="F977" s="1" t="inlineStr">
        <is>
          <t>Closed</t>
        </is>
      </c>
      <c r="G977" s="8" t="inlineStr">
        <is>
          <t>Amiya Ranjan Behera</t>
        </is>
      </c>
      <c r="H977" s="8" t="n">
        <v>8917436223</v>
      </c>
      <c r="I977" s="10" t="inlineStr">
        <is>
          <t>PE06052602</t>
        </is>
      </c>
      <c r="J977" s="8" t="inlineStr">
        <is>
          <t>Diode Bypass Module Issue</t>
        </is>
      </c>
      <c r="K977" s="8" t="inlineStr">
        <is>
          <t>Bhavnagar</t>
        </is>
      </c>
      <c r="L977" s="8" t="inlineStr">
        <is>
          <t>Gujarat</t>
        </is>
      </c>
      <c r="M977" s="2" t="inlineStr">
        <is>
          <t>PS</t>
        </is>
      </c>
      <c r="N977" s="1" t="inlineStr">
        <is>
          <t>Cold Soldering</t>
        </is>
      </c>
      <c r="O977" s="11" t="n">
        <v>540</v>
      </c>
      <c r="P977" s="2" t="inlineStr">
        <is>
          <t>NSMP2305189846</t>
        </is>
      </c>
      <c r="Q977" s="14">
        <f>MID(P977,5,2)</f>
        <v/>
      </c>
      <c r="R977" s="14">
        <f>MID(P977,7,2)</f>
        <v/>
      </c>
      <c r="S977" s="1" t="inlineStr">
        <is>
          <t>G2B</t>
        </is>
      </c>
      <c r="T977" s="1" t="inlineStr">
        <is>
          <t>P2 - PEPPL</t>
        </is>
      </c>
      <c r="U977" s="1" t="inlineStr">
        <is>
          <t>P JB Cold Soldering</t>
        </is>
      </c>
      <c r="V977" s="1" t="inlineStr">
        <is>
          <t>Soldering</t>
        </is>
      </c>
      <c r="W977" s="1" t="inlineStr">
        <is>
          <t>Repair</t>
        </is>
      </c>
      <c r="X977" s="5" t="n">
        <v>46182</v>
      </c>
      <c r="Y977" s="1">
        <f>IF(X977="","",X977-A977)</f>
        <v/>
      </c>
      <c r="Z977" s="5" t="n">
        <v>46182</v>
      </c>
      <c r="AA977" s="3" t="n"/>
      <c r="AB977" s="3" t="n"/>
      <c r="AE977" s="146">
        <f>IF(AND(F977="Closed",X977&gt;=DATE(2026,6,1),X977&lt;=DATE(2026,6,30)),"Closed in June","other")</f>
        <v/>
      </c>
    </row>
    <row r="978" hidden="1">
      <c r="A978" s="9" t="n">
        <v>46148</v>
      </c>
      <c r="B978" s="1" t="n">
        <v>2026</v>
      </c>
      <c r="C978" s="8" t="inlineStr">
        <is>
          <t>Continuum</t>
        </is>
      </c>
      <c r="D978" s="1" t="inlineStr">
        <is>
          <t>Utility and C&amp;I</t>
        </is>
      </c>
      <c r="E978" s="1" t="n"/>
      <c r="F978" s="1" t="inlineStr">
        <is>
          <t>Closed</t>
        </is>
      </c>
      <c r="G978" s="8" t="inlineStr">
        <is>
          <t>Amiya Ranjan Behera</t>
        </is>
      </c>
      <c r="H978" s="8" t="n">
        <v>8917436223</v>
      </c>
      <c r="I978" s="10" t="inlineStr">
        <is>
          <t>PE06052602</t>
        </is>
      </c>
      <c r="J978" s="8" t="inlineStr">
        <is>
          <t>Diode Bypass Module Issue</t>
        </is>
      </c>
      <c r="K978" s="8" t="inlineStr">
        <is>
          <t>Bhavnagar</t>
        </is>
      </c>
      <c r="L978" s="8" t="inlineStr">
        <is>
          <t>Gujarat</t>
        </is>
      </c>
      <c r="M978" s="2" t="inlineStr">
        <is>
          <t>PS</t>
        </is>
      </c>
      <c r="N978" s="1" t="inlineStr">
        <is>
          <t>Cold Soldering</t>
        </is>
      </c>
      <c r="O978" s="11" t="n">
        <v>540</v>
      </c>
      <c r="P978" s="2" t="inlineStr">
        <is>
          <t>NSMP2305191810</t>
        </is>
      </c>
      <c r="Q978" s="14">
        <f>MID(P978,5,2)</f>
        <v/>
      </c>
      <c r="R978" s="14">
        <f>MID(P978,7,2)</f>
        <v/>
      </c>
      <c r="S978" s="1" t="inlineStr">
        <is>
          <t>G2B</t>
        </is>
      </c>
      <c r="T978" s="1" t="inlineStr">
        <is>
          <t>P2 - PEPPL</t>
        </is>
      </c>
      <c r="U978" s="1" t="inlineStr">
        <is>
          <t>P JB Cold Soldering</t>
        </is>
      </c>
      <c r="V978" s="1" t="inlineStr">
        <is>
          <t>Soldering</t>
        </is>
      </c>
      <c r="W978" s="1" t="inlineStr">
        <is>
          <t>Repair</t>
        </is>
      </c>
      <c r="X978" s="5" t="n">
        <v>46182</v>
      </c>
      <c r="Y978" s="1">
        <f>IF(X978="","",X978-A978)</f>
        <v/>
      </c>
      <c r="Z978" s="5" t="n">
        <v>46182</v>
      </c>
      <c r="AA978" s="3" t="n"/>
      <c r="AB978" s="3" t="n"/>
      <c r="AE978" s="146">
        <f>IF(AND(F978="Closed",X978&gt;=DATE(2026,6,1),X978&lt;=DATE(2026,6,30)),"Closed in June","other")</f>
        <v/>
      </c>
    </row>
    <row r="979" hidden="1">
      <c r="A979" s="9" t="n">
        <v>46148</v>
      </c>
      <c r="B979" s="1" t="n">
        <v>2026</v>
      </c>
      <c r="C979" s="8" t="inlineStr">
        <is>
          <t>Continuum</t>
        </is>
      </c>
      <c r="D979" s="1" t="inlineStr">
        <is>
          <t>Utility and C&amp;I</t>
        </is>
      </c>
      <c r="E979" s="1" t="n"/>
      <c r="F979" s="1" t="inlineStr">
        <is>
          <t>Closed</t>
        </is>
      </c>
      <c r="G979" s="8" t="inlineStr">
        <is>
          <t>Amiya Ranjan Behera</t>
        </is>
      </c>
      <c r="H979" s="8" t="n">
        <v>8917436223</v>
      </c>
      <c r="I979" s="10" t="inlineStr">
        <is>
          <t>PE06052602</t>
        </is>
      </c>
      <c r="J979" s="8" t="inlineStr">
        <is>
          <t>Diode Bypass Module Issue</t>
        </is>
      </c>
      <c r="K979" s="8" t="inlineStr">
        <is>
          <t>Bhavnagar</t>
        </is>
      </c>
      <c r="L979" s="8" t="inlineStr">
        <is>
          <t>Gujarat</t>
        </is>
      </c>
      <c r="M979" s="2" t="inlineStr">
        <is>
          <t>PS</t>
        </is>
      </c>
      <c r="N979" s="1" t="inlineStr">
        <is>
          <t>Cold Soldering</t>
        </is>
      </c>
      <c r="O979" s="11" t="n">
        <v>540</v>
      </c>
      <c r="P979" s="2" t="inlineStr">
        <is>
          <t>NSMP2305191440</t>
        </is>
      </c>
      <c r="Q979" s="14">
        <f>MID(P979,5,2)</f>
        <v/>
      </c>
      <c r="R979" s="14">
        <f>MID(P979,7,2)</f>
        <v/>
      </c>
      <c r="S979" s="1" t="inlineStr">
        <is>
          <t>G2B</t>
        </is>
      </c>
      <c r="T979" s="1" t="inlineStr">
        <is>
          <t>P2 - PEPPL</t>
        </is>
      </c>
      <c r="U979" s="1" t="inlineStr">
        <is>
          <t>P JB Cold Soldering</t>
        </is>
      </c>
      <c r="V979" s="1" t="inlineStr">
        <is>
          <t>Soldering</t>
        </is>
      </c>
      <c r="W979" s="1" t="inlineStr">
        <is>
          <t>Repair</t>
        </is>
      </c>
      <c r="X979" s="5" t="n">
        <v>46182</v>
      </c>
      <c r="Y979" s="1">
        <f>IF(X979="","",X979-A979)</f>
        <v/>
      </c>
      <c r="Z979" s="5" t="n">
        <v>46182</v>
      </c>
      <c r="AA979" s="3" t="n"/>
      <c r="AB979" s="3" t="n"/>
      <c r="AE979" s="146">
        <f>IF(AND(F979="Closed",X979&gt;=DATE(2026,6,1),X979&lt;=DATE(2026,6,30)),"Closed in June","other")</f>
        <v/>
      </c>
    </row>
    <row r="980" hidden="1">
      <c r="A980" s="9" t="n">
        <v>46148</v>
      </c>
      <c r="B980" s="1" t="n">
        <v>2026</v>
      </c>
      <c r="C980" s="8" t="inlineStr">
        <is>
          <t>Continuum</t>
        </is>
      </c>
      <c r="D980" s="1" t="inlineStr">
        <is>
          <t>Utility and C&amp;I</t>
        </is>
      </c>
      <c r="E980" s="1" t="n"/>
      <c r="F980" s="1" t="inlineStr">
        <is>
          <t>Closed</t>
        </is>
      </c>
      <c r="G980" s="8" t="inlineStr">
        <is>
          <t>Amiya Ranjan Behera</t>
        </is>
      </c>
      <c r="H980" s="8" t="n">
        <v>8917436223</v>
      </c>
      <c r="I980" s="10" t="inlineStr">
        <is>
          <t>PE06052602</t>
        </is>
      </c>
      <c r="J980" s="8" t="inlineStr">
        <is>
          <t>Diode Bypass Module Issue</t>
        </is>
      </c>
      <c r="K980" s="8" t="inlineStr">
        <is>
          <t>Bhavnagar</t>
        </is>
      </c>
      <c r="L980" s="8" t="inlineStr">
        <is>
          <t>Gujarat</t>
        </is>
      </c>
      <c r="M980" s="2" t="inlineStr">
        <is>
          <t>PS</t>
        </is>
      </c>
      <c r="N980" s="1" t="inlineStr">
        <is>
          <t>Cold Soldering</t>
        </is>
      </c>
      <c r="O980" s="11" t="n">
        <v>540</v>
      </c>
      <c r="P980" s="2" t="inlineStr">
        <is>
          <t>NSMP2305134292</t>
        </is>
      </c>
      <c r="Q980" s="14">
        <f>MID(P980,5,2)</f>
        <v/>
      </c>
      <c r="R980" s="14">
        <f>MID(P980,7,2)</f>
        <v/>
      </c>
      <c r="S980" s="1" t="inlineStr">
        <is>
          <t>G2B</t>
        </is>
      </c>
      <c r="T980" s="1" t="inlineStr">
        <is>
          <t>P2 - PEPPL</t>
        </is>
      </c>
      <c r="U980" s="1" t="inlineStr">
        <is>
          <t>P JB Cold Soldering</t>
        </is>
      </c>
      <c r="V980" s="1" t="inlineStr">
        <is>
          <t>Soldering</t>
        </is>
      </c>
      <c r="W980" s="1" t="inlineStr">
        <is>
          <t>Repair</t>
        </is>
      </c>
      <c r="X980" s="5" t="n">
        <v>46182</v>
      </c>
      <c r="Y980" s="1">
        <f>IF(X980="","",X980-A980)</f>
        <v/>
      </c>
      <c r="Z980" s="5" t="n">
        <v>46182</v>
      </c>
      <c r="AA980" s="3" t="n"/>
      <c r="AB980" s="3" t="n"/>
      <c r="AE980" s="146">
        <f>IF(AND(F980="Closed",X980&gt;=DATE(2026,6,1),X980&lt;=DATE(2026,6,30)),"Closed in June","other")</f>
        <v/>
      </c>
    </row>
    <row r="981" hidden="1">
      <c r="A981" s="9" t="n">
        <v>46148</v>
      </c>
      <c r="B981" s="1" t="n">
        <v>2026</v>
      </c>
      <c r="C981" s="8" t="inlineStr">
        <is>
          <t>Continuum</t>
        </is>
      </c>
      <c r="D981" s="1" t="inlineStr">
        <is>
          <t>Utility and C&amp;I</t>
        </is>
      </c>
      <c r="E981" s="1" t="n"/>
      <c r="F981" s="1" t="inlineStr">
        <is>
          <t>Closed</t>
        </is>
      </c>
      <c r="G981" s="8" t="inlineStr">
        <is>
          <t>Amiya Ranjan Behera</t>
        </is>
      </c>
      <c r="H981" s="8" t="n">
        <v>8917436223</v>
      </c>
      <c r="I981" s="10" t="inlineStr">
        <is>
          <t>PE06052602</t>
        </is>
      </c>
      <c r="J981" s="8" t="inlineStr">
        <is>
          <t>Diode Bypass Module Issue</t>
        </is>
      </c>
      <c r="K981" s="8" t="inlineStr">
        <is>
          <t>Bhavnagar</t>
        </is>
      </c>
      <c r="L981" s="8" t="inlineStr">
        <is>
          <t>Gujarat</t>
        </is>
      </c>
      <c r="M981" s="2" t="inlineStr">
        <is>
          <t>PS</t>
        </is>
      </c>
      <c r="N981" s="1" t="inlineStr">
        <is>
          <t>Cold Soldering</t>
        </is>
      </c>
      <c r="O981" s="11" t="n">
        <v>540</v>
      </c>
      <c r="P981" s="2" t="inlineStr">
        <is>
          <t>NSMP2305190911</t>
        </is>
      </c>
      <c r="Q981" s="14">
        <f>MID(P981,5,2)</f>
        <v/>
      </c>
      <c r="R981" s="14">
        <f>MID(P981,7,2)</f>
        <v/>
      </c>
      <c r="S981" s="1" t="inlineStr">
        <is>
          <t>G2B</t>
        </is>
      </c>
      <c r="T981" s="1" t="inlineStr">
        <is>
          <t>P2 - PEPPL</t>
        </is>
      </c>
      <c r="U981" s="1" t="inlineStr">
        <is>
          <t>P JB Cold Soldering</t>
        </is>
      </c>
      <c r="V981" s="1" t="inlineStr">
        <is>
          <t>Soldering</t>
        </is>
      </c>
      <c r="W981" s="1" t="inlineStr">
        <is>
          <t>Repair</t>
        </is>
      </c>
      <c r="X981" s="5" t="n">
        <v>46182</v>
      </c>
      <c r="Y981" s="1">
        <f>IF(X981="","",X981-A981)</f>
        <v/>
      </c>
      <c r="Z981" s="5" t="n">
        <v>46182</v>
      </c>
      <c r="AA981" s="3" t="n"/>
      <c r="AB981" s="3" t="n"/>
      <c r="AE981" s="146">
        <f>IF(AND(F981="Closed",X981&gt;=DATE(2026,6,1),X981&lt;=DATE(2026,6,30)),"Closed in June","other")</f>
        <v/>
      </c>
    </row>
    <row r="982" hidden="1">
      <c r="A982" s="9" t="n">
        <v>46148</v>
      </c>
      <c r="B982" s="1" t="n">
        <v>2026</v>
      </c>
      <c r="C982" s="8" t="inlineStr">
        <is>
          <t>Continuum</t>
        </is>
      </c>
      <c r="D982" s="1" t="inlineStr">
        <is>
          <t>Utility and C&amp;I</t>
        </is>
      </c>
      <c r="E982" s="1" t="n"/>
      <c r="F982" s="1" t="inlineStr">
        <is>
          <t>Closed</t>
        </is>
      </c>
      <c r="G982" s="8" t="inlineStr">
        <is>
          <t>Amiya Ranjan Behera</t>
        </is>
      </c>
      <c r="H982" s="8" t="n">
        <v>8917436223</v>
      </c>
      <c r="I982" s="10" t="inlineStr">
        <is>
          <t>PE06052602</t>
        </is>
      </c>
      <c r="J982" s="8" t="inlineStr">
        <is>
          <t>Diode Bypass Module Issue</t>
        </is>
      </c>
      <c r="K982" s="8" t="inlineStr">
        <is>
          <t>Bhavnagar</t>
        </is>
      </c>
      <c r="L982" s="8" t="inlineStr">
        <is>
          <t>Gujarat</t>
        </is>
      </c>
      <c r="M982" s="2" t="inlineStr">
        <is>
          <t>PS</t>
        </is>
      </c>
      <c r="N982" s="1" t="inlineStr">
        <is>
          <t>Cold Soldering</t>
        </is>
      </c>
      <c r="O982" s="11" t="n">
        <v>540</v>
      </c>
      <c r="P982" s="2" t="inlineStr">
        <is>
          <t>NSMP2305191089</t>
        </is>
      </c>
      <c r="Q982" s="14">
        <f>MID(P982,5,2)</f>
        <v/>
      </c>
      <c r="R982" s="14">
        <f>MID(P982,7,2)</f>
        <v/>
      </c>
      <c r="S982" s="1" t="inlineStr">
        <is>
          <t>G2B</t>
        </is>
      </c>
      <c r="T982" s="1" t="inlineStr">
        <is>
          <t>P2 - PEPPL</t>
        </is>
      </c>
      <c r="U982" s="1" t="inlineStr">
        <is>
          <t>P JB Cold Soldering</t>
        </is>
      </c>
      <c r="V982" s="1" t="inlineStr">
        <is>
          <t>Soldering</t>
        </is>
      </c>
      <c r="W982" s="1" t="inlineStr">
        <is>
          <t>Repair</t>
        </is>
      </c>
      <c r="X982" s="5" t="n">
        <v>46182</v>
      </c>
      <c r="Y982" s="1">
        <f>IF(X982="","",X982-A982)</f>
        <v/>
      </c>
      <c r="Z982" s="5" t="n">
        <v>46182</v>
      </c>
      <c r="AA982" s="3" t="n"/>
      <c r="AB982" s="3" t="n"/>
      <c r="AE982" s="146">
        <f>IF(AND(F982="Closed",X982&gt;=DATE(2026,6,1),X982&lt;=DATE(2026,6,30)),"Closed in June","other")</f>
        <v/>
      </c>
    </row>
    <row r="983" hidden="1">
      <c r="A983" s="9" t="n">
        <v>46148</v>
      </c>
      <c r="B983" s="1" t="n">
        <v>2026</v>
      </c>
      <c r="C983" s="8" t="inlineStr">
        <is>
          <t>Continuum</t>
        </is>
      </c>
      <c r="D983" s="1" t="inlineStr">
        <is>
          <t>Utility and C&amp;I</t>
        </is>
      </c>
      <c r="E983" s="1" t="n"/>
      <c r="F983" s="1" t="inlineStr">
        <is>
          <t>Closed</t>
        </is>
      </c>
      <c r="G983" s="8" t="inlineStr">
        <is>
          <t>Amiya Ranjan Behera</t>
        </is>
      </c>
      <c r="H983" s="8" t="n">
        <v>8917436223</v>
      </c>
      <c r="I983" s="10" t="inlineStr">
        <is>
          <t>PE06052602</t>
        </is>
      </c>
      <c r="J983" s="8" t="inlineStr">
        <is>
          <t>Diode Bypass Module Issue</t>
        </is>
      </c>
      <c r="K983" s="8" t="inlineStr">
        <is>
          <t>Bhavnagar</t>
        </is>
      </c>
      <c r="L983" s="8" t="inlineStr">
        <is>
          <t>Gujarat</t>
        </is>
      </c>
      <c r="M983" s="2" t="inlineStr">
        <is>
          <t>PS</t>
        </is>
      </c>
      <c r="N983" s="1" t="inlineStr">
        <is>
          <t>Cold Soldering</t>
        </is>
      </c>
      <c r="O983" s="11" t="n">
        <v>540</v>
      </c>
      <c r="P983" s="2" t="inlineStr">
        <is>
          <t>NSMP2305191844</t>
        </is>
      </c>
      <c r="Q983" s="14">
        <f>MID(P983,5,2)</f>
        <v/>
      </c>
      <c r="R983" s="14">
        <f>MID(P983,7,2)</f>
        <v/>
      </c>
      <c r="S983" s="1" t="inlineStr">
        <is>
          <t>G2B</t>
        </is>
      </c>
      <c r="T983" s="1" t="inlineStr">
        <is>
          <t>P2 - PEPPL</t>
        </is>
      </c>
      <c r="U983" s="1" t="inlineStr">
        <is>
          <t>P JB Cold Soldering</t>
        </is>
      </c>
      <c r="V983" s="1" t="inlineStr">
        <is>
          <t>Soldering</t>
        </is>
      </c>
      <c r="W983" s="1" t="inlineStr">
        <is>
          <t>Repair</t>
        </is>
      </c>
      <c r="X983" s="5" t="n">
        <v>46182</v>
      </c>
      <c r="Y983" s="1">
        <f>IF(X983="","",X983-A983)</f>
        <v/>
      </c>
      <c r="Z983" s="5" t="n">
        <v>46182</v>
      </c>
      <c r="AA983" s="3" t="n"/>
      <c r="AB983" s="3" t="n"/>
      <c r="AE983" s="146">
        <f>IF(AND(F983="Closed",X983&gt;=DATE(2026,6,1),X983&lt;=DATE(2026,6,30)),"Closed in June","other")</f>
        <v/>
      </c>
    </row>
    <row r="984" hidden="1">
      <c r="A984" s="9" t="n">
        <v>46148</v>
      </c>
      <c r="B984" s="1" t="n">
        <v>2026</v>
      </c>
      <c r="C984" s="8" t="inlineStr">
        <is>
          <t>Continuum</t>
        </is>
      </c>
      <c r="D984" s="1" t="inlineStr">
        <is>
          <t>Utility and C&amp;I</t>
        </is>
      </c>
      <c r="E984" s="1" t="n"/>
      <c r="F984" s="1" t="inlineStr">
        <is>
          <t>Closed</t>
        </is>
      </c>
      <c r="G984" s="8" t="inlineStr">
        <is>
          <t>Amiya Ranjan Behera</t>
        </is>
      </c>
      <c r="H984" s="8" t="n">
        <v>8917436223</v>
      </c>
      <c r="I984" s="10" t="inlineStr">
        <is>
          <t>PE06052602</t>
        </is>
      </c>
      <c r="J984" s="8" t="inlineStr">
        <is>
          <t>Diode Bypass Module Issue</t>
        </is>
      </c>
      <c r="K984" s="8" t="inlineStr">
        <is>
          <t>Bhavnagar</t>
        </is>
      </c>
      <c r="L984" s="8" t="inlineStr">
        <is>
          <t>Gujarat</t>
        </is>
      </c>
      <c r="M984" s="2" t="inlineStr">
        <is>
          <t>PS</t>
        </is>
      </c>
      <c r="N984" s="1" t="inlineStr">
        <is>
          <t>Cold Soldering</t>
        </is>
      </c>
      <c r="O984" s="11" t="n">
        <v>540</v>
      </c>
      <c r="P984" s="2" t="inlineStr">
        <is>
          <t>NSMP2305191785</t>
        </is>
      </c>
      <c r="Q984" s="14">
        <f>MID(P984,5,2)</f>
        <v/>
      </c>
      <c r="R984" s="14">
        <f>MID(P984,7,2)</f>
        <v/>
      </c>
      <c r="S984" s="1" t="inlineStr">
        <is>
          <t>G2B</t>
        </is>
      </c>
      <c r="T984" s="1" t="inlineStr">
        <is>
          <t>P2 - PEPPL</t>
        </is>
      </c>
      <c r="U984" s="1" t="inlineStr">
        <is>
          <t>P JB Cold Soldering</t>
        </is>
      </c>
      <c r="V984" s="1" t="inlineStr">
        <is>
          <t>Soldering</t>
        </is>
      </c>
      <c r="W984" s="1" t="inlineStr">
        <is>
          <t>Repair</t>
        </is>
      </c>
      <c r="X984" s="5" t="n">
        <v>46182</v>
      </c>
      <c r="Y984" s="1">
        <f>IF(X984="","",X984-A984)</f>
        <v/>
      </c>
      <c r="Z984" s="5" t="n">
        <v>46182</v>
      </c>
      <c r="AA984" s="3" t="n"/>
      <c r="AB984" s="3" t="n"/>
      <c r="AE984" s="146">
        <f>IF(AND(F984="Closed",X984&gt;=DATE(2026,6,1),X984&lt;=DATE(2026,6,30)),"Closed in June","other")</f>
        <v/>
      </c>
    </row>
    <row r="985" hidden="1">
      <c r="A985" s="9" t="n">
        <v>46148</v>
      </c>
      <c r="B985" s="1" t="n">
        <v>2026</v>
      </c>
      <c r="C985" s="8" t="inlineStr">
        <is>
          <t>Continuum</t>
        </is>
      </c>
      <c r="D985" s="1" t="inlineStr">
        <is>
          <t>Utility and C&amp;I</t>
        </is>
      </c>
      <c r="E985" s="1" t="n"/>
      <c r="F985" s="1" t="inlineStr">
        <is>
          <t>Closed</t>
        </is>
      </c>
      <c r="G985" s="8" t="inlineStr">
        <is>
          <t>Amiya Ranjan Behera</t>
        </is>
      </c>
      <c r="H985" s="8" t="n">
        <v>8917436223</v>
      </c>
      <c r="I985" s="10" t="inlineStr">
        <is>
          <t>PE06052602</t>
        </is>
      </c>
      <c r="J985" s="8" t="inlineStr">
        <is>
          <t>Diode Bypass Module Issue</t>
        </is>
      </c>
      <c r="K985" s="8" t="inlineStr">
        <is>
          <t>Bhavnagar</t>
        </is>
      </c>
      <c r="L985" s="8" t="inlineStr">
        <is>
          <t>Gujarat</t>
        </is>
      </c>
      <c r="M985" s="2" t="inlineStr">
        <is>
          <t>PS</t>
        </is>
      </c>
      <c r="N985" s="1" t="inlineStr">
        <is>
          <t>Cold Soldering</t>
        </is>
      </c>
      <c r="O985" s="11" t="n">
        <v>540</v>
      </c>
      <c r="P985" s="2" t="inlineStr">
        <is>
          <t>NSMP2305191642</t>
        </is>
      </c>
      <c r="Q985" s="14">
        <f>MID(P985,5,2)</f>
        <v/>
      </c>
      <c r="R985" s="14">
        <f>MID(P985,7,2)</f>
        <v/>
      </c>
      <c r="S985" s="1" t="inlineStr">
        <is>
          <t>G2B</t>
        </is>
      </c>
      <c r="T985" s="1" t="inlineStr">
        <is>
          <t>P2 - PEPPL</t>
        </is>
      </c>
      <c r="U985" s="1" t="inlineStr">
        <is>
          <t>P JB Cold Soldering</t>
        </is>
      </c>
      <c r="V985" s="1" t="inlineStr">
        <is>
          <t>Soldering</t>
        </is>
      </c>
      <c r="W985" s="1" t="inlineStr">
        <is>
          <t>Repair</t>
        </is>
      </c>
      <c r="X985" s="5" t="n">
        <v>46182</v>
      </c>
      <c r="Y985" s="1">
        <f>IF(X985="","",X985-A985)</f>
        <v/>
      </c>
      <c r="Z985" s="5" t="n">
        <v>46182</v>
      </c>
      <c r="AA985" s="3" t="n"/>
      <c r="AB985" s="3" t="n"/>
      <c r="AE985" s="146">
        <f>IF(AND(F985="Closed",X985&gt;=DATE(2026,6,1),X985&lt;=DATE(2026,6,30)),"Closed in June","other")</f>
        <v/>
      </c>
    </row>
    <row r="986" hidden="1">
      <c r="A986" s="9" t="n">
        <v>46148</v>
      </c>
      <c r="B986" s="1" t="n">
        <v>2026</v>
      </c>
      <c r="C986" s="8" t="inlineStr">
        <is>
          <t>Continuum</t>
        </is>
      </c>
      <c r="D986" s="1" t="inlineStr">
        <is>
          <t>Utility and C&amp;I</t>
        </is>
      </c>
      <c r="E986" s="1" t="n"/>
      <c r="F986" s="1" t="inlineStr">
        <is>
          <t>Closed</t>
        </is>
      </c>
      <c r="G986" s="8" t="inlineStr">
        <is>
          <t>Amiya Ranjan Behera</t>
        </is>
      </c>
      <c r="H986" s="8" t="n">
        <v>8917436223</v>
      </c>
      <c r="I986" s="10" t="inlineStr">
        <is>
          <t>PE06052602</t>
        </is>
      </c>
      <c r="J986" s="8" t="inlineStr">
        <is>
          <t>Diode Bypass Module Issue</t>
        </is>
      </c>
      <c r="K986" s="8" t="inlineStr">
        <is>
          <t>Bhavnagar</t>
        </is>
      </c>
      <c r="L986" s="8" t="inlineStr">
        <is>
          <t>Gujarat</t>
        </is>
      </c>
      <c r="M986" s="2" t="inlineStr">
        <is>
          <t>PS</t>
        </is>
      </c>
      <c r="N986" s="1" t="inlineStr">
        <is>
          <t>Cold Soldering</t>
        </is>
      </c>
      <c r="O986" s="11" t="n">
        <v>540</v>
      </c>
      <c r="P986" s="2" t="inlineStr">
        <is>
          <t>NSMP2305191321</t>
        </is>
      </c>
      <c r="Q986" s="14">
        <f>MID(P986,5,2)</f>
        <v/>
      </c>
      <c r="R986" s="14">
        <f>MID(P986,7,2)</f>
        <v/>
      </c>
      <c r="S986" s="1" t="inlineStr">
        <is>
          <t>G2B</t>
        </is>
      </c>
      <c r="T986" s="1" t="inlineStr">
        <is>
          <t>P2 - PEPPL</t>
        </is>
      </c>
      <c r="U986" s="1" t="inlineStr">
        <is>
          <t>P JB Cold Soldering</t>
        </is>
      </c>
      <c r="V986" s="1" t="inlineStr">
        <is>
          <t>Soldering</t>
        </is>
      </c>
      <c r="W986" s="1" t="inlineStr">
        <is>
          <t>Repair</t>
        </is>
      </c>
      <c r="X986" s="5" t="n">
        <v>46182</v>
      </c>
      <c r="Y986" s="1">
        <f>IF(X986="","",X986-A986)</f>
        <v/>
      </c>
      <c r="Z986" s="5" t="n">
        <v>46182</v>
      </c>
      <c r="AA986" s="3" t="n"/>
      <c r="AB986" s="3" t="n"/>
      <c r="AE986" s="146">
        <f>IF(AND(F986="Closed",X986&gt;=DATE(2026,6,1),X986&lt;=DATE(2026,6,30)),"Closed in June","other")</f>
        <v/>
      </c>
    </row>
    <row r="987" hidden="1">
      <c r="A987" s="9" t="n">
        <v>46148</v>
      </c>
      <c r="B987" s="1" t="n">
        <v>2026</v>
      </c>
      <c r="C987" s="8" t="inlineStr">
        <is>
          <t>Continuum</t>
        </is>
      </c>
      <c r="D987" s="1" t="inlineStr">
        <is>
          <t>Utility and C&amp;I</t>
        </is>
      </c>
      <c r="E987" s="1" t="n"/>
      <c r="F987" s="1" t="inlineStr">
        <is>
          <t>Closed</t>
        </is>
      </c>
      <c r="G987" s="8" t="inlineStr">
        <is>
          <t>Amiya Ranjan Behera</t>
        </is>
      </c>
      <c r="H987" s="8" t="n">
        <v>8917436223</v>
      </c>
      <c r="I987" s="10" t="inlineStr">
        <is>
          <t>PE06052602</t>
        </is>
      </c>
      <c r="J987" s="8" t="inlineStr">
        <is>
          <t>Diode Bypass Module Issue</t>
        </is>
      </c>
      <c r="K987" s="8" t="inlineStr">
        <is>
          <t>Bhavnagar</t>
        </is>
      </c>
      <c r="L987" s="8" t="inlineStr">
        <is>
          <t>Gujarat</t>
        </is>
      </c>
      <c r="M987" s="2" t="inlineStr">
        <is>
          <t>PS</t>
        </is>
      </c>
      <c r="N987" s="1" t="inlineStr">
        <is>
          <t>Cold Soldering</t>
        </is>
      </c>
      <c r="O987" s="11" t="n">
        <v>540</v>
      </c>
      <c r="P987" s="2" t="inlineStr">
        <is>
          <t>NSMP2305191323</t>
        </is>
      </c>
      <c r="Q987" s="14">
        <f>MID(P987,5,2)</f>
        <v/>
      </c>
      <c r="R987" s="14">
        <f>MID(P987,7,2)</f>
        <v/>
      </c>
      <c r="S987" s="1" t="inlineStr">
        <is>
          <t>G2B</t>
        </is>
      </c>
      <c r="T987" s="1" t="inlineStr">
        <is>
          <t>P2 - PEPPL</t>
        </is>
      </c>
      <c r="U987" s="1" t="inlineStr">
        <is>
          <t>P JB Cold Soldering</t>
        </is>
      </c>
      <c r="V987" s="1" t="inlineStr">
        <is>
          <t>Soldering</t>
        </is>
      </c>
      <c r="W987" s="1" t="inlineStr">
        <is>
          <t>Repair</t>
        </is>
      </c>
      <c r="X987" s="5" t="n">
        <v>46182</v>
      </c>
      <c r="Y987" s="1">
        <f>IF(X987="","",X987-A987)</f>
        <v/>
      </c>
      <c r="Z987" s="5" t="n">
        <v>46182</v>
      </c>
      <c r="AA987" s="3" t="n"/>
      <c r="AB987" s="3" t="n"/>
      <c r="AE987" s="146">
        <f>IF(AND(F987="Closed",X987&gt;=DATE(2026,6,1),X987&lt;=DATE(2026,6,30)),"Closed in June","other")</f>
        <v/>
      </c>
    </row>
    <row r="988" hidden="1">
      <c r="A988" s="9" t="n">
        <v>46148</v>
      </c>
      <c r="B988" s="1" t="n">
        <v>2026</v>
      </c>
      <c r="C988" s="8" t="inlineStr">
        <is>
          <t>Continuum</t>
        </is>
      </c>
      <c r="D988" s="1" t="inlineStr">
        <is>
          <t>Utility and C&amp;I</t>
        </is>
      </c>
      <c r="E988" s="1" t="n"/>
      <c r="F988" s="1" t="inlineStr">
        <is>
          <t>Closed</t>
        </is>
      </c>
      <c r="G988" s="8" t="inlineStr">
        <is>
          <t>Amiya Ranjan Behera</t>
        </is>
      </c>
      <c r="H988" s="8" t="n">
        <v>8917436223</v>
      </c>
      <c r="I988" s="10" t="inlineStr">
        <is>
          <t>PE06052602</t>
        </is>
      </c>
      <c r="J988" s="8" t="inlineStr">
        <is>
          <t>Diode Bypass Module Issue</t>
        </is>
      </c>
      <c r="K988" s="8" t="inlineStr">
        <is>
          <t>Bhavnagar</t>
        </is>
      </c>
      <c r="L988" s="8" t="inlineStr">
        <is>
          <t>Gujarat</t>
        </is>
      </c>
      <c r="M988" s="2" t="inlineStr">
        <is>
          <t>PS</t>
        </is>
      </c>
      <c r="N988" s="1" t="inlineStr">
        <is>
          <t>Cold Soldering</t>
        </is>
      </c>
      <c r="O988" s="11" t="n">
        <v>540</v>
      </c>
      <c r="P988" s="2" t="inlineStr">
        <is>
          <t>NSMP2305191278</t>
        </is>
      </c>
      <c r="Q988" s="14">
        <f>MID(P988,5,2)</f>
        <v/>
      </c>
      <c r="R988" s="14">
        <f>MID(P988,7,2)</f>
        <v/>
      </c>
      <c r="S988" s="1" t="inlineStr">
        <is>
          <t>G2B</t>
        </is>
      </c>
      <c r="T988" s="1" t="inlineStr">
        <is>
          <t>P2 - PEPPL</t>
        </is>
      </c>
      <c r="U988" s="1" t="inlineStr">
        <is>
          <t>P JB Cold Soldering</t>
        </is>
      </c>
      <c r="V988" s="1" t="inlineStr">
        <is>
          <t>Soldering</t>
        </is>
      </c>
      <c r="W988" s="1" t="inlineStr">
        <is>
          <t>Repair</t>
        </is>
      </c>
      <c r="X988" s="5" t="n">
        <v>46182</v>
      </c>
      <c r="Y988" s="1">
        <f>IF(X988="","",X988-A988)</f>
        <v/>
      </c>
      <c r="Z988" s="5" t="n">
        <v>46182</v>
      </c>
      <c r="AA988" s="3" t="n"/>
      <c r="AB988" s="3" t="n"/>
      <c r="AE988" s="146">
        <f>IF(AND(F988="Closed",X988&gt;=DATE(2026,6,1),X988&lt;=DATE(2026,6,30)),"Closed in June","other")</f>
        <v/>
      </c>
    </row>
    <row r="989" hidden="1">
      <c r="A989" s="9" t="n">
        <v>46148</v>
      </c>
      <c r="B989" s="1" t="n">
        <v>2026</v>
      </c>
      <c r="C989" s="8" t="inlineStr">
        <is>
          <t>Continuum</t>
        </is>
      </c>
      <c r="D989" s="1" t="inlineStr">
        <is>
          <t>Utility and C&amp;I</t>
        </is>
      </c>
      <c r="E989" s="1" t="n"/>
      <c r="F989" s="1" t="inlineStr">
        <is>
          <t>Closed</t>
        </is>
      </c>
      <c r="G989" s="8" t="inlineStr">
        <is>
          <t>Amiya Ranjan Behera</t>
        </is>
      </c>
      <c r="H989" s="8" t="n">
        <v>8917436223</v>
      </c>
      <c r="I989" s="10" t="inlineStr">
        <is>
          <t>PE06052602</t>
        </is>
      </c>
      <c r="J989" s="8" t="inlineStr">
        <is>
          <t>Diode Bypass Module Issue</t>
        </is>
      </c>
      <c r="K989" s="8" t="inlineStr">
        <is>
          <t>Bhavnagar</t>
        </is>
      </c>
      <c r="L989" s="8" t="inlineStr">
        <is>
          <t>Gujarat</t>
        </is>
      </c>
      <c r="M989" s="2" t="inlineStr">
        <is>
          <t>PS</t>
        </is>
      </c>
      <c r="N989" s="1" t="inlineStr">
        <is>
          <t>Cold Soldering</t>
        </is>
      </c>
      <c r="O989" s="11" t="n">
        <v>540</v>
      </c>
      <c r="P989" s="2" t="inlineStr">
        <is>
          <t>NSMP2305132047</t>
        </is>
      </c>
      <c r="Q989" s="14">
        <f>MID(P989,5,2)</f>
        <v/>
      </c>
      <c r="R989" s="14">
        <f>MID(P989,7,2)</f>
        <v/>
      </c>
      <c r="S989" s="1" t="inlineStr">
        <is>
          <t>G2B</t>
        </is>
      </c>
      <c r="T989" s="1" t="inlineStr">
        <is>
          <t>P2 - PEPPL</t>
        </is>
      </c>
      <c r="U989" s="1" t="inlineStr">
        <is>
          <t>P JB Cold Soldering</t>
        </is>
      </c>
      <c r="V989" s="1" t="inlineStr">
        <is>
          <t>Soldering</t>
        </is>
      </c>
      <c r="W989" s="1" t="inlineStr">
        <is>
          <t>Repair</t>
        </is>
      </c>
      <c r="X989" s="5" t="n">
        <v>46182</v>
      </c>
      <c r="Y989" s="1">
        <f>IF(X989="","",X989-A989)</f>
        <v/>
      </c>
      <c r="Z989" s="5" t="n">
        <v>46182</v>
      </c>
      <c r="AA989" s="3" t="n"/>
      <c r="AB989" s="3" t="n"/>
      <c r="AE989" s="146">
        <f>IF(AND(F989="Closed",X989&gt;=DATE(2026,6,1),X989&lt;=DATE(2026,6,30)),"Closed in June","other")</f>
        <v/>
      </c>
    </row>
    <row r="990" hidden="1">
      <c r="A990" s="9" t="n">
        <v>46148</v>
      </c>
      <c r="B990" s="1" t="n">
        <v>2026</v>
      </c>
      <c r="C990" s="8" t="inlineStr">
        <is>
          <t>Continuum</t>
        </is>
      </c>
      <c r="D990" s="1" t="inlineStr">
        <is>
          <t>Utility and C&amp;I</t>
        </is>
      </c>
      <c r="E990" s="1" t="n"/>
      <c r="F990" s="1" t="inlineStr">
        <is>
          <t>Closed</t>
        </is>
      </c>
      <c r="G990" s="8" t="inlineStr">
        <is>
          <t>Amiya Ranjan Behera</t>
        </is>
      </c>
      <c r="H990" s="8" t="n">
        <v>8917436223</v>
      </c>
      <c r="I990" s="10" t="inlineStr">
        <is>
          <t>PE06052602</t>
        </is>
      </c>
      <c r="J990" s="8" t="inlineStr">
        <is>
          <t>Diode Bypass Module Issue</t>
        </is>
      </c>
      <c r="K990" s="8" t="inlineStr">
        <is>
          <t>Bhavnagar</t>
        </is>
      </c>
      <c r="L990" s="8" t="inlineStr">
        <is>
          <t>Gujarat</t>
        </is>
      </c>
      <c r="M990" s="2" t="inlineStr">
        <is>
          <t>PS</t>
        </is>
      </c>
      <c r="N990" s="1" t="inlineStr">
        <is>
          <t>Cold Soldering</t>
        </is>
      </c>
      <c r="O990" s="11" t="n">
        <v>540</v>
      </c>
      <c r="P990" s="2" t="inlineStr">
        <is>
          <t>NSMP2305191846</t>
        </is>
      </c>
      <c r="Q990" s="14">
        <f>MID(P990,5,2)</f>
        <v/>
      </c>
      <c r="R990" s="14">
        <f>MID(P990,7,2)</f>
        <v/>
      </c>
      <c r="S990" s="1" t="inlineStr">
        <is>
          <t>G2B</t>
        </is>
      </c>
      <c r="T990" s="1" t="inlineStr">
        <is>
          <t>P2 - PEPPL</t>
        </is>
      </c>
      <c r="U990" s="1" t="inlineStr">
        <is>
          <t>P JB Cold Soldering</t>
        </is>
      </c>
      <c r="V990" s="1" t="inlineStr">
        <is>
          <t>Soldering</t>
        </is>
      </c>
      <c r="W990" s="1" t="inlineStr">
        <is>
          <t>Repair</t>
        </is>
      </c>
      <c r="X990" s="5" t="n">
        <v>46182</v>
      </c>
      <c r="Y990" s="1">
        <f>IF(X990="","",X990-A990)</f>
        <v/>
      </c>
      <c r="Z990" s="5" t="n">
        <v>46182</v>
      </c>
      <c r="AA990" s="3" t="n"/>
      <c r="AB990" s="3" t="n"/>
      <c r="AE990" s="146">
        <f>IF(AND(F990="Closed",X990&gt;=DATE(2026,6,1),X990&lt;=DATE(2026,6,30)),"Closed in June","other")</f>
        <v/>
      </c>
    </row>
    <row r="991" hidden="1">
      <c r="A991" s="9" t="n">
        <v>46148</v>
      </c>
      <c r="B991" s="1" t="n">
        <v>2026</v>
      </c>
      <c r="C991" s="8" t="inlineStr">
        <is>
          <t>Continuum</t>
        </is>
      </c>
      <c r="D991" s="1" t="inlineStr">
        <is>
          <t>Utility and C&amp;I</t>
        </is>
      </c>
      <c r="E991" s="1" t="n"/>
      <c r="F991" s="1" t="inlineStr">
        <is>
          <t>Closed</t>
        </is>
      </c>
      <c r="G991" s="8" t="inlineStr">
        <is>
          <t>Amiya Ranjan Behera</t>
        </is>
      </c>
      <c r="H991" s="8" t="n">
        <v>8917436223</v>
      </c>
      <c r="I991" s="10" t="inlineStr">
        <is>
          <t>PE06052602</t>
        </is>
      </c>
      <c r="J991" s="8" t="inlineStr">
        <is>
          <t>Diode Bypass Module Issue</t>
        </is>
      </c>
      <c r="K991" s="8" t="inlineStr">
        <is>
          <t>Bhavnagar</t>
        </is>
      </c>
      <c r="L991" s="8" t="inlineStr">
        <is>
          <t>Gujarat</t>
        </is>
      </c>
      <c r="M991" s="2" t="inlineStr">
        <is>
          <t>PS</t>
        </is>
      </c>
      <c r="N991" s="1" t="inlineStr">
        <is>
          <t>Cold Soldering</t>
        </is>
      </c>
      <c r="O991" s="11" t="n">
        <v>540</v>
      </c>
      <c r="P991" s="2" t="inlineStr">
        <is>
          <t>NSMP2305191796</t>
        </is>
      </c>
      <c r="Q991" s="14">
        <f>MID(P991,5,2)</f>
        <v/>
      </c>
      <c r="R991" s="14">
        <f>MID(P991,7,2)</f>
        <v/>
      </c>
      <c r="S991" s="1" t="inlineStr">
        <is>
          <t>G2B</t>
        </is>
      </c>
      <c r="T991" s="1" t="inlineStr">
        <is>
          <t>P2 - PEPPL</t>
        </is>
      </c>
      <c r="U991" s="1" t="inlineStr">
        <is>
          <t>P JB Cold Soldering</t>
        </is>
      </c>
      <c r="V991" s="1" t="inlineStr">
        <is>
          <t>Soldering</t>
        </is>
      </c>
      <c r="W991" s="1" t="inlineStr">
        <is>
          <t>Repair</t>
        </is>
      </c>
      <c r="X991" s="5" t="n">
        <v>46182</v>
      </c>
      <c r="Y991" s="1">
        <f>IF(X991="","",X991-A991)</f>
        <v/>
      </c>
      <c r="Z991" s="5" t="n">
        <v>46182</v>
      </c>
      <c r="AA991" s="3" t="n"/>
      <c r="AB991" s="3" t="n"/>
      <c r="AE991" s="146">
        <f>IF(AND(F991="Closed",X991&gt;=DATE(2026,6,1),X991&lt;=DATE(2026,6,30)),"Closed in June","other")</f>
        <v/>
      </c>
    </row>
    <row r="992" hidden="1">
      <c r="A992" s="9" t="n">
        <v>46148</v>
      </c>
      <c r="B992" s="1" t="n">
        <v>2026</v>
      </c>
      <c r="C992" s="8" t="inlineStr">
        <is>
          <t>Continuum</t>
        </is>
      </c>
      <c r="D992" s="1" t="inlineStr">
        <is>
          <t>Utility and C&amp;I</t>
        </is>
      </c>
      <c r="E992" s="1" t="n"/>
      <c r="F992" s="1" t="inlineStr">
        <is>
          <t>Closed</t>
        </is>
      </c>
      <c r="G992" s="8" t="inlineStr">
        <is>
          <t>Amiya Ranjan Behera</t>
        </is>
      </c>
      <c r="H992" s="8" t="n">
        <v>8917436223</v>
      </c>
      <c r="I992" s="10" t="inlineStr">
        <is>
          <t>PE06052602</t>
        </is>
      </c>
      <c r="J992" s="8" t="inlineStr">
        <is>
          <t>Diode Bypass Module Issue</t>
        </is>
      </c>
      <c r="K992" s="8" t="inlineStr">
        <is>
          <t>Bhavnagar</t>
        </is>
      </c>
      <c r="L992" s="8" t="inlineStr">
        <is>
          <t>Gujarat</t>
        </is>
      </c>
      <c r="M992" s="2" t="inlineStr">
        <is>
          <t>PS</t>
        </is>
      </c>
      <c r="N992" s="1" t="inlineStr">
        <is>
          <t>Cold Soldering</t>
        </is>
      </c>
      <c r="O992" s="11" t="n">
        <v>540</v>
      </c>
      <c r="P992" s="2" t="inlineStr">
        <is>
          <t>NSMP2305188562</t>
        </is>
      </c>
      <c r="Q992" s="14">
        <f>MID(P992,5,2)</f>
        <v/>
      </c>
      <c r="R992" s="14">
        <f>MID(P992,7,2)</f>
        <v/>
      </c>
      <c r="S992" s="1" t="inlineStr">
        <is>
          <t>G2B</t>
        </is>
      </c>
      <c r="T992" s="1" t="inlineStr">
        <is>
          <t>P2 - PEPPL</t>
        </is>
      </c>
      <c r="U992" s="1" t="inlineStr">
        <is>
          <t>P JB Cold Soldering</t>
        </is>
      </c>
      <c r="V992" s="1" t="inlineStr">
        <is>
          <t>Soldering</t>
        </is>
      </c>
      <c r="W992" s="1" t="inlineStr">
        <is>
          <t>Repair</t>
        </is>
      </c>
      <c r="X992" s="5" t="n">
        <v>46182</v>
      </c>
      <c r="Y992" s="1">
        <f>IF(X992="","",X992-A992)</f>
        <v/>
      </c>
      <c r="Z992" s="5" t="n">
        <v>46182</v>
      </c>
      <c r="AA992" s="3" t="n"/>
      <c r="AB992" s="3" t="n"/>
      <c r="AE992" s="146">
        <f>IF(AND(F992="Closed",X992&gt;=DATE(2026,6,1),X992&lt;=DATE(2026,6,30)),"Closed in June","other")</f>
        <v/>
      </c>
    </row>
    <row r="993" hidden="1">
      <c r="A993" s="9" t="n">
        <v>46148</v>
      </c>
      <c r="B993" s="1" t="n">
        <v>2026</v>
      </c>
      <c r="C993" s="8" t="inlineStr">
        <is>
          <t>Continuum</t>
        </is>
      </c>
      <c r="D993" s="1" t="inlineStr">
        <is>
          <t>Utility and C&amp;I</t>
        </is>
      </c>
      <c r="E993" s="1" t="n"/>
      <c r="F993" s="1" t="inlineStr">
        <is>
          <t>Closed</t>
        </is>
      </c>
      <c r="G993" s="8" t="inlineStr">
        <is>
          <t>Amiya Ranjan Behera</t>
        </is>
      </c>
      <c r="H993" s="8" t="n">
        <v>8917436223</v>
      </c>
      <c r="I993" s="10" t="inlineStr">
        <is>
          <t>PE06052602</t>
        </is>
      </c>
      <c r="J993" s="8" t="inlineStr">
        <is>
          <t>Diode Bypass Module Issue</t>
        </is>
      </c>
      <c r="K993" s="8" t="inlineStr">
        <is>
          <t>Bhavnagar</t>
        </is>
      </c>
      <c r="L993" s="8" t="inlineStr">
        <is>
          <t>Gujarat</t>
        </is>
      </c>
      <c r="M993" s="2" t="inlineStr">
        <is>
          <t>PS</t>
        </is>
      </c>
      <c r="N993" s="1" t="inlineStr">
        <is>
          <t>Cold Soldering</t>
        </is>
      </c>
      <c r="O993" s="11" t="n">
        <v>540</v>
      </c>
      <c r="P993" s="2" t="inlineStr">
        <is>
          <t>NSMP2305188576</t>
        </is>
      </c>
      <c r="Q993" s="14">
        <f>MID(P993,5,2)</f>
        <v/>
      </c>
      <c r="R993" s="14">
        <f>MID(P993,7,2)</f>
        <v/>
      </c>
      <c r="S993" s="1" t="inlineStr">
        <is>
          <t>G2B</t>
        </is>
      </c>
      <c r="T993" s="1" t="inlineStr">
        <is>
          <t>P2 - PEPPL</t>
        </is>
      </c>
      <c r="U993" s="1" t="inlineStr">
        <is>
          <t>P JB Cold Soldering</t>
        </is>
      </c>
      <c r="V993" s="1" t="inlineStr">
        <is>
          <t>Soldering</t>
        </is>
      </c>
      <c r="W993" s="1" t="inlineStr">
        <is>
          <t>Repair</t>
        </is>
      </c>
      <c r="X993" s="5" t="n">
        <v>46182</v>
      </c>
      <c r="Y993" s="1">
        <f>IF(X993="","",X993-A993)</f>
        <v/>
      </c>
      <c r="Z993" s="5" t="n">
        <v>46182</v>
      </c>
      <c r="AA993" s="3" t="n"/>
      <c r="AB993" s="3" t="n"/>
      <c r="AE993" s="146">
        <f>IF(AND(F993="Closed",X993&gt;=DATE(2026,6,1),X993&lt;=DATE(2026,6,30)),"Closed in June","other")</f>
        <v/>
      </c>
    </row>
    <row r="994" hidden="1">
      <c r="A994" s="9" t="n">
        <v>46148</v>
      </c>
      <c r="B994" s="1" t="n">
        <v>2026</v>
      </c>
      <c r="C994" s="8" t="inlineStr">
        <is>
          <t>Continuum</t>
        </is>
      </c>
      <c r="D994" s="1" t="inlineStr">
        <is>
          <t>Utility and C&amp;I</t>
        </is>
      </c>
      <c r="E994" s="1" t="n"/>
      <c r="F994" s="1" t="inlineStr">
        <is>
          <t>Closed</t>
        </is>
      </c>
      <c r="G994" s="8" t="inlineStr">
        <is>
          <t>Amiya Ranjan Behera</t>
        </is>
      </c>
      <c r="H994" s="8" t="n">
        <v>8917436223</v>
      </c>
      <c r="I994" s="10" t="inlineStr">
        <is>
          <t>PE06052602</t>
        </is>
      </c>
      <c r="J994" s="8" t="inlineStr">
        <is>
          <t>Diode Bypass Module Issue</t>
        </is>
      </c>
      <c r="K994" s="8" t="inlineStr">
        <is>
          <t>Bhavnagar</t>
        </is>
      </c>
      <c r="L994" s="8" t="inlineStr">
        <is>
          <t>Gujarat</t>
        </is>
      </c>
      <c r="M994" s="2" t="inlineStr">
        <is>
          <t>PS</t>
        </is>
      </c>
      <c r="N994" s="1" t="inlineStr">
        <is>
          <t>Cold Soldering</t>
        </is>
      </c>
      <c r="O994" s="11" t="n">
        <v>540</v>
      </c>
      <c r="P994" s="2" t="inlineStr">
        <is>
          <t>NSMP2305191852</t>
        </is>
      </c>
      <c r="Q994" s="14">
        <f>MID(P994,5,2)</f>
        <v/>
      </c>
      <c r="R994" s="14">
        <f>MID(P994,7,2)</f>
        <v/>
      </c>
      <c r="S994" s="1" t="inlineStr">
        <is>
          <t>G2B</t>
        </is>
      </c>
      <c r="T994" s="1" t="inlineStr">
        <is>
          <t>P2 - PEPPL</t>
        </is>
      </c>
      <c r="U994" s="1" t="inlineStr">
        <is>
          <t>P JB Cold Soldering</t>
        </is>
      </c>
      <c r="V994" s="1" t="inlineStr">
        <is>
          <t>Soldering</t>
        </is>
      </c>
      <c r="W994" s="1" t="inlineStr">
        <is>
          <t>Repair</t>
        </is>
      </c>
      <c r="X994" s="5" t="n">
        <v>46182</v>
      </c>
      <c r="Y994" s="1">
        <f>IF(X994="","",X994-A994)</f>
        <v/>
      </c>
      <c r="Z994" s="5" t="n">
        <v>46182</v>
      </c>
      <c r="AA994" s="3" t="n"/>
      <c r="AB994" s="3" t="n"/>
      <c r="AE994" s="146">
        <f>IF(AND(F994="Closed",X994&gt;=DATE(2026,6,1),X994&lt;=DATE(2026,6,30)),"Closed in June","other")</f>
        <v/>
      </c>
    </row>
    <row r="995" hidden="1">
      <c r="A995" s="9" t="n">
        <v>46148</v>
      </c>
      <c r="B995" s="1" t="n">
        <v>2026</v>
      </c>
      <c r="C995" s="8" t="inlineStr">
        <is>
          <t>Continuum</t>
        </is>
      </c>
      <c r="D995" s="1" t="inlineStr">
        <is>
          <t>Utility and C&amp;I</t>
        </is>
      </c>
      <c r="E995" s="1" t="n"/>
      <c r="F995" s="1" t="inlineStr">
        <is>
          <t>Closed</t>
        </is>
      </c>
      <c r="G995" s="8" t="inlineStr">
        <is>
          <t>Amiya Ranjan Behera</t>
        </is>
      </c>
      <c r="H995" s="8" t="n">
        <v>8917436223</v>
      </c>
      <c r="I995" s="10" t="inlineStr">
        <is>
          <t>PE06052602</t>
        </is>
      </c>
      <c r="J995" s="8" t="inlineStr">
        <is>
          <t>Diode Bypass Module Issue</t>
        </is>
      </c>
      <c r="K995" s="8" t="inlineStr">
        <is>
          <t>Bhavnagar</t>
        </is>
      </c>
      <c r="L995" s="8" t="inlineStr">
        <is>
          <t>Gujarat</t>
        </is>
      </c>
      <c r="M995" s="2" t="inlineStr">
        <is>
          <t>PS</t>
        </is>
      </c>
      <c r="N995" s="1" t="inlineStr">
        <is>
          <t>Cold Soldering</t>
        </is>
      </c>
      <c r="O995" s="11" t="n">
        <v>540</v>
      </c>
      <c r="P995" s="2" t="inlineStr">
        <is>
          <t>NSMP2305195106</t>
        </is>
      </c>
      <c r="Q995" s="14">
        <f>MID(P995,5,2)</f>
        <v/>
      </c>
      <c r="R995" s="14">
        <f>MID(P995,7,2)</f>
        <v/>
      </c>
      <c r="S995" s="1" t="inlineStr">
        <is>
          <t>G2B</t>
        </is>
      </c>
      <c r="T995" s="1" t="inlineStr">
        <is>
          <t>P2 - PEPPL</t>
        </is>
      </c>
      <c r="U995" s="1" t="inlineStr">
        <is>
          <t>P JB Cold Soldering</t>
        </is>
      </c>
      <c r="V995" s="1" t="inlineStr">
        <is>
          <t>Soldering</t>
        </is>
      </c>
      <c r="W995" s="1" t="inlineStr">
        <is>
          <t>Repair</t>
        </is>
      </c>
      <c r="X995" s="5" t="n">
        <v>46182</v>
      </c>
      <c r="Y995" s="1">
        <f>IF(X995="","",X995-A995)</f>
        <v/>
      </c>
      <c r="Z995" s="5" t="n">
        <v>46182</v>
      </c>
      <c r="AA995" s="3" t="n"/>
      <c r="AB995" s="3" t="n"/>
      <c r="AE995" s="146">
        <f>IF(AND(F995="Closed",X995&gt;=DATE(2026,6,1),X995&lt;=DATE(2026,6,30)),"Closed in June","other")</f>
        <v/>
      </c>
    </row>
    <row r="996" hidden="1">
      <c r="A996" s="9" t="n">
        <v>46148</v>
      </c>
      <c r="B996" s="1" t="n">
        <v>2026</v>
      </c>
      <c r="C996" s="8" t="inlineStr">
        <is>
          <t>Continuum</t>
        </is>
      </c>
      <c r="D996" s="1" t="inlineStr">
        <is>
          <t>Utility and C&amp;I</t>
        </is>
      </c>
      <c r="E996" s="1" t="n"/>
      <c r="F996" s="1" t="inlineStr">
        <is>
          <t>Closed</t>
        </is>
      </c>
      <c r="G996" s="8" t="inlineStr">
        <is>
          <t>Amiya Ranjan Behera</t>
        </is>
      </c>
      <c r="H996" s="8" t="n">
        <v>8917436223</v>
      </c>
      <c r="I996" s="10" t="inlineStr">
        <is>
          <t>PE06052602</t>
        </is>
      </c>
      <c r="J996" s="8" t="inlineStr">
        <is>
          <t>Diode Bypass Module Issue</t>
        </is>
      </c>
      <c r="K996" s="8" t="inlineStr">
        <is>
          <t>Bhavnagar</t>
        </is>
      </c>
      <c r="L996" s="8" t="inlineStr">
        <is>
          <t>Gujarat</t>
        </is>
      </c>
      <c r="M996" s="2" t="inlineStr">
        <is>
          <t>PS</t>
        </is>
      </c>
      <c r="N996" s="1" t="inlineStr">
        <is>
          <t>Cold Soldering</t>
        </is>
      </c>
      <c r="O996" s="11" t="n">
        <v>540</v>
      </c>
      <c r="P996" s="2" t="inlineStr">
        <is>
          <t>NSMP2305195105</t>
        </is>
      </c>
      <c r="Q996" s="14">
        <f>MID(P996,5,2)</f>
        <v/>
      </c>
      <c r="R996" s="14">
        <f>MID(P996,7,2)</f>
        <v/>
      </c>
      <c r="S996" s="1" t="inlineStr">
        <is>
          <t>G2B</t>
        </is>
      </c>
      <c r="T996" s="1" t="inlineStr">
        <is>
          <t>P2 - PEPPL</t>
        </is>
      </c>
      <c r="U996" s="1" t="inlineStr">
        <is>
          <t>P JB Cold Soldering</t>
        </is>
      </c>
      <c r="V996" s="1" t="inlineStr">
        <is>
          <t>Soldering</t>
        </is>
      </c>
      <c r="W996" s="1" t="inlineStr">
        <is>
          <t>Repair</t>
        </is>
      </c>
      <c r="X996" s="5" t="n">
        <v>46182</v>
      </c>
      <c r="Y996" s="1">
        <f>IF(X996="","",X996-A996)</f>
        <v/>
      </c>
      <c r="Z996" s="5" t="n">
        <v>46182</v>
      </c>
      <c r="AA996" s="3" t="n"/>
      <c r="AB996" s="3" t="n"/>
      <c r="AE996" s="146">
        <f>IF(AND(F996="Closed",X996&gt;=DATE(2026,6,1),X996&lt;=DATE(2026,6,30)),"Closed in June","other")</f>
        <v/>
      </c>
    </row>
    <row r="997" hidden="1">
      <c r="A997" s="9" t="n">
        <v>46148</v>
      </c>
      <c r="B997" s="1" t="n">
        <v>2026</v>
      </c>
      <c r="C997" s="8" t="inlineStr">
        <is>
          <t>Continuum</t>
        </is>
      </c>
      <c r="D997" s="1" t="inlineStr">
        <is>
          <t>Utility and C&amp;I</t>
        </is>
      </c>
      <c r="E997" s="1" t="n"/>
      <c r="F997" s="1" t="inlineStr">
        <is>
          <t>Closed</t>
        </is>
      </c>
      <c r="G997" s="8" t="inlineStr">
        <is>
          <t>Amiya Ranjan Behera</t>
        </is>
      </c>
      <c r="H997" s="8" t="n">
        <v>8917436223</v>
      </c>
      <c r="I997" s="10" t="inlineStr">
        <is>
          <t>PE06052602</t>
        </is>
      </c>
      <c r="J997" s="8" t="inlineStr">
        <is>
          <t>Diode Bypass Module Issue</t>
        </is>
      </c>
      <c r="K997" s="8" t="inlineStr">
        <is>
          <t>Bhavnagar</t>
        </is>
      </c>
      <c r="L997" s="8" t="inlineStr">
        <is>
          <t>Gujarat</t>
        </is>
      </c>
      <c r="M997" s="2" t="inlineStr">
        <is>
          <t>PS</t>
        </is>
      </c>
      <c r="N997" s="1" t="inlineStr">
        <is>
          <t>Cold Soldering</t>
        </is>
      </c>
      <c r="O997" s="11" t="n">
        <v>540</v>
      </c>
      <c r="P997" s="2" t="inlineStr">
        <is>
          <t>NSMP2305195107</t>
        </is>
      </c>
      <c r="Q997" s="14">
        <f>MID(P997,5,2)</f>
        <v/>
      </c>
      <c r="R997" s="14">
        <f>MID(P997,7,2)</f>
        <v/>
      </c>
      <c r="S997" s="1" t="inlineStr">
        <is>
          <t>G2B</t>
        </is>
      </c>
      <c r="T997" s="1" t="inlineStr">
        <is>
          <t>P2 - PEPPL</t>
        </is>
      </c>
      <c r="U997" s="1" t="inlineStr">
        <is>
          <t>P JB Cold Soldering</t>
        </is>
      </c>
      <c r="V997" s="1" t="inlineStr">
        <is>
          <t>Soldering</t>
        </is>
      </c>
      <c r="W997" s="1" t="inlineStr">
        <is>
          <t>Repair</t>
        </is>
      </c>
      <c r="X997" s="5" t="n">
        <v>46182</v>
      </c>
      <c r="Y997" s="1">
        <f>IF(X997="","",X997-A997)</f>
        <v/>
      </c>
      <c r="Z997" s="5" t="n">
        <v>46182</v>
      </c>
      <c r="AA997" s="3" t="n"/>
      <c r="AB997" s="3" t="n"/>
      <c r="AE997" s="146">
        <f>IF(AND(F997="Closed",X997&gt;=DATE(2026,6,1),X997&lt;=DATE(2026,6,30)),"Closed in June","other")</f>
        <v/>
      </c>
    </row>
    <row r="998" hidden="1">
      <c r="A998" s="9" t="n">
        <v>46148</v>
      </c>
      <c r="B998" s="1" t="n">
        <v>2026</v>
      </c>
      <c r="C998" s="8" t="inlineStr">
        <is>
          <t>Continuum</t>
        </is>
      </c>
      <c r="D998" s="1" t="inlineStr">
        <is>
          <t>Utility and C&amp;I</t>
        </is>
      </c>
      <c r="E998" s="1" t="n"/>
      <c r="F998" s="1" t="inlineStr">
        <is>
          <t>Closed</t>
        </is>
      </c>
      <c r="G998" s="8" t="inlineStr">
        <is>
          <t>Amiya Ranjan Behera</t>
        </is>
      </c>
      <c r="H998" s="8" t="n">
        <v>8917436223</v>
      </c>
      <c r="I998" s="10" t="inlineStr">
        <is>
          <t>PE06052602</t>
        </is>
      </c>
      <c r="J998" s="8" t="inlineStr">
        <is>
          <t>Diode Bypass Module Issue</t>
        </is>
      </c>
      <c r="K998" s="8" t="inlineStr">
        <is>
          <t>Bhavnagar</t>
        </is>
      </c>
      <c r="L998" s="8" t="inlineStr">
        <is>
          <t>Gujarat</t>
        </is>
      </c>
      <c r="M998" s="2" t="inlineStr">
        <is>
          <t>OK</t>
        </is>
      </c>
      <c r="N998" s="2" t="inlineStr">
        <is>
          <t>No Issue Found</t>
        </is>
      </c>
      <c r="O998" s="11" t="n">
        <v>540</v>
      </c>
      <c r="P998" s="2" t="inlineStr">
        <is>
          <t>NSMP2305195091</t>
        </is>
      </c>
      <c r="Q998" s="14">
        <f>MID(P998,5,2)</f>
        <v/>
      </c>
      <c r="R998" s="14">
        <f>MID(P998,7,2)</f>
        <v/>
      </c>
      <c r="S998" s="1" t="inlineStr">
        <is>
          <t>G2B</t>
        </is>
      </c>
      <c r="T998" s="1" t="inlineStr">
        <is>
          <t>P2 - PEPPL</t>
        </is>
      </c>
      <c r="U998" s="6" t="inlineStr">
        <is>
          <t>No Issue Found</t>
        </is>
      </c>
      <c r="V998" s="6" t="inlineStr">
        <is>
          <t>Inspection</t>
        </is>
      </c>
      <c r="W998" s="1" t="inlineStr">
        <is>
          <t>Rejected</t>
        </is>
      </c>
      <c r="X998" s="5" t="n">
        <v>46182</v>
      </c>
      <c r="Y998" s="1">
        <f>IF(X998="","",X998-A998)</f>
        <v/>
      </c>
      <c r="Z998" s="5" t="n">
        <v>46182</v>
      </c>
      <c r="AA998" s="3" t="n"/>
      <c r="AB998" s="3" t="n"/>
      <c r="AE998" s="146">
        <f>IF(AND(F998="Closed",X998&gt;=DATE(2026,6,1),X998&lt;=DATE(2026,6,30)),"Closed in June","other")</f>
        <v/>
      </c>
    </row>
    <row r="999" hidden="1">
      <c r="A999" s="9" t="n">
        <v>46148</v>
      </c>
      <c r="B999" s="1" t="n">
        <v>2026</v>
      </c>
      <c r="C999" s="8" t="inlineStr">
        <is>
          <t>Continuum</t>
        </is>
      </c>
      <c r="D999" s="1" t="inlineStr">
        <is>
          <t>Utility and C&amp;I</t>
        </is>
      </c>
      <c r="E999" s="1" t="n"/>
      <c r="F999" s="1" t="inlineStr">
        <is>
          <t>Closed</t>
        </is>
      </c>
      <c r="G999" s="8" t="inlineStr">
        <is>
          <t>Amiya Ranjan Behera</t>
        </is>
      </c>
      <c r="H999" s="8" t="n">
        <v>8917436223</v>
      </c>
      <c r="I999" s="10" t="inlineStr">
        <is>
          <t>PE06052602</t>
        </is>
      </c>
      <c r="J999" s="8" t="inlineStr">
        <is>
          <t>Diode Bypass Module Issue</t>
        </is>
      </c>
      <c r="K999" s="8" t="inlineStr">
        <is>
          <t>Bhavnagar</t>
        </is>
      </c>
      <c r="L999" s="8" t="inlineStr">
        <is>
          <t>Gujarat</t>
        </is>
      </c>
      <c r="M999" s="2" t="inlineStr">
        <is>
          <t>PS</t>
        </is>
      </c>
      <c r="N999" s="1" t="inlineStr">
        <is>
          <t>Cold Soldering</t>
        </is>
      </c>
      <c r="O999" s="11" t="n">
        <v>540</v>
      </c>
      <c r="P999" s="2" t="inlineStr">
        <is>
          <t>NSMP2305195073</t>
        </is>
      </c>
      <c r="Q999" s="14">
        <f>MID(P999,5,2)</f>
        <v/>
      </c>
      <c r="R999" s="14">
        <f>MID(P999,7,2)</f>
        <v/>
      </c>
      <c r="S999" s="1" t="inlineStr">
        <is>
          <t>G2B</t>
        </is>
      </c>
      <c r="T999" s="1" t="inlineStr">
        <is>
          <t>P2 - PEPPL</t>
        </is>
      </c>
      <c r="U999" s="1" t="inlineStr">
        <is>
          <t>P JB Cold Soldering</t>
        </is>
      </c>
      <c r="V999" s="1" t="inlineStr">
        <is>
          <t>Soldering</t>
        </is>
      </c>
      <c r="W999" s="1" t="inlineStr">
        <is>
          <t>Repair</t>
        </is>
      </c>
      <c r="X999" s="5" t="n">
        <v>46182</v>
      </c>
      <c r="Y999" s="1">
        <f>IF(X999="","",X999-A999)</f>
        <v/>
      </c>
      <c r="Z999" s="5" t="n">
        <v>46182</v>
      </c>
      <c r="AA999" s="3" t="n"/>
      <c r="AB999" s="3" t="n"/>
      <c r="AE999" s="146">
        <f>IF(AND(F999="Closed",X999&gt;=DATE(2026,6,1),X999&lt;=DATE(2026,6,30)),"Closed in June","other")</f>
        <v/>
      </c>
    </row>
    <row r="1000" hidden="1">
      <c r="A1000" s="9" t="n">
        <v>46148</v>
      </c>
      <c r="B1000" s="1" t="n">
        <v>2026</v>
      </c>
      <c r="C1000" s="8" t="inlineStr">
        <is>
          <t>Continuum</t>
        </is>
      </c>
      <c r="D1000" s="1" t="inlineStr">
        <is>
          <t>Utility and C&amp;I</t>
        </is>
      </c>
      <c r="E1000" s="1" t="n"/>
      <c r="F1000" s="1" t="inlineStr">
        <is>
          <t>Closed</t>
        </is>
      </c>
      <c r="G1000" s="8" t="inlineStr">
        <is>
          <t>Amiya Ranjan Behera</t>
        </is>
      </c>
      <c r="H1000" s="8" t="n">
        <v>8917436223</v>
      </c>
      <c r="I1000" s="10" t="inlineStr">
        <is>
          <t>PE06052602</t>
        </is>
      </c>
      <c r="J1000" s="8" t="inlineStr">
        <is>
          <t>Diode Bypass Module Issue</t>
        </is>
      </c>
      <c r="K1000" s="8" t="inlineStr">
        <is>
          <t>Bhavnagar</t>
        </is>
      </c>
      <c r="L1000" s="8" t="inlineStr">
        <is>
          <t>Gujarat</t>
        </is>
      </c>
      <c r="M1000" s="2" t="inlineStr">
        <is>
          <t>PS</t>
        </is>
      </c>
      <c r="N1000" s="1" t="inlineStr">
        <is>
          <t>Cold Soldering</t>
        </is>
      </c>
      <c r="O1000" s="11" t="n">
        <v>540</v>
      </c>
      <c r="P1000" s="2" t="inlineStr">
        <is>
          <t>NSMP2305191387</t>
        </is>
      </c>
      <c r="Q1000" s="14">
        <f>MID(P1000,5,2)</f>
        <v/>
      </c>
      <c r="R1000" s="14">
        <f>MID(P1000,7,2)</f>
        <v/>
      </c>
      <c r="S1000" s="1" t="inlineStr">
        <is>
          <t>G2B</t>
        </is>
      </c>
      <c r="T1000" s="1" t="inlineStr">
        <is>
          <t>P2 - PEPPL</t>
        </is>
      </c>
      <c r="U1000" s="1" t="inlineStr">
        <is>
          <t>P JB Cold Soldering</t>
        </is>
      </c>
      <c r="V1000" s="1" t="inlineStr">
        <is>
          <t>Soldering</t>
        </is>
      </c>
      <c r="W1000" s="1" t="inlineStr">
        <is>
          <t>Repair</t>
        </is>
      </c>
      <c r="X1000" s="5" t="n">
        <v>46182</v>
      </c>
      <c r="Y1000" s="1">
        <f>IF(X1000="","",X1000-A1000)</f>
        <v/>
      </c>
      <c r="Z1000" s="5" t="n">
        <v>46182</v>
      </c>
      <c r="AA1000" s="3" t="n"/>
      <c r="AB1000" s="3" t="n"/>
      <c r="AE1000" s="146">
        <f>IF(AND(F1000="Closed",X1000&gt;=DATE(2026,6,1),X1000&lt;=DATE(2026,6,30)),"Closed in June","other")</f>
        <v/>
      </c>
    </row>
    <row r="1001" hidden="1">
      <c r="A1001" s="9" t="n">
        <v>46148</v>
      </c>
      <c r="B1001" s="1" t="n">
        <v>2026</v>
      </c>
      <c r="C1001" s="8" t="inlineStr">
        <is>
          <t>Continuum</t>
        </is>
      </c>
      <c r="D1001" s="1" t="inlineStr">
        <is>
          <t>Utility and C&amp;I</t>
        </is>
      </c>
      <c r="E1001" s="1" t="n"/>
      <c r="F1001" s="1" t="inlineStr">
        <is>
          <t>Closed</t>
        </is>
      </c>
      <c r="G1001" s="8" t="inlineStr">
        <is>
          <t>Amiya Ranjan Behera</t>
        </is>
      </c>
      <c r="H1001" s="8" t="n">
        <v>8917436223</v>
      </c>
      <c r="I1001" s="10" t="inlineStr">
        <is>
          <t>PE06052602</t>
        </is>
      </c>
      <c r="J1001" s="8" t="inlineStr">
        <is>
          <t>Diode Bypass Module Issue</t>
        </is>
      </c>
      <c r="K1001" s="8" t="inlineStr">
        <is>
          <t>Bhavnagar</t>
        </is>
      </c>
      <c r="L1001" s="8" t="inlineStr">
        <is>
          <t>Gujarat</t>
        </is>
      </c>
      <c r="M1001" s="2" t="inlineStr">
        <is>
          <t>PS</t>
        </is>
      </c>
      <c r="N1001" s="1" t="inlineStr">
        <is>
          <t>Cold Soldering</t>
        </is>
      </c>
      <c r="O1001" s="11" t="n">
        <v>540</v>
      </c>
      <c r="P1001" s="2" t="inlineStr">
        <is>
          <t>NSMP2305191431</t>
        </is>
      </c>
      <c r="Q1001" s="14">
        <f>MID(P1001,5,2)</f>
        <v/>
      </c>
      <c r="R1001" s="14">
        <f>MID(P1001,7,2)</f>
        <v/>
      </c>
      <c r="S1001" s="1" t="inlineStr">
        <is>
          <t>G2B</t>
        </is>
      </c>
      <c r="T1001" s="1" t="inlineStr">
        <is>
          <t>P2 - PEPPL</t>
        </is>
      </c>
      <c r="U1001" s="1" t="inlineStr">
        <is>
          <t>P JB Cold Soldering</t>
        </is>
      </c>
      <c r="V1001" s="1" t="inlineStr">
        <is>
          <t>Soldering</t>
        </is>
      </c>
      <c r="W1001" s="1" t="inlineStr">
        <is>
          <t>Repair</t>
        </is>
      </c>
      <c r="X1001" s="5" t="n">
        <v>46182</v>
      </c>
      <c r="Y1001" s="1">
        <f>IF(X1001="","",X1001-A1001)</f>
        <v/>
      </c>
      <c r="Z1001" s="5" t="n">
        <v>46182</v>
      </c>
      <c r="AA1001" s="3" t="n"/>
      <c r="AB1001" s="3" t="n"/>
      <c r="AE1001" s="146">
        <f>IF(AND(F1001="Closed",X1001&gt;=DATE(2026,6,1),X1001&lt;=DATE(2026,6,30)),"Closed in June","other")</f>
        <v/>
      </c>
    </row>
    <row r="1002" hidden="1">
      <c r="A1002" s="9" t="n">
        <v>46148</v>
      </c>
      <c r="B1002" s="1" t="n">
        <v>2026</v>
      </c>
      <c r="C1002" s="8" t="inlineStr">
        <is>
          <t>Continuum</t>
        </is>
      </c>
      <c r="D1002" s="1" t="inlineStr">
        <is>
          <t>Utility and C&amp;I</t>
        </is>
      </c>
      <c r="E1002" s="1" t="n"/>
      <c r="F1002" s="1" t="inlineStr">
        <is>
          <t>Closed</t>
        </is>
      </c>
      <c r="G1002" s="8" t="inlineStr">
        <is>
          <t>Amiya Ranjan Behera</t>
        </is>
      </c>
      <c r="H1002" s="8" t="n">
        <v>8917436223</v>
      </c>
      <c r="I1002" s="10" t="inlineStr">
        <is>
          <t>PE06052602</t>
        </is>
      </c>
      <c r="J1002" s="8" t="inlineStr">
        <is>
          <t>Diode Bypass Module Issue</t>
        </is>
      </c>
      <c r="K1002" s="8" t="inlineStr">
        <is>
          <t>Bhavnagar</t>
        </is>
      </c>
      <c r="L1002" s="8" t="inlineStr">
        <is>
          <t>Gujarat</t>
        </is>
      </c>
      <c r="M1002" s="2" t="inlineStr">
        <is>
          <t>PS</t>
        </is>
      </c>
      <c r="N1002" s="1" t="inlineStr">
        <is>
          <t>Cold Soldering</t>
        </is>
      </c>
      <c r="O1002" s="11" t="n">
        <v>540</v>
      </c>
      <c r="P1002" s="2" t="inlineStr">
        <is>
          <t>NSMP2305190569</t>
        </is>
      </c>
      <c r="Q1002" s="14">
        <f>MID(P1002,5,2)</f>
        <v/>
      </c>
      <c r="R1002" s="14">
        <f>MID(P1002,7,2)</f>
        <v/>
      </c>
      <c r="S1002" s="1" t="inlineStr">
        <is>
          <t>G2B</t>
        </is>
      </c>
      <c r="T1002" s="1" t="inlineStr">
        <is>
          <t>P2 - PEPPL</t>
        </is>
      </c>
      <c r="U1002" s="1" t="inlineStr">
        <is>
          <t>P JB Cold Soldering</t>
        </is>
      </c>
      <c r="V1002" s="1" t="inlineStr">
        <is>
          <t>Soldering</t>
        </is>
      </c>
      <c r="W1002" s="1" t="inlineStr">
        <is>
          <t>Repair</t>
        </is>
      </c>
      <c r="X1002" s="5" t="n">
        <v>46182</v>
      </c>
      <c r="Y1002" s="1">
        <f>IF(X1002="","",X1002-A1002)</f>
        <v/>
      </c>
      <c r="Z1002" s="5" t="n">
        <v>46182</v>
      </c>
      <c r="AA1002" s="3" t="n"/>
      <c r="AB1002" s="3" t="n"/>
      <c r="AE1002" s="146">
        <f>IF(AND(F1002="Closed",X1002&gt;=DATE(2026,6,1),X1002&lt;=DATE(2026,6,30)),"Closed in June","other")</f>
        <v/>
      </c>
    </row>
    <row r="1003" hidden="1">
      <c r="A1003" s="9" t="n">
        <v>46148</v>
      </c>
      <c r="B1003" s="1" t="n">
        <v>2026</v>
      </c>
      <c r="C1003" s="8" t="inlineStr">
        <is>
          <t>Continuum</t>
        </is>
      </c>
      <c r="D1003" s="1" t="inlineStr">
        <is>
          <t>Utility and C&amp;I</t>
        </is>
      </c>
      <c r="E1003" s="1" t="n"/>
      <c r="F1003" s="1" t="inlineStr">
        <is>
          <t>Closed</t>
        </is>
      </c>
      <c r="G1003" s="8" t="inlineStr">
        <is>
          <t>Amiya Ranjan Behera</t>
        </is>
      </c>
      <c r="H1003" s="8" t="n">
        <v>8917436223</v>
      </c>
      <c r="I1003" s="10" t="inlineStr">
        <is>
          <t>PE06052602</t>
        </is>
      </c>
      <c r="J1003" s="8" t="inlineStr">
        <is>
          <t>Diode Bypass Module Issue</t>
        </is>
      </c>
      <c r="K1003" s="8" t="inlineStr">
        <is>
          <t>Bhavnagar</t>
        </is>
      </c>
      <c r="L1003" s="8" t="inlineStr">
        <is>
          <t>Gujarat</t>
        </is>
      </c>
      <c r="M1003" s="2" t="inlineStr">
        <is>
          <t>PS</t>
        </is>
      </c>
      <c r="N1003" s="1" t="inlineStr">
        <is>
          <t>Cold Soldering</t>
        </is>
      </c>
      <c r="O1003" s="11" t="n">
        <v>540</v>
      </c>
      <c r="P1003" s="2" t="inlineStr">
        <is>
          <t>NSMP2305191419</t>
        </is>
      </c>
      <c r="Q1003" s="14">
        <f>MID(P1003,5,2)</f>
        <v/>
      </c>
      <c r="R1003" s="14">
        <f>MID(P1003,7,2)</f>
        <v/>
      </c>
      <c r="S1003" s="1" t="inlineStr">
        <is>
          <t>G2B</t>
        </is>
      </c>
      <c r="T1003" s="1" t="inlineStr">
        <is>
          <t>P2 - PEPPL</t>
        </is>
      </c>
      <c r="U1003" s="1" t="inlineStr">
        <is>
          <t>P JB Cold Soldering</t>
        </is>
      </c>
      <c r="V1003" s="1" t="inlineStr">
        <is>
          <t>Soldering</t>
        </is>
      </c>
      <c r="W1003" s="1" t="inlineStr">
        <is>
          <t>Repair</t>
        </is>
      </c>
      <c r="X1003" s="5" t="n">
        <v>46182</v>
      </c>
      <c r="Y1003" s="1">
        <f>IF(X1003="","",X1003-A1003)</f>
        <v/>
      </c>
      <c r="Z1003" s="5" t="n">
        <v>46182</v>
      </c>
      <c r="AA1003" s="3" t="n"/>
      <c r="AB1003" s="3" t="n"/>
      <c r="AE1003" s="146">
        <f>IF(AND(F1003="Closed",X1003&gt;=DATE(2026,6,1),X1003&lt;=DATE(2026,6,30)),"Closed in June","other")</f>
        <v/>
      </c>
    </row>
    <row r="1004" hidden="1">
      <c r="A1004" s="9" t="n">
        <v>46148</v>
      </c>
      <c r="B1004" s="1" t="n">
        <v>2026</v>
      </c>
      <c r="C1004" s="8" t="inlineStr">
        <is>
          <t>Continuum</t>
        </is>
      </c>
      <c r="D1004" s="1" t="inlineStr">
        <is>
          <t>Utility and C&amp;I</t>
        </is>
      </c>
      <c r="E1004" s="1" t="n"/>
      <c r="F1004" s="1" t="inlineStr">
        <is>
          <t>Closed</t>
        </is>
      </c>
      <c r="G1004" s="8" t="inlineStr">
        <is>
          <t>Amiya Ranjan Behera</t>
        </is>
      </c>
      <c r="H1004" s="8" t="n">
        <v>8917436223</v>
      </c>
      <c r="I1004" s="10" t="inlineStr">
        <is>
          <t>PE06052602</t>
        </is>
      </c>
      <c r="J1004" s="8" t="inlineStr">
        <is>
          <t>Diode Bypass Module Issue</t>
        </is>
      </c>
      <c r="K1004" s="8" t="inlineStr">
        <is>
          <t>Bhavnagar</t>
        </is>
      </c>
      <c r="L1004" s="8" t="inlineStr">
        <is>
          <t>Gujarat</t>
        </is>
      </c>
      <c r="M1004" s="2" t="inlineStr">
        <is>
          <t>PS</t>
        </is>
      </c>
      <c r="N1004" s="1" t="inlineStr">
        <is>
          <t>Cold Soldering</t>
        </is>
      </c>
      <c r="O1004" s="11" t="n">
        <v>540</v>
      </c>
      <c r="P1004" s="2" t="inlineStr">
        <is>
          <t>NSMP2305191776</t>
        </is>
      </c>
      <c r="Q1004" s="14">
        <f>MID(P1004,5,2)</f>
        <v/>
      </c>
      <c r="R1004" s="14">
        <f>MID(P1004,7,2)</f>
        <v/>
      </c>
      <c r="S1004" s="1" t="inlineStr">
        <is>
          <t>G2B</t>
        </is>
      </c>
      <c r="T1004" s="1" t="inlineStr">
        <is>
          <t>P2 - PEPPL</t>
        </is>
      </c>
      <c r="U1004" s="1" t="inlineStr">
        <is>
          <t>P JB Cold Soldering</t>
        </is>
      </c>
      <c r="V1004" s="1" t="inlineStr">
        <is>
          <t>Soldering</t>
        </is>
      </c>
      <c r="W1004" s="1" t="inlineStr">
        <is>
          <t>Repair</t>
        </is>
      </c>
      <c r="X1004" s="5" t="n">
        <v>46182</v>
      </c>
      <c r="Y1004" s="1">
        <f>IF(X1004="","",X1004-A1004)</f>
        <v/>
      </c>
      <c r="Z1004" s="5" t="n">
        <v>46182</v>
      </c>
      <c r="AA1004" s="3" t="n"/>
      <c r="AB1004" s="3" t="n"/>
      <c r="AE1004" s="146">
        <f>IF(AND(F1004="Closed",X1004&gt;=DATE(2026,6,1),X1004&lt;=DATE(2026,6,30)),"Closed in June","other")</f>
        <v/>
      </c>
    </row>
    <row r="1005" hidden="1">
      <c r="A1005" s="9" t="n">
        <v>46148</v>
      </c>
      <c r="B1005" s="1" t="n">
        <v>2026</v>
      </c>
      <c r="C1005" s="8" t="inlineStr">
        <is>
          <t>Continuum</t>
        </is>
      </c>
      <c r="D1005" s="1" t="inlineStr">
        <is>
          <t>Utility and C&amp;I</t>
        </is>
      </c>
      <c r="E1005" s="1" t="n"/>
      <c r="F1005" s="1" t="inlineStr">
        <is>
          <t>Closed</t>
        </is>
      </c>
      <c r="G1005" s="8" t="inlineStr">
        <is>
          <t>Amiya Ranjan Behera</t>
        </is>
      </c>
      <c r="H1005" s="8" t="n">
        <v>8917436223</v>
      </c>
      <c r="I1005" s="10" t="inlineStr">
        <is>
          <t>PE06052602</t>
        </is>
      </c>
      <c r="J1005" s="8" t="inlineStr">
        <is>
          <t>Diode Bypass Module Issue</t>
        </is>
      </c>
      <c r="K1005" s="8" t="inlineStr">
        <is>
          <t>Bhavnagar</t>
        </is>
      </c>
      <c r="L1005" s="8" t="inlineStr">
        <is>
          <t>Gujarat</t>
        </is>
      </c>
      <c r="M1005" s="2" t="inlineStr">
        <is>
          <t>NR</t>
        </is>
      </c>
      <c r="N1005" s="8" t="inlineStr">
        <is>
          <t>JB Issue</t>
        </is>
      </c>
      <c r="O1005" s="11" t="n">
        <v>540</v>
      </c>
      <c r="P1005" s="2" t="inlineStr">
        <is>
          <t>NSMP2305175694</t>
        </is>
      </c>
      <c r="Q1005" s="14">
        <f>MID(P1005,5,2)</f>
        <v/>
      </c>
      <c r="R1005" s="14">
        <f>MID(P1005,7,2)</f>
        <v/>
      </c>
      <c r="S1005" s="1" t="inlineStr">
        <is>
          <t>G2B</t>
        </is>
      </c>
      <c r="T1005" s="1" t="inlineStr">
        <is>
          <t>P2 - PEPPL</t>
        </is>
      </c>
      <c r="U1005" s="6" t="inlineStr">
        <is>
          <t>N JB Issue</t>
        </is>
      </c>
      <c r="V1005" s="6" t="inlineStr">
        <is>
          <t>JB Changed</t>
        </is>
      </c>
      <c r="W1005" s="1" t="inlineStr">
        <is>
          <t>Repair</t>
        </is>
      </c>
      <c r="X1005" s="5" t="n">
        <v>46182</v>
      </c>
      <c r="Y1005" s="1">
        <f>IF(X1005="","",X1005-A1005)</f>
        <v/>
      </c>
      <c r="Z1005" s="5" t="n">
        <v>46182</v>
      </c>
      <c r="AA1005" s="3" t="n"/>
      <c r="AB1005" s="3" t="n"/>
      <c r="AE1005" s="146">
        <f>IF(AND(F1005="Closed",X1005&gt;=DATE(2026,6,1),X1005&lt;=DATE(2026,6,30)),"Closed in June","other")</f>
        <v/>
      </c>
    </row>
    <row r="1006" hidden="1">
      <c r="A1006" s="9" t="n">
        <v>46148</v>
      </c>
      <c r="B1006" s="1" t="n">
        <v>2026</v>
      </c>
      <c r="C1006" s="8" t="inlineStr">
        <is>
          <t>Continuum</t>
        </is>
      </c>
      <c r="D1006" s="1" t="inlineStr">
        <is>
          <t>Utility and C&amp;I</t>
        </is>
      </c>
      <c r="E1006" s="1" t="n"/>
      <c r="F1006" s="1" t="inlineStr">
        <is>
          <t>Closed</t>
        </is>
      </c>
      <c r="G1006" s="8" t="inlineStr">
        <is>
          <t>Amiya Ranjan Behera</t>
        </is>
      </c>
      <c r="H1006" s="8" t="n">
        <v>8917436223</v>
      </c>
      <c r="I1006" s="10" t="inlineStr">
        <is>
          <t>PE06052602</t>
        </is>
      </c>
      <c r="J1006" s="8" t="inlineStr">
        <is>
          <t>Diode Bypass Module Issue</t>
        </is>
      </c>
      <c r="K1006" s="8" t="inlineStr">
        <is>
          <t>Bhavnagar</t>
        </is>
      </c>
      <c r="L1006" s="8" t="inlineStr">
        <is>
          <t>Gujarat</t>
        </is>
      </c>
      <c r="M1006" s="2" t="inlineStr">
        <is>
          <t>OK</t>
        </is>
      </c>
      <c r="N1006" s="2" t="inlineStr">
        <is>
          <t>No Issue Found</t>
        </is>
      </c>
      <c r="O1006" s="11" t="n">
        <v>540</v>
      </c>
      <c r="P1006" s="2" t="inlineStr">
        <is>
          <t>NSMP2305191240</t>
        </is>
      </c>
      <c r="Q1006" s="14">
        <f>MID(P1006,5,2)</f>
        <v/>
      </c>
      <c r="R1006" s="14">
        <f>MID(P1006,7,2)</f>
        <v/>
      </c>
      <c r="S1006" s="1" t="inlineStr">
        <is>
          <t>G2B</t>
        </is>
      </c>
      <c r="T1006" s="1" t="inlineStr">
        <is>
          <t>P2 - PEPPL</t>
        </is>
      </c>
      <c r="U1006" s="6" t="inlineStr">
        <is>
          <t>No Issue Found</t>
        </is>
      </c>
      <c r="V1006" s="6" t="inlineStr">
        <is>
          <t>Inspection</t>
        </is>
      </c>
      <c r="W1006" s="1" t="inlineStr">
        <is>
          <t>Rejected</t>
        </is>
      </c>
      <c r="X1006" s="5" t="n">
        <v>46182</v>
      </c>
      <c r="Y1006" s="1">
        <f>IF(X1006="","",X1006-A1006)</f>
        <v/>
      </c>
      <c r="Z1006" s="5" t="n">
        <v>46182</v>
      </c>
      <c r="AA1006" s="3" t="n"/>
      <c r="AB1006" s="3" t="n"/>
      <c r="AE1006" s="146">
        <f>IF(AND(F1006="Closed",X1006&gt;=DATE(2026,6,1),X1006&lt;=DATE(2026,6,30)),"Closed in June","other")</f>
        <v/>
      </c>
    </row>
    <row r="1007" hidden="1">
      <c r="A1007" s="9" t="n">
        <v>46148</v>
      </c>
      <c r="B1007" s="1" t="n">
        <v>2026</v>
      </c>
      <c r="C1007" s="8" t="inlineStr">
        <is>
          <t>Continuum</t>
        </is>
      </c>
      <c r="D1007" s="1" t="inlineStr">
        <is>
          <t>Utility and C&amp;I</t>
        </is>
      </c>
      <c r="E1007" s="1" t="n"/>
      <c r="F1007" s="1" t="inlineStr">
        <is>
          <t>Closed</t>
        </is>
      </c>
      <c r="G1007" s="8" t="inlineStr">
        <is>
          <t>Amiya Ranjan Behera</t>
        </is>
      </c>
      <c r="H1007" s="8" t="n">
        <v>8917436223</v>
      </c>
      <c r="I1007" s="10" t="inlineStr">
        <is>
          <t>PE06052602</t>
        </is>
      </c>
      <c r="J1007" s="8" t="inlineStr">
        <is>
          <t>Diode Bypass Module Issue</t>
        </is>
      </c>
      <c r="K1007" s="8" t="inlineStr">
        <is>
          <t>Bhavnagar</t>
        </is>
      </c>
      <c r="L1007" s="8" t="inlineStr">
        <is>
          <t>Gujarat</t>
        </is>
      </c>
      <c r="M1007" s="2" t="inlineStr">
        <is>
          <t>PS</t>
        </is>
      </c>
      <c r="N1007" s="1" t="inlineStr">
        <is>
          <t>Cold Soldering</t>
        </is>
      </c>
      <c r="O1007" s="11" t="n">
        <v>540</v>
      </c>
      <c r="P1007" s="2" t="inlineStr">
        <is>
          <t>NSMP2305191514</t>
        </is>
      </c>
      <c r="Q1007" s="14">
        <f>MID(P1007,5,2)</f>
        <v/>
      </c>
      <c r="R1007" s="14">
        <f>MID(P1007,7,2)</f>
        <v/>
      </c>
      <c r="S1007" s="1" t="inlineStr">
        <is>
          <t>G2B</t>
        </is>
      </c>
      <c r="T1007" s="1" t="inlineStr">
        <is>
          <t>P2 - PEPPL</t>
        </is>
      </c>
      <c r="U1007" s="1" t="inlineStr">
        <is>
          <t>P JB Cold Soldering</t>
        </is>
      </c>
      <c r="V1007" s="1" t="inlineStr">
        <is>
          <t>Soldering</t>
        </is>
      </c>
      <c r="W1007" s="1" t="inlineStr">
        <is>
          <t>Repair</t>
        </is>
      </c>
      <c r="X1007" s="5" t="n">
        <v>46182</v>
      </c>
      <c r="Y1007" s="1">
        <f>IF(X1007="","",X1007-A1007)</f>
        <v/>
      </c>
      <c r="Z1007" s="5" t="n">
        <v>46182</v>
      </c>
      <c r="AA1007" s="3" t="n"/>
      <c r="AB1007" s="3" t="n"/>
      <c r="AE1007" s="146">
        <f>IF(AND(F1007="Closed",X1007&gt;=DATE(2026,6,1),X1007&lt;=DATE(2026,6,30)),"Closed in June","other")</f>
        <v/>
      </c>
    </row>
    <row r="1008" hidden="1">
      <c r="A1008" s="9" t="n">
        <v>46148</v>
      </c>
      <c r="B1008" s="1" t="n">
        <v>2026</v>
      </c>
      <c r="C1008" s="8" t="inlineStr">
        <is>
          <t>Continuum</t>
        </is>
      </c>
      <c r="D1008" s="1" t="inlineStr">
        <is>
          <t>Utility and C&amp;I</t>
        </is>
      </c>
      <c r="E1008" s="1" t="n"/>
      <c r="F1008" s="1" t="inlineStr">
        <is>
          <t>Closed</t>
        </is>
      </c>
      <c r="G1008" s="8" t="inlineStr">
        <is>
          <t>Amiya Ranjan Behera</t>
        </is>
      </c>
      <c r="H1008" s="8" t="n">
        <v>8917436223</v>
      </c>
      <c r="I1008" s="10" t="inlineStr">
        <is>
          <t>PE06052602</t>
        </is>
      </c>
      <c r="J1008" s="8" t="inlineStr">
        <is>
          <t>Diode Bypass Module Issue</t>
        </is>
      </c>
      <c r="K1008" s="8" t="inlineStr">
        <is>
          <t>Bhavnagar</t>
        </is>
      </c>
      <c r="L1008" s="8" t="inlineStr">
        <is>
          <t>Gujarat</t>
        </is>
      </c>
      <c r="M1008" s="2" t="inlineStr">
        <is>
          <t>PS</t>
        </is>
      </c>
      <c r="N1008" s="1" t="inlineStr">
        <is>
          <t>Cold Soldering</t>
        </is>
      </c>
      <c r="O1008" s="11" t="n">
        <v>540</v>
      </c>
      <c r="P1008" s="2" t="inlineStr">
        <is>
          <t>NSMP2305191468</t>
        </is>
      </c>
      <c r="Q1008" s="14">
        <f>MID(P1008,5,2)</f>
        <v/>
      </c>
      <c r="R1008" s="14">
        <f>MID(P1008,7,2)</f>
        <v/>
      </c>
      <c r="S1008" s="1" t="inlineStr">
        <is>
          <t>G2B</t>
        </is>
      </c>
      <c r="T1008" s="1" t="inlineStr">
        <is>
          <t>P2 - PEPPL</t>
        </is>
      </c>
      <c r="U1008" s="1" t="inlineStr">
        <is>
          <t>P JB Cold Soldering</t>
        </is>
      </c>
      <c r="V1008" s="1" t="inlineStr">
        <is>
          <t>Soldering</t>
        </is>
      </c>
      <c r="W1008" s="1" t="inlineStr">
        <is>
          <t>Repair</t>
        </is>
      </c>
      <c r="X1008" s="5" t="n">
        <v>46182</v>
      </c>
      <c r="Y1008" s="1">
        <f>IF(X1008="","",X1008-A1008)</f>
        <v/>
      </c>
      <c r="Z1008" s="5" t="n">
        <v>46182</v>
      </c>
      <c r="AA1008" s="3" t="n"/>
      <c r="AB1008" s="3" t="n"/>
      <c r="AE1008" s="146">
        <f>IF(AND(F1008="Closed",X1008&gt;=DATE(2026,6,1),X1008&lt;=DATE(2026,6,30)),"Closed in June","other")</f>
        <v/>
      </c>
    </row>
    <row r="1009" hidden="1">
      <c r="A1009" s="9" t="n">
        <v>46148</v>
      </c>
      <c r="B1009" s="1" t="n">
        <v>2026</v>
      </c>
      <c r="C1009" s="8" t="inlineStr">
        <is>
          <t>Continuum</t>
        </is>
      </c>
      <c r="D1009" s="1" t="inlineStr">
        <is>
          <t>Utility and C&amp;I</t>
        </is>
      </c>
      <c r="E1009" s="1" t="n"/>
      <c r="F1009" s="1" t="inlineStr">
        <is>
          <t>Closed</t>
        </is>
      </c>
      <c r="G1009" s="8" t="inlineStr">
        <is>
          <t>Amiya Ranjan Behera</t>
        </is>
      </c>
      <c r="H1009" s="8" t="n">
        <v>8917436223</v>
      </c>
      <c r="I1009" s="10" t="inlineStr">
        <is>
          <t>PE06052602</t>
        </is>
      </c>
      <c r="J1009" s="8" t="inlineStr">
        <is>
          <t>Diode Bypass Module Issue</t>
        </is>
      </c>
      <c r="K1009" s="8" t="inlineStr">
        <is>
          <t>Bhavnagar</t>
        </is>
      </c>
      <c r="L1009" s="8" t="inlineStr">
        <is>
          <t>Gujarat</t>
        </is>
      </c>
      <c r="M1009" s="2" t="inlineStr">
        <is>
          <t>PS</t>
        </is>
      </c>
      <c r="N1009" s="1" t="inlineStr">
        <is>
          <t>Cold Soldering</t>
        </is>
      </c>
      <c r="O1009" s="11" t="n">
        <v>540</v>
      </c>
      <c r="P1009" s="2" t="inlineStr">
        <is>
          <t>NSMP2305191499</t>
        </is>
      </c>
      <c r="Q1009" s="14">
        <f>MID(P1009,5,2)</f>
        <v/>
      </c>
      <c r="R1009" s="14">
        <f>MID(P1009,7,2)</f>
        <v/>
      </c>
      <c r="S1009" s="1" t="inlineStr">
        <is>
          <t>G2B</t>
        </is>
      </c>
      <c r="T1009" s="1" t="inlineStr">
        <is>
          <t>P2 - PEPPL</t>
        </is>
      </c>
      <c r="U1009" s="1" t="inlineStr">
        <is>
          <t>P JB Cold Soldering</t>
        </is>
      </c>
      <c r="V1009" s="1" t="inlineStr">
        <is>
          <t>Soldering</t>
        </is>
      </c>
      <c r="W1009" s="1" t="inlineStr">
        <is>
          <t>Repair</t>
        </is>
      </c>
      <c r="X1009" s="5" t="n">
        <v>46182</v>
      </c>
      <c r="Y1009" s="1">
        <f>IF(X1009="","",X1009-A1009)</f>
        <v/>
      </c>
      <c r="Z1009" s="5" t="n">
        <v>46182</v>
      </c>
      <c r="AA1009" s="3" t="n"/>
      <c r="AB1009" s="3" t="n"/>
      <c r="AE1009" s="146">
        <f>IF(AND(F1009="Closed",X1009&gt;=DATE(2026,6,1),X1009&lt;=DATE(2026,6,30)),"Closed in June","other")</f>
        <v/>
      </c>
    </row>
    <row r="1010" hidden="1">
      <c r="A1010" s="9" t="n">
        <v>46148</v>
      </c>
      <c r="B1010" s="1" t="n">
        <v>2026</v>
      </c>
      <c r="C1010" s="8" t="inlineStr">
        <is>
          <t>Continuum</t>
        </is>
      </c>
      <c r="D1010" s="1" t="inlineStr">
        <is>
          <t>Utility and C&amp;I</t>
        </is>
      </c>
      <c r="E1010" s="1" t="n"/>
      <c r="F1010" s="1" t="inlineStr">
        <is>
          <t>Closed</t>
        </is>
      </c>
      <c r="G1010" s="8" t="inlineStr">
        <is>
          <t>Amiya Ranjan Behera</t>
        </is>
      </c>
      <c r="H1010" s="8" t="n">
        <v>8917436223</v>
      </c>
      <c r="I1010" s="10" t="inlineStr">
        <is>
          <t>PE06052602</t>
        </is>
      </c>
      <c r="J1010" s="8" t="inlineStr">
        <is>
          <t>Diode Bypass Module Issue</t>
        </is>
      </c>
      <c r="K1010" s="8" t="inlineStr">
        <is>
          <t>Bhavnagar</t>
        </is>
      </c>
      <c r="L1010" s="8" t="inlineStr">
        <is>
          <t>Gujarat</t>
        </is>
      </c>
      <c r="M1010" s="2" t="inlineStr">
        <is>
          <t>PS</t>
        </is>
      </c>
      <c r="N1010" s="1" t="inlineStr">
        <is>
          <t>Cold Soldering</t>
        </is>
      </c>
      <c r="O1010" s="11" t="n">
        <v>540</v>
      </c>
      <c r="P1010" s="2" t="inlineStr">
        <is>
          <t>NSMP2305191516</t>
        </is>
      </c>
      <c r="Q1010" s="14">
        <f>MID(P1010,5,2)</f>
        <v/>
      </c>
      <c r="R1010" s="14">
        <f>MID(P1010,7,2)</f>
        <v/>
      </c>
      <c r="S1010" s="1" t="inlineStr">
        <is>
          <t>G2B</t>
        </is>
      </c>
      <c r="T1010" s="1" t="inlineStr">
        <is>
          <t>P2 - PEPPL</t>
        </is>
      </c>
      <c r="U1010" s="1" t="inlineStr">
        <is>
          <t>P JB Cold Soldering</t>
        </is>
      </c>
      <c r="V1010" s="1" t="inlineStr">
        <is>
          <t>Soldering</t>
        </is>
      </c>
      <c r="W1010" s="1" t="inlineStr">
        <is>
          <t>Repair</t>
        </is>
      </c>
      <c r="X1010" s="5" t="n">
        <v>46182</v>
      </c>
      <c r="Y1010" s="1">
        <f>IF(X1010="","",X1010-A1010)</f>
        <v/>
      </c>
      <c r="Z1010" s="5" t="n">
        <v>46182</v>
      </c>
      <c r="AA1010" s="3" t="n"/>
      <c r="AB1010" s="3" t="n"/>
      <c r="AE1010" s="146">
        <f>IF(AND(F1010="Closed",X1010&gt;=DATE(2026,6,1),X1010&lt;=DATE(2026,6,30)),"Closed in June","other")</f>
        <v/>
      </c>
    </row>
    <row r="1011" hidden="1">
      <c r="A1011" s="9" t="n">
        <v>46148</v>
      </c>
      <c r="B1011" s="1" t="n">
        <v>2026</v>
      </c>
      <c r="C1011" s="8" t="inlineStr">
        <is>
          <t>Continuum</t>
        </is>
      </c>
      <c r="D1011" s="1" t="inlineStr">
        <is>
          <t>Utility and C&amp;I</t>
        </is>
      </c>
      <c r="E1011" s="1" t="n"/>
      <c r="F1011" s="1" t="inlineStr">
        <is>
          <t>Closed</t>
        </is>
      </c>
      <c r="G1011" s="8" t="inlineStr">
        <is>
          <t>Amiya Ranjan Behera</t>
        </is>
      </c>
      <c r="H1011" s="8" t="n">
        <v>8917436223</v>
      </c>
      <c r="I1011" s="10" t="inlineStr">
        <is>
          <t>PE06052602</t>
        </is>
      </c>
      <c r="J1011" s="8" t="inlineStr">
        <is>
          <t>Diode Bypass Module Issue</t>
        </is>
      </c>
      <c r="K1011" s="8" t="inlineStr">
        <is>
          <t>Bhavnagar</t>
        </is>
      </c>
      <c r="L1011" s="8" t="inlineStr">
        <is>
          <t>Gujarat</t>
        </is>
      </c>
      <c r="M1011" s="2" t="inlineStr">
        <is>
          <t>PS</t>
        </is>
      </c>
      <c r="N1011" s="1" t="inlineStr">
        <is>
          <t>Cold Soldering</t>
        </is>
      </c>
      <c r="O1011" s="11" t="n">
        <v>540</v>
      </c>
      <c r="P1011" s="2" t="inlineStr">
        <is>
          <t>NSMP2305191485</t>
        </is>
      </c>
      <c r="Q1011" s="14">
        <f>MID(P1011,5,2)</f>
        <v/>
      </c>
      <c r="R1011" s="14">
        <f>MID(P1011,7,2)</f>
        <v/>
      </c>
      <c r="S1011" s="1" t="inlineStr">
        <is>
          <t>G2B</t>
        </is>
      </c>
      <c r="T1011" s="1" t="inlineStr">
        <is>
          <t>P2 - PEPPL</t>
        </is>
      </c>
      <c r="U1011" s="1" t="inlineStr">
        <is>
          <t>P JB Cold Soldering</t>
        </is>
      </c>
      <c r="V1011" s="1" t="inlineStr">
        <is>
          <t>Soldering</t>
        </is>
      </c>
      <c r="W1011" s="1" t="inlineStr">
        <is>
          <t>Repair</t>
        </is>
      </c>
      <c r="X1011" s="5" t="n">
        <v>46182</v>
      </c>
      <c r="Y1011" s="1">
        <f>IF(X1011="","",X1011-A1011)</f>
        <v/>
      </c>
      <c r="Z1011" s="5" t="n">
        <v>46182</v>
      </c>
      <c r="AA1011" s="3" t="n"/>
      <c r="AB1011" s="3" t="n"/>
      <c r="AE1011" s="146">
        <f>IF(AND(F1011="Closed",X1011&gt;=DATE(2026,6,1),X1011&lt;=DATE(2026,6,30)),"Closed in June","other")</f>
        <v/>
      </c>
    </row>
    <row r="1012" hidden="1">
      <c r="A1012" s="9" t="n">
        <v>46148</v>
      </c>
      <c r="B1012" s="1" t="n">
        <v>2026</v>
      </c>
      <c r="C1012" s="8" t="inlineStr">
        <is>
          <t>Continuum</t>
        </is>
      </c>
      <c r="D1012" s="1" t="inlineStr">
        <is>
          <t>Utility and C&amp;I</t>
        </is>
      </c>
      <c r="E1012" s="1" t="n"/>
      <c r="F1012" s="1" t="inlineStr">
        <is>
          <t>Closed</t>
        </is>
      </c>
      <c r="G1012" s="8" t="inlineStr">
        <is>
          <t>Amiya Ranjan Behera</t>
        </is>
      </c>
      <c r="H1012" s="8" t="n">
        <v>8917436223</v>
      </c>
      <c r="I1012" s="10" t="inlineStr">
        <is>
          <t>PE06052602</t>
        </is>
      </c>
      <c r="J1012" s="8" t="inlineStr">
        <is>
          <t>Diode Bypass Module Issue</t>
        </is>
      </c>
      <c r="K1012" s="8" t="inlineStr">
        <is>
          <t>Bhavnagar</t>
        </is>
      </c>
      <c r="L1012" s="8" t="inlineStr">
        <is>
          <t>Gujarat</t>
        </is>
      </c>
      <c r="M1012" s="2" t="inlineStr">
        <is>
          <t>PS</t>
        </is>
      </c>
      <c r="N1012" s="1" t="inlineStr">
        <is>
          <t>Cold Soldering</t>
        </is>
      </c>
      <c r="O1012" s="11" t="n">
        <v>540</v>
      </c>
      <c r="P1012" s="2" t="inlineStr">
        <is>
          <t>NSMP2305188635</t>
        </is>
      </c>
      <c r="Q1012" s="14">
        <f>MID(P1012,5,2)</f>
        <v/>
      </c>
      <c r="R1012" s="14">
        <f>MID(P1012,7,2)</f>
        <v/>
      </c>
      <c r="S1012" s="1" t="inlineStr">
        <is>
          <t>G2B</t>
        </is>
      </c>
      <c r="T1012" s="1" t="inlineStr">
        <is>
          <t>P2 - PEPPL</t>
        </is>
      </c>
      <c r="U1012" s="1" t="inlineStr">
        <is>
          <t>P JB Cold Soldering</t>
        </is>
      </c>
      <c r="V1012" s="1" t="inlineStr">
        <is>
          <t>Soldering</t>
        </is>
      </c>
      <c r="W1012" s="1" t="inlineStr">
        <is>
          <t>Repair</t>
        </is>
      </c>
      <c r="X1012" s="5" t="n">
        <v>46182</v>
      </c>
      <c r="Y1012" s="1">
        <f>IF(X1012="","",X1012-A1012)</f>
        <v/>
      </c>
      <c r="Z1012" s="5" t="n">
        <v>46182</v>
      </c>
      <c r="AA1012" s="3" t="n"/>
      <c r="AB1012" s="3" t="n"/>
      <c r="AE1012" s="146">
        <f>IF(AND(F1012="Closed",X1012&gt;=DATE(2026,6,1),X1012&lt;=DATE(2026,6,30)),"Closed in June","other")</f>
        <v/>
      </c>
    </row>
    <row r="1013" hidden="1">
      <c r="A1013" s="9" t="n">
        <v>46148</v>
      </c>
      <c r="B1013" s="1" t="n">
        <v>2026</v>
      </c>
      <c r="C1013" s="8" t="inlineStr">
        <is>
          <t>Continuum</t>
        </is>
      </c>
      <c r="D1013" s="1" t="inlineStr">
        <is>
          <t>Utility and C&amp;I</t>
        </is>
      </c>
      <c r="E1013" s="1" t="n"/>
      <c r="F1013" s="1" t="inlineStr">
        <is>
          <t>Closed</t>
        </is>
      </c>
      <c r="G1013" s="8" t="inlineStr">
        <is>
          <t>Amiya Ranjan Behera</t>
        </is>
      </c>
      <c r="H1013" s="8" t="n">
        <v>8917436223</v>
      </c>
      <c r="I1013" s="10" t="inlineStr">
        <is>
          <t>PE06052602</t>
        </is>
      </c>
      <c r="J1013" s="8" t="inlineStr">
        <is>
          <t>Diode Bypass Module Issue</t>
        </is>
      </c>
      <c r="K1013" s="8" t="inlineStr">
        <is>
          <t>Bhavnagar</t>
        </is>
      </c>
      <c r="L1013" s="8" t="inlineStr">
        <is>
          <t>Gujarat</t>
        </is>
      </c>
      <c r="M1013" s="2" t="inlineStr">
        <is>
          <t>PS</t>
        </is>
      </c>
      <c r="N1013" s="1" t="inlineStr">
        <is>
          <t>Cold Soldering</t>
        </is>
      </c>
      <c r="O1013" s="11" t="n">
        <v>540</v>
      </c>
      <c r="P1013" s="2" t="inlineStr">
        <is>
          <t>NSMP2305191858</t>
        </is>
      </c>
      <c r="Q1013" s="14">
        <f>MID(P1013,5,2)</f>
        <v/>
      </c>
      <c r="R1013" s="14">
        <f>MID(P1013,7,2)</f>
        <v/>
      </c>
      <c r="S1013" s="1" t="inlineStr">
        <is>
          <t>G2B</t>
        </is>
      </c>
      <c r="T1013" s="1" t="inlineStr">
        <is>
          <t>P2 - PEPPL</t>
        </is>
      </c>
      <c r="U1013" s="1" t="inlineStr">
        <is>
          <t>P JB Cold Soldering</t>
        </is>
      </c>
      <c r="V1013" s="1" t="inlineStr">
        <is>
          <t>Soldering</t>
        </is>
      </c>
      <c r="W1013" s="1" t="inlineStr">
        <is>
          <t>Repair</t>
        </is>
      </c>
      <c r="X1013" s="5" t="n">
        <v>46182</v>
      </c>
      <c r="Y1013" s="1">
        <f>IF(X1013="","",X1013-A1013)</f>
        <v/>
      </c>
      <c r="Z1013" s="5" t="n">
        <v>46182</v>
      </c>
      <c r="AA1013" s="3" t="n"/>
      <c r="AB1013" s="3" t="n"/>
      <c r="AE1013" s="146">
        <f>IF(AND(F1013="Closed",X1013&gt;=DATE(2026,6,1),X1013&lt;=DATE(2026,6,30)),"Closed in June","other")</f>
        <v/>
      </c>
    </row>
    <row r="1014" hidden="1">
      <c r="A1014" s="9" t="n">
        <v>46148</v>
      </c>
      <c r="B1014" s="1" t="n">
        <v>2026</v>
      </c>
      <c r="C1014" s="8" t="inlineStr">
        <is>
          <t>Continuum</t>
        </is>
      </c>
      <c r="D1014" s="1" t="inlineStr">
        <is>
          <t>Utility and C&amp;I</t>
        </is>
      </c>
      <c r="E1014" s="1" t="n"/>
      <c r="F1014" s="1" t="inlineStr">
        <is>
          <t>Closed</t>
        </is>
      </c>
      <c r="G1014" s="8" t="inlineStr">
        <is>
          <t>Amiya Ranjan Behera</t>
        </is>
      </c>
      <c r="H1014" s="8" t="n">
        <v>8917436223</v>
      </c>
      <c r="I1014" s="10" t="inlineStr">
        <is>
          <t>PE06052602</t>
        </is>
      </c>
      <c r="J1014" s="8" t="inlineStr">
        <is>
          <t>Diode Bypass Module Issue</t>
        </is>
      </c>
      <c r="K1014" s="8" t="inlineStr">
        <is>
          <t>Bhavnagar</t>
        </is>
      </c>
      <c r="L1014" s="8" t="inlineStr">
        <is>
          <t>Gujarat</t>
        </is>
      </c>
      <c r="M1014" s="2" t="inlineStr">
        <is>
          <t>PS</t>
        </is>
      </c>
      <c r="N1014" s="1" t="inlineStr">
        <is>
          <t>Cold Soldering</t>
        </is>
      </c>
      <c r="O1014" s="11" t="n">
        <v>540</v>
      </c>
      <c r="P1014" s="2" t="inlineStr">
        <is>
          <t>NSMP2305191871</t>
        </is>
      </c>
      <c r="Q1014" s="14">
        <f>MID(P1014,5,2)</f>
        <v/>
      </c>
      <c r="R1014" s="14">
        <f>MID(P1014,7,2)</f>
        <v/>
      </c>
      <c r="S1014" s="1" t="inlineStr">
        <is>
          <t>G2B</t>
        </is>
      </c>
      <c r="T1014" s="1" t="inlineStr">
        <is>
          <t>P2 - PEPPL</t>
        </is>
      </c>
      <c r="U1014" s="1" t="inlineStr">
        <is>
          <t>P JB Cold Soldering</t>
        </is>
      </c>
      <c r="V1014" s="1" t="inlineStr">
        <is>
          <t>Soldering</t>
        </is>
      </c>
      <c r="W1014" s="1" t="inlineStr">
        <is>
          <t>Repair</t>
        </is>
      </c>
      <c r="X1014" s="5" t="n">
        <v>46182</v>
      </c>
      <c r="Y1014" s="1">
        <f>IF(X1014="","",X1014-A1014)</f>
        <v/>
      </c>
      <c r="Z1014" s="5" t="n">
        <v>46182</v>
      </c>
      <c r="AA1014" s="3" t="n"/>
      <c r="AB1014" s="3" t="n"/>
      <c r="AE1014" s="146">
        <f>IF(AND(F1014="Closed",X1014&gt;=DATE(2026,6,1),X1014&lt;=DATE(2026,6,30)),"Closed in June","other")</f>
        <v/>
      </c>
    </row>
    <row r="1015" hidden="1">
      <c r="A1015" s="9" t="n">
        <v>46148</v>
      </c>
      <c r="B1015" s="1" t="n">
        <v>2026</v>
      </c>
      <c r="C1015" s="8" t="inlineStr">
        <is>
          <t>Continuum</t>
        </is>
      </c>
      <c r="D1015" s="1" t="inlineStr">
        <is>
          <t>Utility and C&amp;I</t>
        </is>
      </c>
      <c r="E1015" s="1" t="n"/>
      <c r="F1015" s="1" t="inlineStr">
        <is>
          <t>Closed</t>
        </is>
      </c>
      <c r="G1015" s="8" t="inlineStr">
        <is>
          <t>Amiya Ranjan Behera</t>
        </is>
      </c>
      <c r="H1015" s="8" t="n">
        <v>8917436223</v>
      </c>
      <c r="I1015" s="10" t="inlineStr">
        <is>
          <t>PE06052602</t>
        </is>
      </c>
      <c r="J1015" s="8" t="inlineStr">
        <is>
          <t>Diode Bypass Module Issue</t>
        </is>
      </c>
      <c r="K1015" s="8" t="inlineStr">
        <is>
          <t>Bhavnagar</t>
        </is>
      </c>
      <c r="L1015" s="8" t="inlineStr">
        <is>
          <t>Gujarat</t>
        </is>
      </c>
      <c r="M1015" s="2" t="inlineStr">
        <is>
          <t>PS</t>
        </is>
      </c>
      <c r="N1015" s="1" t="inlineStr">
        <is>
          <t>Cold Soldering</t>
        </is>
      </c>
      <c r="O1015" s="11" t="n">
        <v>540</v>
      </c>
      <c r="P1015" s="2" t="inlineStr">
        <is>
          <t>NSMP2305191861</t>
        </is>
      </c>
      <c r="Q1015" s="14">
        <f>MID(P1015,5,2)</f>
        <v/>
      </c>
      <c r="R1015" s="14">
        <f>MID(P1015,7,2)</f>
        <v/>
      </c>
      <c r="S1015" s="1" t="inlineStr">
        <is>
          <t>G2B</t>
        </is>
      </c>
      <c r="T1015" s="1" t="inlineStr">
        <is>
          <t>P2 - PEPPL</t>
        </is>
      </c>
      <c r="U1015" s="1" t="inlineStr">
        <is>
          <t>P JB Cold Soldering</t>
        </is>
      </c>
      <c r="V1015" s="1" t="inlineStr">
        <is>
          <t>Soldering</t>
        </is>
      </c>
      <c r="W1015" s="1" t="inlineStr">
        <is>
          <t>Repair</t>
        </is>
      </c>
      <c r="X1015" s="5" t="n">
        <v>46182</v>
      </c>
      <c r="Y1015" s="1">
        <f>IF(X1015="","",X1015-A1015)</f>
        <v/>
      </c>
      <c r="Z1015" s="5" t="n">
        <v>46182</v>
      </c>
      <c r="AA1015" s="3" t="n"/>
      <c r="AB1015" s="3" t="n"/>
      <c r="AE1015" s="146">
        <f>IF(AND(F1015="Closed",X1015&gt;=DATE(2026,6,1),X1015&lt;=DATE(2026,6,30)),"Closed in June","other")</f>
        <v/>
      </c>
    </row>
    <row r="1016" hidden="1">
      <c r="A1016" s="9" t="n">
        <v>46148</v>
      </c>
      <c r="B1016" s="1" t="n">
        <v>2026</v>
      </c>
      <c r="C1016" s="8" t="inlineStr">
        <is>
          <t>Continuum</t>
        </is>
      </c>
      <c r="D1016" s="1" t="inlineStr">
        <is>
          <t>Utility and C&amp;I</t>
        </is>
      </c>
      <c r="E1016" s="1" t="n"/>
      <c r="F1016" s="1" t="inlineStr">
        <is>
          <t>Closed</t>
        </is>
      </c>
      <c r="G1016" s="8" t="inlineStr">
        <is>
          <t>Amiya Ranjan Behera</t>
        </is>
      </c>
      <c r="H1016" s="8" t="n">
        <v>8917436223</v>
      </c>
      <c r="I1016" s="10" t="inlineStr">
        <is>
          <t>PE06052602</t>
        </is>
      </c>
      <c r="J1016" s="8" t="inlineStr">
        <is>
          <t>Diode Bypass Module Issue</t>
        </is>
      </c>
      <c r="K1016" s="8" t="inlineStr">
        <is>
          <t>Bhavnagar</t>
        </is>
      </c>
      <c r="L1016" s="8" t="inlineStr">
        <is>
          <t>Gujarat</t>
        </is>
      </c>
      <c r="M1016" s="2" t="inlineStr">
        <is>
          <t>PS</t>
        </is>
      </c>
      <c r="N1016" s="1" t="inlineStr">
        <is>
          <t>Cold Soldering</t>
        </is>
      </c>
      <c r="O1016" s="11" t="n">
        <v>540</v>
      </c>
      <c r="P1016" s="2" t="inlineStr">
        <is>
          <t>NSMP2305191819</t>
        </is>
      </c>
      <c r="Q1016" s="14">
        <f>MID(P1016,5,2)</f>
        <v/>
      </c>
      <c r="R1016" s="14">
        <f>MID(P1016,7,2)</f>
        <v/>
      </c>
      <c r="S1016" s="1" t="inlineStr">
        <is>
          <t>G2B</t>
        </is>
      </c>
      <c r="T1016" s="1" t="inlineStr">
        <is>
          <t>P2 - PEPPL</t>
        </is>
      </c>
      <c r="U1016" s="1" t="inlineStr">
        <is>
          <t>P JB Cold Soldering</t>
        </is>
      </c>
      <c r="V1016" s="1" t="inlineStr">
        <is>
          <t>Soldering</t>
        </is>
      </c>
      <c r="W1016" s="1" t="inlineStr">
        <is>
          <t>Repair</t>
        </is>
      </c>
      <c r="X1016" s="5" t="n">
        <v>46182</v>
      </c>
      <c r="Y1016" s="1">
        <f>IF(X1016="","",X1016-A1016)</f>
        <v/>
      </c>
      <c r="Z1016" s="5" t="n">
        <v>46182</v>
      </c>
      <c r="AA1016" s="3" t="n"/>
      <c r="AB1016" s="3" t="n"/>
      <c r="AE1016" s="146">
        <f>IF(AND(F1016="Closed",X1016&gt;=DATE(2026,6,1),X1016&lt;=DATE(2026,6,30)),"Closed in June","other")</f>
        <v/>
      </c>
    </row>
    <row r="1017" hidden="1">
      <c r="A1017" s="9" t="n">
        <v>46148</v>
      </c>
      <c r="B1017" s="1" t="n">
        <v>2026</v>
      </c>
      <c r="C1017" s="8" t="inlineStr">
        <is>
          <t>Continuum</t>
        </is>
      </c>
      <c r="D1017" s="1" t="inlineStr">
        <is>
          <t>Utility and C&amp;I</t>
        </is>
      </c>
      <c r="E1017" s="1" t="n"/>
      <c r="F1017" s="1" t="inlineStr">
        <is>
          <t>Closed</t>
        </is>
      </c>
      <c r="G1017" s="8" t="inlineStr">
        <is>
          <t>Amiya Ranjan Behera</t>
        </is>
      </c>
      <c r="H1017" s="8" t="n">
        <v>8917436223</v>
      </c>
      <c r="I1017" s="10" t="inlineStr">
        <is>
          <t>PE06052602</t>
        </is>
      </c>
      <c r="J1017" s="8" t="inlineStr">
        <is>
          <t>Diode Bypass Module Issue</t>
        </is>
      </c>
      <c r="K1017" s="8" t="inlineStr">
        <is>
          <t>Bhavnagar</t>
        </is>
      </c>
      <c r="L1017" s="8" t="inlineStr">
        <is>
          <t>Gujarat</t>
        </is>
      </c>
      <c r="M1017" s="2" t="inlineStr">
        <is>
          <t>PS</t>
        </is>
      </c>
      <c r="N1017" s="1" t="inlineStr">
        <is>
          <t>Cold Soldering</t>
        </is>
      </c>
      <c r="O1017" s="11" t="n">
        <v>540</v>
      </c>
      <c r="P1017" s="2" t="inlineStr">
        <is>
          <t>NSMP2305191842</t>
        </is>
      </c>
      <c r="Q1017" s="14">
        <f>MID(P1017,5,2)</f>
        <v/>
      </c>
      <c r="R1017" s="14">
        <f>MID(P1017,7,2)</f>
        <v/>
      </c>
      <c r="S1017" s="1" t="inlineStr">
        <is>
          <t>G2B</t>
        </is>
      </c>
      <c r="T1017" s="1" t="inlineStr">
        <is>
          <t>P2 - PEPPL</t>
        </is>
      </c>
      <c r="U1017" s="1" t="inlineStr">
        <is>
          <t>P JB Cold Soldering</t>
        </is>
      </c>
      <c r="V1017" s="1" t="inlineStr">
        <is>
          <t>Soldering</t>
        </is>
      </c>
      <c r="W1017" s="1" t="inlineStr">
        <is>
          <t>Repair</t>
        </is>
      </c>
      <c r="X1017" s="5" t="n">
        <v>46182</v>
      </c>
      <c r="Y1017" s="1">
        <f>IF(X1017="","",X1017-A1017)</f>
        <v/>
      </c>
      <c r="Z1017" s="5" t="n">
        <v>46182</v>
      </c>
      <c r="AA1017" s="3" t="n"/>
      <c r="AB1017" s="3" t="n"/>
      <c r="AE1017" s="146">
        <f>IF(AND(F1017="Closed",X1017&gt;=DATE(2026,6,1),X1017&lt;=DATE(2026,6,30)),"Closed in June","other")</f>
        <v/>
      </c>
    </row>
    <row r="1018" hidden="1">
      <c r="A1018" s="9" t="n">
        <v>46148</v>
      </c>
      <c r="B1018" s="1" t="n">
        <v>2026</v>
      </c>
      <c r="C1018" s="8" t="inlineStr">
        <is>
          <t>Continuum</t>
        </is>
      </c>
      <c r="D1018" s="1" t="inlineStr">
        <is>
          <t>Utility and C&amp;I</t>
        </is>
      </c>
      <c r="E1018" s="1" t="n"/>
      <c r="F1018" s="1" t="inlineStr">
        <is>
          <t>Closed</t>
        </is>
      </c>
      <c r="G1018" s="8" t="inlineStr">
        <is>
          <t>Amiya Ranjan Behera</t>
        </is>
      </c>
      <c r="H1018" s="8" t="n">
        <v>8917436223</v>
      </c>
      <c r="I1018" s="10" t="inlineStr">
        <is>
          <t>PE06052602</t>
        </is>
      </c>
      <c r="J1018" s="8" t="inlineStr">
        <is>
          <t>Diode Bypass Module Issue</t>
        </is>
      </c>
      <c r="K1018" s="8" t="inlineStr">
        <is>
          <t>Bhavnagar</t>
        </is>
      </c>
      <c r="L1018" s="8" t="inlineStr">
        <is>
          <t>Gujarat</t>
        </is>
      </c>
      <c r="M1018" s="2" t="inlineStr">
        <is>
          <t>PS</t>
        </is>
      </c>
      <c r="N1018" s="1" t="inlineStr">
        <is>
          <t>Cold Soldering</t>
        </is>
      </c>
      <c r="O1018" s="11" t="n">
        <v>540</v>
      </c>
      <c r="P1018" s="2" t="inlineStr">
        <is>
          <t>NSMP2305191829</t>
        </is>
      </c>
      <c r="Q1018" s="14">
        <f>MID(P1018,5,2)</f>
        <v/>
      </c>
      <c r="R1018" s="14">
        <f>MID(P1018,7,2)</f>
        <v/>
      </c>
      <c r="S1018" s="1" t="inlineStr">
        <is>
          <t>G2B</t>
        </is>
      </c>
      <c r="T1018" s="1" t="inlineStr">
        <is>
          <t>P2 - PEPPL</t>
        </is>
      </c>
      <c r="U1018" s="1" t="inlineStr">
        <is>
          <t>P JB Cold Soldering</t>
        </is>
      </c>
      <c r="V1018" s="1" t="inlineStr">
        <is>
          <t>Soldering</t>
        </is>
      </c>
      <c r="W1018" s="1" t="inlineStr">
        <is>
          <t>Repair</t>
        </is>
      </c>
      <c r="X1018" s="5" t="n">
        <v>46182</v>
      </c>
      <c r="Y1018" s="1">
        <f>IF(X1018="","",X1018-A1018)</f>
        <v/>
      </c>
      <c r="Z1018" s="5" t="n">
        <v>46182</v>
      </c>
      <c r="AA1018" s="3" t="n"/>
      <c r="AB1018" s="3" t="n"/>
      <c r="AE1018" s="146">
        <f>IF(AND(F1018="Closed",X1018&gt;=DATE(2026,6,1),X1018&lt;=DATE(2026,6,30)),"Closed in June","other")</f>
        <v/>
      </c>
    </row>
    <row r="1019" hidden="1">
      <c r="A1019" s="9" t="n">
        <v>46148</v>
      </c>
      <c r="B1019" s="1" t="n">
        <v>2026</v>
      </c>
      <c r="C1019" s="8" t="inlineStr">
        <is>
          <t>Continuum</t>
        </is>
      </c>
      <c r="D1019" s="1" t="inlineStr">
        <is>
          <t>Utility and C&amp;I</t>
        </is>
      </c>
      <c r="E1019" s="1" t="n"/>
      <c r="F1019" s="1" t="inlineStr">
        <is>
          <t>Closed</t>
        </is>
      </c>
      <c r="G1019" s="8" t="inlineStr">
        <is>
          <t>Amiya Ranjan Behera</t>
        </is>
      </c>
      <c r="H1019" s="8" t="n">
        <v>8917436223</v>
      </c>
      <c r="I1019" s="10" t="inlineStr">
        <is>
          <t>PE06052602</t>
        </is>
      </c>
      <c r="J1019" s="8" t="inlineStr">
        <is>
          <t>Diode Bypass Module Issue</t>
        </is>
      </c>
      <c r="K1019" s="8" t="inlineStr">
        <is>
          <t>Bhavnagar</t>
        </is>
      </c>
      <c r="L1019" s="8" t="inlineStr">
        <is>
          <t>Gujarat</t>
        </is>
      </c>
      <c r="M1019" s="2" t="inlineStr">
        <is>
          <t>PS</t>
        </is>
      </c>
      <c r="N1019" s="1" t="inlineStr">
        <is>
          <t>Cold Soldering</t>
        </is>
      </c>
      <c r="O1019" s="11" t="n">
        <v>540</v>
      </c>
      <c r="P1019" s="2" t="inlineStr">
        <is>
          <t>NSMP2305191831</t>
        </is>
      </c>
      <c r="Q1019" s="14">
        <f>MID(P1019,5,2)</f>
        <v/>
      </c>
      <c r="R1019" s="14">
        <f>MID(P1019,7,2)</f>
        <v/>
      </c>
      <c r="S1019" s="1" t="inlineStr">
        <is>
          <t>G2B</t>
        </is>
      </c>
      <c r="T1019" s="1" t="inlineStr">
        <is>
          <t>P2 - PEPPL</t>
        </is>
      </c>
      <c r="U1019" s="1" t="inlineStr">
        <is>
          <t>P JB Cold Soldering</t>
        </is>
      </c>
      <c r="V1019" s="1" t="inlineStr">
        <is>
          <t>Soldering</t>
        </is>
      </c>
      <c r="W1019" s="1" t="inlineStr">
        <is>
          <t>Repair</t>
        </is>
      </c>
      <c r="X1019" s="5" t="n">
        <v>46182</v>
      </c>
      <c r="Y1019" s="1">
        <f>IF(X1019="","",X1019-A1019)</f>
        <v/>
      </c>
      <c r="Z1019" s="5" t="n">
        <v>46182</v>
      </c>
      <c r="AA1019" s="3" t="n"/>
      <c r="AB1019" s="3" t="n"/>
      <c r="AE1019" s="146">
        <f>IF(AND(F1019="Closed",X1019&gt;=DATE(2026,6,1),X1019&lt;=DATE(2026,6,30)),"Closed in June","other")</f>
        <v/>
      </c>
    </row>
    <row r="1020" hidden="1">
      <c r="A1020" s="9" t="n">
        <v>46148</v>
      </c>
      <c r="B1020" s="1" t="n">
        <v>2026</v>
      </c>
      <c r="C1020" s="8" t="inlineStr">
        <is>
          <t>Continuum</t>
        </is>
      </c>
      <c r="D1020" s="1" t="inlineStr">
        <is>
          <t>Utility and C&amp;I</t>
        </is>
      </c>
      <c r="E1020" s="1" t="n"/>
      <c r="F1020" s="1" t="inlineStr">
        <is>
          <t>Closed</t>
        </is>
      </c>
      <c r="G1020" s="8" t="inlineStr">
        <is>
          <t>Amiya Ranjan Behera</t>
        </is>
      </c>
      <c r="H1020" s="8" t="n">
        <v>8917436223</v>
      </c>
      <c r="I1020" s="10" t="inlineStr">
        <is>
          <t>PE06052602</t>
        </is>
      </c>
      <c r="J1020" s="8" t="inlineStr">
        <is>
          <t>Diode Bypass Module Issue</t>
        </is>
      </c>
      <c r="K1020" s="8" t="inlineStr">
        <is>
          <t>Bhavnagar</t>
        </is>
      </c>
      <c r="L1020" s="8" t="inlineStr">
        <is>
          <t>Gujarat</t>
        </is>
      </c>
      <c r="M1020" s="2" t="inlineStr">
        <is>
          <t>NR</t>
        </is>
      </c>
      <c r="N1020" s="8" t="inlineStr">
        <is>
          <t>JB Issue</t>
        </is>
      </c>
      <c r="O1020" s="11" t="n">
        <v>540</v>
      </c>
      <c r="P1020" s="2" t="inlineStr">
        <is>
          <t>NSMP2305191874</t>
        </is>
      </c>
      <c r="Q1020" s="14">
        <f>MID(P1020,5,2)</f>
        <v/>
      </c>
      <c r="R1020" s="14">
        <f>MID(P1020,7,2)</f>
        <v/>
      </c>
      <c r="S1020" s="1" t="inlineStr">
        <is>
          <t>G2B</t>
        </is>
      </c>
      <c r="T1020" s="1" t="inlineStr">
        <is>
          <t>P2 - PEPPL</t>
        </is>
      </c>
      <c r="U1020" s="6" t="inlineStr">
        <is>
          <t>N JB Issue</t>
        </is>
      </c>
      <c r="V1020" s="6" t="inlineStr">
        <is>
          <t>JB Changed</t>
        </is>
      </c>
      <c r="W1020" s="1" t="inlineStr">
        <is>
          <t>Repair</t>
        </is>
      </c>
      <c r="X1020" s="5" t="n">
        <v>46182</v>
      </c>
      <c r="Y1020" s="1">
        <f>IF(X1020="","",X1020-A1020)</f>
        <v/>
      </c>
      <c r="Z1020" s="5" t="n">
        <v>46182</v>
      </c>
      <c r="AA1020" s="3" t="n"/>
      <c r="AB1020" s="3" t="n"/>
      <c r="AE1020" s="146">
        <f>IF(AND(F1020="Closed",X1020&gt;=DATE(2026,6,1),X1020&lt;=DATE(2026,6,30)),"Closed in June","other")</f>
        <v/>
      </c>
    </row>
    <row r="1021" hidden="1">
      <c r="A1021" s="9" t="n">
        <v>46148</v>
      </c>
      <c r="B1021" s="1" t="n">
        <v>2026</v>
      </c>
      <c r="C1021" s="8" t="inlineStr">
        <is>
          <t>Continuum</t>
        </is>
      </c>
      <c r="D1021" s="1" t="inlineStr">
        <is>
          <t>Utility and C&amp;I</t>
        </is>
      </c>
      <c r="E1021" s="1" t="n"/>
      <c r="F1021" s="1" t="inlineStr">
        <is>
          <t>Closed</t>
        </is>
      </c>
      <c r="G1021" s="8" t="inlineStr">
        <is>
          <t>Amiya Ranjan Behera</t>
        </is>
      </c>
      <c r="H1021" s="8" t="n">
        <v>8917436223</v>
      </c>
      <c r="I1021" s="10" t="inlineStr">
        <is>
          <t>PE06052602</t>
        </is>
      </c>
      <c r="J1021" s="8" t="inlineStr">
        <is>
          <t>Diode Bypass Module Issue</t>
        </is>
      </c>
      <c r="K1021" s="8" t="inlineStr">
        <is>
          <t>Bhavnagar</t>
        </is>
      </c>
      <c r="L1021" s="8" t="inlineStr">
        <is>
          <t>Gujarat</t>
        </is>
      </c>
      <c r="M1021" s="2" t="inlineStr">
        <is>
          <t>PS</t>
        </is>
      </c>
      <c r="N1021" s="1" t="inlineStr">
        <is>
          <t>Cold Soldering</t>
        </is>
      </c>
      <c r="O1021" s="11" t="n">
        <v>540</v>
      </c>
      <c r="P1021" s="2" t="inlineStr">
        <is>
          <t>NSMP2305191873</t>
        </is>
      </c>
      <c r="Q1021" s="14">
        <f>MID(P1021,5,2)</f>
        <v/>
      </c>
      <c r="R1021" s="14">
        <f>MID(P1021,7,2)</f>
        <v/>
      </c>
      <c r="S1021" s="1" t="inlineStr">
        <is>
          <t>G2B</t>
        </is>
      </c>
      <c r="T1021" s="1" t="inlineStr">
        <is>
          <t>P2 - PEPPL</t>
        </is>
      </c>
      <c r="U1021" s="1" t="inlineStr">
        <is>
          <t>P JB Cold Soldering</t>
        </is>
      </c>
      <c r="V1021" s="1" t="inlineStr">
        <is>
          <t>Soldering</t>
        </is>
      </c>
      <c r="W1021" s="1" t="inlineStr">
        <is>
          <t>Repair</t>
        </is>
      </c>
      <c r="X1021" s="5" t="n">
        <v>46182</v>
      </c>
      <c r="Y1021" s="1">
        <f>IF(X1021="","",X1021-A1021)</f>
        <v/>
      </c>
      <c r="Z1021" s="5" t="n">
        <v>46182</v>
      </c>
      <c r="AA1021" s="3" t="n"/>
      <c r="AB1021" s="3" t="n"/>
      <c r="AE1021" s="146">
        <f>IF(AND(F1021="Closed",X1021&gt;=DATE(2026,6,1),X1021&lt;=DATE(2026,6,30)),"Closed in June","other")</f>
        <v/>
      </c>
    </row>
    <row r="1022" hidden="1">
      <c r="A1022" s="9" t="n">
        <v>46148</v>
      </c>
      <c r="B1022" s="1" t="n">
        <v>2026</v>
      </c>
      <c r="C1022" s="8" t="inlineStr">
        <is>
          <t>Continuum</t>
        </is>
      </c>
      <c r="D1022" s="1" t="inlineStr">
        <is>
          <t>Utility and C&amp;I</t>
        </is>
      </c>
      <c r="E1022" s="1" t="n"/>
      <c r="F1022" s="1" t="inlineStr">
        <is>
          <t>Closed</t>
        </is>
      </c>
      <c r="G1022" s="8" t="inlineStr">
        <is>
          <t>Amiya Ranjan Behera</t>
        </is>
      </c>
      <c r="H1022" s="8" t="n">
        <v>8917436223</v>
      </c>
      <c r="I1022" s="10" t="inlineStr">
        <is>
          <t>PE06052602</t>
        </is>
      </c>
      <c r="J1022" s="8" t="inlineStr">
        <is>
          <t>Diode Bypass Module Issue</t>
        </is>
      </c>
      <c r="K1022" s="8" t="inlineStr">
        <is>
          <t>Bhavnagar</t>
        </is>
      </c>
      <c r="L1022" s="8" t="inlineStr">
        <is>
          <t>Gujarat</t>
        </is>
      </c>
      <c r="M1022" s="2" t="inlineStr">
        <is>
          <t>PR</t>
        </is>
      </c>
      <c r="N1022" s="1" t="inlineStr">
        <is>
          <t>JB Issue</t>
        </is>
      </c>
      <c r="O1022" s="11" t="n">
        <v>540</v>
      </c>
      <c r="P1022" s="2" t="inlineStr">
        <is>
          <t>NSMP2305194599</t>
        </is>
      </c>
      <c r="Q1022" s="14">
        <f>MID(P1022,5,2)</f>
        <v/>
      </c>
      <c r="R1022" s="14">
        <f>MID(P1022,7,2)</f>
        <v/>
      </c>
      <c r="S1022" s="1" t="inlineStr">
        <is>
          <t>G2B</t>
        </is>
      </c>
      <c r="T1022" s="1" t="inlineStr">
        <is>
          <t>P2 - PEPPL</t>
        </is>
      </c>
      <c r="U1022" s="6" t="inlineStr">
        <is>
          <t>P JB Issue</t>
        </is>
      </c>
      <c r="V1022" s="6" t="inlineStr">
        <is>
          <t>JB Changed</t>
        </is>
      </c>
      <c r="W1022" s="1" t="inlineStr">
        <is>
          <t>Repair</t>
        </is>
      </c>
      <c r="X1022" s="5" t="n">
        <v>46182</v>
      </c>
      <c r="Y1022" s="1">
        <f>IF(X1022="","",X1022-A1022)</f>
        <v/>
      </c>
      <c r="Z1022" s="5" t="n">
        <v>46182</v>
      </c>
      <c r="AA1022" s="3" t="n"/>
      <c r="AB1022" s="3" t="n"/>
      <c r="AE1022" s="146">
        <f>IF(AND(F1022="Closed",X1022&gt;=DATE(2026,6,1),X1022&lt;=DATE(2026,6,30)),"Closed in June","other")</f>
        <v/>
      </c>
    </row>
    <row r="1023" hidden="1">
      <c r="A1023" s="9" t="n">
        <v>46148</v>
      </c>
      <c r="B1023" s="1" t="n">
        <v>2026</v>
      </c>
      <c r="C1023" s="8" t="inlineStr">
        <is>
          <t>Continuum</t>
        </is>
      </c>
      <c r="D1023" s="1" t="inlineStr">
        <is>
          <t>Utility and C&amp;I</t>
        </is>
      </c>
      <c r="E1023" s="1" t="n"/>
      <c r="F1023" s="1" t="inlineStr">
        <is>
          <t>Closed</t>
        </is>
      </c>
      <c r="G1023" s="8" t="inlineStr">
        <is>
          <t>Amiya Ranjan Behera</t>
        </is>
      </c>
      <c r="H1023" s="8" t="n">
        <v>8917436223</v>
      </c>
      <c r="I1023" s="10" t="inlineStr">
        <is>
          <t>PE06052602</t>
        </is>
      </c>
      <c r="J1023" s="8" t="inlineStr">
        <is>
          <t>Diode Bypass Module Issue</t>
        </is>
      </c>
      <c r="K1023" s="8" t="inlineStr">
        <is>
          <t>Bhavnagar</t>
        </is>
      </c>
      <c r="L1023" s="8" t="inlineStr">
        <is>
          <t>Gujarat</t>
        </is>
      </c>
      <c r="M1023" s="2" t="inlineStr">
        <is>
          <t>PR</t>
        </is>
      </c>
      <c r="N1023" s="1" t="inlineStr">
        <is>
          <t>JB Issue</t>
        </is>
      </c>
      <c r="O1023" s="11" t="n">
        <v>540</v>
      </c>
      <c r="P1023" s="2" t="inlineStr">
        <is>
          <t>NSMP2305192491</t>
        </is>
      </c>
      <c r="Q1023" s="14">
        <f>MID(P1023,5,2)</f>
        <v/>
      </c>
      <c r="R1023" s="14">
        <f>MID(P1023,7,2)</f>
        <v/>
      </c>
      <c r="S1023" s="1" t="inlineStr">
        <is>
          <t>G2B</t>
        </is>
      </c>
      <c r="T1023" s="1" t="inlineStr">
        <is>
          <t>P2 - PEPPL</t>
        </is>
      </c>
      <c r="U1023" s="6" t="inlineStr">
        <is>
          <t>P JB Issue</t>
        </is>
      </c>
      <c r="V1023" s="6" t="inlineStr">
        <is>
          <t>JB Changed</t>
        </is>
      </c>
      <c r="W1023" s="1" t="inlineStr">
        <is>
          <t>Repair</t>
        </is>
      </c>
      <c r="X1023" s="5" t="n">
        <v>46182</v>
      </c>
      <c r="Y1023" s="1">
        <f>IF(X1023="","",X1023-A1023)</f>
        <v/>
      </c>
      <c r="Z1023" s="5" t="n">
        <v>46182</v>
      </c>
      <c r="AA1023" s="3" t="n"/>
      <c r="AB1023" s="3" t="n"/>
      <c r="AE1023" s="146">
        <f>IF(AND(F1023="Closed",X1023&gt;=DATE(2026,6,1),X1023&lt;=DATE(2026,6,30)),"Closed in June","other")</f>
        <v/>
      </c>
    </row>
    <row r="1024" hidden="1">
      <c r="A1024" s="9" t="n">
        <v>46148</v>
      </c>
      <c r="B1024" s="1" t="n">
        <v>2026</v>
      </c>
      <c r="C1024" s="8" t="inlineStr">
        <is>
          <t>Continuum</t>
        </is>
      </c>
      <c r="D1024" s="1" t="inlineStr">
        <is>
          <t>Utility and C&amp;I</t>
        </is>
      </c>
      <c r="E1024" s="1" t="n"/>
      <c r="F1024" s="1" t="inlineStr">
        <is>
          <t>Closed</t>
        </is>
      </c>
      <c r="G1024" s="8" t="inlineStr">
        <is>
          <t>Amiya Ranjan Behera</t>
        </is>
      </c>
      <c r="H1024" s="8" t="n">
        <v>8917436223</v>
      </c>
      <c r="I1024" s="10" t="inlineStr">
        <is>
          <t>PE06052602</t>
        </is>
      </c>
      <c r="J1024" s="8" t="inlineStr">
        <is>
          <t>Diode Bypass Module Issue</t>
        </is>
      </c>
      <c r="K1024" s="8" t="inlineStr">
        <is>
          <t>Bhavnagar</t>
        </is>
      </c>
      <c r="L1024" s="8" t="inlineStr">
        <is>
          <t>Gujarat</t>
        </is>
      </c>
      <c r="M1024" s="2" t="inlineStr">
        <is>
          <t>PS</t>
        </is>
      </c>
      <c r="N1024" s="1" t="inlineStr">
        <is>
          <t>Cold Soldering</t>
        </is>
      </c>
      <c r="O1024" s="11" t="n">
        <v>540</v>
      </c>
      <c r="P1024" s="2" t="inlineStr">
        <is>
          <t>NSMP2305192308</t>
        </is>
      </c>
      <c r="Q1024" s="14">
        <f>MID(P1024,5,2)</f>
        <v/>
      </c>
      <c r="R1024" s="14">
        <f>MID(P1024,7,2)</f>
        <v/>
      </c>
      <c r="S1024" s="1" t="inlineStr">
        <is>
          <t>G2B</t>
        </is>
      </c>
      <c r="T1024" s="1" t="inlineStr">
        <is>
          <t>P2 - PEPPL</t>
        </is>
      </c>
      <c r="U1024" s="1" t="inlineStr">
        <is>
          <t>P JB Cold Soldering</t>
        </is>
      </c>
      <c r="V1024" s="1" t="inlineStr">
        <is>
          <t>Soldering</t>
        </is>
      </c>
      <c r="W1024" s="1" t="inlineStr">
        <is>
          <t>Repair</t>
        </is>
      </c>
      <c r="X1024" s="5" t="n">
        <v>46182</v>
      </c>
      <c r="Y1024" s="1">
        <f>IF(X1024="","",X1024-A1024)</f>
        <v/>
      </c>
      <c r="Z1024" s="5" t="n">
        <v>46182</v>
      </c>
      <c r="AA1024" s="3" t="n"/>
      <c r="AB1024" s="3" t="n"/>
      <c r="AE1024" s="146">
        <f>IF(AND(F1024="Closed",X1024&gt;=DATE(2026,6,1),X1024&lt;=DATE(2026,6,30)),"Closed in June","other")</f>
        <v/>
      </c>
    </row>
    <row r="1025" hidden="1">
      <c r="A1025" s="9" t="n">
        <v>46148</v>
      </c>
      <c r="B1025" s="1" t="n">
        <v>2026</v>
      </c>
      <c r="C1025" s="8" t="inlineStr">
        <is>
          <t>Continuum</t>
        </is>
      </c>
      <c r="D1025" s="1" t="inlineStr">
        <is>
          <t>Utility and C&amp;I</t>
        </is>
      </c>
      <c r="E1025" s="1" t="n"/>
      <c r="F1025" s="1" t="inlineStr">
        <is>
          <t>Closed</t>
        </is>
      </c>
      <c r="G1025" s="8" t="inlineStr">
        <is>
          <t>Amiya Ranjan Behera</t>
        </is>
      </c>
      <c r="H1025" s="8" t="n">
        <v>8917436223</v>
      </c>
      <c r="I1025" s="10" t="inlineStr">
        <is>
          <t>PE06052602</t>
        </is>
      </c>
      <c r="J1025" s="8" t="inlineStr">
        <is>
          <t>Diode Bypass Module Issue</t>
        </is>
      </c>
      <c r="K1025" s="8" t="inlineStr">
        <is>
          <t>Bhavnagar</t>
        </is>
      </c>
      <c r="L1025" s="8" t="inlineStr">
        <is>
          <t>Gujarat</t>
        </is>
      </c>
      <c r="M1025" s="2" t="inlineStr">
        <is>
          <t>PR</t>
        </is>
      </c>
      <c r="N1025" s="1" t="inlineStr">
        <is>
          <t>JB Issue</t>
        </is>
      </c>
      <c r="O1025" s="11" t="n">
        <v>540</v>
      </c>
      <c r="P1025" s="2" t="inlineStr">
        <is>
          <t>NSMP2305191906</t>
        </is>
      </c>
      <c r="Q1025" s="14">
        <f>MID(P1025,5,2)</f>
        <v/>
      </c>
      <c r="R1025" s="14">
        <f>MID(P1025,7,2)</f>
        <v/>
      </c>
      <c r="S1025" s="1" t="inlineStr">
        <is>
          <t>G2B</t>
        </is>
      </c>
      <c r="T1025" s="1" t="inlineStr">
        <is>
          <t>P2 - PEPPL</t>
        </is>
      </c>
      <c r="U1025" s="6" t="inlineStr">
        <is>
          <t>P JB Issue</t>
        </is>
      </c>
      <c r="V1025" s="6" t="inlineStr">
        <is>
          <t>JB Changed</t>
        </is>
      </c>
      <c r="W1025" s="1" t="inlineStr">
        <is>
          <t>Repair</t>
        </is>
      </c>
      <c r="X1025" s="5" t="n">
        <v>46182</v>
      </c>
      <c r="Y1025" s="1">
        <f>IF(X1025="","",X1025-A1025)</f>
        <v/>
      </c>
      <c r="Z1025" s="5" t="n">
        <v>46182</v>
      </c>
      <c r="AA1025" s="3" t="n"/>
      <c r="AB1025" s="3" t="n"/>
      <c r="AE1025" s="146">
        <f>IF(AND(F1025="Closed",X1025&gt;=DATE(2026,6,1),X1025&lt;=DATE(2026,6,30)),"Closed in June","other")</f>
        <v/>
      </c>
    </row>
    <row r="1026" hidden="1">
      <c r="A1026" s="9" t="n">
        <v>46148</v>
      </c>
      <c r="B1026" s="1" t="n">
        <v>2026</v>
      </c>
      <c r="C1026" s="8" t="inlineStr">
        <is>
          <t>Continuum</t>
        </is>
      </c>
      <c r="D1026" s="1" t="inlineStr">
        <is>
          <t>Utility and C&amp;I</t>
        </is>
      </c>
      <c r="E1026" s="1" t="n"/>
      <c r="F1026" s="1" t="inlineStr">
        <is>
          <t>Closed</t>
        </is>
      </c>
      <c r="G1026" s="8" t="inlineStr">
        <is>
          <t>Amiya Ranjan Behera</t>
        </is>
      </c>
      <c r="H1026" s="8" t="n">
        <v>8917436223</v>
      </c>
      <c r="I1026" s="10" t="inlineStr">
        <is>
          <t>PE06052602</t>
        </is>
      </c>
      <c r="J1026" s="8" t="inlineStr">
        <is>
          <t>Diode Bypass Module Issue</t>
        </is>
      </c>
      <c r="K1026" s="8" t="inlineStr">
        <is>
          <t>Bhavnagar</t>
        </is>
      </c>
      <c r="L1026" s="8" t="inlineStr">
        <is>
          <t>Gujarat</t>
        </is>
      </c>
      <c r="M1026" s="2" t="inlineStr">
        <is>
          <t>PS</t>
        </is>
      </c>
      <c r="N1026" s="1" t="inlineStr">
        <is>
          <t>Cold Soldering</t>
        </is>
      </c>
      <c r="O1026" s="11" t="n">
        <v>540</v>
      </c>
      <c r="P1026" s="2" t="inlineStr">
        <is>
          <t>NSMP2305191987</t>
        </is>
      </c>
      <c r="Q1026" s="14">
        <f>MID(P1026,5,2)</f>
        <v/>
      </c>
      <c r="R1026" s="14">
        <f>MID(P1026,7,2)</f>
        <v/>
      </c>
      <c r="S1026" s="1" t="inlineStr">
        <is>
          <t>G2B</t>
        </is>
      </c>
      <c r="T1026" s="1" t="inlineStr">
        <is>
          <t>P2 - PEPPL</t>
        </is>
      </c>
      <c r="U1026" s="1" t="inlineStr">
        <is>
          <t>P JB Cold Soldering</t>
        </is>
      </c>
      <c r="V1026" s="1" t="inlineStr">
        <is>
          <t>Soldering</t>
        </is>
      </c>
      <c r="W1026" s="1" t="inlineStr">
        <is>
          <t>Repair</t>
        </is>
      </c>
      <c r="X1026" s="5" t="n">
        <v>46182</v>
      </c>
      <c r="Y1026" s="1">
        <f>IF(X1026="","",X1026-A1026)</f>
        <v/>
      </c>
      <c r="Z1026" s="5" t="n">
        <v>46182</v>
      </c>
      <c r="AA1026" s="3" t="n"/>
      <c r="AB1026" s="3" t="n"/>
      <c r="AE1026" s="146">
        <f>IF(AND(F1026="Closed",X1026&gt;=DATE(2026,6,1),X1026&lt;=DATE(2026,6,30)),"Closed in June","other")</f>
        <v/>
      </c>
    </row>
    <row r="1027" hidden="1">
      <c r="A1027" s="9" t="n">
        <v>46148</v>
      </c>
      <c r="B1027" s="1" t="n">
        <v>2026</v>
      </c>
      <c r="C1027" s="8" t="inlineStr">
        <is>
          <t>Continuum</t>
        </is>
      </c>
      <c r="D1027" s="1" t="inlineStr">
        <is>
          <t>Utility and C&amp;I</t>
        </is>
      </c>
      <c r="E1027" s="1" t="n"/>
      <c r="F1027" s="1" t="inlineStr">
        <is>
          <t>Closed</t>
        </is>
      </c>
      <c r="G1027" s="8" t="inlineStr">
        <is>
          <t>Amiya Ranjan Behera</t>
        </is>
      </c>
      <c r="H1027" s="8" t="n">
        <v>8917436223</v>
      </c>
      <c r="I1027" s="10" t="inlineStr">
        <is>
          <t>PE06052602</t>
        </is>
      </c>
      <c r="J1027" s="8" t="inlineStr">
        <is>
          <t>Diode Bypass Module Issue</t>
        </is>
      </c>
      <c r="K1027" s="8" t="inlineStr">
        <is>
          <t>Bhavnagar</t>
        </is>
      </c>
      <c r="L1027" s="8" t="inlineStr">
        <is>
          <t>Gujarat</t>
        </is>
      </c>
      <c r="M1027" s="2" t="inlineStr">
        <is>
          <t>PS</t>
        </is>
      </c>
      <c r="N1027" s="1" t="inlineStr">
        <is>
          <t>Cold Soldering</t>
        </is>
      </c>
      <c r="O1027" s="11" t="n">
        <v>540</v>
      </c>
      <c r="P1027" s="2" t="inlineStr">
        <is>
          <t>NSMP2305191986</t>
        </is>
      </c>
      <c r="Q1027" s="14">
        <f>MID(P1027,5,2)</f>
        <v/>
      </c>
      <c r="R1027" s="14">
        <f>MID(P1027,7,2)</f>
        <v/>
      </c>
      <c r="S1027" s="1" t="inlineStr">
        <is>
          <t>G2B</t>
        </is>
      </c>
      <c r="T1027" s="1" t="inlineStr">
        <is>
          <t>P2 - PEPPL</t>
        </is>
      </c>
      <c r="U1027" s="1" t="inlineStr">
        <is>
          <t>P JB Cold Soldering</t>
        </is>
      </c>
      <c r="V1027" s="1" t="inlineStr">
        <is>
          <t>Soldering</t>
        </is>
      </c>
      <c r="W1027" s="1" t="inlineStr">
        <is>
          <t>Repair</t>
        </is>
      </c>
      <c r="X1027" s="5" t="n">
        <v>46182</v>
      </c>
      <c r="Y1027" s="1">
        <f>IF(X1027="","",X1027-A1027)</f>
        <v/>
      </c>
      <c r="Z1027" s="5" t="n">
        <v>46182</v>
      </c>
      <c r="AA1027" s="3" t="n"/>
      <c r="AB1027" s="3" t="n"/>
      <c r="AE1027" s="146">
        <f>IF(AND(F1027="Closed",X1027&gt;=DATE(2026,6,1),X1027&lt;=DATE(2026,6,30)),"Closed in June","other")</f>
        <v/>
      </c>
    </row>
    <row r="1028" hidden="1">
      <c r="A1028" s="9" t="n">
        <v>46148</v>
      </c>
      <c r="B1028" s="1" t="n">
        <v>2026</v>
      </c>
      <c r="C1028" s="8" t="inlineStr">
        <is>
          <t>Continuum</t>
        </is>
      </c>
      <c r="D1028" s="1" t="inlineStr">
        <is>
          <t>Utility and C&amp;I</t>
        </is>
      </c>
      <c r="E1028" s="1" t="n"/>
      <c r="F1028" s="1" t="inlineStr">
        <is>
          <t>Closed</t>
        </is>
      </c>
      <c r="G1028" s="8" t="inlineStr">
        <is>
          <t>Amiya Ranjan Behera</t>
        </is>
      </c>
      <c r="H1028" s="8" t="n">
        <v>8917436223</v>
      </c>
      <c r="I1028" s="10" t="inlineStr">
        <is>
          <t>PE06052602</t>
        </is>
      </c>
      <c r="J1028" s="8" t="inlineStr">
        <is>
          <t>Diode Bypass Module Issue</t>
        </is>
      </c>
      <c r="K1028" s="8" t="inlineStr">
        <is>
          <t>Bhavnagar</t>
        </is>
      </c>
      <c r="L1028" s="8" t="inlineStr">
        <is>
          <t>Gujarat</t>
        </is>
      </c>
      <c r="M1028" s="2" t="inlineStr">
        <is>
          <t>PS</t>
        </is>
      </c>
      <c r="N1028" s="1" t="inlineStr">
        <is>
          <t>Cold Soldering</t>
        </is>
      </c>
      <c r="O1028" s="11" t="n">
        <v>540</v>
      </c>
      <c r="P1028" s="2" t="inlineStr">
        <is>
          <t>NSMP2305191972</t>
        </is>
      </c>
      <c r="Q1028" s="14">
        <f>MID(P1028,5,2)</f>
        <v/>
      </c>
      <c r="R1028" s="14">
        <f>MID(P1028,7,2)</f>
        <v/>
      </c>
      <c r="S1028" s="1" t="inlineStr">
        <is>
          <t>G2B</t>
        </is>
      </c>
      <c r="T1028" s="1" t="inlineStr">
        <is>
          <t>P2 - PEPPL</t>
        </is>
      </c>
      <c r="U1028" s="1" t="inlineStr">
        <is>
          <t>P JB Cold Soldering</t>
        </is>
      </c>
      <c r="V1028" s="1" t="inlineStr">
        <is>
          <t>Soldering</t>
        </is>
      </c>
      <c r="W1028" s="1" t="inlineStr">
        <is>
          <t>Repair</t>
        </is>
      </c>
      <c r="X1028" s="5" t="n">
        <v>46182</v>
      </c>
      <c r="Y1028" s="1">
        <f>IF(X1028="","",X1028-A1028)</f>
        <v/>
      </c>
      <c r="Z1028" s="5" t="n">
        <v>46182</v>
      </c>
      <c r="AA1028" s="3" t="n"/>
      <c r="AB1028" s="3" t="n"/>
      <c r="AE1028" s="146">
        <f>IF(AND(F1028="Closed",X1028&gt;=DATE(2026,6,1),X1028&lt;=DATE(2026,6,30)),"Closed in June","other")</f>
        <v/>
      </c>
    </row>
    <row r="1029" hidden="1">
      <c r="A1029" s="9" t="n">
        <v>46148</v>
      </c>
      <c r="B1029" s="1" t="n">
        <v>2026</v>
      </c>
      <c r="C1029" s="8" t="inlineStr">
        <is>
          <t>Continuum</t>
        </is>
      </c>
      <c r="D1029" s="1" t="inlineStr">
        <is>
          <t>Utility and C&amp;I</t>
        </is>
      </c>
      <c r="E1029" s="1" t="n"/>
      <c r="F1029" s="1" t="inlineStr">
        <is>
          <t>Closed</t>
        </is>
      </c>
      <c r="G1029" s="8" t="inlineStr">
        <is>
          <t>Amiya Ranjan Behera</t>
        </is>
      </c>
      <c r="H1029" s="8" t="n">
        <v>8917436223</v>
      </c>
      <c r="I1029" s="10" t="inlineStr">
        <is>
          <t>PE06052602</t>
        </is>
      </c>
      <c r="J1029" s="8" t="inlineStr">
        <is>
          <t>Diode Bypass Module Issue</t>
        </is>
      </c>
      <c r="K1029" s="8" t="inlineStr">
        <is>
          <t>Bhavnagar</t>
        </is>
      </c>
      <c r="L1029" s="8" t="inlineStr">
        <is>
          <t>Gujarat</t>
        </is>
      </c>
      <c r="M1029" s="2" t="inlineStr">
        <is>
          <t>PS</t>
        </is>
      </c>
      <c r="N1029" s="1" t="inlineStr">
        <is>
          <t>Cold Soldering</t>
        </is>
      </c>
      <c r="O1029" s="11" t="n">
        <v>540</v>
      </c>
      <c r="P1029" s="2" t="inlineStr">
        <is>
          <t>NSMP2305191474</t>
        </is>
      </c>
      <c r="Q1029" s="14">
        <f>MID(P1029,5,2)</f>
        <v/>
      </c>
      <c r="R1029" s="14">
        <f>MID(P1029,7,2)</f>
        <v/>
      </c>
      <c r="S1029" s="1" t="inlineStr">
        <is>
          <t>G2B</t>
        </is>
      </c>
      <c r="T1029" s="1" t="inlineStr">
        <is>
          <t>P2 - PEPPL</t>
        </is>
      </c>
      <c r="U1029" s="1" t="inlineStr">
        <is>
          <t>P JB Cold Soldering</t>
        </is>
      </c>
      <c r="V1029" s="1" t="inlineStr">
        <is>
          <t>Soldering</t>
        </is>
      </c>
      <c r="W1029" s="1" t="inlineStr">
        <is>
          <t>Repair</t>
        </is>
      </c>
      <c r="X1029" s="5" t="n">
        <v>46182</v>
      </c>
      <c r="Y1029" s="1">
        <f>IF(X1029="","",X1029-A1029)</f>
        <v/>
      </c>
      <c r="Z1029" s="5" t="n">
        <v>46182</v>
      </c>
      <c r="AA1029" s="3" t="n"/>
      <c r="AB1029" s="3" t="n"/>
      <c r="AE1029" s="146">
        <f>IF(AND(F1029="Closed",X1029&gt;=DATE(2026,6,1),X1029&lt;=DATE(2026,6,30)),"Closed in June","other")</f>
        <v/>
      </c>
    </row>
    <row r="1030" hidden="1">
      <c r="A1030" s="9" t="n">
        <v>46148</v>
      </c>
      <c r="B1030" s="1" t="n">
        <v>2026</v>
      </c>
      <c r="C1030" s="8" t="inlineStr">
        <is>
          <t>Continuum</t>
        </is>
      </c>
      <c r="D1030" s="1" t="inlineStr">
        <is>
          <t>Utility and C&amp;I</t>
        </is>
      </c>
      <c r="E1030" s="1" t="n"/>
      <c r="F1030" s="1" t="inlineStr">
        <is>
          <t>Closed</t>
        </is>
      </c>
      <c r="G1030" s="8" t="inlineStr">
        <is>
          <t>Amiya Ranjan Behera</t>
        </is>
      </c>
      <c r="H1030" s="8" t="n">
        <v>8917436223</v>
      </c>
      <c r="I1030" s="10" t="inlineStr">
        <is>
          <t>PE06052602</t>
        </is>
      </c>
      <c r="J1030" s="8" t="inlineStr">
        <is>
          <t>Diode Bypass Module Issue</t>
        </is>
      </c>
      <c r="K1030" s="8" t="inlineStr">
        <is>
          <t>Bhavnagar</t>
        </is>
      </c>
      <c r="L1030" s="8" t="inlineStr">
        <is>
          <t>Gujarat</t>
        </is>
      </c>
      <c r="M1030" s="2" t="inlineStr">
        <is>
          <t>PR</t>
        </is>
      </c>
      <c r="N1030" s="1" t="inlineStr">
        <is>
          <t>JB Issue</t>
        </is>
      </c>
      <c r="O1030" s="11" t="n">
        <v>540</v>
      </c>
      <c r="P1030" s="2" t="inlineStr">
        <is>
          <t>NSMP2305192187</t>
        </is>
      </c>
      <c r="Q1030" s="14">
        <f>MID(P1030,5,2)</f>
        <v/>
      </c>
      <c r="R1030" s="14">
        <f>MID(P1030,7,2)</f>
        <v/>
      </c>
      <c r="S1030" s="1" t="inlineStr">
        <is>
          <t>G2B</t>
        </is>
      </c>
      <c r="T1030" s="1" t="inlineStr">
        <is>
          <t>P2 - PEPPL</t>
        </is>
      </c>
      <c r="U1030" s="6" t="inlineStr">
        <is>
          <t>P JB Issue</t>
        </is>
      </c>
      <c r="V1030" s="6" t="inlineStr">
        <is>
          <t>JB Changed</t>
        </is>
      </c>
      <c r="W1030" s="1" t="inlineStr">
        <is>
          <t>Repair</t>
        </is>
      </c>
      <c r="X1030" s="5" t="n">
        <v>46182</v>
      </c>
      <c r="Y1030" s="1">
        <f>IF(X1030="","",X1030-A1030)</f>
        <v/>
      </c>
      <c r="Z1030" s="5" t="n">
        <v>46182</v>
      </c>
      <c r="AA1030" s="3" t="n"/>
      <c r="AB1030" s="3" t="n"/>
      <c r="AE1030" s="146">
        <f>IF(AND(F1030="Closed",X1030&gt;=DATE(2026,6,1),X1030&lt;=DATE(2026,6,30)),"Closed in June","other")</f>
        <v/>
      </c>
    </row>
    <row r="1031" hidden="1">
      <c r="A1031" s="9" t="n">
        <v>46148</v>
      </c>
      <c r="B1031" s="1" t="n">
        <v>2026</v>
      </c>
      <c r="C1031" s="8" t="inlineStr">
        <is>
          <t>Continuum</t>
        </is>
      </c>
      <c r="D1031" s="1" t="inlineStr">
        <is>
          <t>Utility and C&amp;I</t>
        </is>
      </c>
      <c r="E1031" s="1" t="n"/>
      <c r="F1031" s="1" t="inlineStr">
        <is>
          <t>Closed</t>
        </is>
      </c>
      <c r="G1031" s="8" t="inlineStr">
        <is>
          <t>Amiya Ranjan Behera</t>
        </is>
      </c>
      <c r="H1031" s="8" t="n">
        <v>8917436223</v>
      </c>
      <c r="I1031" s="10" t="inlineStr">
        <is>
          <t>PE06052602</t>
        </is>
      </c>
      <c r="J1031" s="8" t="inlineStr">
        <is>
          <t>Diode Bypass Module Issue</t>
        </is>
      </c>
      <c r="K1031" s="8" t="inlineStr">
        <is>
          <t>Bhavnagar</t>
        </is>
      </c>
      <c r="L1031" s="8" t="inlineStr">
        <is>
          <t>Gujarat</t>
        </is>
      </c>
      <c r="M1031" s="2" t="inlineStr">
        <is>
          <t>PS</t>
        </is>
      </c>
      <c r="N1031" s="1" t="inlineStr">
        <is>
          <t>Cold Soldering</t>
        </is>
      </c>
      <c r="O1031" s="11" t="n">
        <v>540</v>
      </c>
      <c r="P1031" s="2" t="inlineStr">
        <is>
          <t>NSMP2305192141</t>
        </is>
      </c>
      <c r="Q1031" s="14">
        <f>MID(P1031,5,2)</f>
        <v/>
      </c>
      <c r="R1031" s="14">
        <f>MID(P1031,7,2)</f>
        <v/>
      </c>
      <c r="S1031" s="1" t="inlineStr">
        <is>
          <t>G2B</t>
        </is>
      </c>
      <c r="T1031" s="1" t="inlineStr">
        <is>
          <t>P2 - PEPPL</t>
        </is>
      </c>
      <c r="U1031" s="1" t="inlineStr">
        <is>
          <t>P JB Cold Soldering</t>
        </is>
      </c>
      <c r="V1031" s="1" t="inlineStr">
        <is>
          <t>Soldering</t>
        </is>
      </c>
      <c r="W1031" s="1" t="inlineStr">
        <is>
          <t>Repair</t>
        </is>
      </c>
      <c r="X1031" s="5" t="n">
        <v>46182</v>
      </c>
      <c r="Y1031" s="1">
        <f>IF(X1031="","",X1031-A1031)</f>
        <v/>
      </c>
      <c r="Z1031" s="5" t="n">
        <v>46182</v>
      </c>
      <c r="AA1031" s="3" t="n"/>
      <c r="AB1031" s="3" t="n"/>
      <c r="AE1031" s="146">
        <f>IF(AND(F1031="Closed",X1031&gt;=DATE(2026,6,1),X1031&lt;=DATE(2026,6,30)),"Closed in June","other")</f>
        <v/>
      </c>
    </row>
    <row r="1032" hidden="1">
      <c r="A1032" s="9" t="n">
        <v>46148</v>
      </c>
      <c r="B1032" s="1" t="n">
        <v>2026</v>
      </c>
      <c r="C1032" s="8" t="inlineStr">
        <is>
          <t>Continuum</t>
        </is>
      </c>
      <c r="D1032" s="1" t="inlineStr">
        <is>
          <t>Utility and C&amp;I</t>
        </is>
      </c>
      <c r="E1032" s="1" t="n"/>
      <c r="F1032" s="1" t="inlineStr">
        <is>
          <t>Closed</t>
        </is>
      </c>
      <c r="G1032" s="8" t="inlineStr">
        <is>
          <t>Amiya Ranjan Behera</t>
        </is>
      </c>
      <c r="H1032" s="8" t="n">
        <v>8917436223</v>
      </c>
      <c r="I1032" s="10" t="inlineStr">
        <is>
          <t>PE06052602</t>
        </is>
      </c>
      <c r="J1032" s="8" t="inlineStr">
        <is>
          <t>Diode Bypass Module Issue</t>
        </is>
      </c>
      <c r="K1032" s="8" t="inlineStr">
        <is>
          <t>Bhavnagar</t>
        </is>
      </c>
      <c r="L1032" s="8" t="inlineStr">
        <is>
          <t>Gujarat</t>
        </is>
      </c>
      <c r="M1032" s="2" t="inlineStr">
        <is>
          <t>PR</t>
        </is>
      </c>
      <c r="N1032" s="1" t="inlineStr">
        <is>
          <t>JB Issue</t>
        </is>
      </c>
      <c r="O1032" s="11" t="n">
        <v>540</v>
      </c>
      <c r="P1032" s="2" t="inlineStr">
        <is>
          <t>NSMP2305192059</t>
        </is>
      </c>
      <c r="Q1032" s="14">
        <f>MID(P1032,5,2)</f>
        <v/>
      </c>
      <c r="R1032" s="14">
        <f>MID(P1032,7,2)</f>
        <v/>
      </c>
      <c r="S1032" s="1" t="inlineStr">
        <is>
          <t>G2B</t>
        </is>
      </c>
      <c r="T1032" s="1" t="inlineStr">
        <is>
          <t>P2 - PEPPL</t>
        </is>
      </c>
      <c r="U1032" s="6" t="inlineStr">
        <is>
          <t>P JB Issue</t>
        </is>
      </c>
      <c r="V1032" s="6" t="inlineStr">
        <is>
          <t>JB Changed</t>
        </is>
      </c>
      <c r="W1032" s="1" t="inlineStr">
        <is>
          <t>Repair</t>
        </is>
      </c>
      <c r="X1032" s="5" t="n">
        <v>46182</v>
      </c>
      <c r="Y1032" s="1">
        <f>IF(X1032="","",X1032-A1032)</f>
        <v/>
      </c>
      <c r="Z1032" s="5" t="n">
        <v>46182</v>
      </c>
      <c r="AA1032" s="3" t="n"/>
      <c r="AB1032" s="3" t="n"/>
      <c r="AE1032" s="146">
        <f>IF(AND(F1032="Closed",X1032&gt;=DATE(2026,6,1),X1032&lt;=DATE(2026,6,30)),"Closed in June","other")</f>
        <v/>
      </c>
    </row>
    <row r="1033" hidden="1">
      <c r="A1033" s="9" t="n">
        <v>46148</v>
      </c>
      <c r="B1033" s="1" t="n">
        <v>2026</v>
      </c>
      <c r="C1033" s="8" t="inlineStr">
        <is>
          <t>Continuum</t>
        </is>
      </c>
      <c r="D1033" s="1" t="inlineStr">
        <is>
          <t>Utility and C&amp;I</t>
        </is>
      </c>
      <c r="E1033" s="1" t="n"/>
      <c r="F1033" s="1" t="inlineStr">
        <is>
          <t>Closed</t>
        </is>
      </c>
      <c r="G1033" s="8" t="inlineStr">
        <is>
          <t>Amiya Ranjan Behera</t>
        </is>
      </c>
      <c r="H1033" s="8" t="n">
        <v>8917436223</v>
      </c>
      <c r="I1033" s="10" t="inlineStr">
        <is>
          <t>PE06052602</t>
        </is>
      </c>
      <c r="J1033" s="8" t="inlineStr">
        <is>
          <t>Diode Bypass Module Issue</t>
        </is>
      </c>
      <c r="K1033" s="8" t="inlineStr">
        <is>
          <t>Bhavnagar</t>
        </is>
      </c>
      <c r="L1033" s="8" t="inlineStr">
        <is>
          <t>Gujarat</t>
        </is>
      </c>
      <c r="M1033" s="2" t="inlineStr">
        <is>
          <t>PS</t>
        </is>
      </c>
      <c r="N1033" s="1" t="inlineStr">
        <is>
          <t>Cold Soldering</t>
        </is>
      </c>
      <c r="O1033" s="11" t="n">
        <v>540</v>
      </c>
      <c r="P1033" s="2" t="inlineStr">
        <is>
          <t>NSMP2305192455</t>
        </is>
      </c>
      <c r="Q1033" s="14">
        <f>MID(P1033,5,2)</f>
        <v/>
      </c>
      <c r="R1033" s="14">
        <f>MID(P1033,7,2)</f>
        <v/>
      </c>
      <c r="S1033" s="1" t="inlineStr">
        <is>
          <t>G2B</t>
        </is>
      </c>
      <c r="T1033" s="1" t="inlineStr">
        <is>
          <t>P2 - PEPPL</t>
        </is>
      </c>
      <c r="U1033" s="1" t="inlineStr">
        <is>
          <t>P JB Cold Soldering</t>
        </is>
      </c>
      <c r="V1033" s="1" t="inlineStr">
        <is>
          <t>Soldering</t>
        </is>
      </c>
      <c r="W1033" s="1" t="inlineStr">
        <is>
          <t>Repair</t>
        </is>
      </c>
      <c r="X1033" s="5" t="n">
        <v>46182</v>
      </c>
      <c r="Y1033" s="1">
        <f>IF(X1033="","",X1033-A1033)</f>
        <v/>
      </c>
      <c r="Z1033" s="5" t="n">
        <v>46182</v>
      </c>
      <c r="AA1033" s="3" t="n"/>
      <c r="AB1033" s="3" t="n"/>
      <c r="AE1033" s="146">
        <f>IF(AND(F1033="Closed",X1033&gt;=DATE(2026,6,1),X1033&lt;=DATE(2026,6,30)),"Closed in June","other")</f>
        <v/>
      </c>
    </row>
    <row r="1034" hidden="1">
      <c r="A1034" s="9" t="n">
        <v>46148</v>
      </c>
      <c r="B1034" s="1" t="n">
        <v>2026</v>
      </c>
      <c r="C1034" s="8" t="inlineStr">
        <is>
          <t>Continuum</t>
        </is>
      </c>
      <c r="D1034" s="1" t="inlineStr">
        <is>
          <t>Utility and C&amp;I</t>
        </is>
      </c>
      <c r="E1034" s="1" t="n"/>
      <c r="F1034" s="1" t="inlineStr">
        <is>
          <t>Closed</t>
        </is>
      </c>
      <c r="G1034" s="8" t="inlineStr">
        <is>
          <t>Amiya Ranjan Behera</t>
        </is>
      </c>
      <c r="H1034" s="8" t="n">
        <v>8917436223</v>
      </c>
      <c r="I1034" s="10" t="inlineStr">
        <is>
          <t>PE06052602</t>
        </is>
      </c>
      <c r="J1034" s="8" t="inlineStr">
        <is>
          <t>Diode Bypass Module Issue</t>
        </is>
      </c>
      <c r="K1034" s="8" t="inlineStr">
        <is>
          <t>Bhavnagar</t>
        </is>
      </c>
      <c r="L1034" s="8" t="inlineStr">
        <is>
          <t>Gujarat</t>
        </is>
      </c>
      <c r="M1034" s="2" t="inlineStr">
        <is>
          <t>PS</t>
        </is>
      </c>
      <c r="N1034" s="1" t="inlineStr">
        <is>
          <t>Cold Soldering</t>
        </is>
      </c>
      <c r="O1034" s="11" t="n">
        <v>540</v>
      </c>
      <c r="P1034" s="2" t="inlineStr">
        <is>
          <t>NSMP2305192314</t>
        </is>
      </c>
      <c r="Q1034" s="14">
        <f>MID(P1034,5,2)</f>
        <v/>
      </c>
      <c r="R1034" s="14">
        <f>MID(P1034,7,2)</f>
        <v/>
      </c>
      <c r="S1034" s="1" t="inlineStr">
        <is>
          <t>G2B</t>
        </is>
      </c>
      <c r="T1034" s="1" t="inlineStr">
        <is>
          <t>P2 - PEPPL</t>
        </is>
      </c>
      <c r="U1034" s="1" t="inlineStr">
        <is>
          <t>P JB Cold Soldering</t>
        </is>
      </c>
      <c r="V1034" s="1" t="inlineStr">
        <is>
          <t>Soldering</t>
        </is>
      </c>
      <c r="W1034" s="1" t="inlineStr">
        <is>
          <t>Repair</t>
        </is>
      </c>
      <c r="X1034" s="5" t="n">
        <v>46182</v>
      </c>
      <c r="Y1034" s="1">
        <f>IF(X1034="","",X1034-A1034)</f>
        <v/>
      </c>
      <c r="Z1034" s="5" t="n">
        <v>46182</v>
      </c>
      <c r="AA1034" s="3" t="n"/>
      <c r="AB1034" s="3" t="n"/>
      <c r="AE1034" s="146">
        <f>IF(AND(F1034="Closed",X1034&gt;=DATE(2026,6,1),X1034&lt;=DATE(2026,6,30)),"Closed in June","other")</f>
        <v/>
      </c>
    </row>
    <row r="1035" hidden="1">
      <c r="A1035" s="9" t="n">
        <v>46148</v>
      </c>
      <c r="B1035" s="1" t="n">
        <v>2026</v>
      </c>
      <c r="C1035" s="8" t="inlineStr">
        <is>
          <t>Continuum</t>
        </is>
      </c>
      <c r="D1035" s="1" t="inlineStr">
        <is>
          <t>Utility and C&amp;I</t>
        </is>
      </c>
      <c r="E1035" s="1" t="n"/>
      <c r="F1035" s="1" t="inlineStr">
        <is>
          <t>Closed</t>
        </is>
      </c>
      <c r="G1035" s="8" t="inlineStr">
        <is>
          <t>Amiya Ranjan Behera</t>
        </is>
      </c>
      <c r="H1035" s="8" t="n">
        <v>8917436223</v>
      </c>
      <c r="I1035" s="10" t="inlineStr">
        <is>
          <t>PE06052602</t>
        </is>
      </c>
      <c r="J1035" s="8" t="inlineStr">
        <is>
          <t>Diode Bypass Module Issue</t>
        </is>
      </c>
      <c r="K1035" s="8" t="inlineStr">
        <is>
          <t>Bhavnagar</t>
        </is>
      </c>
      <c r="L1035" s="8" t="inlineStr">
        <is>
          <t>Gujarat</t>
        </is>
      </c>
      <c r="M1035" s="2" t="inlineStr">
        <is>
          <t>PS</t>
        </is>
      </c>
      <c r="N1035" s="1" t="inlineStr">
        <is>
          <t>Cold Soldering</t>
        </is>
      </c>
      <c r="O1035" s="11" t="n">
        <v>540</v>
      </c>
      <c r="P1035" s="2" t="inlineStr">
        <is>
          <t>NSMP2305192786</t>
        </is>
      </c>
      <c r="Q1035" s="14">
        <f>MID(P1035,5,2)</f>
        <v/>
      </c>
      <c r="R1035" s="14">
        <f>MID(P1035,7,2)</f>
        <v/>
      </c>
      <c r="S1035" s="1" t="inlineStr">
        <is>
          <t>G2B</t>
        </is>
      </c>
      <c r="T1035" s="1" t="inlineStr">
        <is>
          <t>P2 - PEPPL</t>
        </is>
      </c>
      <c r="U1035" s="1" t="inlineStr">
        <is>
          <t>P JB Cold Soldering</t>
        </is>
      </c>
      <c r="V1035" s="1" t="inlineStr">
        <is>
          <t>Soldering</t>
        </is>
      </c>
      <c r="W1035" s="1" t="inlineStr">
        <is>
          <t>Repair</t>
        </is>
      </c>
      <c r="X1035" s="5" t="n">
        <v>46182</v>
      </c>
      <c r="Y1035" s="1">
        <f>IF(X1035="","",X1035-A1035)</f>
        <v/>
      </c>
      <c r="Z1035" s="5" t="n">
        <v>46182</v>
      </c>
      <c r="AA1035" s="3" t="n"/>
      <c r="AB1035" s="3" t="n"/>
      <c r="AE1035" s="146">
        <f>IF(AND(F1035="Closed",X1035&gt;=DATE(2026,6,1),X1035&lt;=DATE(2026,6,30)),"Closed in June","other")</f>
        <v/>
      </c>
    </row>
    <row r="1036" hidden="1">
      <c r="A1036" s="9" t="n">
        <v>46148</v>
      </c>
      <c r="B1036" s="1" t="n">
        <v>2026</v>
      </c>
      <c r="C1036" s="8" t="inlineStr">
        <is>
          <t>Continuum</t>
        </is>
      </c>
      <c r="D1036" s="1" t="inlineStr">
        <is>
          <t>Utility and C&amp;I</t>
        </is>
      </c>
      <c r="E1036" s="1" t="n"/>
      <c r="F1036" s="1" t="inlineStr">
        <is>
          <t>Closed</t>
        </is>
      </c>
      <c r="G1036" s="8" t="inlineStr">
        <is>
          <t>Amiya Ranjan Behera</t>
        </is>
      </c>
      <c r="H1036" s="8" t="n">
        <v>8917436223</v>
      </c>
      <c r="I1036" s="10" t="inlineStr">
        <is>
          <t>PE06052602</t>
        </is>
      </c>
      <c r="J1036" s="8" t="inlineStr">
        <is>
          <t>Diode Bypass Module Issue</t>
        </is>
      </c>
      <c r="K1036" s="8" t="inlineStr">
        <is>
          <t>Bhavnagar</t>
        </is>
      </c>
      <c r="L1036" s="8" t="inlineStr">
        <is>
          <t>Gujarat</t>
        </is>
      </c>
      <c r="M1036" s="2" t="inlineStr">
        <is>
          <t>OK</t>
        </is>
      </c>
      <c r="N1036" s="2" t="inlineStr">
        <is>
          <t>No Issue Found</t>
        </is>
      </c>
      <c r="O1036" s="11" t="n">
        <v>540</v>
      </c>
      <c r="P1036" s="2" t="inlineStr">
        <is>
          <t>NSMP2305125962</t>
        </is>
      </c>
      <c r="Q1036" s="14">
        <f>MID(P1036,5,2)</f>
        <v/>
      </c>
      <c r="R1036" s="14">
        <f>MID(P1036,7,2)</f>
        <v/>
      </c>
      <c r="S1036" s="1" t="inlineStr">
        <is>
          <t>G2B</t>
        </is>
      </c>
      <c r="T1036" s="1" t="inlineStr">
        <is>
          <t>P2 - PEPPL</t>
        </is>
      </c>
      <c r="U1036" s="6" t="inlineStr">
        <is>
          <t>No Issue Found</t>
        </is>
      </c>
      <c r="V1036" s="6" t="inlineStr">
        <is>
          <t>Inspection</t>
        </is>
      </c>
      <c r="W1036" s="1" t="inlineStr">
        <is>
          <t>Rejected</t>
        </is>
      </c>
      <c r="X1036" s="5" t="n">
        <v>46182</v>
      </c>
      <c r="Y1036" s="1">
        <f>IF(X1036="","",X1036-A1036)</f>
        <v/>
      </c>
      <c r="Z1036" s="5" t="n">
        <v>46182</v>
      </c>
      <c r="AA1036" s="3" t="n"/>
      <c r="AB1036" s="3" t="n"/>
      <c r="AE1036" s="146">
        <f>IF(AND(F1036="Closed",X1036&gt;=DATE(2026,6,1),X1036&lt;=DATE(2026,6,30)),"Closed in June","other")</f>
        <v/>
      </c>
    </row>
    <row r="1037" hidden="1">
      <c r="A1037" s="9" t="n">
        <v>46148</v>
      </c>
      <c r="B1037" s="1" t="n">
        <v>2026</v>
      </c>
      <c r="C1037" s="8" t="inlineStr">
        <is>
          <t>Continuum</t>
        </is>
      </c>
      <c r="D1037" s="1" t="inlineStr">
        <is>
          <t>Utility and C&amp;I</t>
        </is>
      </c>
      <c r="E1037" s="1" t="n"/>
      <c r="F1037" s="1" t="inlineStr">
        <is>
          <t>Closed</t>
        </is>
      </c>
      <c r="G1037" s="8" t="inlineStr">
        <is>
          <t>Amiya Ranjan Behera</t>
        </is>
      </c>
      <c r="H1037" s="8" t="n">
        <v>8917436223</v>
      </c>
      <c r="I1037" s="10" t="inlineStr">
        <is>
          <t>PE06052602</t>
        </is>
      </c>
      <c r="J1037" s="8" t="inlineStr">
        <is>
          <t>Diode Bypass Module Issue</t>
        </is>
      </c>
      <c r="K1037" s="8" t="inlineStr">
        <is>
          <t>Bhavnagar</t>
        </is>
      </c>
      <c r="L1037" s="8" t="inlineStr">
        <is>
          <t>Gujarat</t>
        </is>
      </c>
      <c r="M1037" s="2" t="inlineStr">
        <is>
          <t>PS</t>
        </is>
      </c>
      <c r="N1037" s="1" t="inlineStr">
        <is>
          <t>Cold Soldering</t>
        </is>
      </c>
      <c r="O1037" s="11" t="n">
        <v>540</v>
      </c>
      <c r="P1037" s="2" t="inlineStr">
        <is>
          <t>NSMP2305194290</t>
        </is>
      </c>
      <c r="Q1037" s="14">
        <f>MID(P1037,5,2)</f>
        <v/>
      </c>
      <c r="R1037" s="14">
        <f>MID(P1037,7,2)</f>
        <v/>
      </c>
      <c r="S1037" s="1" t="inlineStr">
        <is>
          <t>G2B</t>
        </is>
      </c>
      <c r="T1037" s="1" t="inlineStr">
        <is>
          <t>P2 - PEPPL</t>
        </is>
      </c>
      <c r="U1037" s="1" t="inlineStr">
        <is>
          <t>P JB Cold Soldering</t>
        </is>
      </c>
      <c r="V1037" s="1" t="inlineStr">
        <is>
          <t>Soldering</t>
        </is>
      </c>
      <c r="W1037" s="1" t="inlineStr">
        <is>
          <t>Repair</t>
        </is>
      </c>
      <c r="X1037" s="5" t="n">
        <v>46182</v>
      </c>
      <c r="Y1037" s="1">
        <f>IF(X1037="","",X1037-A1037)</f>
        <v/>
      </c>
      <c r="Z1037" s="5" t="n">
        <v>46182</v>
      </c>
      <c r="AA1037" s="3" t="n"/>
      <c r="AB1037" s="3" t="n"/>
      <c r="AE1037" s="146">
        <f>IF(AND(F1037="Closed",X1037&gt;=DATE(2026,6,1),X1037&lt;=DATE(2026,6,30)),"Closed in June","other")</f>
        <v/>
      </c>
    </row>
    <row r="1038" hidden="1">
      <c r="A1038" s="9" t="n">
        <v>46148</v>
      </c>
      <c r="B1038" s="1" t="n">
        <v>2026</v>
      </c>
      <c r="C1038" s="8" t="inlineStr">
        <is>
          <t>Continuum</t>
        </is>
      </c>
      <c r="D1038" s="1" t="inlineStr">
        <is>
          <t>Utility and C&amp;I</t>
        </is>
      </c>
      <c r="E1038" s="1" t="n"/>
      <c r="F1038" s="1" t="inlineStr">
        <is>
          <t>Closed</t>
        </is>
      </c>
      <c r="G1038" s="8" t="inlineStr">
        <is>
          <t>Amiya Ranjan Behera</t>
        </is>
      </c>
      <c r="H1038" s="8" t="n">
        <v>8917436223</v>
      </c>
      <c r="I1038" s="10" t="inlineStr">
        <is>
          <t>PE06052602</t>
        </is>
      </c>
      <c r="J1038" s="8" t="inlineStr">
        <is>
          <t>Diode Bypass Module Issue</t>
        </is>
      </c>
      <c r="K1038" s="8" t="inlineStr">
        <is>
          <t>Bhavnagar</t>
        </is>
      </c>
      <c r="L1038" s="8" t="inlineStr">
        <is>
          <t>Gujarat</t>
        </is>
      </c>
      <c r="M1038" s="2" t="inlineStr">
        <is>
          <t>PS</t>
        </is>
      </c>
      <c r="N1038" s="1" t="inlineStr">
        <is>
          <t>Cold Soldering</t>
        </is>
      </c>
      <c r="O1038" s="11" t="n">
        <v>540</v>
      </c>
      <c r="P1038" s="2" t="inlineStr">
        <is>
          <t>NSMP2305188745</t>
        </is>
      </c>
      <c r="Q1038" s="14">
        <f>MID(P1038,5,2)</f>
        <v/>
      </c>
      <c r="R1038" s="14">
        <f>MID(P1038,7,2)</f>
        <v/>
      </c>
      <c r="S1038" s="1" t="inlineStr">
        <is>
          <t>G2B</t>
        </is>
      </c>
      <c r="T1038" s="1" t="inlineStr">
        <is>
          <t>P2 - PEPPL</t>
        </is>
      </c>
      <c r="U1038" s="1" t="inlineStr">
        <is>
          <t>P JB Cold Soldering</t>
        </is>
      </c>
      <c r="V1038" s="1" t="inlineStr">
        <is>
          <t>Soldering</t>
        </is>
      </c>
      <c r="W1038" s="1" t="inlineStr">
        <is>
          <t>Repair</t>
        </is>
      </c>
      <c r="X1038" s="5" t="n">
        <v>46182</v>
      </c>
      <c r="Y1038" s="1">
        <f>IF(X1038="","",X1038-A1038)</f>
        <v/>
      </c>
      <c r="Z1038" s="5" t="n">
        <v>46182</v>
      </c>
      <c r="AA1038" s="3" t="n"/>
      <c r="AB1038" s="3" t="n"/>
      <c r="AE1038" s="146">
        <f>IF(AND(F1038="Closed",X1038&gt;=DATE(2026,6,1),X1038&lt;=DATE(2026,6,30)),"Closed in June","other")</f>
        <v/>
      </c>
    </row>
    <row r="1039" hidden="1">
      <c r="A1039" s="9" t="n">
        <v>46148</v>
      </c>
      <c r="B1039" s="1" t="n">
        <v>2026</v>
      </c>
      <c r="C1039" s="8" t="inlineStr">
        <is>
          <t>Continuum</t>
        </is>
      </c>
      <c r="D1039" s="1" t="inlineStr">
        <is>
          <t>Utility and C&amp;I</t>
        </is>
      </c>
      <c r="E1039" s="1" t="n"/>
      <c r="F1039" s="1" t="inlineStr">
        <is>
          <t>Closed</t>
        </is>
      </c>
      <c r="G1039" s="8" t="inlineStr">
        <is>
          <t>Amiya Ranjan Behera</t>
        </is>
      </c>
      <c r="H1039" s="8" t="n">
        <v>8917436223</v>
      </c>
      <c r="I1039" s="10" t="inlineStr">
        <is>
          <t>PE06052602</t>
        </is>
      </c>
      <c r="J1039" s="8" t="inlineStr">
        <is>
          <t>Diode Bypass Module Issue</t>
        </is>
      </c>
      <c r="K1039" s="8" t="inlineStr">
        <is>
          <t>Bhavnagar</t>
        </is>
      </c>
      <c r="L1039" s="8" t="inlineStr">
        <is>
          <t>Gujarat</t>
        </is>
      </c>
      <c r="M1039" s="2" t="inlineStr">
        <is>
          <t>PS</t>
        </is>
      </c>
      <c r="N1039" s="1" t="inlineStr">
        <is>
          <t>Cold Soldering</t>
        </is>
      </c>
      <c r="O1039" s="11" t="n">
        <v>540</v>
      </c>
      <c r="P1039" s="2" t="inlineStr">
        <is>
          <t>NSMP2305189841</t>
        </is>
      </c>
      <c r="Q1039" s="14">
        <f>MID(P1039,5,2)</f>
        <v/>
      </c>
      <c r="R1039" s="14">
        <f>MID(P1039,7,2)</f>
        <v/>
      </c>
      <c r="S1039" s="1" t="inlineStr">
        <is>
          <t>G2B</t>
        </is>
      </c>
      <c r="T1039" s="1" t="inlineStr">
        <is>
          <t>P2 - PEPPL</t>
        </is>
      </c>
      <c r="U1039" s="1" t="inlineStr">
        <is>
          <t>P JB Cold Soldering</t>
        </is>
      </c>
      <c r="V1039" s="1" t="inlineStr">
        <is>
          <t>Soldering</t>
        </is>
      </c>
      <c r="W1039" s="1" t="inlineStr">
        <is>
          <t>Repair</t>
        </is>
      </c>
      <c r="X1039" s="5" t="n">
        <v>46182</v>
      </c>
      <c r="Y1039" s="1">
        <f>IF(X1039="","",X1039-A1039)</f>
        <v/>
      </c>
      <c r="Z1039" s="5" t="n">
        <v>46182</v>
      </c>
      <c r="AA1039" s="3" t="n"/>
      <c r="AB1039" s="3" t="n"/>
      <c r="AE1039" s="146">
        <f>IF(AND(F1039="Closed",X1039&gt;=DATE(2026,6,1),X1039&lt;=DATE(2026,6,30)),"Closed in June","other")</f>
        <v/>
      </c>
    </row>
    <row r="1040" hidden="1">
      <c r="A1040" s="9" t="n">
        <v>46148</v>
      </c>
      <c r="B1040" s="1" t="n">
        <v>2026</v>
      </c>
      <c r="C1040" s="8" t="inlineStr">
        <is>
          <t>Continuum</t>
        </is>
      </c>
      <c r="D1040" s="1" t="inlineStr">
        <is>
          <t>Utility and C&amp;I</t>
        </is>
      </c>
      <c r="E1040" s="1" t="n"/>
      <c r="F1040" s="1" t="inlineStr">
        <is>
          <t>Closed</t>
        </is>
      </c>
      <c r="G1040" s="8" t="inlineStr">
        <is>
          <t>Amiya Ranjan Behera</t>
        </is>
      </c>
      <c r="H1040" s="8" t="n">
        <v>8917436223</v>
      </c>
      <c r="I1040" s="10" t="inlineStr">
        <is>
          <t>PE06052602</t>
        </is>
      </c>
      <c r="J1040" s="8" t="inlineStr">
        <is>
          <t>Diode Bypass Module Issue</t>
        </is>
      </c>
      <c r="K1040" s="8" t="inlineStr">
        <is>
          <t>Bhavnagar</t>
        </is>
      </c>
      <c r="L1040" s="8" t="inlineStr">
        <is>
          <t>Gujarat</t>
        </is>
      </c>
      <c r="M1040" s="2" t="inlineStr">
        <is>
          <t>PR</t>
        </is>
      </c>
      <c r="N1040" s="1" t="inlineStr">
        <is>
          <t>JB Issue</t>
        </is>
      </c>
      <c r="O1040" s="11" t="n">
        <v>540</v>
      </c>
      <c r="P1040" s="2" t="inlineStr">
        <is>
          <t>NSMP2305189311</t>
        </is>
      </c>
      <c r="Q1040" s="14">
        <f>MID(P1040,5,2)</f>
        <v/>
      </c>
      <c r="R1040" s="14">
        <f>MID(P1040,7,2)</f>
        <v/>
      </c>
      <c r="S1040" s="1" t="inlineStr">
        <is>
          <t>G2B</t>
        </is>
      </c>
      <c r="T1040" s="1" t="inlineStr">
        <is>
          <t>P2 - PEPPL</t>
        </is>
      </c>
      <c r="U1040" s="6" t="inlineStr">
        <is>
          <t>P JB Issue</t>
        </is>
      </c>
      <c r="V1040" s="6" t="inlineStr">
        <is>
          <t>JB Changed</t>
        </is>
      </c>
      <c r="W1040" s="1" t="inlineStr">
        <is>
          <t>Repair</t>
        </is>
      </c>
      <c r="X1040" s="5" t="n">
        <v>46182</v>
      </c>
      <c r="Y1040" s="1">
        <f>IF(X1040="","",X1040-A1040)</f>
        <v/>
      </c>
      <c r="Z1040" s="5" t="n">
        <v>46182</v>
      </c>
      <c r="AA1040" s="3" t="n"/>
      <c r="AB1040" s="3" t="n"/>
      <c r="AE1040" s="146">
        <f>IF(AND(F1040="Closed",X1040&gt;=DATE(2026,6,1),X1040&lt;=DATE(2026,6,30)),"Closed in June","other")</f>
        <v/>
      </c>
    </row>
    <row r="1041" hidden="1">
      <c r="A1041" s="9" t="n">
        <v>46148</v>
      </c>
      <c r="B1041" s="1" t="n">
        <v>2026</v>
      </c>
      <c r="C1041" s="8" t="inlineStr">
        <is>
          <t>Continuum</t>
        </is>
      </c>
      <c r="D1041" s="1" t="inlineStr">
        <is>
          <t>Utility and C&amp;I</t>
        </is>
      </c>
      <c r="E1041" s="1" t="n"/>
      <c r="F1041" s="1" t="inlineStr">
        <is>
          <t>Closed</t>
        </is>
      </c>
      <c r="G1041" s="8" t="inlineStr">
        <is>
          <t>Amiya Ranjan Behera</t>
        </is>
      </c>
      <c r="H1041" s="8" t="n">
        <v>8917436223</v>
      </c>
      <c r="I1041" s="10" t="inlineStr">
        <is>
          <t>PE06052602</t>
        </is>
      </c>
      <c r="J1041" s="8" t="inlineStr">
        <is>
          <t>Diode Bypass Module Issue</t>
        </is>
      </c>
      <c r="K1041" s="8" t="inlineStr">
        <is>
          <t>Bhavnagar</t>
        </is>
      </c>
      <c r="L1041" s="8" t="inlineStr">
        <is>
          <t>Gujarat</t>
        </is>
      </c>
      <c r="M1041" s="2" t="inlineStr">
        <is>
          <t>PS</t>
        </is>
      </c>
      <c r="N1041" s="1" t="inlineStr">
        <is>
          <t>Cold Soldering</t>
        </is>
      </c>
      <c r="O1041" s="11" t="n">
        <v>540</v>
      </c>
      <c r="P1041" s="2" t="inlineStr">
        <is>
          <t>NSMP2305188813</t>
        </is>
      </c>
      <c r="Q1041" s="14">
        <f>MID(P1041,5,2)</f>
        <v/>
      </c>
      <c r="R1041" s="14">
        <f>MID(P1041,7,2)</f>
        <v/>
      </c>
      <c r="S1041" s="1" t="inlineStr">
        <is>
          <t>G2B</t>
        </is>
      </c>
      <c r="T1041" s="1" t="inlineStr">
        <is>
          <t>P2 - PEPPL</t>
        </is>
      </c>
      <c r="U1041" s="1" t="inlineStr">
        <is>
          <t>P JB Cold Soldering</t>
        </is>
      </c>
      <c r="V1041" s="1" t="inlineStr">
        <is>
          <t>Soldering</t>
        </is>
      </c>
      <c r="W1041" s="1" t="inlineStr">
        <is>
          <t>Repair</t>
        </is>
      </c>
      <c r="X1041" s="5" t="n">
        <v>46182</v>
      </c>
      <c r="Y1041" s="1">
        <f>IF(X1041="","",X1041-A1041)</f>
        <v/>
      </c>
      <c r="Z1041" s="5" t="n">
        <v>46182</v>
      </c>
      <c r="AA1041" s="3" t="n"/>
      <c r="AB1041" s="3" t="n"/>
      <c r="AE1041" s="146">
        <f>IF(AND(F1041="Closed",X1041&gt;=DATE(2026,6,1),X1041&lt;=DATE(2026,6,30)),"Closed in June","other")</f>
        <v/>
      </c>
    </row>
    <row r="1042" hidden="1">
      <c r="A1042" s="9" t="n">
        <v>46148</v>
      </c>
      <c r="B1042" s="1" t="n">
        <v>2026</v>
      </c>
      <c r="C1042" s="8" t="inlineStr">
        <is>
          <t>Continuum</t>
        </is>
      </c>
      <c r="D1042" s="1" t="inlineStr">
        <is>
          <t>Utility and C&amp;I</t>
        </is>
      </c>
      <c r="E1042" s="1" t="n"/>
      <c r="F1042" s="1" t="inlineStr">
        <is>
          <t>Closed</t>
        </is>
      </c>
      <c r="G1042" s="8" t="inlineStr">
        <is>
          <t>Amiya Ranjan Behera</t>
        </is>
      </c>
      <c r="H1042" s="8" t="n">
        <v>8917436223</v>
      </c>
      <c r="I1042" s="10" t="inlineStr">
        <is>
          <t>PE06052602</t>
        </is>
      </c>
      <c r="J1042" s="8" t="inlineStr">
        <is>
          <t>Diode Bypass Module Issue</t>
        </is>
      </c>
      <c r="K1042" s="8" t="inlineStr">
        <is>
          <t>Bhavnagar</t>
        </is>
      </c>
      <c r="L1042" s="8" t="inlineStr">
        <is>
          <t>Gujarat</t>
        </is>
      </c>
      <c r="M1042" s="2" t="inlineStr">
        <is>
          <t>PS</t>
        </is>
      </c>
      <c r="N1042" s="1" t="inlineStr">
        <is>
          <t>Cold Soldering</t>
        </is>
      </c>
      <c r="O1042" s="11" t="n">
        <v>540</v>
      </c>
      <c r="P1042" s="2" t="inlineStr">
        <is>
          <t>NSMP2305189010</t>
        </is>
      </c>
      <c r="Q1042" s="14">
        <f>MID(P1042,5,2)</f>
        <v/>
      </c>
      <c r="R1042" s="14">
        <f>MID(P1042,7,2)</f>
        <v/>
      </c>
      <c r="S1042" s="1" t="inlineStr">
        <is>
          <t>G2B</t>
        </is>
      </c>
      <c r="T1042" s="1" t="inlineStr">
        <is>
          <t>P2 - PEPPL</t>
        </is>
      </c>
      <c r="U1042" s="1" t="inlineStr">
        <is>
          <t>P JB Cold Soldering</t>
        </is>
      </c>
      <c r="V1042" s="1" t="inlineStr">
        <is>
          <t>Soldering</t>
        </is>
      </c>
      <c r="W1042" s="1" t="inlineStr">
        <is>
          <t>Repair</t>
        </is>
      </c>
      <c r="X1042" s="5" t="n">
        <v>46182</v>
      </c>
      <c r="Y1042" s="1">
        <f>IF(X1042="","",X1042-A1042)</f>
        <v/>
      </c>
      <c r="Z1042" s="5" t="n">
        <v>46182</v>
      </c>
      <c r="AA1042" s="3" t="n"/>
      <c r="AB1042" s="3" t="n"/>
      <c r="AE1042" s="146">
        <f>IF(AND(F1042="Closed",X1042&gt;=DATE(2026,6,1),X1042&lt;=DATE(2026,6,30)),"Closed in June","other")</f>
        <v/>
      </c>
    </row>
    <row r="1043" hidden="1">
      <c r="A1043" s="9" t="n">
        <v>46148</v>
      </c>
      <c r="B1043" s="1" t="n">
        <v>2026</v>
      </c>
      <c r="C1043" s="8" t="inlineStr">
        <is>
          <t>Continuum</t>
        </is>
      </c>
      <c r="D1043" s="1" t="inlineStr">
        <is>
          <t>Utility and C&amp;I</t>
        </is>
      </c>
      <c r="E1043" s="1" t="n"/>
      <c r="F1043" s="1" t="inlineStr">
        <is>
          <t>Closed</t>
        </is>
      </c>
      <c r="G1043" s="8" t="inlineStr">
        <is>
          <t>Amiya Ranjan Behera</t>
        </is>
      </c>
      <c r="H1043" s="8" t="n">
        <v>8917436223</v>
      </c>
      <c r="I1043" s="10" t="inlineStr">
        <is>
          <t>PE06052602</t>
        </is>
      </c>
      <c r="J1043" s="8" t="inlineStr">
        <is>
          <t>Diode Bypass Module Issue</t>
        </is>
      </c>
      <c r="K1043" s="8" t="inlineStr">
        <is>
          <t>Bhavnagar</t>
        </is>
      </c>
      <c r="L1043" s="8" t="inlineStr">
        <is>
          <t>Gujarat</t>
        </is>
      </c>
      <c r="M1043" s="2" t="inlineStr">
        <is>
          <t>PS</t>
        </is>
      </c>
      <c r="N1043" s="1" t="inlineStr">
        <is>
          <t>Cold Soldering</t>
        </is>
      </c>
      <c r="O1043" s="11" t="n">
        <v>540</v>
      </c>
      <c r="P1043" s="2" t="inlineStr">
        <is>
          <t>NSMP2305188854</t>
        </is>
      </c>
      <c r="Q1043" s="14">
        <f>MID(P1043,5,2)</f>
        <v/>
      </c>
      <c r="R1043" s="14">
        <f>MID(P1043,7,2)</f>
        <v/>
      </c>
      <c r="S1043" s="1" t="inlineStr">
        <is>
          <t>G2B</t>
        </is>
      </c>
      <c r="T1043" s="1" t="inlineStr">
        <is>
          <t>P2 - PEPPL</t>
        </is>
      </c>
      <c r="U1043" s="1" t="inlineStr">
        <is>
          <t>P JB Cold Soldering</t>
        </is>
      </c>
      <c r="V1043" s="1" t="inlineStr">
        <is>
          <t>Soldering</t>
        </is>
      </c>
      <c r="W1043" s="1" t="inlineStr">
        <is>
          <t>Repair</t>
        </is>
      </c>
      <c r="X1043" s="5" t="n">
        <v>46182</v>
      </c>
      <c r="Y1043" s="1">
        <f>IF(X1043="","",X1043-A1043)</f>
        <v/>
      </c>
      <c r="Z1043" s="5" t="n">
        <v>46182</v>
      </c>
      <c r="AA1043" s="3" t="n"/>
      <c r="AB1043" s="3" t="n"/>
      <c r="AE1043" s="146">
        <f>IF(AND(F1043="Closed",X1043&gt;=DATE(2026,6,1),X1043&lt;=DATE(2026,6,30)),"Closed in June","other")</f>
        <v/>
      </c>
    </row>
    <row r="1044" hidden="1">
      <c r="A1044" s="9" t="n">
        <v>46148</v>
      </c>
      <c r="B1044" s="1" t="n">
        <v>2026</v>
      </c>
      <c r="C1044" s="8" t="inlineStr">
        <is>
          <t>Continuum</t>
        </is>
      </c>
      <c r="D1044" s="1" t="inlineStr">
        <is>
          <t>Utility and C&amp;I</t>
        </is>
      </c>
      <c r="E1044" s="1" t="n"/>
      <c r="F1044" s="1" t="inlineStr">
        <is>
          <t>Closed</t>
        </is>
      </c>
      <c r="G1044" s="8" t="inlineStr">
        <is>
          <t>Amiya Ranjan Behera</t>
        </is>
      </c>
      <c r="H1044" s="8" t="n">
        <v>8917436223</v>
      </c>
      <c r="I1044" s="10" t="inlineStr">
        <is>
          <t>PE06052602</t>
        </is>
      </c>
      <c r="J1044" s="8" t="inlineStr">
        <is>
          <t>Diode Bypass Module Issue</t>
        </is>
      </c>
      <c r="K1044" s="8" t="inlineStr">
        <is>
          <t>Bhavnagar</t>
        </is>
      </c>
      <c r="L1044" s="8" t="inlineStr">
        <is>
          <t>Gujarat</t>
        </is>
      </c>
      <c r="M1044" s="2" t="inlineStr">
        <is>
          <t>PS</t>
        </is>
      </c>
      <c r="N1044" s="1" t="inlineStr">
        <is>
          <t>Cold Soldering</t>
        </is>
      </c>
      <c r="O1044" s="11" t="n">
        <v>540</v>
      </c>
      <c r="P1044" s="2" t="inlineStr">
        <is>
          <t>NSMP2305189037</t>
        </is>
      </c>
      <c r="Q1044" s="14">
        <f>MID(P1044,5,2)</f>
        <v/>
      </c>
      <c r="R1044" s="14">
        <f>MID(P1044,7,2)</f>
        <v/>
      </c>
      <c r="S1044" s="1" t="inlineStr">
        <is>
          <t>G2B</t>
        </is>
      </c>
      <c r="T1044" s="1" t="inlineStr">
        <is>
          <t>P2 - PEPPL</t>
        </is>
      </c>
      <c r="U1044" s="1" t="inlineStr">
        <is>
          <t>P JB Cold Soldering</t>
        </is>
      </c>
      <c r="V1044" s="1" t="inlineStr">
        <is>
          <t>Soldering</t>
        </is>
      </c>
      <c r="W1044" s="1" t="inlineStr">
        <is>
          <t>Repair</t>
        </is>
      </c>
      <c r="X1044" s="5" t="n">
        <v>46182</v>
      </c>
      <c r="Y1044" s="1">
        <f>IF(X1044="","",X1044-A1044)</f>
        <v/>
      </c>
      <c r="Z1044" s="5" t="n">
        <v>46182</v>
      </c>
      <c r="AA1044" s="3" t="n"/>
      <c r="AB1044" s="3" t="n"/>
      <c r="AE1044" s="146">
        <f>IF(AND(F1044="Closed",X1044&gt;=DATE(2026,6,1),X1044&lt;=DATE(2026,6,30)),"Closed in June","other")</f>
        <v/>
      </c>
    </row>
    <row r="1045" hidden="1">
      <c r="A1045" s="9" t="n">
        <v>46148</v>
      </c>
      <c r="B1045" s="1" t="n">
        <v>2026</v>
      </c>
      <c r="C1045" s="8" t="inlineStr">
        <is>
          <t>Continuum</t>
        </is>
      </c>
      <c r="D1045" s="1" t="inlineStr">
        <is>
          <t>Utility and C&amp;I</t>
        </is>
      </c>
      <c r="E1045" s="1" t="n"/>
      <c r="F1045" s="1" t="inlineStr">
        <is>
          <t>Closed</t>
        </is>
      </c>
      <c r="G1045" s="8" t="inlineStr">
        <is>
          <t>Amiya Ranjan Behera</t>
        </is>
      </c>
      <c r="H1045" s="8" t="n">
        <v>8917436223</v>
      </c>
      <c r="I1045" s="10" t="inlineStr">
        <is>
          <t>PE06052602</t>
        </is>
      </c>
      <c r="J1045" s="8" t="inlineStr">
        <is>
          <t>Diode Bypass Module Issue</t>
        </is>
      </c>
      <c r="K1045" s="8" t="inlineStr">
        <is>
          <t>Bhavnagar</t>
        </is>
      </c>
      <c r="L1045" s="8" t="inlineStr">
        <is>
          <t>Gujarat</t>
        </is>
      </c>
      <c r="M1045" s="2" t="inlineStr">
        <is>
          <t>PS</t>
        </is>
      </c>
      <c r="N1045" s="1" t="inlineStr">
        <is>
          <t>Cold Soldering</t>
        </is>
      </c>
      <c r="O1045" s="11" t="n">
        <v>540</v>
      </c>
      <c r="P1045" s="2" t="inlineStr">
        <is>
          <t>NSMP2305129444</t>
        </is>
      </c>
      <c r="Q1045" s="14">
        <f>MID(P1045,5,2)</f>
        <v/>
      </c>
      <c r="R1045" s="14">
        <f>MID(P1045,7,2)</f>
        <v/>
      </c>
      <c r="S1045" s="1" t="inlineStr">
        <is>
          <t>G2B</t>
        </is>
      </c>
      <c r="T1045" s="1" t="inlineStr">
        <is>
          <t>P2 - PEPPL</t>
        </is>
      </c>
      <c r="U1045" s="1" t="inlineStr">
        <is>
          <t>P JB Cold Soldering</t>
        </is>
      </c>
      <c r="V1045" s="1" t="inlineStr">
        <is>
          <t>Soldering</t>
        </is>
      </c>
      <c r="W1045" s="1" t="inlineStr">
        <is>
          <t>Repair</t>
        </is>
      </c>
      <c r="X1045" s="5" t="n">
        <v>46182</v>
      </c>
      <c r="Y1045" s="1">
        <f>IF(X1045="","",X1045-A1045)</f>
        <v/>
      </c>
      <c r="Z1045" s="5" t="n">
        <v>46182</v>
      </c>
      <c r="AA1045" s="3" t="n"/>
      <c r="AB1045" s="3" t="n"/>
      <c r="AE1045" s="146">
        <f>IF(AND(F1045="Closed",X1045&gt;=DATE(2026,6,1),X1045&lt;=DATE(2026,6,30)),"Closed in June","other")</f>
        <v/>
      </c>
    </row>
    <row r="1046" hidden="1">
      <c r="A1046" s="9" t="n">
        <v>46148</v>
      </c>
      <c r="B1046" s="1" t="n">
        <v>2026</v>
      </c>
      <c r="C1046" s="8" t="inlineStr">
        <is>
          <t>Continuum</t>
        </is>
      </c>
      <c r="D1046" s="1" t="inlineStr">
        <is>
          <t>Utility and C&amp;I</t>
        </is>
      </c>
      <c r="E1046" s="1" t="n"/>
      <c r="F1046" s="1" t="inlineStr">
        <is>
          <t>Closed</t>
        </is>
      </c>
      <c r="G1046" s="8" t="inlineStr">
        <is>
          <t>Amiya Ranjan Behera</t>
        </is>
      </c>
      <c r="H1046" s="8" t="n">
        <v>8917436223</v>
      </c>
      <c r="I1046" s="10" t="inlineStr">
        <is>
          <t>PE06052602</t>
        </is>
      </c>
      <c r="J1046" s="8" t="inlineStr">
        <is>
          <t>Diode Bypass Module Issue</t>
        </is>
      </c>
      <c r="K1046" s="8" t="inlineStr">
        <is>
          <t>Bhavnagar</t>
        </is>
      </c>
      <c r="L1046" s="8" t="inlineStr">
        <is>
          <t>Gujarat</t>
        </is>
      </c>
      <c r="M1046" s="2" t="inlineStr">
        <is>
          <t>PS</t>
        </is>
      </c>
      <c r="N1046" s="1" t="inlineStr">
        <is>
          <t>Cold Soldering</t>
        </is>
      </c>
      <c r="O1046" s="11" t="n">
        <v>540</v>
      </c>
      <c r="P1046" s="2" t="inlineStr">
        <is>
          <t>NSMP2305129446</t>
        </is>
      </c>
      <c r="Q1046" s="14">
        <f>MID(P1046,5,2)</f>
        <v/>
      </c>
      <c r="R1046" s="14">
        <f>MID(P1046,7,2)</f>
        <v/>
      </c>
      <c r="S1046" s="1" t="inlineStr">
        <is>
          <t>G2B</t>
        </is>
      </c>
      <c r="T1046" s="1" t="inlineStr">
        <is>
          <t>P2 - PEPPL</t>
        </is>
      </c>
      <c r="U1046" s="1" t="inlineStr">
        <is>
          <t>P JB Cold Soldering</t>
        </is>
      </c>
      <c r="V1046" s="1" t="inlineStr">
        <is>
          <t>Soldering</t>
        </is>
      </c>
      <c r="W1046" s="1" t="inlineStr">
        <is>
          <t>Repair</t>
        </is>
      </c>
      <c r="X1046" s="5" t="n">
        <v>46182</v>
      </c>
      <c r="Y1046" s="1">
        <f>IF(X1046="","",X1046-A1046)</f>
        <v/>
      </c>
      <c r="Z1046" s="5" t="n">
        <v>46182</v>
      </c>
      <c r="AA1046" s="3" t="n"/>
      <c r="AB1046" s="3" t="n"/>
      <c r="AE1046" s="146">
        <f>IF(AND(F1046="Closed",X1046&gt;=DATE(2026,6,1),X1046&lt;=DATE(2026,6,30)),"Closed in June","other")</f>
        <v/>
      </c>
    </row>
    <row r="1047" hidden="1">
      <c r="A1047" s="9" t="n">
        <v>46148</v>
      </c>
      <c r="B1047" s="1" t="n">
        <v>2026</v>
      </c>
      <c r="C1047" s="8" t="inlineStr">
        <is>
          <t>Continuum</t>
        </is>
      </c>
      <c r="D1047" s="1" t="inlineStr">
        <is>
          <t>Utility and C&amp;I</t>
        </is>
      </c>
      <c r="E1047" s="1" t="n"/>
      <c r="F1047" s="1" t="inlineStr">
        <is>
          <t>Closed</t>
        </is>
      </c>
      <c r="G1047" s="8" t="inlineStr">
        <is>
          <t>Amiya Ranjan Behera</t>
        </is>
      </c>
      <c r="H1047" s="8" t="n">
        <v>8917436223</v>
      </c>
      <c r="I1047" s="10" t="inlineStr">
        <is>
          <t>PE06052602</t>
        </is>
      </c>
      <c r="J1047" s="8" t="inlineStr">
        <is>
          <t>Diode Bypass Module Issue</t>
        </is>
      </c>
      <c r="K1047" s="8" t="inlineStr">
        <is>
          <t>Bhavnagar</t>
        </is>
      </c>
      <c r="L1047" s="8" t="inlineStr">
        <is>
          <t>Gujarat</t>
        </is>
      </c>
      <c r="M1047" s="2" t="inlineStr">
        <is>
          <t>PR</t>
        </is>
      </c>
      <c r="N1047" s="1" t="inlineStr">
        <is>
          <t>JB Issue</t>
        </is>
      </c>
      <c r="O1047" s="11" t="n">
        <v>540</v>
      </c>
      <c r="P1047" s="2" t="inlineStr">
        <is>
          <t>NSMP2305129399</t>
        </is>
      </c>
      <c r="Q1047" s="14">
        <f>MID(P1047,5,2)</f>
        <v/>
      </c>
      <c r="R1047" s="14">
        <f>MID(P1047,7,2)</f>
        <v/>
      </c>
      <c r="S1047" s="1" t="inlineStr">
        <is>
          <t>G2B</t>
        </is>
      </c>
      <c r="T1047" s="1" t="inlineStr">
        <is>
          <t>P2 - PEPPL</t>
        </is>
      </c>
      <c r="U1047" s="6" t="inlineStr">
        <is>
          <t>P JB Issue</t>
        </is>
      </c>
      <c r="V1047" s="6" t="inlineStr">
        <is>
          <t>JB Changed</t>
        </is>
      </c>
      <c r="W1047" s="1" t="inlineStr">
        <is>
          <t>Repair</t>
        </is>
      </c>
      <c r="X1047" s="5" t="n">
        <v>46182</v>
      </c>
      <c r="Y1047" s="1">
        <f>IF(X1047="","",X1047-A1047)</f>
        <v/>
      </c>
      <c r="Z1047" s="5" t="n">
        <v>46182</v>
      </c>
      <c r="AA1047" s="3" t="n"/>
      <c r="AB1047" s="3" t="n"/>
      <c r="AE1047" s="146">
        <f>IF(AND(F1047="Closed",X1047&gt;=DATE(2026,6,1),X1047&lt;=DATE(2026,6,30)),"Closed in June","other")</f>
        <v/>
      </c>
    </row>
    <row r="1048" hidden="1">
      <c r="A1048" s="9" t="n">
        <v>46148</v>
      </c>
      <c r="B1048" s="1" t="n">
        <v>2026</v>
      </c>
      <c r="C1048" s="8" t="inlineStr">
        <is>
          <t>Continuum</t>
        </is>
      </c>
      <c r="D1048" s="1" t="inlineStr">
        <is>
          <t>Utility and C&amp;I</t>
        </is>
      </c>
      <c r="E1048" s="1" t="n"/>
      <c r="F1048" s="1" t="inlineStr">
        <is>
          <t>Closed</t>
        </is>
      </c>
      <c r="G1048" s="8" t="inlineStr">
        <is>
          <t>Amiya Ranjan Behera</t>
        </is>
      </c>
      <c r="H1048" s="8" t="n">
        <v>8917436223</v>
      </c>
      <c r="I1048" s="10" t="inlineStr">
        <is>
          <t>PE06052602</t>
        </is>
      </c>
      <c r="J1048" s="8" t="inlineStr">
        <is>
          <t>Diode Bypass Module Issue</t>
        </is>
      </c>
      <c r="K1048" s="8" t="inlineStr">
        <is>
          <t>Bhavnagar</t>
        </is>
      </c>
      <c r="L1048" s="8" t="inlineStr">
        <is>
          <t>Gujarat</t>
        </is>
      </c>
      <c r="M1048" s="2" t="inlineStr">
        <is>
          <t>PR</t>
        </is>
      </c>
      <c r="N1048" s="1" t="inlineStr">
        <is>
          <t>JB Issue</t>
        </is>
      </c>
      <c r="O1048" s="11" t="n">
        <v>540</v>
      </c>
      <c r="P1048" s="2" t="inlineStr">
        <is>
          <t>NSMP2305190533</t>
        </is>
      </c>
      <c r="Q1048" s="14">
        <f>MID(P1048,5,2)</f>
        <v/>
      </c>
      <c r="R1048" s="14">
        <f>MID(P1048,7,2)</f>
        <v/>
      </c>
      <c r="S1048" s="1" t="inlineStr">
        <is>
          <t>G2B</t>
        </is>
      </c>
      <c r="T1048" s="1" t="inlineStr">
        <is>
          <t>P2 - PEPPL</t>
        </is>
      </c>
      <c r="U1048" s="6" t="inlineStr">
        <is>
          <t>P JB Issue</t>
        </is>
      </c>
      <c r="V1048" s="6" t="inlineStr">
        <is>
          <t>JB Changed</t>
        </is>
      </c>
      <c r="W1048" s="1" t="inlineStr">
        <is>
          <t>Repair</t>
        </is>
      </c>
      <c r="X1048" s="5" t="n">
        <v>46182</v>
      </c>
      <c r="Y1048" s="1">
        <f>IF(X1048="","",X1048-A1048)</f>
        <v/>
      </c>
      <c r="Z1048" s="5" t="n">
        <v>46182</v>
      </c>
      <c r="AA1048" s="3" t="n"/>
      <c r="AB1048" s="3" t="n"/>
      <c r="AE1048" s="146">
        <f>IF(AND(F1048="Closed",X1048&gt;=DATE(2026,6,1),X1048&lt;=DATE(2026,6,30)),"Closed in June","other")</f>
        <v/>
      </c>
    </row>
    <row r="1049" hidden="1">
      <c r="A1049" s="9" t="n">
        <v>46148</v>
      </c>
      <c r="B1049" s="1" t="n">
        <v>2026</v>
      </c>
      <c r="C1049" s="8" t="inlineStr">
        <is>
          <t>Continuum</t>
        </is>
      </c>
      <c r="D1049" s="1" t="inlineStr">
        <is>
          <t>Utility and C&amp;I</t>
        </is>
      </c>
      <c r="E1049" s="1" t="n"/>
      <c r="F1049" s="1" t="inlineStr">
        <is>
          <t>Closed</t>
        </is>
      </c>
      <c r="G1049" s="8" t="inlineStr">
        <is>
          <t>Amiya Ranjan Behera</t>
        </is>
      </c>
      <c r="H1049" s="8" t="n">
        <v>8917436223</v>
      </c>
      <c r="I1049" s="10" t="inlineStr">
        <is>
          <t>PE06052602</t>
        </is>
      </c>
      <c r="J1049" s="8" t="inlineStr">
        <is>
          <t>Diode Bypass Module Issue</t>
        </is>
      </c>
      <c r="K1049" s="8" t="inlineStr">
        <is>
          <t>Bhavnagar</t>
        </is>
      </c>
      <c r="L1049" s="8" t="inlineStr">
        <is>
          <t>Gujarat</t>
        </is>
      </c>
      <c r="M1049" s="2" t="inlineStr">
        <is>
          <t>PS</t>
        </is>
      </c>
      <c r="N1049" s="1" t="inlineStr">
        <is>
          <t>Cold Soldering</t>
        </is>
      </c>
      <c r="O1049" s="11" t="n">
        <v>540</v>
      </c>
      <c r="P1049" s="2" t="inlineStr">
        <is>
          <t>NSMP2305193636</t>
        </is>
      </c>
      <c r="Q1049" s="14">
        <f>MID(P1049,5,2)</f>
        <v/>
      </c>
      <c r="R1049" s="14">
        <f>MID(P1049,7,2)</f>
        <v/>
      </c>
      <c r="S1049" s="1" t="inlineStr">
        <is>
          <t>G2B</t>
        </is>
      </c>
      <c r="T1049" s="1" t="inlineStr">
        <is>
          <t>P2 - PEPPL</t>
        </is>
      </c>
      <c r="U1049" s="1" t="inlineStr">
        <is>
          <t>P JB Cold Soldering</t>
        </is>
      </c>
      <c r="V1049" s="1" t="inlineStr">
        <is>
          <t>Soldering</t>
        </is>
      </c>
      <c r="W1049" s="1" t="inlineStr">
        <is>
          <t>Repair</t>
        </is>
      </c>
      <c r="X1049" s="5" t="n">
        <v>46182</v>
      </c>
      <c r="Y1049" s="1">
        <f>IF(X1049="","",X1049-A1049)</f>
        <v/>
      </c>
      <c r="Z1049" s="5" t="n">
        <v>46182</v>
      </c>
      <c r="AA1049" s="3" t="n"/>
      <c r="AB1049" s="3" t="n"/>
      <c r="AE1049" s="146">
        <f>IF(AND(F1049="Closed",X1049&gt;=DATE(2026,6,1),X1049&lt;=DATE(2026,6,30)),"Closed in June","other")</f>
        <v/>
      </c>
    </row>
    <row r="1050" hidden="1">
      <c r="A1050" s="9" t="n">
        <v>46148</v>
      </c>
      <c r="B1050" s="1" t="n">
        <v>2026</v>
      </c>
      <c r="C1050" s="8" t="inlineStr">
        <is>
          <t>Continuum</t>
        </is>
      </c>
      <c r="D1050" s="1" t="inlineStr">
        <is>
          <t>Utility and C&amp;I</t>
        </is>
      </c>
      <c r="E1050" s="1" t="n"/>
      <c r="F1050" s="1" t="inlineStr">
        <is>
          <t>Closed</t>
        </is>
      </c>
      <c r="G1050" s="8" t="inlineStr">
        <is>
          <t>Amiya Ranjan Behera</t>
        </is>
      </c>
      <c r="H1050" s="8" t="n">
        <v>8917436223</v>
      </c>
      <c r="I1050" s="10" t="inlineStr">
        <is>
          <t>PE06052602</t>
        </is>
      </c>
      <c r="J1050" s="8" t="inlineStr">
        <is>
          <t>Diode Bypass Module Issue</t>
        </is>
      </c>
      <c r="K1050" s="8" t="inlineStr">
        <is>
          <t>Bhavnagar</t>
        </is>
      </c>
      <c r="L1050" s="8" t="inlineStr">
        <is>
          <t>Gujarat</t>
        </is>
      </c>
      <c r="M1050" s="2" t="inlineStr">
        <is>
          <t>NS</t>
        </is>
      </c>
      <c r="N1050" s="8" t="inlineStr">
        <is>
          <t>Cold Soldering</t>
        </is>
      </c>
      <c r="O1050" s="11" t="n">
        <v>540</v>
      </c>
      <c r="P1050" s="2" t="inlineStr">
        <is>
          <t>NSMP2305202306</t>
        </is>
      </c>
      <c r="Q1050" s="14">
        <f>MID(P1050,5,2)</f>
        <v/>
      </c>
      <c r="R1050" s="14">
        <f>MID(P1050,7,2)</f>
        <v/>
      </c>
      <c r="S1050" s="1" t="inlineStr">
        <is>
          <t>G2B</t>
        </is>
      </c>
      <c r="T1050" s="1" t="inlineStr">
        <is>
          <t>P2 - PEPPL</t>
        </is>
      </c>
      <c r="U1050" s="6" t="inlineStr">
        <is>
          <t>N JB Cold Soldering</t>
        </is>
      </c>
      <c r="V1050" s="6" t="inlineStr">
        <is>
          <t>Soldering</t>
        </is>
      </c>
      <c r="W1050" s="1" t="inlineStr">
        <is>
          <t>Repair</t>
        </is>
      </c>
      <c r="X1050" s="5" t="n">
        <v>46182</v>
      </c>
      <c r="Y1050" s="1">
        <f>IF(X1050="","",X1050-A1050)</f>
        <v/>
      </c>
      <c r="Z1050" s="5" t="n">
        <v>46182</v>
      </c>
      <c r="AA1050" s="3" t="n"/>
      <c r="AB1050" s="3" t="n"/>
      <c r="AE1050" s="146">
        <f>IF(AND(F1050="Closed",X1050&gt;=DATE(2026,6,1),X1050&lt;=DATE(2026,6,30)),"Closed in June","other")</f>
        <v/>
      </c>
    </row>
    <row r="1051" hidden="1">
      <c r="A1051" s="9" t="n">
        <v>46148</v>
      </c>
      <c r="B1051" s="1" t="n">
        <v>2026</v>
      </c>
      <c r="C1051" s="8" t="inlineStr">
        <is>
          <t>Continuum</t>
        </is>
      </c>
      <c r="D1051" s="1" t="inlineStr">
        <is>
          <t>Utility and C&amp;I</t>
        </is>
      </c>
      <c r="E1051" s="1" t="n"/>
      <c r="F1051" s="1" t="inlineStr">
        <is>
          <t>Closed</t>
        </is>
      </c>
      <c r="G1051" s="8" t="inlineStr">
        <is>
          <t>Amiya Ranjan Behera</t>
        </is>
      </c>
      <c r="H1051" s="8" t="n">
        <v>8917436223</v>
      </c>
      <c r="I1051" s="10" t="inlineStr">
        <is>
          <t>PE06052602</t>
        </is>
      </c>
      <c r="J1051" s="8" t="inlineStr">
        <is>
          <t>Diode Bypass Module Issue</t>
        </is>
      </c>
      <c r="K1051" s="8" t="inlineStr">
        <is>
          <t>Bhavnagar</t>
        </is>
      </c>
      <c r="L1051" s="8" t="inlineStr">
        <is>
          <t>Gujarat</t>
        </is>
      </c>
      <c r="M1051" s="2" t="inlineStr">
        <is>
          <t>PR</t>
        </is>
      </c>
      <c r="N1051" s="1" t="inlineStr">
        <is>
          <t>JB Issue</t>
        </is>
      </c>
      <c r="O1051" s="11" t="n">
        <v>540</v>
      </c>
      <c r="P1051" s="2" t="inlineStr">
        <is>
          <t>NSMP2305202310</t>
        </is>
      </c>
      <c r="Q1051" s="14">
        <f>MID(P1051,5,2)</f>
        <v/>
      </c>
      <c r="R1051" s="14">
        <f>MID(P1051,7,2)</f>
        <v/>
      </c>
      <c r="S1051" s="1" t="inlineStr">
        <is>
          <t>G2B</t>
        </is>
      </c>
      <c r="T1051" s="1" t="inlineStr">
        <is>
          <t>P2 - PEPPL</t>
        </is>
      </c>
      <c r="U1051" s="6" t="inlineStr">
        <is>
          <t>P JB Issue</t>
        </is>
      </c>
      <c r="V1051" s="6" t="inlineStr">
        <is>
          <t>JB Changed</t>
        </is>
      </c>
      <c r="W1051" s="1" t="inlineStr">
        <is>
          <t>Repair</t>
        </is>
      </c>
      <c r="X1051" s="5" t="n">
        <v>46182</v>
      </c>
      <c r="Y1051" s="1">
        <f>IF(X1051="","",X1051-A1051)</f>
        <v/>
      </c>
      <c r="Z1051" s="5" t="n">
        <v>46182</v>
      </c>
      <c r="AA1051" s="3" t="n"/>
      <c r="AB1051" s="3" t="n"/>
      <c r="AE1051" s="146">
        <f>IF(AND(F1051="Closed",X1051&gt;=DATE(2026,6,1),X1051&lt;=DATE(2026,6,30)),"Closed in June","other")</f>
        <v/>
      </c>
    </row>
    <row r="1052" hidden="1">
      <c r="A1052" s="9" t="n">
        <v>46148</v>
      </c>
      <c r="B1052" s="1" t="n">
        <v>2026</v>
      </c>
      <c r="C1052" s="8" t="inlineStr">
        <is>
          <t>Continuum</t>
        </is>
      </c>
      <c r="D1052" s="1" t="inlineStr">
        <is>
          <t>Utility and C&amp;I</t>
        </is>
      </c>
      <c r="E1052" s="1" t="n"/>
      <c r="F1052" s="1" t="inlineStr">
        <is>
          <t>Closed</t>
        </is>
      </c>
      <c r="G1052" s="8" t="inlineStr">
        <is>
          <t>Amiya Ranjan Behera</t>
        </is>
      </c>
      <c r="H1052" s="8" t="n">
        <v>8917436223</v>
      </c>
      <c r="I1052" s="10" t="inlineStr">
        <is>
          <t>PE06052602</t>
        </is>
      </c>
      <c r="J1052" s="8" t="inlineStr">
        <is>
          <t>Diode Bypass Module Issue</t>
        </is>
      </c>
      <c r="K1052" s="8" t="inlineStr">
        <is>
          <t>Bhavnagar</t>
        </is>
      </c>
      <c r="L1052" s="8" t="inlineStr">
        <is>
          <t>Gujarat</t>
        </is>
      </c>
      <c r="M1052" s="2" t="inlineStr">
        <is>
          <t>PS</t>
        </is>
      </c>
      <c r="N1052" s="1" t="inlineStr">
        <is>
          <t>Cold Soldering</t>
        </is>
      </c>
      <c r="O1052" s="11" t="n">
        <v>540</v>
      </c>
      <c r="P1052" s="2" t="inlineStr">
        <is>
          <t>NSMP2305134797</t>
        </is>
      </c>
      <c r="Q1052" s="14">
        <f>MID(P1052,5,2)</f>
        <v/>
      </c>
      <c r="R1052" s="14">
        <f>MID(P1052,7,2)</f>
        <v/>
      </c>
      <c r="S1052" s="1" t="inlineStr">
        <is>
          <t>G2B</t>
        </is>
      </c>
      <c r="T1052" s="1" t="inlineStr">
        <is>
          <t>P2 - PEPPL</t>
        </is>
      </c>
      <c r="U1052" s="1" t="inlineStr">
        <is>
          <t>P JB Cold Soldering</t>
        </is>
      </c>
      <c r="V1052" s="1" t="inlineStr">
        <is>
          <t>Soldering</t>
        </is>
      </c>
      <c r="W1052" s="1" t="inlineStr">
        <is>
          <t>Repair</t>
        </is>
      </c>
      <c r="X1052" s="5" t="n">
        <v>46182</v>
      </c>
      <c r="Y1052" s="1">
        <f>IF(X1052="","",X1052-A1052)</f>
        <v/>
      </c>
      <c r="Z1052" s="5" t="n">
        <v>46182</v>
      </c>
      <c r="AA1052" s="3" t="n"/>
      <c r="AB1052" s="3" t="n"/>
      <c r="AE1052" s="146">
        <f>IF(AND(F1052="Closed",X1052&gt;=DATE(2026,6,1),X1052&lt;=DATE(2026,6,30)),"Closed in June","other")</f>
        <v/>
      </c>
    </row>
    <row r="1053" hidden="1">
      <c r="A1053" s="9" t="n">
        <v>46148</v>
      </c>
      <c r="B1053" s="1" t="n">
        <v>2026</v>
      </c>
      <c r="C1053" s="8" t="inlineStr">
        <is>
          <t>Continuum</t>
        </is>
      </c>
      <c r="D1053" s="1" t="inlineStr">
        <is>
          <t>Utility and C&amp;I</t>
        </is>
      </c>
      <c r="E1053" s="1" t="n"/>
      <c r="F1053" s="1" t="inlineStr">
        <is>
          <t>Closed</t>
        </is>
      </c>
      <c r="G1053" s="8" t="inlineStr">
        <is>
          <t>Amiya Ranjan Behera</t>
        </is>
      </c>
      <c r="H1053" s="8" t="n">
        <v>8917436223</v>
      </c>
      <c r="I1053" s="10" t="inlineStr">
        <is>
          <t>PE06052602</t>
        </is>
      </c>
      <c r="J1053" s="8" t="inlineStr">
        <is>
          <t>Diode Bypass Module Issue</t>
        </is>
      </c>
      <c r="K1053" s="8" t="inlineStr">
        <is>
          <t>Bhavnagar</t>
        </is>
      </c>
      <c r="L1053" s="8" t="inlineStr">
        <is>
          <t>Gujarat</t>
        </is>
      </c>
      <c r="M1053" s="2" t="inlineStr">
        <is>
          <t>PS</t>
        </is>
      </c>
      <c r="N1053" s="1" t="inlineStr">
        <is>
          <t>Cold Soldering</t>
        </is>
      </c>
      <c r="O1053" s="11" t="n">
        <v>540</v>
      </c>
      <c r="P1053" s="2" t="inlineStr">
        <is>
          <t>NSMP2305134815</t>
        </is>
      </c>
      <c r="Q1053" s="14">
        <f>MID(P1053,5,2)</f>
        <v/>
      </c>
      <c r="R1053" s="14">
        <f>MID(P1053,7,2)</f>
        <v/>
      </c>
      <c r="S1053" s="1" t="inlineStr">
        <is>
          <t>G2B</t>
        </is>
      </c>
      <c r="T1053" s="1" t="inlineStr">
        <is>
          <t>P2 - PEPPL</t>
        </is>
      </c>
      <c r="U1053" s="1" t="inlineStr">
        <is>
          <t>P JB Cold Soldering</t>
        </is>
      </c>
      <c r="V1053" s="1" t="inlineStr">
        <is>
          <t>Soldering</t>
        </is>
      </c>
      <c r="W1053" s="1" t="inlineStr">
        <is>
          <t>Repair</t>
        </is>
      </c>
      <c r="X1053" s="5" t="n">
        <v>46182</v>
      </c>
      <c r="Y1053" s="1">
        <f>IF(X1053="","",X1053-A1053)</f>
        <v/>
      </c>
      <c r="Z1053" s="5" t="n">
        <v>46182</v>
      </c>
      <c r="AA1053" s="3" t="n"/>
      <c r="AB1053" s="3" t="n"/>
      <c r="AE1053" s="146">
        <f>IF(AND(F1053="Closed",X1053&gt;=DATE(2026,6,1),X1053&lt;=DATE(2026,6,30)),"Closed in June","other")</f>
        <v/>
      </c>
    </row>
    <row r="1054" hidden="1">
      <c r="A1054" s="9" t="n">
        <v>46148</v>
      </c>
      <c r="B1054" s="1" t="n">
        <v>2026</v>
      </c>
      <c r="C1054" s="8" t="inlineStr">
        <is>
          <t>Continuum</t>
        </is>
      </c>
      <c r="D1054" s="1" t="inlineStr">
        <is>
          <t>Utility and C&amp;I</t>
        </is>
      </c>
      <c r="E1054" s="1" t="n"/>
      <c r="F1054" s="1" t="inlineStr">
        <is>
          <t>Closed</t>
        </is>
      </c>
      <c r="G1054" s="8" t="inlineStr">
        <is>
          <t>Amiya Ranjan Behera</t>
        </is>
      </c>
      <c r="H1054" s="8" t="n">
        <v>8917436223</v>
      </c>
      <c r="I1054" s="10" t="inlineStr">
        <is>
          <t>PE06052602</t>
        </is>
      </c>
      <c r="J1054" s="8" t="inlineStr">
        <is>
          <t>Diode Bypass Module Issue</t>
        </is>
      </c>
      <c r="K1054" s="8" t="inlineStr">
        <is>
          <t>Bhavnagar</t>
        </is>
      </c>
      <c r="L1054" s="8" t="inlineStr">
        <is>
          <t>Gujarat</t>
        </is>
      </c>
      <c r="M1054" s="2" t="inlineStr">
        <is>
          <t>PS</t>
        </is>
      </c>
      <c r="N1054" s="1" t="inlineStr">
        <is>
          <t>Cold Soldering</t>
        </is>
      </c>
      <c r="O1054" s="11" t="n">
        <v>540</v>
      </c>
      <c r="P1054" s="2" t="inlineStr">
        <is>
          <t>NSMP2305134772</t>
        </is>
      </c>
      <c r="Q1054" s="14">
        <f>MID(P1054,5,2)</f>
        <v/>
      </c>
      <c r="R1054" s="14">
        <f>MID(P1054,7,2)</f>
        <v/>
      </c>
      <c r="S1054" s="1" t="inlineStr">
        <is>
          <t>G2B</t>
        </is>
      </c>
      <c r="T1054" s="1" t="inlineStr">
        <is>
          <t>P2 - PEPPL</t>
        </is>
      </c>
      <c r="U1054" s="1" t="inlineStr">
        <is>
          <t>P JB Cold Soldering</t>
        </is>
      </c>
      <c r="V1054" s="1" t="inlineStr">
        <is>
          <t>Soldering</t>
        </is>
      </c>
      <c r="W1054" s="1" t="inlineStr">
        <is>
          <t>Repair</t>
        </is>
      </c>
      <c r="X1054" s="5" t="n">
        <v>46182</v>
      </c>
      <c r="Y1054" s="1">
        <f>IF(X1054="","",X1054-A1054)</f>
        <v/>
      </c>
      <c r="Z1054" s="5" t="n">
        <v>46182</v>
      </c>
      <c r="AA1054" s="3" t="n"/>
      <c r="AB1054" s="3" t="n"/>
      <c r="AE1054" s="146">
        <f>IF(AND(F1054="Closed",X1054&gt;=DATE(2026,6,1),X1054&lt;=DATE(2026,6,30)),"Closed in June","other")</f>
        <v/>
      </c>
    </row>
    <row r="1055" hidden="1">
      <c r="A1055" s="9" t="n">
        <v>46148</v>
      </c>
      <c r="B1055" s="1" t="n">
        <v>2026</v>
      </c>
      <c r="C1055" s="8" t="inlineStr">
        <is>
          <t>Continuum</t>
        </is>
      </c>
      <c r="D1055" s="1" t="inlineStr">
        <is>
          <t>Utility and C&amp;I</t>
        </is>
      </c>
      <c r="E1055" s="1" t="n"/>
      <c r="F1055" s="1" t="inlineStr">
        <is>
          <t>Closed</t>
        </is>
      </c>
      <c r="G1055" s="8" t="inlineStr">
        <is>
          <t>Amiya Ranjan Behera</t>
        </is>
      </c>
      <c r="H1055" s="8" t="n">
        <v>8917436223</v>
      </c>
      <c r="I1055" s="10" t="inlineStr">
        <is>
          <t>PE06052602</t>
        </is>
      </c>
      <c r="J1055" s="8" t="inlineStr">
        <is>
          <t>Diode Bypass Module Issue</t>
        </is>
      </c>
      <c r="K1055" s="8" t="inlineStr">
        <is>
          <t>Bhavnagar</t>
        </is>
      </c>
      <c r="L1055" s="8" t="inlineStr">
        <is>
          <t>Gujarat</t>
        </is>
      </c>
      <c r="M1055" s="2" t="inlineStr">
        <is>
          <t>PR</t>
        </is>
      </c>
      <c r="N1055" s="1" t="inlineStr">
        <is>
          <t>JB Issue</t>
        </is>
      </c>
      <c r="O1055" s="11" t="n">
        <v>540</v>
      </c>
      <c r="P1055" s="2" t="inlineStr">
        <is>
          <t>NSMP2305192108</t>
        </is>
      </c>
      <c r="Q1055" s="14">
        <f>MID(P1055,5,2)</f>
        <v/>
      </c>
      <c r="R1055" s="14">
        <f>MID(P1055,7,2)</f>
        <v/>
      </c>
      <c r="S1055" s="1" t="inlineStr">
        <is>
          <t>G2B</t>
        </is>
      </c>
      <c r="T1055" s="1" t="inlineStr">
        <is>
          <t>P2 - PEPPL</t>
        </is>
      </c>
      <c r="U1055" s="6" t="inlineStr">
        <is>
          <t>P JB Issue</t>
        </is>
      </c>
      <c r="V1055" s="6" t="inlineStr">
        <is>
          <t>JB Changed</t>
        </is>
      </c>
      <c r="W1055" s="1" t="inlineStr">
        <is>
          <t>Repair</t>
        </is>
      </c>
      <c r="X1055" s="5" t="n">
        <v>46182</v>
      </c>
      <c r="Y1055" s="1">
        <f>IF(X1055="","",X1055-A1055)</f>
        <v/>
      </c>
      <c r="Z1055" s="5" t="n">
        <v>46182</v>
      </c>
      <c r="AA1055" s="3" t="n"/>
      <c r="AB1055" s="3" t="n"/>
      <c r="AE1055" s="146">
        <f>IF(AND(F1055="Closed",X1055&gt;=DATE(2026,6,1),X1055&lt;=DATE(2026,6,30)),"Closed in June","other")</f>
        <v/>
      </c>
    </row>
    <row r="1056" hidden="1">
      <c r="A1056" s="9" t="n">
        <v>46148</v>
      </c>
      <c r="B1056" s="1" t="n">
        <v>2026</v>
      </c>
      <c r="C1056" s="8" t="inlineStr">
        <is>
          <t>Continuum</t>
        </is>
      </c>
      <c r="D1056" s="1" t="inlineStr">
        <is>
          <t>Utility and C&amp;I</t>
        </is>
      </c>
      <c r="E1056" s="1" t="n"/>
      <c r="F1056" s="1" t="inlineStr">
        <is>
          <t>Closed</t>
        </is>
      </c>
      <c r="G1056" s="8" t="inlineStr">
        <is>
          <t>Amiya Ranjan Behera</t>
        </is>
      </c>
      <c r="H1056" s="8" t="n">
        <v>8917436223</v>
      </c>
      <c r="I1056" s="10" t="inlineStr">
        <is>
          <t>PE06052602</t>
        </is>
      </c>
      <c r="J1056" s="8" t="inlineStr">
        <is>
          <t>Diode Bypass Module Issue</t>
        </is>
      </c>
      <c r="K1056" s="8" t="inlineStr">
        <is>
          <t>Bhavnagar</t>
        </is>
      </c>
      <c r="L1056" s="8" t="inlineStr">
        <is>
          <t>Gujarat</t>
        </is>
      </c>
      <c r="M1056" s="2" t="inlineStr">
        <is>
          <t>PS</t>
        </is>
      </c>
      <c r="N1056" s="1" t="inlineStr">
        <is>
          <t>Cold Soldering</t>
        </is>
      </c>
      <c r="O1056" s="11" t="n">
        <v>540</v>
      </c>
      <c r="P1056" s="2" t="inlineStr">
        <is>
          <t>NSMP2305188513</t>
        </is>
      </c>
      <c r="Q1056" s="14">
        <f>MID(P1056,5,2)</f>
        <v/>
      </c>
      <c r="R1056" s="14">
        <f>MID(P1056,7,2)</f>
        <v/>
      </c>
      <c r="S1056" s="1" t="inlineStr">
        <is>
          <t>G2B</t>
        </is>
      </c>
      <c r="T1056" s="1" t="inlineStr">
        <is>
          <t>P2 - PEPPL</t>
        </is>
      </c>
      <c r="U1056" s="1" t="inlineStr">
        <is>
          <t>P JB Cold Soldering</t>
        </is>
      </c>
      <c r="V1056" s="1" t="inlineStr">
        <is>
          <t>Soldering</t>
        </is>
      </c>
      <c r="W1056" s="1" t="inlineStr">
        <is>
          <t>Repair</t>
        </is>
      </c>
      <c r="X1056" s="5" t="n">
        <v>46182</v>
      </c>
      <c r="Y1056" s="1">
        <f>IF(X1056="","",X1056-A1056)</f>
        <v/>
      </c>
      <c r="Z1056" s="5" t="n">
        <v>46182</v>
      </c>
      <c r="AA1056" s="3" t="n"/>
      <c r="AB1056" s="3" t="n"/>
      <c r="AE1056" s="146">
        <f>IF(AND(F1056="Closed",X1056&gt;=DATE(2026,6,1),X1056&lt;=DATE(2026,6,30)),"Closed in June","other")</f>
        <v/>
      </c>
    </row>
    <row r="1057" hidden="1">
      <c r="A1057" s="9" t="n">
        <v>46148</v>
      </c>
      <c r="B1057" s="1" t="n">
        <v>2026</v>
      </c>
      <c r="C1057" s="8" t="inlineStr">
        <is>
          <t>Continuum</t>
        </is>
      </c>
      <c r="D1057" s="1" t="inlineStr">
        <is>
          <t>Utility and C&amp;I</t>
        </is>
      </c>
      <c r="E1057" s="1" t="n"/>
      <c r="F1057" s="1" t="inlineStr">
        <is>
          <t>Closed</t>
        </is>
      </c>
      <c r="G1057" s="8" t="inlineStr">
        <is>
          <t>Amiya Ranjan Behera</t>
        </is>
      </c>
      <c r="H1057" s="8" t="n">
        <v>8917436223</v>
      </c>
      <c r="I1057" s="10" t="inlineStr">
        <is>
          <t>PE06052602</t>
        </is>
      </c>
      <c r="J1057" s="8" t="inlineStr">
        <is>
          <t>Diode Bypass Module Issue</t>
        </is>
      </c>
      <c r="K1057" s="8" t="inlineStr">
        <is>
          <t>Bhavnagar</t>
        </is>
      </c>
      <c r="L1057" s="8" t="inlineStr">
        <is>
          <t>Gujarat</t>
        </is>
      </c>
      <c r="M1057" s="2" t="inlineStr">
        <is>
          <t>PS</t>
        </is>
      </c>
      <c r="N1057" s="1" t="inlineStr">
        <is>
          <t>Cold Soldering</t>
        </is>
      </c>
      <c r="O1057" s="11" t="n">
        <v>540</v>
      </c>
      <c r="P1057" s="2" t="inlineStr">
        <is>
          <t>NSMP2305192914</t>
        </is>
      </c>
      <c r="Q1057" s="14">
        <f>MID(P1057,5,2)</f>
        <v/>
      </c>
      <c r="R1057" s="14">
        <f>MID(P1057,7,2)</f>
        <v/>
      </c>
      <c r="S1057" s="1" t="inlineStr">
        <is>
          <t>G2B</t>
        </is>
      </c>
      <c r="T1057" s="1" t="inlineStr">
        <is>
          <t>P2 - PEPPL</t>
        </is>
      </c>
      <c r="U1057" s="1" t="inlineStr">
        <is>
          <t>P JB Cold Soldering</t>
        </is>
      </c>
      <c r="V1057" s="1" t="inlineStr">
        <is>
          <t>Soldering</t>
        </is>
      </c>
      <c r="W1057" s="1" t="inlineStr">
        <is>
          <t>Repair</t>
        </is>
      </c>
      <c r="X1057" s="5" t="n">
        <v>46182</v>
      </c>
      <c r="Y1057" s="1">
        <f>IF(X1057="","",X1057-A1057)</f>
        <v/>
      </c>
      <c r="Z1057" s="5" t="n">
        <v>46182</v>
      </c>
      <c r="AA1057" s="3" t="n"/>
      <c r="AB1057" s="3" t="n"/>
      <c r="AE1057" s="146">
        <f>IF(AND(F1057="Closed",X1057&gt;=DATE(2026,6,1),X1057&lt;=DATE(2026,6,30)),"Closed in June","other")</f>
        <v/>
      </c>
    </row>
    <row r="1058" hidden="1">
      <c r="A1058" s="9" t="n">
        <v>46148</v>
      </c>
      <c r="B1058" s="1" t="n">
        <v>2026</v>
      </c>
      <c r="C1058" s="8" t="inlineStr">
        <is>
          <t>Continuum</t>
        </is>
      </c>
      <c r="D1058" s="1" t="inlineStr">
        <is>
          <t>Utility and C&amp;I</t>
        </is>
      </c>
      <c r="E1058" s="1" t="n"/>
      <c r="F1058" s="1" t="inlineStr">
        <is>
          <t>Closed</t>
        </is>
      </c>
      <c r="G1058" s="8" t="inlineStr">
        <is>
          <t>Amiya Ranjan Behera</t>
        </is>
      </c>
      <c r="H1058" s="8" t="n">
        <v>8917436223</v>
      </c>
      <c r="I1058" s="10" t="inlineStr">
        <is>
          <t>PE06052602</t>
        </is>
      </c>
      <c r="J1058" s="8" t="inlineStr">
        <is>
          <t>Diode Bypass Module Issue</t>
        </is>
      </c>
      <c r="K1058" s="8" t="inlineStr">
        <is>
          <t>Bhavnagar</t>
        </is>
      </c>
      <c r="L1058" s="8" t="inlineStr">
        <is>
          <t>Gujarat</t>
        </is>
      </c>
      <c r="M1058" s="2" t="inlineStr">
        <is>
          <t>PR</t>
        </is>
      </c>
      <c r="N1058" s="1" t="inlineStr">
        <is>
          <t>JB Issue</t>
        </is>
      </c>
      <c r="O1058" s="11" t="n">
        <v>540</v>
      </c>
      <c r="P1058" s="2" t="inlineStr">
        <is>
          <t>NSMP2305191441</t>
        </is>
      </c>
      <c r="Q1058" s="14">
        <f>MID(P1058,5,2)</f>
        <v/>
      </c>
      <c r="R1058" s="14">
        <f>MID(P1058,7,2)</f>
        <v/>
      </c>
      <c r="S1058" s="1" t="inlineStr">
        <is>
          <t>G2B</t>
        </is>
      </c>
      <c r="T1058" s="1" t="inlineStr">
        <is>
          <t>P2 - PEPPL</t>
        </is>
      </c>
      <c r="U1058" s="6" t="inlineStr">
        <is>
          <t>P JB Issue</t>
        </is>
      </c>
      <c r="V1058" s="6" t="inlineStr">
        <is>
          <t>JB Changed</t>
        </is>
      </c>
      <c r="W1058" s="1" t="inlineStr">
        <is>
          <t>Repair</t>
        </is>
      </c>
      <c r="X1058" s="5" t="n">
        <v>46182</v>
      </c>
      <c r="Y1058" s="1">
        <f>IF(X1058="","",X1058-A1058)</f>
        <v/>
      </c>
      <c r="Z1058" s="5" t="n">
        <v>46182</v>
      </c>
      <c r="AA1058" s="3" t="n"/>
      <c r="AB1058" s="3" t="n"/>
      <c r="AE1058" s="146">
        <f>IF(AND(F1058="Closed",X1058&gt;=DATE(2026,6,1),X1058&lt;=DATE(2026,6,30)),"Closed in June","other")</f>
        <v/>
      </c>
    </row>
    <row r="1059" hidden="1">
      <c r="A1059" s="9" t="n">
        <v>46148</v>
      </c>
      <c r="B1059" s="1" t="n">
        <v>2026</v>
      </c>
      <c r="C1059" s="8" t="inlineStr">
        <is>
          <t>Continuum</t>
        </is>
      </c>
      <c r="D1059" s="1" t="inlineStr">
        <is>
          <t>Utility and C&amp;I</t>
        </is>
      </c>
      <c r="E1059" s="1" t="n"/>
      <c r="F1059" s="1" t="inlineStr">
        <is>
          <t>Closed</t>
        </is>
      </c>
      <c r="G1059" s="8" t="inlineStr">
        <is>
          <t>Amiya Ranjan Behera</t>
        </is>
      </c>
      <c r="H1059" s="8" t="n">
        <v>8917436223</v>
      </c>
      <c r="I1059" s="10" t="inlineStr">
        <is>
          <t>PE06052602</t>
        </is>
      </c>
      <c r="J1059" s="8" t="inlineStr">
        <is>
          <t>Diode Bypass Module Issue</t>
        </is>
      </c>
      <c r="K1059" s="8" t="inlineStr">
        <is>
          <t>Bhavnagar</t>
        </is>
      </c>
      <c r="L1059" s="8" t="inlineStr">
        <is>
          <t>Gujarat</t>
        </is>
      </c>
      <c r="M1059" s="2" t="inlineStr">
        <is>
          <t>PS</t>
        </is>
      </c>
      <c r="N1059" s="1" t="inlineStr">
        <is>
          <t>Cold Soldering</t>
        </is>
      </c>
      <c r="O1059" s="11" t="n">
        <v>540</v>
      </c>
      <c r="P1059" s="2" t="inlineStr">
        <is>
          <t>NSMP2305132069</t>
        </is>
      </c>
      <c r="Q1059" s="14">
        <f>MID(P1059,5,2)</f>
        <v/>
      </c>
      <c r="R1059" s="14">
        <f>MID(P1059,7,2)</f>
        <v/>
      </c>
      <c r="S1059" s="1" t="inlineStr">
        <is>
          <t>G2B</t>
        </is>
      </c>
      <c r="T1059" s="1" t="inlineStr">
        <is>
          <t>P2 - PEPPL</t>
        </is>
      </c>
      <c r="U1059" s="1" t="inlineStr">
        <is>
          <t>P JB Cold Soldering</t>
        </is>
      </c>
      <c r="V1059" s="1" t="inlineStr">
        <is>
          <t>Soldering</t>
        </is>
      </c>
      <c r="W1059" s="1" t="inlineStr">
        <is>
          <t>Repair</t>
        </is>
      </c>
      <c r="X1059" s="5" t="n">
        <v>46182</v>
      </c>
      <c r="Y1059" s="1">
        <f>IF(X1059="","",X1059-A1059)</f>
        <v/>
      </c>
      <c r="Z1059" s="5" t="n">
        <v>46182</v>
      </c>
      <c r="AA1059" s="3" t="n"/>
      <c r="AB1059" s="3" t="n"/>
      <c r="AE1059" s="146">
        <f>IF(AND(F1059="Closed",X1059&gt;=DATE(2026,6,1),X1059&lt;=DATE(2026,6,30)),"Closed in June","other")</f>
        <v/>
      </c>
    </row>
    <row r="1060" hidden="1">
      <c r="A1060" s="49" t="n">
        <v>46177</v>
      </c>
      <c r="B1060" s="1" t="n">
        <v>2026</v>
      </c>
      <c r="C1060" s="11" t="inlineStr">
        <is>
          <t>Ayana</t>
        </is>
      </c>
      <c r="D1060" s="11" t="inlineStr">
        <is>
          <t>Utility and C&amp;I</t>
        </is>
      </c>
      <c r="E1060" s="1" t="n"/>
      <c r="F1060" s="1" t="inlineStr">
        <is>
          <t>WIP</t>
        </is>
      </c>
      <c r="G1060" s="11" t="inlineStr">
        <is>
          <t>Vasu.N</t>
        </is>
      </c>
      <c r="H1060" s="8" t="n">
        <v>9578099893</v>
      </c>
      <c r="I1060" s="10" t="inlineStr">
        <is>
          <t>PE04062601</t>
        </is>
      </c>
      <c r="J1060" s="28" t="inlineStr">
        <is>
          <t>Module burnt</t>
        </is>
      </c>
      <c r="K1060" s="8" t="inlineStr">
        <is>
          <t>Jatavira</t>
        </is>
      </c>
      <c r="L1060" s="8" t="inlineStr">
        <is>
          <t>Gujarat</t>
        </is>
      </c>
      <c r="M1060" s="2" t="inlineStr">
        <is>
          <t xml:space="preserve">Both glass broken </t>
        </is>
      </c>
      <c r="N1060" s="6" t="inlineStr">
        <is>
          <t>Module Breakage</t>
        </is>
      </c>
      <c r="O1060" s="6" t="n">
        <v>585</v>
      </c>
      <c r="P1060" s="2" t="inlineStr">
        <is>
          <t>NSMI24100546899</t>
        </is>
      </c>
      <c r="Q1060" s="29">
        <f>MID(P1060,5,2)</f>
        <v/>
      </c>
      <c r="R1060" s="14">
        <f>MID(P1060,7,2)</f>
        <v/>
      </c>
      <c r="S1060" s="6" t="inlineStr">
        <is>
          <t>G2G</t>
        </is>
      </c>
      <c r="T1060" s="1" t="inlineStr">
        <is>
          <t>P4 - PEIPL</t>
        </is>
      </c>
      <c r="U1060" s="6" t="inlineStr">
        <is>
          <t>Glass Breakage</t>
        </is>
      </c>
      <c r="V1060" s="1" t="inlineStr">
        <is>
          <t>Inspection</t>
        </is>
      </c>
      <c r="W1060" s="1" t="inlineStr">
        <is>
          <t>WIP</t>
        </is>
      </c>
      <c r="X1060" s="12" t="n"/>
      <c r="Y1060" s="1">
        <f>IF(X1060="","",X1060-A1060)</f>
        <v/>
      </c>
      <c r="Z1060" s="5" t="n">
        <v>46185</v>
      </c>
      <c r="AA1060" s="3" t="n"/>
      <c r="AB1060" s="3" t="n"/>
      <c r="AE1060" s="146">
        <f>IF(AND(F1060="Closed",X1060&gt;=DATE(2026,6,1),X1060&lt;=DATE(2026,6,30)),"Closed in June","other")</f>
        <v/>
      </c>
    </row>
    <row r="1061" hidden="1">
      <c r="A1061" s="49" t="n">
        <v>46177</v>
      </c>
      <c r="B1061" s="1" t="n">
        <v>2026</v>
      </c>
      <c r="C1061" s="11" t="inlineStr">
        <is>
          <t>Ayana</t>
        </is>
      </c>
      <c r="D1061" s="11" t="inlineStr">
        <is>
          <t>Utility and C&amp;I</t>
        </is>
      </c>
      <c r="E1061" s="1" t="n"/>
      <c r="F1061" s="1" t="inlineStr">
        <is>
          <t>WIP</t>
        </is>
      </c>
      <c r="G1061" s="11" t="inlineStr">
        <is>
          <t>Vasu.N</t>
        </is>
      </c>
      <c r="H1061" s="8" t="n">
        <v>9578099893</v>
      </c>
      <c r="I1061" s="10" t="inlineStr">
        <is>
          <t>PE04062601</t>
        </is>
      </c>
      <c r="J1061" s="28" t="inlineStr">
        <is>
          <t>Module burnt</t>
        </is>
      </c>
      <c r="K1061" s="8" t="inlineStr">
        <is>
          <t>Jatavira</t>
        </is>
      </c>
      <c r="L1061" s="8" t="inlineStr">
        <is>
          <t>Gujarat</t>
        </is>
      </c>
      <c r="M1061" s="2" t="inlineStr">
        <is>
          <t xml:space="preserve">Both glass broken </t>
        </is>
      </c>
      <c r="N1061" s="6" t="inlineStr">
        <is>
          <t>Module Breakage</t>
        </is>
      </c>
      <c r="O1061" s="6" t="n">
        <v>585</v>
      </c>
      <c r="P1061" s="2" t="inlineStr">
        <is>
          <t>NSMI24090430884</t>
        </is>
      </c>
      <c r="Q1061" s="29">
        <f>MID(P1061,5,2)</f>
        <v/>
      </c>
      <c r="R1061" s="14">
        <f>MID(P1061,7,2)</f>
        <v/>
      </c>
      <c r="S1061" s="6" t="inlineStr">
        <is>
          <t>G2G</t>
        </is>
      </c>
      <c r="T1061" s="1" t="inlineStr">
        <is>
          <t>P4 - PEIPL</t>
        </is>
      </c>
      <c r="U1061" s="6" t="inlineStr">
        <is>
          <t>Glass Breakage</t>
        </is>
      </c>
      <c r="V1061" s="1" t="inlineStr">
        <is>
          <t>Inspection</t>
        </is>
      </c>
      <c r="W1061" s="1" t="inlineStr">
        <is>
          <t>WIP</t>
        </is>
      </c>
      <c r="X1061" s="12" t="n"/>
      <c r="Y1061" s="1">
        <f>IF(X1061="","",X1061-A1061)</f>
        <v/>
      </c>
      <c r="Z1061" s="5" t="n">
        <v>46185</v>
      </c>
      <c r="AA1061" s="3" t="n"/>
      <c r="AB1061" s="3" t="n"/>
      <c r="AE1061" s="146">
        <f>IF(AND(F1061="Closed",X1061&gt;=DATE(2026,6,1),X1061&lt;=DATE(2026,6,30)),"Closed in June","other")</f>
        <v/>
      </c>
    </row>
    <row r="1062" hidden="1">
      <c r="A1062" s="49" t="n">
        <v>46177</v>
      </c>
      <c r="B1062" s="1" t="n">
        <v>2026</v>
      </c>
      <c r="C1062" s="11" t="inlineStr">
        <is>
          <t>Ayana</t>
        </is>
      </c>
      <c r="D1062" s="11" t="inlineStr">
        <is>
          <t>Utility and C&amp;I</t>
        </is>
      </c>
      <c r="E1062" s="1" t="n"/>
      <c r="F1062" s="1" t="inlineStr">
        <is>
          <t>WIP</t>
        </is>
      </c>
      <c r="G1062" s="11" t="inlineStr">
        <is>
          <t>Vasu.N</t>
        </is>
      </c>
      <c r="H1062" s="8" t="n">
        <v>9578099893</v>
      </c>
      <c r="I1062" s="10" t="inlineStr">
        <is>
          <t>PE04062601</t>
        </is>
      </c>
      <c r="J1062" s="28" t="inlineStr">
        <is>
          <t>Module burnt</t>
        </is>
      </c>
      <c r="K1062" s="8" t="inlineStr">
        <is>
          <t>Jatavira</t>
        </is>
      </c>
      <c r="L1062" s="8" t="inlineStr">
        <is>
          <t>Gujarat</t>
        </is>
      </c>
      <c r="M1062" s="2" t="inlineStr">
        <is>
          <t>Front glass broken with burn spot</t>
        </is>
      </c>
      <c r="N1062" s="6" t="inlineStr">
        <is>
          <t>Glass Breakage with Burn Spot</t>
        </is>
      </c>
      <c r="O1062" s="6" t="n">
        <v>585</v>
      </c>
      <c r="P1062" s="2" t="inlineStr">
        <is>
          <t>NSMI24100549768</t>
        </is>
      </c>
      <c r="Q1062" s="29">
        <f>MID(P1062,5,2)</f>
        <v/>
      </c>
      <c r="R1062" s="14">
        <f>MID(P1062,7,2)</f>
        <v/>
      </c>
      <c r="S1062" s="6" t="inlineStr">
        <is>
          <t>G2G</t>
        </is>
      </c>
      <c r="T1062" s="1" t="inlineStr">
        <is>
          <t>P4 - PEIPL</t>
        </is>
      </c>
      <c r="U1062" s="6" t="inlineStr">
        <is>
          <t>Glass Breakage with Burn Spot</t>
        </is>
      </c>
      <c r="V1062" s="1" t="inlineStr">
        <is>
          <t>Inspection</t>
        </is>
      </c>
      <c r="W1062" s="1" t="inlineStr">
        <is>
          <t>WIP</t>
        </is>
      </c>
      <c r="X1062" s="12" t="n"/>
      <c r="Y1062" s="1">
        <f>IF(X1062="","",X1062-A1062)</f>
        <v/>
      </c>
      <c r="Z1062" s="5" t="n">
        <v>46185</v>
      </c>
      <c r="AA1062" s="3" t="n"/>
      <c r="AB1062" s="3" t="n"/>
      <c r="AE1062" s="146">
        <f>IF(AND(F1062="Closed",X1062&gt;=DATE(2026,6,1),X1062&lt;=DATE(2026,6,30)),"Closed in June","other")</f>
        <v/>
      </c>
    </row>
    <row r="1063" hidden="1">
      <c r="A1063" s="49" t="n">
        <v>46177</v>
      </c>
      <c r="B1063" s="1" t="n">
        <v>2026</v>
      </c>
      <c r="C1063" s="11" t="inlineStr">
        <is>
          <t>Ayana</t>
        </is>
      </c>
      <c r="D1063" s="11" t="inlineStr">
        <is>
          <t>Utility and C&amp;I</t>
        </is>
      </c>
      <c r="E1063" s="1" t="n"/>
      <c r="F1063" s="1" t="inlineStr">
        <is>
          <t>WIP</t>
        </is>
      </c>
      <c r="G1063" s="11" t="inlineStr">
        <is>
          <t>Vasu.N</t>
        </is>
      </c>
      <c r="H1063" s="8" t="n">
        <v>9578099893</v>
      </c>
      <c r="I1063" s="10" t="inlineStr">
        <is>
          <t>PE04062601</t>
        </is>
      </c>
      <c r="J1063" s="28" t="inlineStr">
        <is>
          <t>Module burnt</t>
        </is>
      </c>
      <c r="K1063" s="8" t="inlineStr">
        <is>
          <t>Jatavira</t>
        </is>
      </c>
      <c r="L1063" s="8" t="inlineStr">
        <is>
          <t>Gujarat</t>
        </is>
      </c>
      <c r="M1063" s="2" t="inlineStr">
        <is>
          <t>Both glass broken with burn spot</t>
        </is>
      </c>
      <c r="N1063" s="6" t="inlineStr">
        <is>
          <t>Glass Breakage with Burn Spot</t>
        </is>
      </c>
      <c r="O1063" s="6" t="n">
        <v>585</v>
      </c>
      <c r="P1063" s="2" t="inlineStr">
        <is>
          <t>NSMI24090520088</t>
        </is>
      </c>
      <c r="Q1063" s="29">
        <f>MID(P1063,5,2)</f>
        <v/>
      </c>
      <c r="R1063" s="14">
        <f>MID(P1063,7,2)</f>
        <v/>
      </c>
      <c r="S1063" s="6" t="inlineStr">
        <is>
          <t>G2G</t>
        </is>
      </c>
      <c r="T1063" s="1" t="inlineStr">
        <is>
          <t>P4 - PEIPL</t>
        </is>
      </c>
      <c r="U1063" s="6" t="inlineStr">
        <is>
          <t>Glass Breakage with Burn Spot</t>
        </is>
      </c>
      <c r="V1063" s="1" t="inlineStr">
        <is>
          <t>Inspection</t>
        </is>
      </c>
      <c r="W1063" s="1" t="inlineStr">
        <is>
          <t>WIP</t>
        </is>
      </c>
      <c r="X1063" s="12" t="n"/>
      <c r="Y1063" s="1">
        <f>IF(X1063="","",X1063-A1063)</f>
        <v/>
      </c>
      <c r="Z1063" s="5" t="n">
        <v>46185</v>
      </c>
      <c r="AA1063" s="3" t="n"/>
      <c r="AB1063" s="3" t="n"/>
      <c r="AE1063" s="146">
        <f>IF(AND(F1063="Closed",X1063&gt;=DATE(2026,6,1),X1063&lt;=DATE(2026,6,30)),"Closed in June","other")</f>
        <v/>
      </c>
    </row>
    <row r="1064" hidden="1">
      <c r="A1064" s="49" t="n">
        <v>46177</v>
      </c>
      <c r="B1064" s="1" t="n">
        <v>2026</v>
      </c>
      <c r="C1064" s="11" t="inlineStr">
        <is>
          <t>Ayana</t>
        </is>
      </c>
      <c r="D1064" s="11" t="inlineStr">
        <is>
          <t>Utility and C&amp;I</t>
        </is>
      </c>
      <c r="E1064" s="1" t="n"/>
      <c r="F1064" s="1" t="inlineStr">
        <is>
          <t>WIP</t>
        </is>
      </c>
      <c r="G1064" s="11" t="inlineStr">
        <is>
          <t>Vasu.N</t>
        </is>
      </c>
      <c r="H1064" s="8" t="n">
        <v>9578099893</v>
      </c>
      <c r="I1064" s="10" t="inlineStr">
        <is>
          <t>PE04062601</t>
        </is>
      </c>
      <c r="J1064" s="28" t="inlineStr">
        <is>
          <t>Module burnt</t>
        </is>
      </c>
      <c r="K1064" s="8" t="inlineStr">
        <is>
          <t>Jatavira</t>
        </is>
      </c>
      <c r="L1064" s="8" t="inlineStr">
        <is>
          <t>Gujarat</t>
        </is>
      </c>
      <c r="M1064" s="2" t="inlineStr">
        <is>
          <t xml:space="preserve">Black glass broken at shorter frem </t>
        </is>
      </c>
      <c r="N1064" s="6" t="inlineStr">
        <is>
          <t>Module Breakage</t>
        </is>
      </c>
      <c r="O1064" s="6" t="n">
        <v>585</v>
      </c>
      <c r="P1064" s="2" t="inlineStr">
        <is>
          <t>NSMI24100554608</t>
        </is>
      </c>
      <c r="Q1064" s="29">
        <f>MID(P1064,5,2)</f>
        <v/>
      </c>
      <c r="R1064" s="14">
        <f>MID(P1064,7,2)</f>
        <v/>
      </c>
      <c r="S1064" s="6" t="inlineStr">
        <is>
          <t>G2G</t>
        </is>
      </c>
      <c r="T1064" s="1" t="inlineStr">
        <is>
          <t>P4 - PEIPL</t>
        </is>
      </c>
      <c r="U1064" s="6" t="inlineStr">
        <is>
          <t>Glass Breakage</t>
        </is>
      </c>
      <c r="V1064" s="1" t="inlineStr">
        <is>
          <t>Inspection</t>
        </is>
      </c>
      <c r="W1064" s="1" t="inlineStr">
        <is>
          <t>WIP</t>
        </is>
      </c>
      <c r="X1064" s="12" t="n"/>
      <c r="Y1064" s="1">
        <f>IF(X1064="","",X1064-A1064)</f>
        <v/>
      </c>
      <c r="Z1064" s="5" t="n">
        <v>46185</v>
      </c>
      <c r="AA1064" s="3" t="n"/>
      <c r="AB1064" s="3" t="n"/>
      <c r="AE1064" s="146">
        <f>IF(AND(F1064="Closed",X1064&gt;=DATE(2026,6,1),X1064&lt;=DATE(2026,6,30)),"Closed in June","other")</f>
        <v/>
      </c>
    </row>
    <row r="1065" hidden="1">
      <c r="A1065" s="49" t="n">
        <v>46177</v>
      </c>
      <c r="B1065" s="1" t="n">
        <v>2026</v>
      </c>
      <c r="C1065" s="11" t="inlineStr">
        <is>
          <t>Ayana</t>
        </is>
      </c>
      <c r="D1065" s="11" t="inlineStr">
        <is>
          <t>Utility and C&amp;I</t>
        </is>
      </c>
      <c r="E1065" s="1" t="n"/>
      <c r="F1065" s="1" t="inlineStr">
        <is>
          <t>WIP</t>
        </is>
      </c>
      <c r="G1065" s="11" t="inlineStr">
        <is>
          <t>Vasu.N</t>
        </is>
      </c>
      <c r="H1065" s="8" t="n">
        <v>9578099893</v>
      </c>
      <c r="I1065" s="10" t="inlineStr">
        <is>
          <t>PE04062601</t>
        </is>
      </c>
      <c r="J1065" s="28" t="inlineStr">
        <is>
          <t>Module burnt</t>
        </is>
      </c>
      <c r="K1065" s="8" t="inlineStr">
        <is>
          <t>Jatavira</t>
        </is>
      </c>
      <c r="L1065" s="8" t="inlineStr">
        <is>
          <t>Gujarat</t>
        </is>
      </c>
      <c r="M1065" s="2" t="inlineStr">
        <is>
          <t xml:space="preserve">Both glass broken </t>
        </is>
      </c>
      <c r="N1065" s="6" t="inlineStr">
        <is>
          <t>Module Breakage</t>
        </is>
      </c>
      <c r="O1065" s="6" t="n">
        <v>585</v>
      </c>
      <c r="P1065" s="2" t="inlineStr">
        <is>
          <t>NSMI24100555820</t>
        </is>
      </c>
      <c r="Q1065" s="29">
        <f>MID(P1065,5,2)</f>
        <v/>
      </c>
      <c r="R1065" s="14">
        <f>MID(P1065,7,2)</f>
        <v/>
      </c>
      <c r="S1065" s="6" t="inlineStr">
        <is>
          <t>G2G</t>
        </is>
      </c>
      <c r="T1065" s="1" t="inlineStr">
        <is>
          <t>P4 - PEIPL</t>
        </is>
      </c>
      <c r="U1065" s="6" t="inlineStr">
        <is>
          <t>Glass Breakage</t>
        </is>
      </c>
      <c r="V1065" s="1" t="inlineStr">
        <is>
          <t>Inspection</t>
        </is>
      </c>
      <c r="W1065" s="1" t="inlineStr">
        <is>
          <t>WIP</t>
        </is>
      </c>
      <c r="X1065" s="12" t="n"/>
      <c r="Y1065" s="1">
        <f>IF(X1065="","",X1065-A1065)</f>
        <v/>
      </c>
      <c r="Z1065" s="5" t="n">
        <v>46185</v>
      </c>
      <c r="AA1065" s="3" t="n"/>
      <c r="AB1065" s="3" t="n"/>
      <c r="AE1065" s="146">
        <f>IF(AND(F1065="Closed",X1065&gt;=DATE(2026,6,1),X1065&lt;=DATE(2026,6,30)),"Closed in June","other")</f>
        <v/>
      </c>
    </row>
    <row r="1066" hidden="1">
      <c r="A1066" s="49" t="n">
        <v>46177</v>
      </c>
      <c r="B1066" s="1" t="n">
        <v>2026</v>
      </c>
      <c r="C1066" s="11" t="inlineStr">
        <is>
          <t>Ayana</t>
        </is>
      </c>
      <c r="D1066" s="11" t="inlineStr">
        <is>
          <t>Utility and C&amp;I</t>
        </is>
      </c>
      <c r="E1066" s="1" t="n"/>
      <c r="F1066" s="1" t="inlineStr">
        <is>
          <t>WIP</t>
        </is>
      </c>
      <c r="G1066" s="11" t="inlineStr">
        <is>
          <t>Vasu.N</t>
        </is>
      </c>
      <c r="H1066" s="8" t="n">
        <v>9578099893</v>
      </c>
      <c r="I1066" s="10" t="inlineStr">
        <is>
          <t>PE04062601</t>
        </is>
      </c>
      <c r="J1066" s="28" t="inlineStr">
        <is>
          <t>Module burnt</t>
        </is>
      </c>
      <c r="K1066" s="8" t="inlineStr">
        <is>
          <t>Jatavira</t>
        </is>
      </c>
      <c r="L1066" s="8" t="inlineStr">
        <is>
          <t>Gujarat</t>
        </is>
      </c>
      <c r="M1066" s="2" t="inlineStr">
        <is>
          <t>Both glass borking with burn spot</t>
        </is>
      </c>
      <c r="N1066" s="6" t="inlineStr">
        <is>
          <t>Glass Breakage with Burn Spot</t>
        </is>
      </c>
      <c r="O1066" s="6" t="n">
        <v>585</v>
      </c>
      <c r="P1066" s="2" t="inlineStr">
        <is>
          <t>NSMI24090519200</t>
        </is>
      </c>
      <c r="Q1066" s="29">
        <f>MID(P1066,5,2)</f>
        <v/>
      </c>
      <c r="R1066" s="14">
        <f>MID(P1066,7,2)</f>
        <v/>
      </c>
      <c r="S1066" s="6" t="inlineStr">
        <is>
          <t>G2G</t>
        </is>
      </c>
      <c r="T1066" s="1" t="inlineStr">
        <is>
          <t>P4 - PEIPL</t>
        </is>
      </c>
      <c r="U1066" s="6" t="inlineStr">
        <is>
          <t>Glass Breakage with Burn Spot</t>
        </is>
      </c>
      <c r="V1066" s="1" t="inlineStr">
        <is>
          <t>Inspection</t>
        </is>
      </c>
      <c r="W1066" s="1" t="inlineStr">
        <is>
          <t>WIP</t>
        </is>
      </c>
      <c r="X1066" s="12" t="n"/>
      <c r="Y1066" s="1">
        <f>IF(X1066="","",X1066-A1066)</f>
        <v/>
      </c>
      <c r="Z1066" s="5" t="n">
        <v>46185</v>
      </c>
      <c r="AA1066" s="3" t="n"/>
      <c r="AB1066" s="3" t="n"/>
      <c r="AE1066" s="146">
        <f>IF(AND(F1066="Closed",X1066&gt;=DATE(2026,6,1),X1066&lt;=DATE(2026,6,30)),"Closed in June","other")</f>
        <v/>
      </c>
    </row>
    <row r="1067" hidden="1">
      <c r="A1067" s="49" t="n">
        <v>46177</v>
      </c>
      <c r="B1067" s="1" t="n">
        <v>2026</v>
      </c>
      <c r="C1067" s="11" t="inlineStr">
        <is>
          <t>Ayana</t>
        </is>
      </c>
      <c r="D1067" s="11" t="inlineStr">
        <is>
          <t>Utility and C&amp;I</t>
        </is>
      </c>
      <c r="E1067" s="1" t="n"/>
      <c r="F1067" s="1" t="inlineStr">
        <is>
          <t>WIP</t>
        </is>
      </c>
      <c r="G1067" s="11" t="inlineStr">
        <is>
          <t>Vasu.N</t>
        </is>
      </c>
      <c r="H1067" s="8" t="n">
        <v>9578099893</v>
      </c>
      <c r="I1067" s="10" t="inlineStr">
        <is>
          <t>PE04062601</t>
        </is>
      </c>
      <c r="J1067" s="28" t="inlineStr">
        <is>
          <t>Module burnt</t>
        </is>
      </c>
      <c r="K1067" s="8" t="inlineStr">
        <is>
          <t>Jatavira</t>
        </is>
      </c>
      <c r="L1067" s="8" t="inlineStr">
        <is>
          <t>Gujarat</t>
        </is>
      </c>
      <c r="M1067" s="2" t="inlineStr">
        <is>
          <t xml:space="preserve">Both glass broken </t>
        </is>
      </c>
      <c r="N1067" s="6" t="inlineStr">
        <is>
          <t>Module Breakage</t>
        </is>
      </c>
      <c r="O1067" s="6" t="n">
        <v>585</v>
      </c>
      <c r="P1067" s="2" t="inlineStr">
        <is>
          <t>NSMI24100544137</t>
        </is>
      </c>
      <c r="Q1067" s="29">
        <f>MID(P1067,5,2)</f>
        <v/>
      </c>
      <c r="R1067" s="14">
        <f>MID(P1067,7,2)</f>
        <v/>
      </c>
      <c r="S1067" s="6" t="inlineStr">
        <is>
          <t>G2G</t>
        </is>
      </c>
      <c r="T1067" s="1" t="inlineStr">
        <is>
          <t>P4 - PEIPL</t>
        </is>
      </c>
      <c r="U1067" s="6" t="inlineStr">
        <is>
          <t>Glass Breakage</t>
        </is>
      </c>
      <c r="V1067" s="1" t="inlineStr">
        <is>
          <t>Inspection</t>
        </is>
      </c>
      <c r="W1067" s="1" t="inlineStr">
        <is>
          <t>WIP</t>
        </is>
      </c>
      <c r="X1067" s="12" t="n"/>
      <c r="Y1067" s="1">
        <f>IF(X1067="","",X1067-A1067)</f>
        <v/>
      </c>
      <c r="Z1067" s="5" t="n">
        <v>46185</v>
      </c>
      <c r="AA1067" s="3" t="n"/>
      <c r="AB1067" s="3" t="n"/>
      <c r="AE1067" s="146">
        <f>IF(AND(F1067="Closed",X1067&gt;=DATE(2026,6,1),X1067&lt;=DATE(2026,6,30)),"Closed in June","other")</f>
        <v/>
      </c>
    </row>
    <row r="1068" hidden="1">
      <c r="A1068" s="49" t="n">
        <v>46177</v>
      </c>
      <c r="B1068" s="1" t="n">
        <v>2026</v>
      </c>
      <c r="C1068" s="11" t="inlineStr">
        <is>
          <t>Ayana</t>
        </is>
      </c>
      <c r="D1068" s="11" t="inlineStr">
        <is>
          <t>Utility and C&amp;I</t>
        </is>
      </c>
      <c r="E1068" s="1" t="n"/>
      <c r="F1068" s="1" t="inlineStr">
        <is>
          <t>WIP</t>
        </is>
      </c>
      <c r="G1068" s="11" t="inlineStr">
        <is>
          <t>Vasu.N</t>
        </is>
      </c>
      <c r="H1068" s="8" t="n">
        <v>9578099893</v>
      </c>
      <c r="I1068" s="10" t="inlineStr">
        <is>
          <t>PE04062601</t>
        </is>
      </c>
      <c r="J1068" s="28" t="inlineStr">
        <is>
          <t>Module burnt</t>
        </is>
      </c>
      <c r="K1068" s="8" t="inlineStr">
        <is>
          <t>Jatavira</t>
        </is>
      </c>
      <c r="L1068" s="8" t="inlineStr">
        <is>
          <t>Gujarat</t>
        </is>
      </c>
      <c r="M1068" s="2" t="inlineStr">
        <is>
          <t xml:space="preserve">Both glass broken </t>
        </is>
      </c>
      <c r="N1068" s="6" t="inlineStr">
        <is>
          <t>Module Breakage</t>
        </is>
      </c>
      <c r="O1068" s="6" t="n">
        <v>585</v>
      </c>
      <c r="P1068" s="2" t="inlineStr">
        <is>
          <t>NSMI24100553625</t>
        </is>
      </c>
      <c r="Q1068" s="29">
        <f>MID(P1068,5,2)</f>
        <v/>
      </c>
      <c r="R1068" s="14">
        <f>MID(P1068,7,2)</f>
        <v/>
      </c>
      <c r="S1068" s="6" t="inlineStr">
        <is>
          <t>G2G</t>
        </is>
      </c>
      <c r="T1068" s="1" t="inlineStr">
        <is>
          <t>P4 - PEIPL</t>
        </is>
      </c>
      <c r="U1068" s="6" t="inlineStr">
        <is>
          <t>Glass Breakage</t>
        </is>
      </c>
      <c r="V1068" s="1" t="inlineStr">
        <is>
          <t>Inspection</t>
        </is>
      </c>
      <c r="W1068" s="1" t="inlineStr">
        <is>
          <t>WIP</t>
        </is>
      </c>
      <c r="X1068" s="12" t="n"/>
      <c r="Y1068" s="1">
        <f>IF(X1068="","",X1068-A1068)</f>
        <v/>
      </c>
      <c r="Z1068" s="5" t="n">
        <v>46185</v>
      </c>
      <c r="AA1068" s="3" t="n"/>
      <c r="AB1068" s="3" t="n"/>
      <c r="AE1068" s="146">
        <f>IF(AND(F1068="Closed",X1068&gt;=DATE(2026,6,1),X1068&lt;=DATE(2026,6,30)),"Closed in June","other")</f>
        <v/>
      </c>
    </row>
    <row r="1069" hidden="1">
      <c r="A1069" s="49" t="n">
        <v>46177</v>
      </c>
      <c r="B1069" s="1" t="n">
        <v>2026</v>
      </c>
      <c r="C1069" s="11" t="inlineStr">
        <is>
          <t>Ayana</t>
        </is>
      </c>
      <c r="D1069" s="11" t="inlineStr">
        <is>
          <t>Utility and C&amp;I</t>
        </is>
      </c>
      <c r="E1069" s="1" t="n"/>
      <c r="F1069" s="1" t="inlineStr">
        <is>
          <t>WIP</t>
        </is>
      </c>
      <c r="G1069" s="11" t="inlineStr">
        <is>
          <t>Vasu.N</t>
        </is>
      </c>
      <c r="H1069" s="8" t="n">
        <v>9578099893</v>
      </c>
      <c r="I1069" s="10" t="inlineStr">
        <is>
          <t>PE04062601</t>
        </is>
      </c>
      <c r="J1069" s="28" t="inlineStr">
        <is>
          <t>Module burnt</t>
        </is>
      </c>
      <c r="K1069" s="8" t="inlineStr">
        <is>
          <t>Jatavira</t>
        </is>
      </c>
      <c r="L1069" s="8" t="inlineStr">
        <is>
          <t>Gujarat</t>
        </is>
      </c>
      <c r="M1069" s="2" t="inlineStr">
        <is>
          <t xml:space="preserve">Both glass broken </t>
        </is>
      </c>
      <c r="N1069" s="6" t="inlineStr">
        <is>
          <t>Module Breakage</t>
        </is>
      </c>
      <c r="O1069" s="6" t="n">
        <v>585</v>
      </c>
      <c r="P1069" s="2" t="inlineStr">
        <is>
          <t>NSMI24100550224</t>
        </is>
      </c>
      <c r="Q1069" s="29">
        <f>MID(P1069,5,2)</f>
        <v/>
      </c>
      <c r="R1069" s="14">
        <f>MID(P1069,7,2)</f>
        <v/>
      </c>
      <c r="S1069" s="6" t="inlineStr">
        <is>
          <t>G2G</t>
        </is>
      </c>
      <c r="T1069" s="1" t="inlineStr">
        <is>
          <t>P4 - PEIPL</t>
        </is>
      </c>
      <c r="U1069" s="6" t="inlineStr">
        <is>
          <t>Glass Breakage</t>
        </is>
      </c>
      <c r="V1069" s="1" t="inlineStr">
        <is>
          <t>Inspection</t>
        </is>
      </c>
      <c r="W1069" s="1" t="inlineStr">
        <is>
          <t>WIP</t>
        </is>
      </c>
      <c r="X1069" s="12" t="n"/>
      <c r="Y1069" s="1">
        <f>IF(X1069="","",X1069-A1069)</f>
        <v/>
      </c>
      <c r="Z1069" s="5" t="n">
        <v>46185</v>
      </c>
      <c r="AA1069" s="3" t="n"/>
      <c r="AB1069" s="3" t="n"/>
      <c r="AE1069" s="146">
        <f>IF(AND(F1069="Closed",X1069&gt;=DATE(2026,6,1),X1069&lt;=DATE(2026,6,30)),"Closed in June","other")</f>
        <v/>
      </c>
    </row>
    <row r="1070" hidden="1">
      <c r="A1070" s="49" t="n">
        <v>46177</v>
      </c>
      <c r="B1070" s="1" t="n">
        <v>2026</v>
      </c>
      <c r="C1070" s="11" t="inlineStr">
        <is>
          <t>Ayana</t>
        </is>
      </c>
      <c r="D1070" s="11" t="inlineStr">
        <is>
          <t>Utility and C&amp;I</t>
        </is>
      </c>
      <c r="E1070" s="1" t="n"/>
      <c r="F1070" s="1" t="inlineStr">
        <is>
          <t>WIP</t>
        </is>
      </c>
      <c r="G1070" s="11" t="inlineStr">
        <is>
          <t>Vasu.N</t>
        </is>
      </c>
      <c r="H1070" s="8" t="n">
        <v>9578099893</v>
      </c>
      <c r="I1070" s="10" t="inlineStr">
        <is>
          <t>PE04062601</t>
        </is>
      </c>
      <c r="J1070" s="28" t="inlineStr">
        <is>
          <t>Module burnt</t>
        </is>
      </c>
      <c r="K1070" s="8" t="inlineStr">
        <is>
          <t>Jatavira</t>
        </is>
      </c>
      <c r="L1070" s="8" t="inlineStr">
        <is>
          <t>Gujarat</t>
        </is>
      </c>
      <c r="M1070" s="2" t="inlineStr">
        <is>
          <t xml:space="preserve">Front glass broken with burn spot </t>
        </is>
      </c>
      <c r="N1070" s="6" t="inlineStr">
        <is>
          <t>Glass Breakage with Burn Spot</t>
        </is>
      </c>
      <c r="O1070" s="6" t="n">
        <v>585</v>
      </c>
      <c r="P1070" s="2" t="inlineStr">
        <is>
          <t>NSMI24090518828</t>
        </is>
      </c>
      <c r="Q1070" s="29">
        <f>MID(P1070,5,2)</f>
        <v/>
      </c>
      <c r="R1070" s="14">
        <f>MID(P1070,7,2)</f>
        <v/>
      </c>
      <c r="S1070" s="6" t="inlineStr">
        <is>
          <t>G2G</t>
        </is>
      </c>
      <c r="T1070" s="1" t="inlineStr">
        <is>
          <t>P4 - PEIPL</t>
        </is>
      </c>
      <c r="U1070" s="6" t="inlineStr">
        <is>
          <t>Glass Breakage with Burn Spot</t>
        </is>
      </c>
      <c r="V1070" s="1" t="inlineStr">
        <is>
          <t>Inspection</t>
        </is>
      </c>
      <c r="W1070" s="1" t="inlineStr">
        <is>
          <t>WIP</t>
        </is>
      </c>
      <c r="X1070" s="12" t="n"/>
      <c r="Y1070" s="1">
        <f>IF(X1070="","",X1070-A1070)</f>
        <v/>
      </c>
      <c r="Z1070" s="5" t="n">
        <v>46185</v>
      </c>
      <c r="AA1070" s="3" t="n"/>
      <c r="AB1070" s="3" t="n"/>
      <c r="AE1070" s="146">
        <f>IF(AND(F1070="Closed",X1070&gt;=DATE(2026,6,1),X1070&lt;=DATE(2026,6,30)),"Closed in June","other")</f>
        <v/>
      </c>
    </row>
    <row r="1071" hidden="1">
      <c r="A1071" s="49" t="n">
        <v>46177</v>
      </c>
      <c r="B1071" s="1" t="n">
        <v>2026</v>
      </c>
      <c r="C1071" s="11" t="inlineStr">
        <is>
          <t>Ayana</t>
        </is>
      </c>
      <c r="D1071" s="11" t="inlineStr">
        <is>
          <t>Utility and C&amp;I</t>
        </is>
      </c>
      <c r="E1071" s="1" t="n"/>
      <c r="F1071" s="1" t="inlineStr">
        <is>
          <t>WIP</t>
        </is>
      </c>
      <c r="G1071" s="11" t="inlineStr">
        <is>
          <t>Vasu.N</t>
        </is>
      </c>
      <c r="H1071" s="8" t="n">
        <v>9578099893</v>
      </c>
      <c r="I1071" s="10" t="inlineStr">
        <is>
          <t>PE04062601</t>
        </is>
      </c>
      <c r="J1071" s="28" t="inlineStr">
        <is>
          <t>Module burnt</t>
        </is>
      </c>
      <c r="K1071" s="8" t="inlineStr">
        <is>
          <t>Jatavira</t>
        </is>
      </c>
      <c r="L1071" s="8" t="inlineStr">
        <is>
          <t>Gujarat</t>
        </is>
      </c>
      <c r="M1071" s="2" t="inlineStr">
        <is>
          <t xml:space="preserve">Both glass broken </t>
        </is>
      </c>
      <c r="N1071" s="6" t="inlineStr">
        <is>
          <t>Module Breakage</t>
        </is>
      </c>
      <c r="O1071" s="6" t="n">
        <v>585</v>
      </c>
      <c r="P1071" s="2" t="inlineStr">
        <is>
          <t>NSMI24100544711</t>
        </is>
      </c>
      <c r="Q1071" s="29">
        <f>MID(P1071,5,2)</f>
        <v/>
      </c>
      <c r="R1071" s="14">
        <f>MID(P1071,7,2)</f>
        <v/>
      </c>
      <c r="S1071" s="6" t="inlineStr">
        <is>
          <t>G2G</t>
        </is>
      </c>
      <c r="T1071" s="1" t="inlineStr">
        <is>
          <t>P4 - PEIPL</t>
        </is>
      </c>
      <c r="U1071" s="6" t="inlineStr">
        <is>
          <t>Glass Breakage</t>
        </is>
      </c>
      <c r="V1071" s="1" t="inlineStr">
        <is>
          <t>Inspection</t>
        </is>
      </c>
      <c r="W1071" s="1" t="inlineStr">
        <is>
          <t>WIP</t>
        </is>
      </c>
      <c r="X1071" s="12" t="n"/>
      <c r="Y1071" s="1">
        <f>IF(X1071="","",X1071-A1071)</f>
        <v/>
      </c>
      <c r="Z1071" s="5" t="n">
        <v>46185</v>
      </c>
      <c r="AA1071" s="3" t="n"/>
      <c r="AB1071" s="3" t="n"/>
      <c r="AE1071" s="146">
        <f>IF(AND(F1071="Closed",X1071&gt;=DATE(2026,6,1),X1071&lt;=DATE(2026,6,30)),"Closed in June","other")</f>
        <v/>
      </c>
    </row>
    <row r="1072" hidden="1">
      <c r="A1072" s="49" t="n">
        <v>46177</v>
      </c>
      <c r="B1072" s="1" t="n">
        <v>2026</v>
      </c>
      <c r="C1072" s="11" t="inlineStr">
        <is>
          <t>Ayana</t>
        </is>
      </c>
      <c r="D1072" s="11" t="inlineStr">
        <is>
          <t>Utility and C&amp;I</t>
        </is>
      </c>
      <c r="E1072" s="1" t="n"/>
      <c r="F1072" s="1" t="inlineStr">
        <is>
          <t>WIP</t>
        </is>
      </c>
      <c r="G1072" s="11" t="inlineStr">
        <is>
          <t>Vasu.N</t>
        </is>
      </c>
      <c r="H1072" s="8" t="n">
        <v>9578099893</v>
      </c>
      <c r="I1072" s="10" t="inlineStr">
        <is>
          <t>PE04062601</t>
        </is>
      </c>
      <c r="J1072" s="28" t="inlineStr">
        <is>
          <t>Module burnt</t>
        </is>
      </c>
      <c r="K1072" s="8" t="inlineStr">
        <is>
          <t>Jatavira</t>
        </is>
      </c>
      <c r="L1072" s="8" t="inlineStr">
        <is>
          <t>Gujarat</t>
        </is>
      </c>
      <c r="M1072" s="2" t="inlineStr">
        <is>
          <t>Both glass broken at shoter frem</t>
        </is>
      </c>
      <c r="N1072" s="6" t="inlineStr">
        <is>
          <t>Module Breakage</t>
        </is>
      </c>
      <c r="O1072" s="6" t="n">
        <v>585</v>
      </c>
      <c r="P1072" s="2" t="inlineStr">
        <is>
          <t>NSMI24100545151</t>
        </is>
      </c>
      <c r="Q1072" s="29">
        <f>MID(P1072,5,2)</f>
        <v/>
      </c>
      <c r="R1072" s="14">
        <f>MID(P1072,7,2)</f>
        <v/>
      </c>
      <c r="S1072" s="6" t="inlineStr">
        <is>
          <t>G2G</t>
        </is>
      </c>
      <c r="T1072" s="1" t="inlineStr">
        <is>
          <t>P4 - PEIPL</t>
        </is>
      </c>
      <c r="U1072" s="6" t="inlineStr">
        <is>
          <t>Glass Breakage</t>
        </is>
      </c>
      <c r="V1072" s="1" t="inlineStr">
        <is>
          <t>Inspection</t>
        </is>
      </c>
      <c r="W1072" s="1" t="inlineStr">
        <is>
          <t>WIP</t>
        </is>
      </c>
      <c r="X1072" s="12" t="n"/>
      <c r="Y1072" s="1">
        <f>IF(X1072="","",X1072-A1072)</f>
        <v/>
      </c>
      <c r="Z1072" s="5" t="n">
        <v>46185</v>
      </c>
      <c r="AA1072" s="3" t="n"/>
      <c r="AB1072" s="3" t="n"/>
      <c r="AE1072" s="146">
        <f>IF(AND(F1072="Closed",X1072&gt;=DATE(2026,6,1),X1072&lt;=DATE(2026,6,30)),"Closed in June","other")</f>
        <v/>
      </c>
    </row>
    <row r="1073" hidden="1">
      <c r="A1073" s="49" t="n">
        <v>46177</v>
      </c>
      <c r="B1073" s="1" t="n">
        <v>2026</v>
      </c>
      <c r="C1073" s="11" t="inlineStr">
        <is>
          <t>Ayana</t>
        </is>
      </c>
      <c r="D1073" s="11" t="inlineStr">
        <is>
          <t>Utility and C&amp;I</t>
        </is>
      </c>
      <c r="E1073" s="1" t="n"/>
      <c r="F1073" s="1" t="inlineStr">
        <is>
          <t>WIP</t>
        </is>
      </c>
      <c r="G1073" s="11" t="inlineStr">
        <is>
          <t>Vasu.N</t>
        </is>
      </c>
      <c r="H1073" s="8" t="n">
        <v>9578099893</v>
      </c>
      <c r="I1073" s="10" t="inlineStr">
        <is>
          <t>PE04062601</t>
        </is>
      </c>
      <c r="J1073" s="28" t="inlineStr">
        <is>
          <t>Module burnt</t>
        </is>
      </c>
      <c r="K1073" s="8" t="inlineStr">
        <is>
          <t>Jatavira</t>
        </is>
      </c>
      <c r="L1073" s="8" t="inlineStr">
        <is>
          <t>Gujarat</t>
        </is>
      </c>
      <c r="M1073" s="2" t="inlineStr">
        <is>
          <t xml:space="preserve">Black glass broken at shorter frem </t>
        </is>
      </c>
      <c r="N1073" s="6" t="inlineStr">
        <is>
          <t>Module Breakage</t>
        </is>
      </c>
      <c r="O1073" s="6" t="n">
        <v>585</v>
      </c>
      <c r="P1073" s="2" t="inlineStr">
        <is>
          <t>NSMI24100545251</t>
        </is>
      </c>
      <c r="Q1073" s="29">
        <f>MID(P1073,5,2)</f>
        <v/>
      </c>
      <c r="R1073" s="14">
        <f>MID(P1073,7,2)</f>
        <v/>
      </c>
      <c r="S1073" s="6" t="inlineStr">
        <is>
          <t>G2G</t>
        </is>
      </c>
      <c r="T1073" s="1" t="inlineStr">
        <is>
          <t>P4 - PEIPL</t>
        </is>
      </c>
      <c r="U1073" s="6" t="inlineStr">
        <is>
          <t>Glass Breakage</t>
        </is>
      </c>
      <c r="V1073" s="1" t="inlineStr">
        <is>
          <t>Inspection</t>
        </is>
      </c>
      <c r="W1073" s="1" t="inlineStr">
        <is>
          <t>WIP</t>
        </is>
      </c>
      <c r="X1073" s="12" t="n"/>
      <c r="Y1073" s="1">
        <f>IF(X1073="","",X1073-A1073)</f>
        <v/>
      </c>
      <c r="Z1073" s="5" t="n">
        <v>46185</v>
      </c>
      <c r="AA1073" s="3" t="n"/>
      <c r="AB1073" s="3" t="n"/>
      <c r="AE1073" s="146">
        <f>IF(AND(F1073="Closed",X1073&gt;=DATE(2026,6,1),X1073&lt;=DATE(2026,6,30)),"Closed in June","other")</f>
        <v/>
      </c>
    </row>
    <row r="1074" hidden="1">
      <c r="A1074" s="49" t="n">
        <v>46177</v>
      </c>
      <c r="B1074" s="1" t="n">
        <v>2026</v>
      </c>
      <c r="C1074" s="11" t="inlineStr">
        <is>
          <t>Ayana</t>
        </is>
      </c>
      <c r="D1074" s="11" t="inlineStr">
        <is>
          <t>Utility and C&amp;I</t>
        </is>
      </c>
      <c r="E1074" s="1" t="n"/>
      <c r="F1074" s="1" t="inlineStr">
        <is>
          <t>WIP</t>
        </is>
      </c>
      <c r="G1074" s="11" t="inlineStr">
        <is>
          <t>Vasu.N</t>
        </is>
      </c>
      <c r="H1074" s="8" t="n">
        <v>9578099893</v>
      </c>
      <c r="I1074" s="10" t="inlineStr">
        <is>
          <t>PE04062601</t>
        </is>
      </c>
      <c r="J1074" s="28" t="inlineStr">
        <is>
          <t>Module burnt</t>
        </is>
      </c>
      <c r="K1074" s="8" t="inlineStr">
        <is>
          <t>Jatavira</t>
        </is>
      </c>
      <c r="L1074" s="8" t="inlineStr">
        <is>
          <t>Gujarat</t>
        </is>
      </c>
      <c r="M1074" s="2" t="inlineStr">
        <is>
          <t xml:space="preserve">Back glass broken </t>
        </is>
      </c>
      <c r="N1074" s="6" t="inlineStr">
        <is>
          <t>Module Breakage</t>
        </is>
      </c>
      <c r="O1074" s="6" t="n">
        <v>585</v>
      </c>
      <c r="P1074" s="2" t="inlineStr">
        <is>
          <t>NSMI24090452124</t>
        </is>
      </c>
      <c r="Q1074" s="29">
        <f>MID(P1074,5,2)</f>
        <v/>
      </c>
      <c r="R1074" s="14">
        <f>MID(P1074,7,2)</f>
        <v/>
      </c>
      <c r="S1074" s="6" t="inlineStr">
        <is>
          <t>G2G</t>
        </is>
      </c>
      <c r="T1074" s="1" t="inlineStr">
        <is>
          <t>P4 - PEIPL</t>
        </is>
      </c>
      <c r="U1074" s="6" t="inlineStr">
        <is>
          <t>Glass Breakage</t>
        </is>
      </c>
      <c r="V1074" s="1" t="inlineStr">
        <is>
          <t>Inspection</t>
        </is>
      </c>
      <c r="W1074" s="1" t="inlineStr">
        <is>
          <t>WIP</t>
        </is>
      </c>
      <c r="X1074" s="12" t="n"/>
      <c r="Y1074" s="1">
        <f>IF(X1074="","",X1074-A1074)</f>
        <v/>
      </c>
      <c r="Z1074" s="5" t="n">
        <v>46185</v>
      </c>
      <c r="AA1074" s="3" t="n"/>
      <c r="AB1074" s="3" t="n"/>
      <c r="AE1074" s="146">
        <f>IF(AND(F1074="Closed",X1074&gt;=DATE(2026,6,1),X1074&lt;=DATE(2026,6,30)),"Closed in June","other")</f>
        <v/>
      </c>
    </row>
    <row r="1075" hidden="1">
      <c r="A1075" s="49" t="n">
        <v>46177</v>
      </c>
      <c r="B1075" s="1" t="n">
        <v>2026</v>
      </c>
      <c r="C1075" s="11" t="inlineStr">
        <is>
          <t>Ayana</t>
        </is>
      </c>
      <c r="D1075" s="11" t="inlineStr">
        <is>
          <t>Utility and C&amp;I</t>
        </is>
      </c>
      <c r="E1075" s="1" t="n"/>
      <c r="F1075" s="1" t="inlineStr">
        <is>
          <t>WIP</t>
        </is>
      </c>
      <c r="G1075" s="11" t="inlineStr">
        <is>
          <t>Vasu.N</t>
        </is>
      </c>
      <c r="H1075" s="8" t="n">
        <v>9578099893</v>
      </c>
      <c r="I1075" s="10" t="inlineStr">
        <is>
          <t>PE04062601</t>
        </is>
      </c>
      <c r="J1075" s="28" t="inlineStr">
        <is>
          <t>Module burnt</t>
        </is>
      </c>
      <c r="K1075" s="8" t="inlineStr">
        <is>
          <t>Jatavira</t>
        </is>
      </c>
      <c r="L1075" s="8" t="inlineStr">
        <is>
          <t>Gujarat</t>
        </is>
      </c>
      <c r="M1075" s="2" t="inlineStr">
        <is>
          <t xml:space="preserve">Front glass broken with burn spot </t>
        </is>
      </c>
      <c r="N1075" s="6" t="inlineStr">
        <is>
          <t>Glass Breakage with Burn Spot</t>
        </is>
      </c>
      <c r="O1075" s="6" t="n">
        <v>585</v>
      </c>
      <c r="P1075" s="2" t="inlineStr">
        <is>
          <t>NSMI24090455539</t>
        </is>
      </c>
      <c r="Q1075" s="29">
        <f>MID(P1075,5,2)</f>
        <v/>
      </c>
      <c r="R1075" s="14">
        <f>MID(P1075,7,2)</f>
        <v/>
      </c>
      <c r="S1075" s="6" t="inlineStr">
        <is>
          <t>G2G</t>
        </is>
      </c>
      <c r="T1075" s="1" t="inlineStr">
        <is>
          <t>P4 - PEIPL</t>
        </is>
      </c>
      <c r="U1075" s="6" t="inlineStr">
        <is>
          <t>Glass Breakage with Burn Spot</t>
        </is>
      </c>
      <c r="V1075" s="1" t="inlineStr">
        <is>
          <t>Inspection</t>
        </is>
      </c>
      <c r="W1075" s="1" t="inlineStr">
        <is>
          <t>WIP</t>
        </is>
      </c>
      <c r="X1075" s="12" t="n"/>
      <c r="Y1075" s="1">
        <f>IF(X1075="","",X1075-A1075)</f>
        <v/>
      </c>
      <c r="Z1075" s="5" t="n">
        <v>46185</v>
      </c>
      <c r="AA1075" s="3" t="n"/>
      <c r="AB1075" s="3" t="n"/>
      <c r="AE1075" s="146">
        <f>IF(AND(F1075="Closed",X1075&gt;=DATE(2026,6,1),X1075&lt;=DATE(2026,6,30)),"Closed in June","other")</f>
        <v/>
      </c>
    </row>
    <row r="1076" hidden="1">
      <c r="A1076" s="49" t="n">
        <v>46177</v>
      </c>
      <c r="B1076" s="1" t="n">
        <v>2026</v>
      </c>
      <c r="C1076" s="11" t="inlineStr">
        <is>
          <t>Ayana</t>
        </is>
      </c>
      <c r="D1076" s="11" t="inlineStr">
        <is>
          <t>Utility and C&amp;I</t>
        </is>
      </c>
      <c r="E1076" s="1" t="n"/>
      <c r="F1076" s="1" t="inlineStr">
        <is>
          <t>WIP</t>
        </is>
      </c>
      <c r="G1076" s="11" t="inlineStr">
        <is>
          <t>Vasu.N</t>
        </is>
      </c>
      <c r="H1076" s="8" t="n">
        <v>9578099893</v>
      </c>
      <c r="I1076" s="10" t="inlineStr">
        <is>
          <t>PE04062601</t>
        </is>
      </c>
      <c r="J1076" s="28" t="inlineStr">
        <is>
          <t>Module burnt</t>
        </is>
      </c>
      <c r="K1076" s="8" t="inlineStr">
        <is>
          <t>Jatavira</t>
        </is>
      </c>
      <c r="L1076" s="8" t="inlineStr">
        <is>
          <t>Gujarat</t>
        </is>
      </c>
      <c r="M1076" s="2" t="inlineStr">
        <is>
          <t xml:space="preserve">Back glass broken </t>
        </is>
      </c>
      <c r="N1076" s="6" t="inlineStr">
        <is>
          <t>Module Breakage</t>
        </is>
      </c>
      <c r="O1076" s="6" t="n">
        <v>585</v>
      </c>
      <c r="P1076" s="2" t="inlineStr">
        <is>
          <t>NSMI24090456830</t>
        </is>
      </c>
      <c r="Q1076" s="29">
        <f>MID(P1076,5,2)</f>
        <v/>
      </c>
      <c r="R1076" s="14">
        <f>MID(P1076,7,2)</f>
        <v/>
      </c>
      <c r="S1076" s="6" t="inlineStr">
        <is>
          <t>G2G</t>
        </is>
      </c>
      <c r="T1076" s="1" t="inlineStr">
        <is>
          <t>P4 - PEIPL</t>
        </is>
      </c>
      <c r="U1076" s="6" t="inlineStr">
        <is>
          <t>Glass Breakage</t>
        </is>
      </c>
      <c r="V1076" s="1" t="inlineStr">
        <is>
          <t>Inspection</t>
        </is>
      </c>
      <c r="W1076" s="1" t="inlineStr">
        <is>
          <t>WIP</t>
        </is>
      </c>
      <c r="X1076" s="12" t="n"/>
      <c r="Y1076" s="1">
        <f>IF(X1076="","",X1076-A1076)</f>
        <v/>
      </c>
      <c r="Z1076" s="5" t="n">
        <v>46185</v>
      </c>
      <c r="AA1076" s="3" t="n"/>
      <c r="AB1076" s="3" t="n"/>
      <c r="AE1076" s="146">
        <f>IF(AND(F1076="Closed",X1076&gt;=DATE(2026,6,1),X1076&lt;=DATE(2026,6,30)),"Closed in June","other")</f>
        <v/>
      </c>
    </row>
    <row r="1077" hidden="1">
      <c r="A1077" s="49" t="n">
        <v>46177</v>
      </c>
      <c r="B1077" s="1" t="n">
        <v>2026</v>
      </c>
      <c r="C1077" s="11" t="inlineStr">
        <is>
          <t>Ayana</t>
        </is>
      </c>
      <c r="D1077" s="11" t="inlineStr">
        <is>
          <t>Utility and C&amp;I</t>
        </is>
      </c>
      <c r="E1077" s="1" t="n"/>
      <c r="F1077" s="1" t="inlineStr">
        <is>
          <t>WIP</t>
        </is>
      </c>
      <c r="G1077" s="11" t="inlineStr">
        <is>
          <t>Vasu.N</t>
        </is>
      </c>
      <c r="H1077" s="8" t="n">
        <v>9578099893</v>
      </c>
      <c r="I1077" s="10" t="inlineStr">
        <is>
          <t>PE04062601</t>
        </is>
      </c>
      <c r="J1077" s="28" t="inlineStr">
        <is>
          <t>Module burnt</t>
        </is>
      </c>
      <c r="K1077" s="8" t="inlineStr">
        <is>
          <t>Jatavira</t>
        </is>
      </c>
      <c r="L1077" s="8" t="inlineStr">
        <is>
          <t>Gujarat</t>
        </is>
      </c>
      <c r="M1077" s="2" t="inlineStr">
        <is>
          <t xml:space="preserve">Back glass broken </t>
        </is>
      </c>
      <c r="N1077" s="6" t="inlineStr">
        <is>
          <t>Module Breakage</t>
        </is>
      </c>
      <c r="O1077" s="6" t="n">
        <v>585</v>
      </c>
      <c r="P1077" s="2" t="inlineStr">
        <is>
          <t>NSMI24090456930</t>
        </is>
      </c>
      <c r="Q1077" s="29">
        <f>MID(P1077,5,2)</f>
        <v/>
      </c>
      <c r="R1077" s="14">
        <f>MID(P1077,7,2)</f>
        <v/>
      </c>
      <c r="S1077" s="6" t="inlineStr">
        <is>
          <t>G2G</t>
        </is>
      </c>
      <c r="T1077" s="1" t="inlineStr">
        <is>
          <t>P4 - PEIPL</t>
        </is>
      </c>
      <c r="U1077" s="6" t="inlineStr">
        <is>
          <t>Glass Breakage</t>
        </is>
      </c>
      <c r="V1077" s="1" t="inlineStr">
        <is>
          <t>Inspection</t>
        </is>
      </c>
      <c r="W1077" s="1" t="inlineStr">
        <is>
          <t>WIP</t>
        </is>
      </c>
      <c r="X1077" s="12" t="n"/>
      <c r="Y1077" s="1">
        <f>IF(X1077="","",X1077-A1077)</f>
        <v/>
      </c>
      <c r="Z1077" s="5" t="n">
        <v>46185</v>
      </c>
      <c r="AA1077" s="3" t="n"/>
      <c r="AB1077" s="3" t="n"/>
      <c r="AE1077" s="146">
        <f>IF(AND(F1077="Closed",X1077&gt;=DATE(2026,6,1),X1077&lt;=DATE(2026,6,30)),"Closed in June","other")</f>
        <v/>
      </c>
    </row>
    <row r="1078" hidden="1">
      <c r="A1078" s="49" t="n">
        <v>46177</v>
      </c>
      <c r="B1078" s="1" t="n">
        <v>2026</v>
      </c>
      <c r="C1078" s="11" t="inlineStr">
        <is>
          <t>Ayana</t>
        </is>
      </c>
      <c r="D1078" s="11" t="inlineStr">
        <is>
          <t>Utility and C&amp;I</t>
        </is>
      </c>
      <c r="E1078" s="1" t="n"/>
      <c r="F1078" s="1" t="inlineStr">
        <is>
          <t>WIP</t>
        </is>
      </c>
      <c r="G1078" s="11" t="inlineStr">
        <is>
          <t>Vasu.N</t>
        </is>
      </c>
      <c r="H1078" s="8" t="n">
        <v>9578099893</v>
      </c>
      <c r="I1078" s="10" t="inlineStr">
        <is>
          <t>PE04062601</t>
        </is>
      </c>
      <c r="J1078" s="28" t="inlineStr">
        <is>
          <t>Module burnt</t>
        </is>
      </c>
      <c r="K1078" s="8" t="inlineStr">
        <is>
          <t>Jatavira</t>
        </is>
      </c>
      <c r="L1078" s="8" t="inlineStr">
        <is>
          <t>Gujarat</t>
        </is>
      </c>
      <c r="M1078" s="2" t="inlineStr">
        <is>
          <t xml:space="preserve">Both glass broken </t>
        </is>
      </c>
      <c r="N1078" s="6" t="inlineStr">
        <is>
          <t>Module Breakage</t>
        </is>
      </c>
      <c r="O1078" s="6" t="n">
        <v>585</v>
      </c>
      <c r="P1078" s="2" t="inlineStr">
        <is>
          <t>NSMI24090452139</t>
        </is>
      </c>
      <c r="Q1078" s="29">
        <f>MID(P1078,5,2)</f>
        <v/>
      </c>
      <c r="R1078" s="14">
        <f>MID(P1078,7,2)</f>
        <v/>
      </c>
      <c r="S1078" s="6" t="inlineStr">
        <is>
          <t>G2G</t>
        </is>
      </c>
      <c r="T1078" s="1" t="inlineStr">
        <is>
          <t>P4 - PEIPL</t>
        </is>
      </c>
      <c r="U1078" s="6" t="inlineStr">
        <is>
          <t>Glass Breakage</t>
        </is>
      </c>
      <c r="V1078" s="1" t="inlineStr">
        <is>
          <t>Inspection</t>
        </is>
      </c>
      <c r="W1078" s="1" t="inlineStr">
        <is>
          <t>WIP</t>
        </is>
      </c>
      <c r="X1078" s="12" t="n"/>
      <c r="Y1078" s="1">
        <f>IF(X1078="","",X1078-A1078)</f>
        <v/>
      </c>
      <c r="Z1078" s="5" t="n">
        <v>46185</v>
      </c>
      <c r="AA1078" s="3" t="n"/>
      <c r="AB1078" s="3" t="n"/>
      <c r="AE1078" s="146">
        <f>IF(AND(F1078="Closed",X1078&gt;=DATE(2026,6,1),X1078&lt;=DATE(2026,6,30)),"Closed in June","other")</f>
        <v/>
      </c>
    </row>
    <row r="1079" hidden="1">
      <c r="A1079" s="49" t="n">
        <v>46177</v>
      </c>
      <c r="B1079" s="1" t="n">
        <v>2026</v>
      </c>
      <c r="C1079" s="11" t="inlineStr">
        <is>
          <t>Ayana</t>
        </is>
      </c>
      <c r="D1079" s="11" t="inlineStr">
        <is>
          <t>Utility and C&amp;I</t>
        </is>
      </c>
      <c r="E1079" s="1" t="n"/>
      <c r="F1079" s="1" t="inlineStr">
        <is>
          <t>WIP</t>
        </is>
      </c>
      <c r="G1079" s="11" t="inlineStr">
        <is>
          <t>Vasu.N</t>
        </is>
      </c>
      <c r="H1079" s="8" t="n">
        <v>9578099893</v>
      </c>
      <c r="I1079" s="10" t="inlineStr">
        <is>
          <t>PE04062601</t>
        </is>
      </c>
      <c r="J1079" s="28" t="inlineStr">
        <is>
          <t>Module burnt</t>
        </is>
      </c>
      <c r="K1079" s="8" t="inlineStr">
        <is>
          <t>Jatavira</t>
        </is>
      </c>
      <c r="L1079" s="8" t="inlineStr">
        <is>
          <t>Gujarat</t>
        </is>
      </c>
      <c r="M1079" s="2" t="inlineStr">
        <is>
          <t xml:space="preserve">Back glass broken </t>
        </is>
      </c>
      <c r="N1079" s="6" t="inlineStr">
        <is>
          <t>Module Breakage</t>
        </is>
      </c>
      <c r="O1079" s="6" t="n">
        <v>585</v>
      </c>
      <c r="P1079" s="2" t="inlineStr">
        <is>
          <t>NSMI24090466018</t>
        </is>
      </c>
      <c r="Q1079" s="29">
        <f>MID(P1079,5,2)</f>
        <v/>
      </c>
      <c r="R1079" s="14">
        <f>MID(P1079,7,2)</f>
        <v/>
      </c>
      <c r="S1079" s="6" t="inlineStr">
        <is>
          <t>G2G</t>
        </is>
      </c>
      <c r="T1079" s="1" t="inlineStr">
        <is>
          <t>P4 - PEIPL</t>
        </is>
      </c>
      <c r="U1079" s="6" t="inlineStr">
        <is>
          <t>Glass Breakage</t>
        </is>
      </c>
      <c r="V1079" s="1" t="inlineStr">
        <is>
          <t>Inspection</t>
        </is>
      </c>
      <c r="W1079" s="1" t="inlineStr">
        <is>
          <t>WIP</t>
        </is>
      </c>
      <c r="X1079" s="12" t="n"/>
      <c r="Y1079" s="1">
        <f>IF(X1079="","",X1079-A1079)</f>
        <v/>
      </c>
      <c r="Z1079" s="5" t="n">
        <v>46185</v>
      </c>
      <c r="AA1079" s="3" t="n"/>
      <c r="AB1079" s="3" t="n"/>
      <c r="AE1079" s="146">
        <f>IF(AND(F1079="Closed",X1079&gt;=DATE(2026,6,1),X1079&lt;=DATE(2026,6,30)),"Closed in June","other")</f>
        <v/>
      </c>
    </row>
    <row r="1080" hidden="1">
      <c r="A1080" s="49" t="n">
        <v>46177</v>
      </c>
      <c r="B1080" s="1" t="n">
        <v>2026</v>
      </c>
      <c r="C1080" s="11" t="inlineStr">
        <is>
          <t>Ayana</t>
        </is>
      </c>
      <c r="D1080" s="11" t="inlineStr">
        <is>
          <t>Utility and C&amp;I</t>
        </is>
      </c>
      <c r="E1080" s="1" t="n"/>
      <c r="F1080" s="1" t="inlineStr">
        <is>
          <t>WIP</t>
        </is>
      </c>
      <c r="G1080" s="11" t="inlineStr">
        <is>
          <t>Vasu.N</t>
        </is>
      </c>
      <c r="H1080" s="8" t="n">
        <v>9578099893</v>
      </c>
      <c r="I1080" s="10" t="inlineStr">
        <is>
          <t>PE04062601</t>
        </is>
      </c>
      <c r="J1080" s="28" t="inlineStr">
        <is>
          <t>Module burnt</t>
        </is>
      </c>
      <c r="K1080" s="8" t="inlineStr">
        <is>
          <t>Jatavira</t>
        </is>
      </c>
      <c r="L1080" s="8" t="inlineStr">
        <is>
          <t>Gujarat</t>
        </is>
      </c>
      <c r="M1080" s="2" t="inlineStr">
        <is>
          <t xml:space="preserve">Burning </t>
        </is>
      </c>
      <c r="N1080" s="6" t="inlineStr">
        <is>
          <t>Module Burn</t>
        </is>
      </c>
      <c r="O1080" s="6" t="n">
        <v>585</v>
      </c>
      <c r="P1080" s="2" t="inlineStr">
        <is>
          <t>NSMI24100544440</t>
        </is>
      </c>
      <c r="Q1080" s="29">
        <f>MID(P1080,5,2)</f>
        <v/>
      </c>
      <c r="R1080" s="14">
        <f>MID(P1080,7,2)</f>
        <v/>
      </c>
      <c r="S1080" s="6" t="inlineStr">
        <is>
          <t>G2G</t>
        </is>
      </c>
      <c r="T1080" s="1" t="inlineStr">
        <is>
          <t>P4 - PEIPL</t>
        </is>
      </c>
      <c r="U1080" s="6" t="inlineStr">
        <is>
          <t>Module Burn</t>
        </is>
      </c>
      <c r="V1080" s="1" t="inlineStr">
        <is>
          <t>Inspection</t>
        </is>
      </c>
      <c r="W1080" s="1" t="inlineStr">
        <is>
          <t>WIP</t>
        </is>
      </c>
      <c r="X1080" s="12" t="n"/>
      <c r="Y1080" s="1">
        <f>IF(X1080="","",X1080-A1080)</f>
        <v/>
      </c>
      <c r="Z1080" s="5" t="n">
        <v>46185</v>
      </c>
      <c r="AA1080" s="3" t="n"/>
      <c r="AB1080" s="3" t="n"/>
      <c r="AE1080" s="146">
        <f>IF(AND(F1080="Closed",X1080&gt;=DATE(2026,6,1),X1080&lt;=DATE(2026,6,30)),"Closed in June","other")</f>
        <v/>
      </c>
    </row>
    <row r="1081" hidden="1">
      <c r="A1081" s="49" t="n">
        <v>46177</v>
      </c>
      <c r="B1081" s="1" t="n">
        <v>2026</v>
      </c>
      <c r="C1081" s="11" t="inlineStr">
        <is>
          <t>Ayana</t>
        </is>
      </c>
      <c r="D1081" s="11" t="inlineStr">
        <is>
          <t>Utility and C&amp;I</t>
        </is>
      </c>
      <c r="E1081" s="1" t="n"/>
      <c r="F1081" s="1" t="inlineStr">
        <is>
          <t>WIP</t>
        </is>
      </c>
      <c r="G1081" s="11" t="inlineStr">
        <is>
          <t>Vasu.N</t>
        </is>
      </c>
      <c r="H1081" s="8" t="n">
        <v>9578099893</v>
      </c>
      <c r="I1081" s="10" t="inlineStr">
        <is>
          <t>PE04062601</t>
        </is>
      </c>
      <c r="J1081" s="28" t="inlineStr">
        <is>
          <t>Module burnt</t>
        </is>
      </c>
      <c r="K1081" s="8" t="inlineStr">
        <is>
          <t>Jatavira</t>
        </is>
      </c>
      <c r="L1081" s="8" t="inlineStr">
        <is>
          <t>Gujarat</t>
        </is>
      </c>
      <c r="M1081" s="2" t="inlineStr">
        <is>
          <t>Both glass borking with burn spot</t>
        </is>
      </c>
      <c r="N1081" s="6" t="inlineStr">
        <is>
          <t>Glass Breakage with Burn Spot</t>
        </is>
      </c>
      <c r="O1081" s="6" t="n">
        <v>585</v>
      </c>
      <c r="P1081" s="2" t="inlineStr">
        <is>
          <t>NSMI24090500592</t>
        </is>
      </c>
      <c r="Q1081" s="29">
        <f>MID(P1081,5,2)</f>
        <v/>
      </c>
      <c r="R1081" s="14">
        <f>MID(P1081,7,2)</f>
        <v/>
      </c>
      <c r="S1081" s="6" t="inlineStr">
        <is>
          <t>G2G</t>
        </is>
      </c>
      <c r="T1081" s="1" t="inlineStr">
        <is>
          <t>P4 - PEIPL</t>
        </is>
      </c>
      <c r="U1081" s="6" t="inlineStr">
        <is>
          <t>Glass Breakage with Burn Spot</t>
        </is>
      </c>
      <c r="V1081" s="1" t="inlineStr">
        <is>
          <t>Inspection</t>
        </is>
      </c>
      <c r="W1081" s="1" t="inlineStr">
        <is>
          <t>WIP</t>
        </is>
      </c>
      <c r="X1081" s="12" t="n"/>
      <c r="Y1081" s="1">
        <f>IF(X1081="","",X1081-A1081)</f>
        <v/>
      </c>
      <c r="Z1081" s="5" t="n">
        <v>46185</v>
      </c>
      <c r="AA1081" s="3" t="n"/>
      <c r="AB1081" s="3" t="n"/>
      <c r="AE1081" s="146">
        <f>IF(AND(F1081="Closed",X1081&gt;=DATE(2026,6,1),X1081&lt;=DATE(2026,6,30)),"Closed in June","other")</f>
        <v/>
      </c>
    </row>
    <row r="1082" hidden="1">
      <c r="A1082" s="49" t="n">
        <v>46177</v>
      </c>
      <c r="B1082" s="1" t="n">
        <v>2026</v>
      </c>
      <c r="C1082" s="11" t="inlineStr">
        <is>
          <t>Ayana</t>
        </is>
      </c>
      <c r="D1082" s="11" t="inlineStr">
        <is>
          <t>Utility and C&amp;I</t>
        </is>
      </c>
      <c r="E1082" s="1" t="n"/>
      <c r="F1082" s="1" t="inlineStr">
        <is>
          <t>WIP</t>
        </is>
      </c>
      <c r="G1082" s="11" t="inlineStr">
        <is>
          <t>Vasu.N</t>
        </is>
      </c>
      <c r="H1082" s="8" t="n">
        <v>9578099893</v>
      </c>
      <c r="I1082" s="10" t="inlineStr">
        <is>
          <t>PE04062601</t>
        </is>
      </c>
      <c r="J1082" s="28" t="inlineStr">
        <is>
          <t>Module burnt</t>
        </is>
      </c>
      <c r="K1082" s="8" t="inlineStr">
        <is>
          <t>Jatavira</t>
        </is>
      </c>
      <c r="L1082" s="8" t="inlineStr">
        <is>
          <t>Gujarat</t>
        </is>
      </c>
      <c r="M1082" s="2" t="inlineStr">
        <is>
          <t>Front glass broken with burn spot</t>
        </is>
      </c>
      <c r="N1082" s="6" t="inlineStr">
        <is>
          <t>Glass Breakage with Burn Spot</t>
        </is>
      </c>
      <c r="O1082" s="6" t="n">
        <v>585</v>
      </c>
      <c r="P1082" s="2" t="inlineStr">
        <is>
          <t>NSMI24100557336</t>
        </is>
      </c>
      <c r="Q1082" s="29">
        <f>MID(P1082,5,2)</f>
        <v/>
      </c>
      <c r="R1082" s="14">
        <f>MID(P1082,7,2)</f>
        <v/>
      </c>
      <c r="S1082" s="6" t="inlineStr">
        <is>
          <t>G2G</t>
        </is>
      </c>
      <c r="T1082" s="1" t="inlineStr">
        <is>
          <t>P4 - PEIPL</t>
        </is>
      </c>
      <c r="U1082" s="6" t="inlineStr">
        <is>
          <t>Glass Breakage with Burn Spot</t>
        </is>
      </c>
      <c r="V1082" s="1" t="inlineStr">
        <is>
          <t>Inspection</t>
        </is>
      </c>
      <c r="W1082" s="1" t="inlineStr">
        <is>
          <t>WIP</t>
        </is>
      </c>
      <c r="X1082" s="12" t="n"/>
      <c r="Y1082" s="1">
        <f>IF(X1082="","",X1082-A1082)</f>
        <v/>
      </c>
      <c r="Z1082" s="5" t="n">
        <v>46185</v>
      </c>
      <c r="AA1082" s="3" t="n"/>
      <c r="AB1082" s="3" t="n"/>
      <c r="AE1082" s="146">
        <f>IF(AND(F1082="Closed",X1082&gt;=DATE(2026,6,1),X1082&lt;=DATE(2026,6,30)),"Closed in June","other")</f>
        <v/>
      </c>
    </row>
    <row r="1083" hidden="1">
      <c r="A1083" s="49" t="n">
        <v>46177</v>
      </c>
      <c r="B1083" s="1" t="n">
        <v>2026</v>
      </c>
      <c r="C1083" s="11" t="inlineStr">
        <is>
          <t>Ayana</t>
        </is>
      </c>
      <c r="D1083" s="11" t="inlineStr">
        <is>
          <t>Utility and C&amp;I</t>
        </is>
      </c>
      <c r="E1083" s="1" t="n"/>
      <c r="F1083" s="1" t="inlineStr">
        <is>
          <t>WIP</t>
        </is>
      </c>
      <c r="G1083" s="11" t="inlineStr">
        <is>
          <t>Vasu.N</t>
        </is>
      </c>
      <c r="H1083" s="8" t="n">
        <v>9578099893</v>
      </c>
      <c r="I1083" s="10" t="inlineStr">
        <is>
          <t>PE04062601</t>
        </is>
      </c>
      <c r="J1083" s="28" t="inlineStr">
        <is>
          <t>Module burnt</t>
        </is>
      </c>
      <c r="K1083" s="8" t="inlineStr">
        <is>
          <t>Jatavira</t>
        </is>
      </c>
      <c r="L1083" s="8" t="inlineStr">
        <is>
          <t>Gujarat</t>
        </is>
      </c>
      <c r="M1083" s="2" t="inlineStr">
        <is>
          <t>Both glass broken at shoter frem</t>
        </is>
      </c>
      <c r="N1083" s="6" t="inlineStr">
        <is>
          <t>Module Breakage</t>
        </is>
      </c>
      <c r="O1083" s="6" t="n">
        <v>585</v>
      </c>
      <c r="P1083" s="2" t="inlineStr">
        <is>
          <t>NSMI24090483112</t>
        </is>
      </c>
      <c r="Q1083" s="29">
        <f>MID(P1083,5,2)</f>
        <v/>
      </c>
      <c r="R1083" s="14">
        <f>MID(P1083,7,2)</f>
        <v/>
      </c>
      <c r="S1083" s="6" t="inlineStr">
        <is>
          <t>G2G</t>
        </is>
      </c>
      <c r="T1083" s="1" t="inlineStr">
        <is>
          <t>P4 - PEIPL</t>
        </is>
      </c>
      <c r="U1083" s="6" t="inlineStr">
        <is>
          <t>Glass Breakage</t>
        </is>
      </c>
      <c r="V1083" s="1" t="inlineStr">
        <is>
          <t>Inspection</t>
        </is>
      </c>
      <c r="W1083" s="1" t="inlineStr">
        <is>
          <t>WIP</t>
        </is>
      </c>
      <c r="X1083" s="12" t="n"/>
      <c r="Y1083" s="1">
        <f>IF(X1083="","",X1083-A1083)</f>
        <v/>
      </c>
      <c r="Z1083" s="5" t="n">
        <v>46185</v>
      </c>
      <c r="AA1083" s="3" t="n"/>
      <c r="AB1083" s="3" t="n"/>
      <c r="AE1083" s="146">
        <f>IF(AND(F1083="Closed",X1083&gt;=DATE(2026,6,1),X1083&lt;=DATE(2026,6,30)),"Closed in June","other")</f>
        <v/>
      </c>
    </row>
    <row r="1084" hidden="1">
      <c r="A1084" s="49" t="n">
        <v>46177</v>
      </c>
      <c r="B1084" s="1" t="n">
        <v>2026</v>
      </c>
      <c r="C1084" s="11" t="inlineStr">
        <is>
          <t>Ayana</t>
        </is>
      </c>
      <c r="D1084" s="11" t="inlineStr">
        <is>
          <t>Utility and C&amp;I</t>
        </is>
      </c>
      <c r="E1084" s="1" t="n"/>
      <c r="F1084" s="1" t="inlineStr">
        <is>
          <t>WIP</t>
        </is>
      </c>
      <c r="G1084" s="11" t="inlineStr">
        <is>
          <t>Vasu.N</t>
        </is>
      </c>
      <c r="H1084" s="8" t="n">
        <v>9578099893</v>
      </c>
      <c r="I1084" s="10" t="inlineStr">
        <is>
          <t>PE04062601</t>
        </is>
      </c>
      <c r="J1084" s="28" t="inlineStr">
        <is>
          <t>Module burnt</t>
        </is>
      </c>
      <c r="K1084" s="8" t="inlineStr">
        <is>
          <t>Jatavira</t>
        </is>
      </c>
      <c r="L1084" s="8" t="inlineStr">
        <is>
          <t>Gujarat</t>
        </is>
      </c>
      <c r="M1084" s="2" t="inlineStr">
        <is>
          <t>Front glass broken with burn spot</t>
        </is>
      </c>
      <c r="N1084" s="6" t="inlineStr">
        <is>
          <t>Glass Breakage with Burn Spot</t>
        </is>
      </c>
      <c r="O1084" s="6" t="n">
        <v>585</v>
      </c>
      <c r="P1084" s="2" t="inlineStr">
        <is>
          <t>NSMI24100549617</t>
        </is>
      </c>
      <c r="Q1084" s="29">
        <f>MID(P1084,5,2)</f>
        <v/>
      </c>
      <c r="R1084" s="14">
        <f>MID(P1084,7,2)</f>
        <v/>
      </c>
      <c r="S1084" s="6" t="inlineStr">
        <is>
          <t>G2G</t>
        </is>
      </c>
      <c r="T1084" s="1" t="inlineStr">
        <is>
          <t>P4 - PEIPL</t>
        </is>
      </c>
      <c r="U1084" s="6" t="inlineStr">
        <is>
          <t>Glass Breakage with Burn Spot</t>
        </is>
      </c>
      <c r="V1084" s="1" t="inlineStr">
        <is>
          <t>Inspection</t>
        </is>
      </c>
      <c r="W1084" s="1" t="inlineStr">
        <is>
          <t>WIP</t>
        </is>
      </c>
      <c r="X1084" s="12" t="n"/>
      <c r="Y1084" s="1">
        <f>IF(X1084="","",X1084-A1084)</f>
        <v/>
      </c>
      <c r="Z1084" s="5" t="n">
        <v>46185</v>
      </c>
      <c r="AA1084" s="3" t="n"/>
      <c r="AB1084" s="3" t="n"/>
      <c r="AE1084" s="146">
        <f>IF(AND(F1084="Closed",X1084&gt;=DATE(2026,6,1),X1084&lt;=DATE(2026,6,30)),"Closed in June","other")</f>
        <v/>
      </c>
    </row>
    <row r="1085" hidden="1">
      <c r="A1085" s="49" t="n">
        <v>46177</v>
      </c>
      <c r="B1085" s="1" t="n">
        <v>2026</v>
      </c>
      <c r="C1085" s="11" t="inlineStr">
        <is>
          <t>Ayana</t>
        </is>
      </c>
      <c r="D1085" s="11" t="inlineStr">
        <is>
          <t>Utility and C&amp;I</t>
        </is>
      </c>
      <c r="E1085" s="1" t="n"/>
      <c r="F1085" s="1" t="inlineStr">
        <is>
          <t>WIP</t>
        </is>
      </c>
      <c r="G1085" s="11" t="inlineStr">
        <is>
          <t>Vasu.N</t>
        </is>
      </c>
      <c r="H1085" s="8" t="n">
        <v>9578099893</v>
      </c>
      <c r="I1085" s="10" t="inlineStr">
        <is>
          <t>PE04062601</t>
        </is>
      </c>
      <c r="J1085" s="28" t="inlineStr">
        <is>
          <t>Module burnt</t>
        </is>
      </c>
      <c r="K1085" s="8" t="inlineStr">
        <is>
          <t>Jatavira</t>
        </is>
      </c>
      <c r="L1085" s="8" t="inlineStr">
        <is>
          <t>Gujarat</t>
        </is>
      </c>
      <c r="M1085" s="2" t="inlineStr">
        <is>
          <t>Both glass broken with burn spot</t>
        </is>
      </c>
      <c r="N1085" s="6" t="inlineStr">
        <is>
          <t>Glass Breakage with Burn Spot</t>
        </is>
      </c>
      <c r="O1085" s="6" t="n">
        <v>585</v>
      </c>
      <c r="P1085" s="2" t="inlineStr">
        <is>
          <t>NSMI24100553350</t>
        </is>
      </c>
      <c r="Q1085" s="29">
        <f>MID(P1085,5,2)</f>
        <v/>
      </c>
      <c r="R1085" s="14">
        <f>MID(P1085,7,2)</f>
        <v/>
      </c>
      <c r="S1085" s="6" t="inlineStr">
        <is>
          <t>G2G</t>
        </is>
      </c>
      <c r="T1085" s="1" t="inlineStr">
        <is>
          <t>P4 - PEIPL</t>
        </is>
      </c>
      <c r="U1085" s="6" t="inlineStr">
        <is>
          <t>Glass Breakage with Burn Spot</t>
        </is>
      </c>
      <c r="V1085" s="1" t="inlineStr">
        <is>
          <t>Inspection</t>
        </is>
      </c>
      <c r="W1085" s="1" t="inlineStr">
        <is>
          <t>WIP</t>
        </is>
      </c>
      <c r="X1085" s="12" t="n"/>
      <c r="Y1085" s="1">
        <f>IF(X1085="","",X1085-A1085)</f>
        <v/>
      </c>
      <c r="Z1085" s="5" t="n">
        <v>46185</v>
      </c>
      <c r="AA1085" s="3" t="n"/>
      <c r="AB1085" s="3" t="n"/>
      <c r="AE1085" s="146">
        <f>IF(AND(F1085="Closed",X1085&gt;=DATE(2026,6,1),X1085&lt;=DATE(2026,6,30)),"Closed in June","other")</f>
        <v/>
      </c>
    </row>
    <row r="1086" hidden="1">
      <c r="A1086" s="49" t="n">
        <v>46180</v>
      </c>
      <c r="B1086" s="1" t="n">
        <v>2026</v>
      </c>
      <c r="C1086" s="8" t="inlineStr">
        <is>
          <t>True Sun Trading Company</t>
        </is>
      </c>
      <c r="D1086" s="8" t="inlineStr">
        <is>
          <t>Channel Sales</t>
        </is>
      </c>
      <c r="E1086" s="1" t="n"/>
      <c r="F1086" s="1" t="inlineStr">
        <is>
          <t>Closed</t>
        </is>
      </c>
      <c r="G1086" s="8" t="inlineStr">
        <is>
          <t>Sarath Ananda</t>
        </is>
      </c>
      <c r="H1086" s="8" t="n">
        <v>8848944464</v>
      </c>
      <c r="I1086" s="10" t="inlineStr">
        <is>
          <t>PE07062601</t>
        </is>
      </c>
      <c r="J1086" s="8" t="inlineStr">
        <is>
          <t>ZERO VOLTAGE</t>
        </is>
      </c>
      <c r="K1086" s="8" t="inlineStr">
        <is>
          <t>CHANGANASSERRY</t>
        </is>
      </c>
      <c r="L1086" s="8" t="inlineStr">
        <is>
          <t>Kerala</t>
        </is>
      </c>
      <c r="M1086" s="2" t="inlineStr">
        <is>
          <t>AR</t>
        </is>
      </c>
      <c r="N1086" s="1" t="inlineStr">
        <is>
          <t>JB Issue</t>
        </is>
      </c>
      <c r="O1086" s="11" t="n">
        <v>540</v>
      </c>
      <c r="P1086" s="30" t="inlineStr">
        <is>
          <t>NSMP24050492706</t>
        </is>
      </c>
      <c r="Q1086" s="14">
        <f>MID(P1086,5,2)</f>
        <v/>
      </c>
      <c r="R1086" s="14">
        <f>MID(P1086,7,2)</f>
        <v/>
      </c>
      <c r="S1086" s="1" t="inlineStr">
        <is>
          <t>G2B</t>
        </is>
      </c>
      <c r="T1086" s="1" t="inlineStr">
        <is>
          <t>P2 - PEPPL</t>
        </is>
      </c>
      <c r="U1086" s="1" t="inlineStr">
        <is>
          <t>All JB Issue</t>
        </is>
      </c>
      <c r="V1086" s="1" t="inlineStr">
        <is>
          <t>Inspection</t>
        </is>
      </c>
      <c r="W1086" s="1" t="inlineStr">
        <is>
          <t>Repair</t>
        </is>
      </c>
      <c r="X1086" s="5" t="n">
        <v>46185</v>
      </c>
      <c r="Y1086" s="1">
        <f>IF(X1086="","",X1086-A1086)</f>
        <v/>
      </c>
      <c r="Z1086" s="5" t="n">
        <v>46185</v>
      </c>
      <c r="AA1086" s="3" t="n"/>
      <c r="AB1086" s="3" t="n"/>
      <c r="AE1086" s="146">
        <f>IF(AND(F1086="Closed",X1086&gt;=DATE(2026,6,1),X1086&lt;=DATE(2026,6,30)),"Closed in June","other")</f>
        <v/>
      </c>
    </row>
    <row r="1087" hidden="1">
      <c r="A1087" s="49" t="n">
        <v>46180</v>
      </c>
      <c r="B1087" s="1" t="n">
        <v>2026</v>
      </c>
      <c r="C1087" s="8" t="inlineStr">
        <is>
          <t>True Sun Trading Company</t>
        </is>
      </c>
      <c r="D1087" s="8" t="inlineStr">
        <is>
          <t>Channel Sales</t>
        </is>
      </c>
      <c r="E1087" s="1" t="n"/>
      <c r="F1087" s="1" t="inlineStr">
        <is>
          <t>Closed</t>
        </is>
      </c>
      <c r="G1087" s="8" t="inlineStr">
        <is>
          <t>Sarath Ananda</t>
        </is>
      </c>
      <c r="H1087" s="8" t="n">
        <v>8848944464</v>
      </c>
      <c r="I1087" s="10" t="inlineStr">
        <is>
          <t>PE07062602</t>
        </is>
      </c>
      <c r="J1087" s="8" t="inlineStr">
        <is>
          <t>ZERO VOLTAGE</t>
        </is>
      </c>
      <c r="K1087" s="8" t="inlineStr">
        <is>
          <t>CHANGANASSERRY</t>
        </is>
      </c>
      <c r="L1087" s="8" t="inlineStr">
        <is>
          <t>Kerala</t>
        </is>
      </c>
      <c r="M1087" s="2" t="inlineStr">
        <is>
          <t>AR</t>
        </is>
      </c>
      <c r="N1087" s="1" t="inlineStr">
        <is>
          <t>JB Issue</t>
        </is>
      </c>
      <c r="O1087" s="11" t="n">
        <v>540</v>
      </c>
      <c r="P1087" s="31" t="inlineStr">
        <is>
          <t>NSMP24050492799</t>
        </is>
      </c>
      <c r="Q1087" s="14">
        <f>MID(P1087,5,2)</f>
        <v/>
      </c>
      <c r="R1087" s="14">
        <f>MID(P1087,7,2)</f>
        <v/>
      </c>
      <c r="S1087" s="1" t="inlineStr">
        <is>
          <t>G2B</t>
        </is>
      </c>
      <c r="T1087" s="1" t="inlineStr">
        <is>
          <t>P2 - PEPPL</t>
        </is>
      </c>
      <c r="U1087" s="1" t="inlineStr">
        <is>
          <t>All JB Issue</t>
        </is>
      </c>
      <c r="V1087" s="1" t="inlineStr">
        <is>
          <t>Inspection</t>
        </is>
      </c>
      <c r="W1087" s="1" t="inlineStr">
        <is>
          <t>Repair</t>
        </is>
      </c>
      <c r="X1087" s="5" t="n">
        <v>46185</v>
      </c>
      <c r="Y1087" s="1">
        <f>IF(X1087="","",X1087-A1087)</f>
        <v/>
      </c>
      <c r="Z1087" s="5" t="n">
        <v>46185</v>
      </c>
      <c r="AA1087" s="3" t="n"/>
      <c r="AB1087" s="3" t="n"/>
      <c r="AE1087" s="146">
        <f>IF(AND(F1087="Closed",X1087&gt;=DATE(2026,6,1),X1087&lt;=DATE(2026,6,30)),"Closed in June","other")</f>
        <v/>
      </c>
    </row>
    <row r="1088" hidden="1">
      <c r="A1088" s="49" t="n">
        <v>46180</v>
      </c>
      <c r="B1088" s="1" t="n">
        <v>2026</v>
      </c>
      <c r="C1088" s="8" t="inlineStr">
        <is>
          <t>True Sun Trading Company</t>
        </is>
      </c>
      <c r="D1088" s="8" t="inlineStr">
        <is>
          <t>Channel Sales</t>
        </is>
      </c>
      <c r="E1088" s="1" t="n"/>
      <c r="F1088" s="1" t="inlineStr">
        <is>
          <t>Closed</t>
        </is>
      </c>
      <c r="G1088" s="8" t="inlineStr">
        <is>
          <t>Sarath Ananda</t>
        </is>
      </c>
      <c r="H1088" s="8" t="n">
        <v>8848944464</v>
      </c>
      <c r="I1088" s="10" t="inlineStr">
        <is>
          <t>PE07062603</t>
        </is>
      </c>
      <c r="J1088" s="8" t="inlineStr">
        <is>
          <t>ZERO VOLTAGE</t>
        </is>
      </c>
      <c r="K1088" s="8" t="inlineStr">
        <is>
          <t>CHANGANASSERRY</t>
        </is>
      </c>
      <c r="L1088" s="8" t="inlineStr">
        <is>
          <t>Kerala</t>
        </is>
      </c>
      <c r="M1088" s="31" t="inlineStr">
        <is>
          <t xml:space="preserve">AR &amp; Bus bar issue </t>
        </is>
      </c>
      <c r="N1088" s="1" t="inlineStr">
        <is>
          <t>JB Issue</t>
        </is>
      </c>
      <c r="O1088" s="11" t="n">
        <v>540</v>
      </c>
      <c r="P1088" s="31" t="inlineStr">
        <is>
          <t>NSMP24050492794</t>
        </is>
      </c>
      <c r="Q1088" s="14">
        <f>MID(P1088,5,2)</f>
        <v/>
      </c>
      <c r="R1088" s="14">
        <f>MID(P1088,7,2)</f>
        <v/>
      </c>
      <c r="S1088" s="1" t="inlineStr">
        <is>
          <t>G2B</t>
        </is>
      </c>
      <c r="T1088" s="1" t="inlineStr">
        <is>
          <t>P2 - PEPPL</t>
        </is>
      </c>
      <c r="U1088" s="1" t="inlineStr">
        <is>
          <t>All JB Issue</t>
        </is>
      </c>
      <c r="V1088" s="1" t="inlineStr">
        <is>
          <t>Inspection</t>
        </is>
      </c>
      <c r="W1088" s="1" t="inlineStr">
        <is>
          <t>Repair</t>
        </is>
      </c>
      <c r="X1088" s="5" t="n">
        <v>46185</v>
      </c>
      <c r="Y1088" s="1">
        <f>IF(X1088="","",X1088-A1088)</f>
        <v/>
      </c>
      <c r="Z1088" s="5" t="n">
        <v>46185</v>
      </c>
      <c r="AA1088" s="3" t="n"/>
      <c r="AB1088" s="3" t="n"/>
      <c r="AE1088" s="146">
        <f>IF(AND(F1088="Closed",X1088&gt;=DATE(2026,6,1),X1088&lt;=DATE(2026,6,30)),"Closed in June","other")</f>
        <v/>
      </c>
    </row>
    <row r="1089" hidden="1">
      <c r="A1089" s="49" t="n">
        <v>46184</v>
      </c>
      <c r="B1089" s="1" t="n">
        <v>2026</v>
      </c>
      <c r="C1089" s="8" t="inlineStr">
        <is>
          <t>Panasonic</t>
        </is>
      </c>
      <c r="D1089" s="8" t="inlineStr">
        <is>
          <t>OEM</t>
        </is>
      </c>
      <c r="E1089" s="1" t="n"/>
      <c r="F1089" s="1" t="inlineStr">
        <is>
          <t>Closed</t>
        </is>
      </c>
      <c r="G1089" s="8" t="inlineStr">
        <is>
          <t>Chirag Tare</t>
        </is>
      </c>
      <c r="H1089" s="8" t="n">
        <v>7719846027</v>
      </c>
      <c r="I1089" s="10" t="inlineStr">
        <is>
          <t>PE11062602</t>
        </is>
      </c>
      <c r="J1089" s="8" t="inlineStr">
        <is>
          <t>Low VOC</t>
        </is>
      </c>
      <c r="K1089" s="8" t="inlineStr">
        <is>
          <t>Adoor</t>
        </is>
      </c>
      <c r="L1089" s="8" t="inlineStr">
        <is>
          <t>Kerala</t>
        </is>
      </c>
      <c r="M1089" s="31" t="inlineStr">
        <is>
          <t>PNS</t>
        </is>
      </c>
      <c r="N1089" s="1" t="inlineStr">
        <is>
          <t>Cold Soldering</t>
        </is>
      </c>
      <c r="O1089" s="11" t="n">
        <v>495</v>
      </c>
      <c r="P1089" s="31" t="inlineStr">
        <is>
          <t>NSMP2211237167</t>
        </is>
      </c>
      <c r="Q1089" s="14">
        <f>MID(P1089,5,2)</f>
        <v/>
      </c>
      <c r="R1089" s="14">
        <f>MID(P1089,7,2)</f>
        <v/>
      </c>
      <c r="S1089" s="1" t="inlineStr">
        <is>
          <t>G2B</t>
        </is>
      </c>
      <c r="T1089" s="1" t="inlineStr">
        <is>
          <t>P2 - PEPPL</t>
        </is>
      </c>
      <c r="U1089" s="1" t="inlineStr">
        <is>
          <t>P &amp; N JB Cold Soldering</t>
        </is>
      </c>
      <c r="V1089" s="1" t="inlineStr">
        <is>
          <t>Inspection</t>
        </is>
      </c>
      <c r="W1089" s="1" t="inlineStr">
        <is>
          <t>Repair</t>
        </is>
      </c>
      <c r="X1089" s="5" t="n">
        <v>46185</v>
      </c>
      <c r="Y1089" s="1">
        <f>IF(X1089="","",X1089-A1089)</f>
        <v/>
      </c>
      <c r="Z1089" s="5" t="n">
        <v>46185</v>
      </c>
      <c r="AA1089" s="3" t="n"/>
      <c r="AB1089" s="3" t="n"/>
      <c r="AE1089" s="146">
        <f>IF(AND(F1089="Closed",X1089&gt;=DATE(2026,6,1),X1089&lt;=DATE(2026,6,30)),"Closed in June","other")</f>
        <v/>
      </c>
    </row>
    <row r="1090" hidden="1">
      <c r="A1090" s="9" t="n">
        <v>46161</v>
      </c>
      <c r="B1090" s="1" t="n">
        <v>2026</v>
      </c>
      <c r="C1090" s="8" t="inlineStr">
        <is>
          <t>Continuum</t>
        </is>
      </c>
      <c r="D1090" s="11" t="inlineStr">
        <is>
          <t>Utility and C&amp;I</t>
        </is>
      </c>
      <c r="E1090" s="1" t="n"/>
      <c r="F1090" s="1" t="inlineStr">
        <is>
          <t>Closed</t>
        </is>
      </c>
      <c r="G1090" s="50" t="inlineStr">
        <is>
          <t>Mr. Harendresinh Jadeja</t>
        </is>
      </c>
      <c r="H1090" s="8" t="n">
        <v>9825182102</v>
      </c>
      <c r="I1090" s="10" t="inlineStr">
        <is>
          <t>PE19052601</t>
        </is>
      </c>
      <c r="J1090" s="8" t="inlineStr">
        <is>
          <t xml:space="preserve">Diode failure </t>
        </is>
      </c>
      <c r="K1090" s="8" t="inlineStr">
        <is>
          <t>Nakhatrana</t>
        </is>
      </c>
      <c r="L1090" s="8" t="inlineStr">
        <is>
          <t>Gujarat</t>
        </is>
      </c>
      <c r="M1090" s="2" t="inlineStr">
        <is>
          <t>PS</t>
        </is>
      </c>
      <c r="N1090" s="1" t="inlineStr">
        <is>
          <t>Cold Soldering</t>
        </is>
      </c>
      <c r="O1090" s="51" t="n">
        <v>580</v>
      </c>
      <c r="P1090" s="2" t="inlineStr">
        <is>
          <t>NSMI25011277061</t>
        </is>
      </c>
      <c r="Q1090" s="29">
        <f>MID(P1090,5,2)</f>
        <v/>
      </c>
      <c r="R1090" s="14">
        <f>MID(P1090,7,2)</f>
        <v/>
      </c>
      <c r="S1090" s="1" t="inlineStr">
        <is>
          <t>G2G</t>
        </is>
      </c>
      <c r="T1090" s="1" t="inlineStr">
        <is>
          <t>P4 - PEIPL</t>
        </is>
      </c>
      <c r="U1090" s="1" t="inlineStr">
        <is>
          <t>P JB Cold Soldering</t>
        </is>
      </c>
      <c r="V1090" s="1" t="inlineStr">
        <is>
          <t>Inspection</t>
        </is>
      </c>
      <c r="W1090" s="1" t="inlineStr">
        <is>
          <t>Repair</t>
        </is>
      </c>
      <c r="X1090" s="5" t="n">
        <v>46185</v>
      </c>
      <c r="Y1090" s="1">
        <f>IF(X1090="","",X1090-A1090)</f>
        <v/>
      </c>
      <c r="Z1090" s="5" t="n">
        <v>46185</v>
      </c>
      <c r="AA1090" s="3" t="n"/>
      <c r="AB1090" s="3" t="n"/>
      <c r="AE1090" s="146">
        <f>IF(AND(F1090="Closed",X1090&gt;=DATE(2026,6,1),X1090&lt;=DATE(2026,6,30)),"Closed in June","other")</f>
        <v/>
      </c>
    </row>
    <row r="1091" hidden="1">
      <c r="A1091" s="9" t="n">
        <v>46161</v>
      </c>
      <c r="B1091" s="1" t="n">
        <v>2026</v>
      </c>
      <c r="C1091" s="8" t="inlineStr">
        <is>
          <t>Continuum</t>
        </is>
      </c>
      <c r="D1091" s="11" t="inlineStr">
        <is>
          <t>Utility and C&amp;I</t>
        </is>
      </c>
      <c r="E1091" s="1" t="n"/>
      <c r="F1091" s="1" t="inlineStr">
        <is>
          <t>Closed</t>
        </is>
      </c>
      <c r="G1091" s="50" t="inlineStr">
        <is>
          <t>Mr. Harendresinh Jadeja</t>
        </is>
      </c>
      <c r="H1091" s="8" t="n">
        <v>9825182102</v>
      </c>
      <c r="I1091" s="10" t="inlineStr">
        <is>
          <t>PE19052601</t>
        </is>
      </c>
      <c r="J1091" s="8" t="inlineStr">
        <is>
          <t xml:space="preserve">Diode failure </t>
        </is>
      </c>
      <c r="K1091" s="8" t="inlineStr">
        <is>
          <t>Nakhatrana</t>
        </is>
      </c>
      <c r="L1091" s="8" t="inlineStr">
        <is>
          <t>Gujarat</t>
        </is>
      </c>
      <c r="M1091" s="2" t="inlineStr">
        <is>
          <t>PR</t>
        </is>
      </c>
      <c r="N1091" s="1" t="inlineStr">
        <is>
          <t>JB Issue</t>
        </is>
      </c>
      <c r="O1091" s="51" t="n">
        <v>580</v>
      </c>
      <c r="P1091" s="2" t="inlineStr">
        <is>
          <t>NSMI25011228848</t>
        </is>
      </c>
      <c r="Q1091" s="14">
        <f>MID(P1091,5,2)</f>
        <v/>
      </c>
      <c r="R1091" s="14">
        <f>MID(P1091,7,2)</f>
        <v/>
      </c>
      <c r="S1091" s="1" t="inlineStr">
        <is>
          <t>G2G</t>
        </is>
      </c>
      <c r="T1091" s="1" t="inlineStr">
        <is>
          <t>P4 - PEIPL</t>
        </is>
      </c>
      <c r="U1091" s="6" t="inlineStr">
        <is>
          <t>P JB Issue</t>
        </is>
      </c>
      <c r="V1091" s="1" t="inlineStr">
        <is>
          <t>Inspection</t>
        </is>
      </c>
      <c r="W1091" s="1" t="inlineStr">
        <is>
          <t>Repair</t>
        </is>
      </c>
      <c r="X1091" s="5" t="n">
        <v>46185</v>
      </c>
      <c r="Y1091" s="1">
        <f>IF(X1091="","",X1091-A1091)</f>
        <v/>
      </c>
      <c r="Z1091" s="5" t="n">
        <v>46185</v>
      </c>
      <c r="AA1091" s="3" t="n"/>
      <c r="AB1091" s="3" t="n"/>
      <c r="AE1091" s="146">
        <f>IF(AND(F1091="Closed",X1091&gt;=DATE(2026,6,1),X1091&lt;=DATE(2026,6,30)),"Closed in June","other")</f>
        <v/>
      </c>
    </row>
    <row r="1092" hidden="1">
      <c r="A1092" s="9" t="n">
        <v>46161</v>
      </c>
      <c r="B1092" s="1" t="n">
        <v>2026</v>
      </c>
      <c r="C1092" s="8" t="inlineStr">
        <is>
          <t>Continuum</t>
        </is>
      </c>
      <c r="D1092" s="11" t="inlineStr">
        <is>
          <t>Utility and C&amp;I</t>
        </is>
      </c>
      <c r="E1092" s="1" t="n"/>
      <c r="F1092" s="1" t="inlineStr">
        <is>
          <t>Closed</t>
        </is>
      </c>
      <c r="G1092" s="50" t="inlineStr">
        <is>
          <t>Mr. Harendresinh Jadeja</t>
        </is>
      </c>
      <c r="H1092" s="8" t="n">
        <v>9825182102</v>
      </c>
      <c r="I1092" s="10" t="inlineStr">
        <is>
          <t>PE19052601</t>
        </is>
      </c>
      <c r="J1092" s="8" t="inlineStr">
        <is>
          <t xml:space="preserve">Diode failure </t>
        </is>
      </c>
      <c r="K1092" s="8" t="inlineStr">
        <is>
          <t>Nakhatrana</t>
        </is>
      </c>
      <c r="L1092" s="8" t="inlineStr">
        <is>
          <t>Gujarat</t>
        </is>
      </c>
      <c r="M1092" s="2" t="inlineStr">
        <is>
          <t>PS</t>
        </is>
      </c>
      <c r="N1092" s="1" t="inlineStr">
        <is>
          <t>Cold Soldering</t>
        </is>
      </c>
      <c r="O1092" s="51" t="n">
        <v>580</v>
      </c>
      <c r="P1092" s="2" t="inlineStr">
        <is>
          <t>NSMI25011252927</t>
        </is>
      </c>
      <c r="Q1092" s="29">
        <f>MID(P1092,5,2)</f>
        <v/>
      </c>
      <c r="R1092" s="14">
        <f>MID(P1092,7,2)</f>
        <v/>
      </c>
      <c r="S1092" s="1" t="inlineStr">
        <is>
          <t>G2G</t>
        </is>
      </c>
      <c r="T1092" s="1" t="inlineStr">
        <is>
          <t>P4 - PEIPL</t>
        </is>
      </c>
      <c r="U1092" s="1" t="inlineStr">
        <is>
          <t>P JB Cold Soldering</t>
        </is>
      </c>
      <c r="V1092" s="1" t="inlineStr">
        <is>
          <t>Inspection</t>
        </is>
      </c>
      <c r="W1092" s="1" t="inlineStr">
        <is>
          <t>Repair</t>
        </is>
      </c>
      <c r="X1092" s="5" t="n">
        <v>46185</v>
      </c>
      <c r="Y1092" s="1">
        <f>IF(X1092="","",X1092-A1092)</f>
        <v/>
      </c>
      <c r="Z1092" s="5" t="n">
        <v>46185</v>
      </c>
      <c r="AA1092" s="3" t="n"/>
      <c r="AB1092" s="3" t="n"/>
      <c r="AE1092" s="146">
        <f>IF(AND(F1092="Closed",X1092&gt;=DATE(2026,6,1),X1092&lt;=DATE(2026,6,30)),"Closed in June","other")</f>
        <v/>
      </c>
    </row>
    <row r="1093" hidden="1">
      <c r="A1093" s="9" t="n">
        <v>46161</v>
      </c>
      <c r="B1093" s="1" t="n">
        <v>2026</v>
      </c>
      <c r="C1093" s="8" t="inlineStr">
        <is>
          <t>Continuum</t>
        </is>
      </c>
      <c r="D1093" s="11" t="inlineStr">
        <is>
          <t>Utility and C&amp;I</t>
        </is>
      </c>
      <c r="E1093" s="1" t="n"/>
      <c r="F1093" s="1" t="inlineStr">
        <is>
          <t>Closed</t>
        </is>
      </c>
      <c r="G1093" s="50" t="inlineStr">
        <is>
          <t>Mr. Harendresinh Jadeja</t>
        </is>
      </c>
      <c r="H1093" s="8" t="n">
        <v>9825182102</v>
      </c>
      <c r="I1093" s="10" t="inlineStr">
        <is>
          <t>PE19052601</t>
        </is>
      </c>
      <c r="J1093" s="8" t="inlineStr">
        <is>
          <t xml:space="preserve">Diode failure </t>
        </is>
      </c>
      <c r="K1093" s="8" t="inlineStr">
        <is>
          <t>Nakhatrana</t>
        </is>
      </c>
      <c r="L1093" s="8" t="inlineStr">
        <is>
          <t>Gujarat</t>
        </is>
      </c>
      <c r="M1093" s="2" t="inlineStr">
        <is>
          <t>PR</t>
        </is>
      </c>
      <c r="N1093" s="1" t="inlineStr">
        <is>
          <t>JB Issue</t>
        </is>
      </c>
      <c r="O1093" s="51" t="n">
        <v>580</v>
      </c>
      <c r="P1093" s="2" t="inlineStr">
        <is>
          <t>NSMI25011277023</t>
        </is>
      </c>
      <c r="Q1093" s="14">
        <f>MID(P1093,5,2)</f>
        <v/>
      </c>
      <c r="R1093" s="14">
        <f>MID(P1093,7,2)</f>
        <v/>
      </c>
      <c r="S1093" s="1" t="inlineStr">
        <is>
          <t>G2G</t>
        </is>
      </c>
      <c r="T1093" s="1" t="inlineStr">
        <is>
          <t>P4 - PEIPL</t>
        </is>
      </c>
      <c r="U1093" s="6" t="inlineStr">
        <is>
          <t>P JB Issue</t>
        </is>
      </c>
      <c r="V1093" s="1" t="inlineStr">
        <is>
          <t>Inspection</t>
        </is>
      </c>
      <c r="W1093" s="1" t="inlineStr">
        <is>
          <t>Repair</t>
        </is>
      </c>
      <c r="X1093" s="5" t="n">
        <v>46185</v>
      </c>
      <c r="Y1093" s="1">
        <f>IF(X1093="","",X1093-A1093)</f>
        <v/>
      </c>
      <c r="Z1093" s="5" t="n">
        <v>46185</v>
      </c>
      <c r="AA1093" s="3" t="n"/>
      <c r="AB1093" s="3" t="n"/>
      <c r="AE1093" s="146">
        <f>IF(AND(F1093="Closed",X1093&gt;=DATE(2026,6,1),X1093&lt;=DATE(2026,6,30)),"Closed in June","other")</f>
        <v/>
      </c>
    </row>
    <row r="1094" hidden="1">
      <c r="A1094" s="9" t="n">
        <v>46161</v>
      </c>
      <c r="B1094" s="1" t="n">
        <v>2026</v>
      </c>
      <c r="C1094" s="8" t="inlineStr">
        <is>
          <t>Continuum</t>
        </is>
      </c>
      <c r="D1094" s="11" t="inlineStr">
        <is>
          <t>Utility and C&amp;I</t>
        </is>
      </c>
      <c r="E1094" s="1" t="n"/>
      <c r="F1094" s="1" t="inlineStr">
        <is>
          <t>Closed</t>
        </is>
      </c>
      <c r="G1094" s="50" t="inlineStr">
        <is>
          <t>Mr. Harendresinh Jadeja</t>
        </is>
      </c>
      <c r="H1094" s="8" t="n">
        <v>9825182102</v>
      </c>
      <c r="I1094" s="10" t="inlineStr">
        <is>
          <t>PE19052601</t>
        </is>
      </c>
      <c r="J1094" s="8" t="inlineStr">
        <is>
          <t xml:space="preserve">Diode failure </t>
        </is>
      </c>
      <c r="K1094" s="8" t="inlineStr">
        <is>
          <t>Nakhatrana</t>
        </is>
      </c>
      <c r="L1094" s="8" t="inlineStr">
        <is>
          <t>Gujarat</t>
        </is>
      </c>
      <c r="M1094" s="2" t="inlineStr">
        <is>
          <t>PS</t>
        </is>
      </c>
      <c r="N1094" s="1" t="inlineStr">
        <is>
          <t>Cold Soldering</t>
        </is>
      </c>
      <c r="O1094" s="51" t="n">
        <v>580</v>
      </c>
      <c r="P1094" s="2" t="inlineStr">
        <is>
          <t>NSMI25011276874</t>
        </is>
      </c>
      <c r="Q1094" s="29">
        <f>MID(P1094,5,2)</f>
        <v/>
      </c>
      <c r="R1094" s="14">
        <f>MID(P1094,7,2)</f>
        <v/>
      </c>
      <c r="S1094" s="1" t="inlineStr">
        <is>
          <t>G2G</t>
        </is>
      </c>
      <c r="T1094" s="1" t="inlineStr">
        <is>
          <t>P4 - PEIPL</t>
        </is>
      </c>
      <c r="U1094" s="1" t="inlineStr">
        <is>
          <t>P JB Cold Soldering</t>
        </is>
      </c>
      <c r="V1094" s="1" t="inlineStr">
        <is>
          <t>Inspection</t>
        </is>
      </c>
      <c r="W1094" s="1" t="inlineStr">
        <is>
          <t>Repair</t>
        </is>
      </c>
      <c r="X1094" s="5" t="n">
        <v>46185</v>
      </c>
      <c r="Y1094" s="1">
        <f>IF(X1094="","",X1094-A1094)</f>
        <v/>
      </c>
      <c r="Z1094" s="5" t="n">
        <v>46185</v>
      </c>
      <c r="AA1094" s="3" t="n"/>
      <c r="AB1094" s="3" t="n"/>
      <c r="AE1094" s="146">
        <f>IF(AND(F1094="Closed",X1094&gt;=DATE(2026,6,1),X1094&lt;=DATE(2026,6,30)),"Closed in June","other")</f>
        <v/>
      </c>
    </row>
    <row r="1095" hidden="1">
      <c r="A1095" s="9" t="n">
        <v>46161</v>
      </c>
      <c r="B1095" s="1" t="n">
        <v>2026</v>
      </c>
      <c r="C1095" s="8" t="inlineStr">
        <is>
          <t>Continuum</t>
        </is>
      </c>
      <c r="D1095" s="11" t="inlineStr">
        <is>
          <t>Utility and C&amp;I</t>
        </is>
      </c>
      <c r="E1095" s="1" t="n"/>
      <c r="F1095" s="1" t="inlineStr">
        <is>
          <t>Closed</t>
        </is>
      </c>
      <c r="G1095" s="50" t="inlineStr">
        <is>
          <t>Mr. Harendresinh Jadeja</t>
        </is>
      </c>
      <c r="H1095" s="8" t="n">
        <v>9825182102</v>
      </c>
      <c r="I1095" s="10" t="inlineStr">
        <is>
          <t>PE19052601</t>
        </is>
      </c>
      <c r="J1095" s="8" t="inlineStr">
        <is>
          <t xml:space="preserve">Diode failure </t>
        </is>
      </c>
      <c r="K1095" s="8" t="inlineStr">
        <is>
          <t>Nakhatrana</t>
        </is>
      </c>
      <c r="L1095" s="8" t="inlineStr">
        <is>
          <t>Gujarat</t>
        </is>
      </c>
      <c r="M1095" s="2" t="inlineStr">
        <is>
          <t>NS</t>
        </is>
      </c>
      <c r="N1095" s="8" t="inlineStr">
        <is>
          <t>Cold Soldering</t>
        </is>
      </c>
      <c r="O1095" s="51" t="n">
        <v>580</v>
      </c>
      <c r="P1095" s="2" t="inlineStr">
        <is>
          <t>NSMI25011276784</t>
        </is>
      </c>
      <c r="Q1095" s="14">
        <f>MID(P1095,5,2)</f>
        <v/>
      </c>
      <c r="R1095" s="14">
        <f>MID(P1095,7,2)</f>
        <v/>
      </c>
      <c r="S1095" s="1" t="inlineStr">
        <is>
          <t>G2G</t>
        </is>
      </c>
      <c r="T1095" s="1" t="inlineStr">
        <is>
          <t>P4 - PEIPL</t>
        </is>
      </c>
      <c r="U1095" s="6" t="inlineStr">
        <is>
          <t>N JB Cold Soldering</t>
        </is>
      </c>
      <c r="V1095" s="1" t="inlineStr">
        <is>
          <t>Inspection</t>
        </is>
      </c>
      <c r="W1095" s="1" t="inlineStr">
        <is>
          <t>Repair</t>
        </is>
      </c>
      <c r="X1095" s="5" t="n">
        <v>46185</v>
      </c>
      <c r="Y1095" s="1">
        <f>IF(X1095="","",X1095-A1095)</f>
        <v/>
      </c>
      <c r="Z1095" s="5" t="n">
        <v>46185</v>
      </c>
      <c r="AA1095" s="3" t="n"/>
      <c r="AB1095" s="3" t="n"/>
      <c r="AE1095" s="146">
        <f>IF(AND(F1095="Closed",X1095&gt;=DATE(2026,6,1),X1095&lt;=DATE(2026,6,30)),"Closed in June","other")</f>
        <v/>
      </c>
    </row>
    <row r="1096" hidden="1">
      <c r="A1096" s="9" t="n">
        <v>46161</v>
      </c>
      <c r="B1096" s="1" t="n">
        <v>2026</v>
      </c>
      <c r="C1096" s="8" t="inlineStr">
        <is>
          <t>Continuum</t>
        </is>
      </c>
      <c r="D1096" s="11" t="inlineStr">
        <is>
          <t>Utility and C&amp;I</t>
        </is>
      </c>
      <c r="E1096" s="1" t="n"/>
      <c r="F1096" s="1" t="inlineStr">
        <is>
          <t>Closed</t>
        </is>
      </c>
      <c r="G1096" s="50" t="inlineStr">
        <is>
          <t>Mr. Harendresinh Jadeja</t>
        </is>
      </c>
      <c r="H1096" s="8" t="n">
        <v>9825182102</v>
      </c>
      <c r="I1096" s="10" t="inlineStr">
        <is>
          <t>PE19052601</t>
        </is>
      </c>
      <c r="J1096" s="8" t="inlineStr">
        <is>
          <t xml:space="preserve">Diode failure </t>
        </is>
      </c>
      <c r="K1096" s="8" t="inlineStr">
        <is>
          <t>Nakhatrana</t>
        </is>
      </c>
      <c r="L1096" s="8" t="inlineStr">
        <is>
          <t>Gujarat</t>
        </is>
      </c>
      <c r="M1096" s="2" t="inlineStr">
        <is>
          <t>PS</t>
        </is>
      </c>
      <c r="N1096" s="1" t="inlineStr">
        <is>
          <t>Cold Soldering</t>
        </is>
      </c>
      <c r="O1096" s="51" t="n">
        <v>580</v>
      </c>
      <c r="P1096" s="2" t="inlineStr">
        <is>
          <t>NSMI25011276838</t>
        </is>
      </c>
      <c r="Q1096" s="29">
        <f>MID(P1096,5,2)</f>
        <v/>
      </c>
      <c r="R1096" s="14">
        <f>MID(P1096,7,2)</f>
        <v/>
      </c>
      <c r="S1096" s="1" t="inlineStr">
        <is>
          <t>G2G</t>
        </is>
      </c>
      <c r="T1096" s="1" t="inlineStr">
        <is>
          <t>P4 - PEIPL</t>
        </is>
      </c>
      <c r="U1096" s="1" t="inlineStr">
        <is>
          <t>P JB Cold Soldering</t>
        </is>
      </c>
      <c r="V1096" s="1" t="inlineStr">
        <is>
          <t>Inspection</t>
        </is>
      </c>
      <c r="W1096" s="1" t="inlineStr">
        <is>
          <t>Repair</t>
        </is>
      </c>
      <c r="X1096" s="5" t="n">
        <v>46185</v>
      </c>
      <c r="Y1096" s="1">
        <f>IF(X1096="","",X1096-A1096)</f>
        <v/>
      </c>
      <c r="Z1096" s="5" t="n">
        <v>46185</v>
      </c>
      <c r="AA1096" s="3" t="n"/>
      <c r="AB1096" s="3" t="n"/>
      <c r="AE1096" s="146">
        <f>IF(AND(F1096="Closed",X1096&gt;=DATE(2026,6,1),X1096&lt;=DATE(2026,6,30)),"Closed in June","other")</f>
        <v/>
      </c>
    </row>
    <row r="1097" hidden="1">
      <c r="A1097" s="9" t="n">
        <v>46161</v>
      </c>
      <c r="B1097" s="1" t="n">
        <v>2026</v>
      </c>
      <c r="C1097" s="8" t="inlineStr">
        <is>
          <t>Continuum</t>
        </is>
      </c>
      <c r="D1097" s="11" t="inlineStr">
        <is>
          <t>Utility and C&amp;I</t>
        </is>
      </c>
      <c r="E1097" s="1" t="n"/>
      <c r="F1097" s="1" t="inlineStr">
        <is>
          <t>Closed</t>
        </is>
      </c>
      <c r="G1097" s="50" t="inlineStr">
        <is>
          <t>Mr. Harendresinh Jadeja</t>
        </is>
      </c>
      <c r="H1097" s="8" t="n">
        <v>9825182102</v>
      </c>
      <c r="I1097" s="10" t="inlineStr">
        <is>
          <t>PE19052601</t>
        </is>
      </c>
      <c r="J1097" s="8" t="inlineStr">
        <is>
          <t xml:space="preserve">Diode failure </t>
        </is>
      </c>
      <c r="K1097" s="8" t="inlineStr">
        <is>
          <t>Nakhatrana</t>
        </is>
      </c>
      <c r="L1097" s="8" t="inlineStr">
        <is>
          <t>Gujarat</t>
        </is>
      </c>
      <c r="M1097" s="2" t="inlineStr">
        <is>
          <t>PS</t>
        </is>
      </c>
      <c r="N1097" s="1" t="inlineStr">
        <is>
          <t>Cold Soldering</t>
        </is>
      </c>
      <c r="O1097" s="51" t="n">
        <v>580</v>
      </c>
      <c r="P1097" s="2" t="inlineStr">
        <is>
          <t>NSMI25011276830</t>
        </is>
      </c>
      <c r="Q1097" s="29">
        <f>MID(P1097,5,2)</f>
        <v/>
      </c>
      <c r="R1097" s="14">
        <f>MID(P1097,7,2)</f>
        <v/>
      </c>
      <c r="S1097" s="1" t="inlineStr">
        <is>
          <t>G2G</t>
        </is>
      </c>
      <c r="T1097" s="1" t="inlineStr">
        <is>
          <t>P4 - PEIPL</t>
        </is>
      </c>
      <c r="U1097" s="1" t="inlineStr">
        <is>
          <t>P JB Cold Soldering</t>
        </is>
      </c>
      <c r="V1097" s="1" t="inlineStr">
        <is>
          <t>Inspection</t>
        </is>
      </c>
      <c r="W1097" s="1" t="inlineStr">
        <is>
          <t>Repair</t>
        </is>
      </c>
      <c r="X1097" s="5" t="n">
        <v>46185</v>
      </c>
      <c r="Y1097" s="1">
        <f>IF(X1097="","",X1097-A1097)</f>
        <v/>
      </c>
      <c r="Z1097" s="5" t="n">
        <v>46185</v>
      </c>
      <c r="AA1097" s="3" t="n"/>
      <c r="AB1097" s="3" t="n"/>
      <c r="AE1097" s="146">
        <f>IF(AND(F1097="Closed",X1097&gt;=DATE(2026,6,1),X1097&lt;=DATE(2026,6,30)),"Closed in June","other")</f>
        <v/>
      </c>
    </row>
    <row r="1098" hidden="1">
      <c r="A1098" s="9" t="n">
        <v>46161</v>
      </c>
      <c r="B1098" s="1" t="n">
        <v>2026</v>
      </c>
      <c r="C1098" s="8" t="inlineStr">
        <is>
          <t>Continuum</t>
        </is>
      </c>
      <c r="D1098" s="11" t="inlineStr">
        <is>
          <t>Utility and C&amp;I</t>
        </is>
      </c>
      <c r="E1098" s="1" t="n"/>
      <c r="F1098" s="1" t="inlineStr">
        <is>
          <t>Closed</t>
        </is>
      </c>
      <c r="G1098" s="50" t="inlineStr">
        <is>
          <t>Mr. Harendresinh Jadeja</t>
        </is>
      </c>
      <c r="H1098" s="8" t="n">
        <v>9825182102</v>
      </c>
      <c r="I1098" s="10" t="inlineStr">
        <is>
          <t>PE19052601</t>
        </is>
      </c>
      <c r="J1098" s="8" t="inlineStr">
        <is>
          <t xml:space="preserve">Diode failure </t>
        </is>
      </c>
      <c r="K1098" s="8" t="inlineStr">
        <is>
          <t>Nakhatrana</t>
        </is>
      </c>
      <c r="L1098" s="8" t="inlineStr">
        <is>
          <t>Gujarat</t>
        </is>
      </c>
      <c r="M1098" s="2" t="inlineStr">
        <is>
          <t>NS</t>
        </is>
      </c>
      <c r="N1098" s="8" t="inlineStr">
        <is>
          <t>Cold Soldering</t>
        </is>
      </c>
      <c r="O1098" s="51" t="n">
        <v>580</v>
      </c>
      <c r="P1098" s="2" t="inlineStr">
        <is>
          <t>NSMI25011291211</t>
        </is>
      </c>
      <c r="Q1098" s="14">
        <f>MID(P1098,5,2)</f>
        <v/>
      </c>
      <c r="R1098" s="14">
        <f>MID(P1098,7,2)</f>
        <v/>
      </c>
      <c r="S1098" s="1" t="inlineStr">
        <is>
          <t>G2G</t>
        </is>
      </c>
      <c r="T1098" s="1" t="inlineStr">
        <is>
          <t>P4 - PEIPL</t>
        </is>
      </c>
      <c r="U1098" s="6" t="inlineStr">
        <is>
          <t>N JB Cold Soldering</t>
        </is>
      </c>
      <c r="V1098" s="1" t="inlineStr">
        <is>
          <t>Inspection</t>
        </is>
      </c>
      <c r="W1098" s="1" t="inlineStr">
        <is>
          <t>Repair</t>
        </is>
      </c>
      <c r="X1098" s="5" t="n">
        <v>46185</v>
      </c>
      <c r="Y1098" s="1">
        <f>IF(X1098="","",X1098-A1098)</f>
        <v/>
      </c>
      <c r="Z1098" s="5" t="n">
        <v>46185</v>
      </c>
      <c r="AA1098" s="3" t="n"/>
      <c r="AB1098" s="3" t="n"/>
      <c r="AE1098" s="146">
        <f>IF(AND(F1098="Closed",X1098&gt;=DATE(2026,6,1),X1098&lt;=DATE(2026,6,30)),"Closed in June","other")</f>
        <v/>
      </c>
    </row>
    <row r="1099" hidden="1">
      <c r="A1099" s="9" t="n">
        <v>46161</v>
      </c>
      <c r="B1099" s="1" t="n">
        <v>2026</v>
      </c>
      <c r="C1099" s="8" t="inlineStr">
        <is>
          <t>Continuum</t>
        </is>
      </c>
      <c r="D1099" s="11" t="inlineStr">
        <is>
          <t>Utility and C&amp;I</t>
        </is>
      </c>
      <c r="E1099" s="1" t="n"/>
      <c r="F1099" s="1" t="inlineStr">
        <is>
          <t>Closed</t>
        </is>
      </c>
      <c r="G1099" s="50" t="inlineStr">
        <is>
          <t>Mr. Harendresinh Jadeja</t>
        </is>
      </c>
      <c r="H1099" s="8" t="n">
        <v>9825182102</v>
      </c>
      <c r="I1099" s="10" t="inlineStr">
        <is>
          <t>PE19052601</t>
        </is>
      </c>
      <c r="J1099" s="8" t="inlineStr">
        <is>
          <t xml:space="preserve">Diode failure </t>
        </is>
      </c>
      <c r="K1099" s="8" t="inlineStr">
        <is>
          <t>Nakhatrana</t>
        </is>
      </c>
      <c r="L1099" s="8" t="inlineStr">
        <is>
          <t>Gujarat</t>
        </is>
      </c>
      <c r="M1099" s="2" t="inlineStr">
        <is>
          <t>NR</t>
        </is>
      </c>
      <c r="N1099" s="8" t="inlineStr">
        <is>
          <t>JB Issue</t>
        </is>
      </c>
      <c r="O1099" s="51" t="n">
        <v>580</v>
      </c>
      <c r="P1099" s="2" t="inlineStr">
        <is>
          <t>NSMI25011289797</t>
        </is>
      </c>
      <c r="Q1099" s="14">
        <f>MID(P1099,5,2)</f>
        <v/>
      </c>
      <c r="R1099" s="14">
        <f>MID(P1099,7,2)</f>
        <v/>
      </c>
      <c r="S1099" s="1" t="inlineStr">
        <is>
          <t>G2G</t>
        </is>
      </c>
      <c r="T1099" s="1" t="inlineStr">
        <is>
          <t>P4 - PEIPL</t>
        </is>
      </c>
      <c r="U1099" s="6" t="inlineStr">
        <is>
          <t>N JB Issue</t>
        </is>
      </c>
      <c r="V1099" s="1" t="inlineStr">
        <is>
          <t>Inspection</t>
        </is>
      </c>
      <c r="W1099" s="1" t="inlineStr">
        <is>
          <t>Repair</t>
        </is>
      </c>
      <c r="X1099" s="5" t="n">
        <v>46185</v>
      </c>
      <c r="Y1099" s="1">
        <f>IF(X1099="","",X1099-A1099)</f>
        <v/>
      </c>
      <c r="Z1099" s="5" t="n">
        <v>46185</v>
      </c>
      <c r="AA1099" s="3" t="n"/>
      <c r="AB1099" s="3" t="n"/>
      <c r="AE1099" s="146">
        <f>IF(AND(F1099="Closed",X1099&gt;=DATE(2026,6,1),X1099&lt;=DATE(2026,6,30)),"Closed in June","other")</f>
        <v/>
      </c>
    </row>
    <row r="1100" hidden="1">
      <c r="A1100" s="9" t="n">
        <v>46161</v>
      </c>
      <c r="B1100" s="1" t="n">
        <v>2026</v>
      </c>
      <c r="C1100" s="8" t="inlineStr">
        <is>
          <t>Continuum</t>
        </is>
      </c>
      <c r="D1100" s="11" t="inlineStr">
        <is>
          <t>Utility and C&amp;I</t>
        </is>
      </c>
      <c r="E1100" s="1" t="n"/>
      <c r="F1100" s="1" t="inlineStr">
        <is>
          <t>Closed</t>
        </is>
      </c>
      <c r="G1100" s="50" t="inlineStr">
        <is>
          <t>Mr. Harendresinh Jadeja</t>
        </is>
      </c>
      <c r="H1100" s="8" t="n">
        <v>9825182102</v>
      </c>
      <c r="I1100" s="10" t="inlineStr">
        <is>
          <t>PE19052601</t>
        </is>
      </c>
      <c r="J1100" s="8" t="inlineStr">
        <is>
          <t xml:space="preserve">Diode failure </t>
        </is>
      </c>
      <c r="K1100" s="8" t="inlineStr">
        <is>
          <t>Nakhatrana</t>
        </is>
      </c>
      <c r="L1100" s="8" t="inlineStr">
        <is>
          <t>Gujarat</t>
        </is>
      </c>
      <c r="M1100" s="2" t="inlineStr">
        <is>
          <t>PS</t>
        </is>
      </c>
      <c r="N1100" s="1" t="inlineStr">
        <is>
          <t>Cold Soldering</t>
        </is>
      </c>
      <c r="O1100" s="51" t="n">
        <v>580</v>
      </c>
      <c r="P1100" s="2" t="inlineStr">
        <is>
          <t>NSMI25011257804</t>
        </is>
      </c>
      <c r="Q1100" s="29">
        <f>MID(P1100,5,2)</f>
        <v/>
      </c>
      <c r="R1100" s="14">
        <f>MID(P1100,7,2)</f>
        <v/>
      </c>
      <c r="S1100" s="1" t="inlineStr">
        <is>
          <t>G2G</t>
        </is>
      </c>
      <c r="T1100" s="1" t="inlineStr">
        <is>
          <t>P4 - PEIPL</t>
        </is>
      </c>
      <c r="U1100" s="1" t="inlineStr">
        <is>
          <t>P JB Cold Soldering</t>
        </is>
      </c>
      <c r="V1100" s="1" t="inlineStr">
        <is>
          <t>Inspection</t>
        </is>
      </c>
      <c r="W1100" s="1" t="inlineStr">
        <is>
          <t>Repair</t>
        </is>
      </c>
      <c r="X1100" s="5" t="n">
        <v>46185</v>
      </c>
      <c r="Y1100" s="1">
        <f>IF(X1100="","",X1100-A1100)</f>
        <v/>
      </c>
      <c r="Z1100" s="5" t="n">
        <v>46185</v>
      </c>
      <c r="AA1100" s="3" t="n"/>
      <c r="AB1100" s="3" t="n"/>
      <c r="AE1100" s="146">
        <f>IF(AND(F1100="Closed",X1100&gt;=DATE(2026,6,1),X1100&lt;=DATE(2026,6,30)),"Closed in June","other")</f>
        <v/>
      </c>
    </row>
    <row r="1101" hidden="1">
      <c r="A1101" s="9" t="n">
        <v>46161</v>
      </c>
      <c r="B1101" s="1" t="n">
        <v>2026</v>
      </c>
      <c r="C1101" s="8" t="inlineStr">
        <is>
          <t>Continuum</t>
        </is>
      </c>
      <c r="D1101" s="11" t="inlineStr">
        <is>
          <t>Utility and C&amp;I</t>
        </is>
      </c>
      <c r="E1101" s="1" t="n"/>
      <c r="F1101" s="1" t="inlineStr">
        <is>
          <t>Closed</t>
        </is>
      </c>
      <c r="G1101" s="50" t="inlineStr">
        <is>
          <t>Mr. Harendresinh Jadeja</t>
        </is>
      </c>
      <c r="H1101" s="8" t="n">
        <v>9825182102</v>
      </c>
      <c r="I1101" s="10" t="inlineStr">
        <is>
          <t>PE19052601</t>
        </is>
      </c>
      <c r="J1101" s="8" t="inlineStr">
        <is>
          <t xml:space="preserve">Diode failure </t>
        </is>
      </c>
      <c r="K1101" s="8" t="inlineStr">
        <is>
          <t>Nakhatrana</t>
        </is>
      </c>
      <c r="L1101" s="8" t="inlineStr">
        <is>
          <t>Gujarat</t>
        </is>
      </c>
      <c r="M1101" s="2" t="inlineStr">
        <is>
          <t>PS</t>
        </is>
      </c>
      <c r="N1101" s="1" t="inlineStr">
        <is>
          <t>Cold Soldering</t>
        </is>
      </c>
      <c r="O1101" s="51" t="n">
        <v>580</v>
      </c>
      <c r="P1101" s="2" t="inlineStr">
        <is>
          <t>NSMI25011261068</t>
        </is>
      </c>
      <c r="Q1101" s="29">
        <f>MID(P1101,5,2)</f>
        <v/>
      </c>
      <c r="R1101" s="14">
        <f>MID(P1101,7,2)</f>
        <v/>
      </c>
      <c r="S1101" s="1" t="inlineStr">
        <is>
          <t>G2G</t>
        </is>
      </c>
      <c r="T1101" s="1" t="inlineStr">
        <is>
          <t>P4 - PEIPL</t>
        </is>
      </c>
      <c r="U1101" s="1" t="inlineStr">
        <is>
          <t>P JB Cold Soldering</t>
        </is>
      </c>
      <c r="V1101" s="1" t="inlineStr">
        <is>
          <t>Inspection</t>
        </is>
      </c>
      <c r="W1101" s="1" t="inlineStr">
        <is>
          <t>Repair</t>
        </is>
      </c>
      <c r="X1101" s="5" t="n">
        <v>46185</v>
      </c>
      <c r="Y1101" s="1">
        <f>IF(X1101="","",X1101-A1101)</f>
        <v/>
      </c>
      <c r="Z1101" s="5" t="n">
        <v>46185</v>
      </c>
      <c r="AA1101" s="3" t="n"/>
      <c r="AB1101" s="3" t="n"/>
      <c r="AE1101" s="146">
        <f>IF(AND(F1101="Closed",X1101&gt;=DATE(2026,6,1),X1101&lt;=DATE(2026,6,30)),"Closed in June","other")</f>
        <v/>
      </c>
    </row>
    <row r="1102" hidden="1">
      <c r="A1102" s="9" t="n">
        <v>46161</v>
      </c>
      <c r="B1102" s="1" t="n">
        <v>2026</v>
      </c>
      <c r="C1102" s="8" t="inlineStr">
        <is>
          <t>Continuum</t>
        </is>
      </c>
      <c r="D1102" s="11" t="inlineStr">
        <is>
          <t>Utility and C&amp;I</t>
        </is>
      </c>
      <c r="E1102" s="1" t="n"/>
      <c r="F1102" s="1" t="inlineStr">
        <is>
          <t>Closed</t>
        </is>
      </c>
      <c r="G1102" s="50" t="inlineStr">
        <is>
          <t>Mr. Harendresinh Jadeja</t>
        </is>
      </c>
      <c r="H1102" s="8" t="n">
        <v>9825182102</v>
      </c>
      <c r="I1102" s="10" t="inlineStr">
        <is>
          <t>PE19052601</t>
        </is>
      </c>
      <c r="J1102" s="8" t="inlineStr">
        <is>
          <t xml:space="preserve">Diode failure </t>
        </is>
      </c>
      <c r="K1102" s="8" t="inlineStr">
        <is>
          <t>Nakhatrana</t>
        </is>
      </c>
      <c r="L1102" s="8" t="inlineStr">
        <is>
          <t>Gujarat</t>
        </is>
      </c>
      <c r="M1102" s="2" t="inlineStr">
        <is>
          <t>NR</t>
        </is>
      </c>
      <c r="N1102" s="8" t="inlineStr">
        <is>
          <t>JB Issue</t>
        </is>
      </c>
      <c r="O1102" s="51" t="n">
        <v>580</v>
      </c>
      <c r="P1102" s="2" t="inlineStr">
        <is>
          <t>NSMI25011261033</t>
        </is>
      </c>
      <c r="Q1102" s="14">
        <f>MID(P1102,5,2)</f>
        <v/>
      </c>
      <c r="R1102" s="14">
        <f>MID(P1102,7,2)</f>
        <v/>
      </c>
      <c r="S1102" s="1" t="inlineStr">
        <is>
          <t>G2G</t>
        </is>
      </c>
      <c r="T1102" s="1" t="inlineStr">
        <is>
          <t>P4 - PEIPL</t>
        </is>
      </c>
      <c r="U1102" s="6" t="inlineStr">
        <is>
          <t>N JB Issue</t>
        </is>
      </c>
      <c r="V1102" s="1" t="inlineStr">
        <is>
          <t>Inspection</t>
        </is>
      </c>
      <c r="W1102" s="1" t="inlineStr">
        <is>
          <t>Repair</t>
        </is>
      </c>
      <c r="X1102" s="5" t="n">
        <v>46185</v>
      </c>
      <c r="Y1102" s="1">
        <f>IF(X1102="","",X1102-A1102)</f>
        <v/>
      </c>
      <c r="Z1102" s="5" t="n">
        <v>46185</v>
      </c>
      <c r="AA1102" s="3" t="n"/>
      <c r="AB1102" s="3" t="n"/>
      <c r="AE1102" s="146">
        <f>IF(AND(F1102="Closed",X1102&gt;=DATE(2026,6,1),X1102&lt;=DATE(2026,6,30)),"Closed in June","other")</f>
        <v/>
      </c>
    </row>
    <row r="1103" hidden="1">
      <c r="A1103" s="9" t="n">
        <v>46161</v>
      </c>
      <c r="B1103" s="1" t="n">
        <v>2026</v>
      </c>
      <c r="C1103" s="8" t="inlineStr">
        <is>
          <t>Continuum</t>
        </is>
      </c>
      <c r="D1103" s="11" t="inlineStr">
        <is>
          <t>Utility and C&amp;I</t>
        </is>
      </c>
      <c r="E1103" s="1" t="n"/>
      <c r="F1103" s="1" t="inlineStr">
        <is>
          <t>Closed</t>
        </is>
      </c>
      <c r="G1103" s="50" t="inlineStr">
        <is>
          <t>Mr. Harendresinh Jadeja</t>
        </is>
      </c>
      <c r="H1103" s="8" t="n">
        <v>9825182102</v>
      </c>
      <c r="I1103" s="10" t="inlineStr">
        <is>
          <t>PE19052601</t>
        </is>
      </c>
      <c r="J1103" s="8" t="inlineStr">
        <is>
          <t xml:space="preserve">Diode failure </t>
        </is>
      </c>
      <c r="K1103" s="8" t="inlineStr">
        <is>
          <t>Nakhatrana</t>
        </is>
      </c>
      <c r="L1103" s="8" t="inlineStr">
        <is>
          <t>Gujarat</t>
        </is>
      </c>
      <c r="M1103" s="2" t="inlineStr">
        <is>
          <t>PR</t>
        </is>
      </c>
      <c r="N1103" s="1" t="inlineStr">
        <is>
          <t>JB Issue</t>
        </is>
      </c>
      <c r="O1103" s="51" t="n">
        <v>580</v>
      </c>
      <c r="P1103" s="2" t="inlineStr">
        <is>
          <t>NSMI25011277149</t>
        </is>
      </c>
      <c r="Q1103" s="14">
        <f>MID(P1103,5,2)</f>
        <v/>
      </c>
      <c r="R1103" s="14">
        <f>MID(P1103,7,2)</f>
        <v/>
      </c>
      <c r="S1103" s="1" t="inlineStr">
        <is>
          <t>G2G</t>
        </is>
      </c>
      <c r="T1103" s="1" t="inlineStr">
        <is>
          <t>P4 - PEIPL</t>
        </is>
      </c>
      <c r="U1103" s="6" t="inlineStr">
        <is>
          <t>P JB Issue</t>
        </is>
      </c>
      <c r="V1103" s="1" t="inlineStr">
        <is>
          <t>Inspection</t>
        </is>
      </c>
      <c r="W1103" s="1" t="inlineStr">
        <is>
          <t>Repair</t>
        </is>
      </c>
      <c r="X1103" s="5" t="n">
        <v>46185</v>
      </c>
      <c r="Y1103" s="1">
        <f>IF(X1103="","",X1103-A1103)</f>
        <v/>
      </c>
      <c r="Z1103" s="5" t="n">
        <v>46185</v>
      </c>
      <c r="AA1103" s="3" t="n"/>
      <c r="AB1103" s="3" t="n"/>
      <c r="AE1103" s="146">
        <f>IF(AND(F1103="Closed",X1103&gt;=DATE(2026,6,1),X1103&lt;=DATE(2026,6,30)),"Closed in June","other")</f>
        <v/>
      </c>
    </row>
    <row r="1104" hidden="1">
      <c r="A1104" s="9" t="n">
        <v>46161</v>
      </c>
      <c r="B1104" s="1" t="n">
        <v>2026</v>
      </c>
      <c r="C1104" s="8" t="inlineStr">
        <is>
          <t>Continuum</t>
        </is>
      </c>
      <c r="D1104" s="11" t="inlineStr">
        <is>
          <t>Utility and C&amp;I</t>
        </is>
      </c>
      <c r="E1104" s="1" t="n"/>
      <c r="F1104" s="1" t="inlineStr">
        <is>
          <t>Closed</t>
        </is>
      </c>
      <c r="G1104" s="50" t="inlineStr">
        <is>
          <t>Mr. Harendresinh Jadeja</t>
        </is>
      </c>
      <c r="H1104" s="8" t="n">
        <v>9825182102</v>
      </c>
      <c r="I1104" s="10" t="inlineStr">
        <is>
          <t>PE19052601</t>
        </is>
      </c>
      <c r="J1104" s="8" t="inlineStr">
        <is>
          <t xml:space="preserve">Diode failure </t>
        </is>
      </c>
      <c r="K1104" s="8" t="inlineStr">
        <is>
          <t>Nakhatrana</t>
        </is>
      </c>
      <c r="L1104" s="8" t="inlineStr">
        <is>
          <t>Gujarat</t>
        </is>
      </c>
      <c r="M1104" s="2" t="inlineStr">
        <is>
          <t>PS</t>
        </is>
      </c>
      <c r="N1104" s="1" t="inlineStr">
        <is>
          <t>Cold Soldering</t>
        </is>
      </c>
      <c r="O1104" s="51" t="n">
        <v>580</v>
      </c>
      <c r="P1104" s="2" t="inlineStr">
        <is>
          <t>NSMI25011277158</t>
        </is>
      </c>
      <c r="Q1104" s="29">
        <f>MID(P1104,5,2)</f>
        <v/>
      </c>
      <c r="R1104" s="14">
        <f>MID(P1104,7,2)</f>
        <v/>
      </c>
      <c r="S1104" s="1" t="inlineStr">
        <is>
          <t>G2G</t>
        </is>
      </c>
      <c r="T1104" s="1" t="inlineStr">
        <is>
          <t>P4 - PEIPL</t>
        </is>
      </c>
      <c r="U1104" s="1" t="inlineStr">
        <is>
          <t>P JB Cold Soldering</t>
        </is>
      </c>
      <c r="V1104" s="1" t="inlineStr">
        <is>
          <t>Inspection</t>
        </is>
      </c>
      <c r="W1104" s="1" t="inlineStr">
        <is>
          <t>Repair</t>
        </is>
      </c>
      <c r="X1104" s="5" t="n">
        <v>46185</v>
      </c>
      <c r="Y1104" s="1">
        <f>IF(X1104="","",X1104-A1104)</f>
        <v/>
      </c>
      <c r="Z1104" s="5" t="n">
        <v>46185</v>
      </c>
      <c r="AA1104" s="3" t="n"/>
      <c r="AB1104" s="3" t="n"/>
      <c r="AE1104" s="146">
        <f>IF(AND(F1104="Closed",X1104&gt;=DATE(2026,6,1),X1104&lt;=DATE(2026,6,30)),"Closed in June","other")</f>
        <v/>
      </c>
    </row>
    <row r="1105" hidden="1">
      <c r="A1105" s="9" t="n">
        <v>46161</v>
      </c>
      <c r="B1105" s="1" t="n">
        <v>2026</v>
      </c>
      <c r="C1105" s="8" t="inlineStr">
        <is>
          <t>Continuum</t>
        </is>
      </c>
      <c r="D1105" s="11" t="inlineStr">
        <is>
          <t>Utility and C&amp;I</t>
        </is>
      </c>
      <c r="E1105" s="1" t="n"/>
      <c r="F1105" s="1" t="inlineStr">
        <is>
          <t>Closed</t>
        </is>
      </c>
      <c r="G1105" s="50" t="inlineStr">
        <is>
          <t>Mr. Harendresinh Jadeja</t>
        </is>
      </c>
      <c r="H1105" s="8" t="n">
        <v>9825182102</v>
      </c>
      <c r="I1105" s="10" t="inlineStr">
        <is>
          <t>PE19052601</t>
        </is>
      </c>
      <c r="J1105" s="8" t="inlineStr">
        <is>
          <t xml:space="preserve">Diode failure </t>
        </is>
      </c>
      <c r="K1105" s="8" t="inlineStr">
        <is>
          <t>Nakhatrana</t>
        </is>
      </c>
      <c r="L1105" s="8" t="inlineStr">
        <is>
          <t>Gujarat</t>
        </is>
      </c>
      <c r="M1105" s="2" t="inlineStr">
        <is>
          <t>PS</t>
        </is>
      </c>
      <c r="N1105" s="1" t="inlineStr">
        <is>
          <t>Cold Soldering</t>
        </is>
      </c>
      <c r="O1105" s="51" t="n">
        <v>580</v>
      </c>
      <c r="P1105" s="2" t="inlineStr">
        <is>
          <t>NSMI25011276338</t>
        </is>
      </c>
      <c r="Q1105" s="29">
        <f>MID(P1105,5,2)</f>
        <v/>
      </c>
      <c r="R1105" s="14">
        <f>MID(P1105,7,2)</f>
        <v/>
      </c>
      <c r="S1105" s="1" t="inlineStr">
        <is>
          <t>G2G</t>
        </is>
      </c>
      <c r="T1105" s="1" t="inlineStr">
        <is>
          <t>P4 - PEIPL</t>
        </is>
      </c>
      <c r="U1105" s="1" t="inlineStr">
        <is>
          <t>P JB Cold Soldering</t>
        </is>
      </c>
      <c r="V1105" s="1" t="inlineStr">
        <is>
          <t>Inspection</t>
        </is>
      </c>
      <c r="W1105" s="1" t="inlineStr">
        <is>
          <t>Repair</t>
        </is>
      </c>
      <c r="X1105" s="5" t="n">
        <v>46185</v>
      </c>
      <c r="Y1105" s="1">
        <f>IF(X1105="","",X1105-A1105)</f>
        <v/>
      </c>
      <c r="Z1105" s="5" t="n">
        <v>46185</v>
      </c>
      <c r="AA1105" s="3" t="n"/>
      <c r="AB1105" s="3" t="n"/>
      <c r="AE1105" s="146">
        <f>IF(AND(F1105="Closed",X1105&gt;=DATE(2026,6,1),X1105&lt;=DATE(2026,6,30)),"Closed in June","other")</f>
        <v/>
      </c>
    </row>
    <row r="1106" hidden="1">
      <c r="A1106" s="9" t="n">
        <v>46161</v>
      </c>
      <c r="B1106" s="1" t="n">
        <v>2026</v>
      </c>
      <c r="C1106" s="8" t="inlineStr">
        <is>
          <t>Continuum</t>
        </is>
      </c>
      <c r="D1106" s="11" t="inlineStr">
        <is>
          <t>Utility and C&amp;I</t>
        </is>
      </c>
      <c r="E1106" s="1" t="n"/>
      <c r="F1106" s="1" t="inlineStr">
        <is>
          <t>Closed</t>
        </is>
      </c>
      <c r="G1106" s="50" t="inlineStr">
        <is>
          <t>Mr. Harendresinh Jadeja</t>
        </is>
      </c>
      <c r="H1106" s="8" t="n">
        <v>9825182102</v>
      </c>
      <c r="I1106" s="10" t="inlineStr">
        <is>
          <t>PE19052601</t>
        </is>
      </c>
      <c r="J1106" s="8" t="inlineStr">
        <is>
          <t xml:space="preserve">Diode failure </t>
        </is>
      </c>
      <c r="K1106" s="8" t="inlineStr">
        <is>
          <t>Nakhatrana</t>
        </is>
      </c>
      <c r="L1106" s="8" t="inlineStr">
        <is>
          <t>Gujarat</t>
        </is>
      </c>
      <c r="M1106" s="2" t="inlineStr">
        <is>
          <t>OK</t>
        </is>
      </c>
      <c r="N1106" s="2" t="inlineStr">
        <is>
          <t>No Issue Found</t>
        </is>
      </c>
      <c r="O1106" s="51" t="n">
        <v>580</v>
      </c>
      <c r="P1106" s="2" t="inlineStr">
        <is>
          <t>NSMI25112144194</t>
        </is>
      </c>
      <c r="Q1106" s="14">
        <f>MID(P1106,5,2)</f>
        <v/>
      </c>
      <c r="R1106" s="14">
        <f>MID(P1106,7,2)</f>
        <v/>
      </c>
      <c r="S1106" s="1" t="inlineStr">
        <is>
          <t>G2G</t>
        </is>
      </c>
      <c r="T1106" s="1" t="inlineStr">
        <is>
          <t>P2 - PEPPL</t>
        </is>
      </c>
      <c r="U1106" s="6" t="inlineStr">
        <is>
          <t>No Issue Found</t>
        </is>
      </c>
      <c r="V1106" s="1" t="inlineStr">
        <is>
          <t>Inspection</t>
        </is>
      </c>
      <c r="W1106" s="1" t="inlineStr">
        <is>
          <t>Rejected</t>
        </is>
      </c>
      <c r="X1106" s="5" t="n">
        <v>46185</v>
      </c>
      <c r="Y1106" s="1">
        <f>IF(X1106="","",X1106-A1106)</f>
        <v/>
      </c>
      <c r="Z1106" s="5" t="n">
        <v>46185</v>
      </c>
      <c r="AA1106" s="3" t="n"/>
      <c r="AB1106" s="3" t="n"/>
      <c r="AE1106" s="146">
        <f>IF(AND(F1106="Closed",X1106&gt;=DATE(2026,6,1),X1106&lt;=DATE(2026,6,30)),"Closed in June","other")</f>
        <v/>
      </c>
    </row>
    <row r="1107" hidden="1">
      <c r="A1107" s="9" t="n">
        <v>46161</v>
      </c>
      <c r="B1107" s="1" t="n">
        <v>2026</v>
      </c>
      <c r="C1107" s="8" t="inlineStr">
        <is>
          <t>Continuum</t>
        </is>
      </c>
      <c r="D1107" s="11" t="inlineStr">
        <is>
          <t>Utility and C&amp;I</t>
        </is>
      </c>
      <c r="E1107" s="1" t="n"/>
      <c r="F1107" s="1" t="inlineStr">
        <is>
          <t>Closed</t>
        </is>
      </c>
      <c r="G1107" s="50" t="inlineStr">
        <is>
          <t>Mr. Harendresinh Jadeja</t>
        </is>
      </c>
      <c r="H1107" s="8" t="n">
        <v>9825182102</v>
      </c>
      <c r="I1107" s="10" t="inlineStr">
        <is>
          <t>PE19052601</t>
        </is>
      </c>
      <c r="J1107" s="8" t="inlineStr">
        <is>
          <t xml:space="preserve">Diode failure </t>
        </is>
      </c>
      <c r="K1107" s="8" t="inlineStr">
        <is>
          <t>Nakhatrana</t>
        </is>
      </c>
      <c r="L1107" s="8" t="inlineStr">
        <is>
          <t>Gujarat</t>
        </is>
      </c>
      <c r="M1107" s="2" t="inlineStr">
        <is>
          <t>PS</t>
        </is>
      </c>
      <c r="N1107" s="1" t="inlineStr">
        <is>
          <t>Cold Soldering</t>
        </is>
      </c>
      <c r="O1107" s="51" t="n">
        <v>580</v>
      </c>
      <c r="P1107" s="2" t="inlineStr">
        <is>
          <t>NSMI25011260312</t>
        </is>
      </c>
      <c r="Q1107" s="29">
        <f>MID(P1107,5,2)</f>
        <v/>
      </c>
      <c r="R1107" s="14">
        <f>MID(P1107,7,2)</f>
        <v/>
      </c>
      <c r="S1107" s="1" t="inlineStr">
        <is>
          <t>G2G</t>
        </is>
      </c>
      <c r="T1107" s="1" t="inlineStr">
        <is>
          <t>P4 - PEIPL</t>
        </is>
      </c>
      <c r="U1107" s="1" t="inlineStr">
        <is>
          <t>P JB Cold Soldering</t>
        </is>
      </c>
      <c r="V1107" s="1" t="inlineStr">
        <is>
          <t>Inspection</t>
        </is>
      </c>
      <c r="W1107" s="1" t="inlineStr">
        <is>
          <t>Repair</t>
        </is>
      </c>
      <c r="X1107" s="5" t="n">
        <v>46185</v>
      </c>
      <c r="Y1107" s="1">
        <f>IF(X1107="","",X1107-A1107)</f>
        <v/>
      </c>
      <c r="Z1107" s="5" t="n">
        <v>46185</v>
      </c>
      <c r="AA1107" s="3" t="n"/>
      <c r="AB1107" s="3" t="n"/>
      <c r="AE1107" s="146">
        <f>IF(AND(F1107="Closed",X1107&gt;=DATE(2026,6,1),X1107&lt;=DATE(2026,6,30)),"Closed in June","other")</f>
        <v/>
      </c>
    </row>
    <row r="1108" hidden="1">
      <c r="A1108" s="9" t="n">
        <v>46161</v>
      </c>
      <c r="B1108" s="1" t="n">
        <v>2026</v>
      </c>
      <c r="C1108" s="8" t="inlineStr">
        <is>
          <t>Continuum</t>
        </is>
      </c>
      <c r="D1108" s="11" t="inlineStr">
        <is>
          <t>Utility and C&amp;I</t>
        </is>
      </c>
      <c r="E1108" s="1" t="n"/>
      <c r="F1108" s="1" t="inlineStr">
        <is>
          <t>Closed</t>
        </is>
      </c>
      <c r="G1108" s="50" t="inlineStr">
        <is>
          <t>Mr. Harendresinh Jadeja</t>
        </is>
      </c>
      <c r="H1108" s="8" t="n">
        <v>9825182102</v>
      </c>
      <c r="I1108" s="10" t="inlineStr">
        <is>
          <t>PE19052601</t>
        </is>
      </c>
      <c r="J1108" s="8" t="inlineStr">
        <is>
          <t xml:space="preserve">Diode failure </t>
        </is>
      </c>
      <c r="K1108" s="8" t="inlineStr">
        <is>
          <t>Nakhatrana</t>
        </is>
      </c>
      <c r="L1108" s="8" t="inlineStr">
        <is>
          <t>Gujarat</t>
        </is>
      </c>
      <c r="M1108" s="2" t="inlineStr">
        <is>
          <t>PS</t>
        </is>
      </c>
      <c r="N1108" s="1" t="inlineStr">
        <is>
          <t>Cold Soldering</t>
        </is>
      </c>
      <c r="O1108" s="51" t="n">
        <v>580</v>
      </c>
      <c r="P1108" s="2" t="inlineStr">
        <is>
          <t>NSMI25011260378</t>
        </is>
      </c>
      <c r="Q1108" s="29">
        <f>MID(P1108,5,2)</f>
        <v/>
      </c>
      <c r="R1108" s="14">
        <f>MID(P1108,7,2)</f>
        <v/>
      </c>
      <c r="S1108" s="1" t="inlineStr">
        <is>
          <t>G2G</t>
        </is>
      </c>
      <c r="T1108" s="1" t="inlineStr">
        <is>
          <t>P4 - PEIPL</t>
        </is>
      </c>
      <c r="U1108" s="1" t="inlineStr">
        <is>
          <t>P JB Cold Soldering</t>
        </is>
      </c>
      <c r="V1108" s="1" t="inlineStr">
        <is>
          <t>Inspection</t>
        </is>
      </c>
      <c r="W1108" s="1" t="inlineStr">
        <is>
          <t>Repair</t>
        </is>
      </c>
      <c r="X1108" s="5" t="n">
        <v>46185</v>
      </c>
      <c r="Y1108" s="1">
        <f>IF(X1108="","",X1108-A1108)</f>
        <v/>
      </c>
      <c r="Z1108" s="5" t="n">
        <v>46185</v>
      </c>
      <c r="AA1108" s="3" t="n"/>
      <c r="AB1108" s="3" t="n"/>
      <c r="AE1108" s="146">
        <f>IF(AND(F1108="Closed",X1108&gt;=DATE(2026,6,1),X1108&lt;=DATE(2026,6,30)),"Closed in June","other")</f>
        <v/>
      </c>
    </row>
    <row r="1109" hidden="1">
      <c r="A1109" s="9" t="n">
        <v>46161</v>
      </c>
      <c r="B1109" s="1" t="n">
        <v>2026</v>
      </c>
      <c r="C1109" s="8" t="inlineStr">
        <is>
          <t>Continuum</t>
        </is>
      </c>
      <c r="D1109" s="11" t="inlineStr">
        <is>
          <t>Utility and C&amp;I</t>
        </is>
      </c>
      <c r="E1109" s="1" t="n"/>
      <c r="F1109" s="1" t="inlineStr">
        <is>
          <t>Closed</t>
        </is>
      </c>
      <c r="G1109" s="50" t="inlineStr">
        <is>
          <t>Mr. Harendresinh Jadeja</t>
        </is>
      </c>
      <c r="H1109" s="8" t="n">
        <v>9825182102</v>
      </c>
      <c r="I1109" s="10" t="inlineStr">
        <is>
          <t>PE19052601</t>
        </is>
      </c>
      <c r="J1109" s="8" t="inlineStr">
        <is>
          <t xml:space="preserve">Diode failure </t>
        </is>
      </c>
      <c r="K1109" s="8" t="inlineStr">
        <is>
          <t>Nakhatrana</t>
        </is>
      </c>
      <c r="L1109" s="8" t="inlineStr">
        <is>
          <t>Gujarat</t>
        </is>
      </c>
      <c r="M1109" s="2" t="inlineStr">
        <is>
          <t>NS</t>
        </is>
      </c>
      <c r="N1109" s="8" t="inlineStr">
        <is>
          <t>Cold Soldering</t>
        </is>
      </c>
      <c r="O1109" s="51" t="n">
        <v>580</v>
      </c>
      <c r="P1109" s="2" t="inlineStr">
        <is>
          <t>NSMI25011265219</t>
        </is>
      </c>
      <c r="Q1109" s="14">
        <f>MID(P1109,5,2)</f>
        <v/>
      </c>
      <c r="R1109" s="14">
        <f>MID(P1109,7,2)</f>
        <v/>
      </c>
      <c r="S1109" s="1" t="inlineStr">
        <is>
          <t>G2G</t>
        </is>
      </c>
      <c r="T1109" s="1" t="inlineStr">
        <is>
          <t>P4 - PEIPL</t>
        </is>
      </c>
      <c r="U1109" s="6" t="inlineStr">
        <is>
          <t>N JB Cold Soldering</t>
        </is>
      </c>
      <c r="V1109" s="1" t="inlineStr">
        <is>
          <t>Inspection</t>
        </is>
      </c>
      <c r="W1109" s="1" t="inlineStr">
        <is>
          <t>Repair</t>
        </is>
      </c>
      <c r="X1109" s="5" t="n">
        <v>46185</v>
      </c>
      <c r="Y1109" s="1">
        <f>IF(X1109="","",X1109-A1109)</f>
        <v/>
      </c>
      <c r="Z1109" s="5" t="n">
        <v>46185</v>
      </c>
      <c r="AA1109" s="3" t="n"/>
      <c r="AB1109" s="3" t="n"/>
      <c r="AE1109" s="146">
        <f>IF(AND(F1109="Closed",X1109&gt;=DATE(2026,6,1),X1109&lt;=DATE(2026,6,30)),"Closed in June","other")</f>
        <v/>
      </c>
    </row>
    <row r="1110" hidden="1">
      <c r="A1110" s="9" t="n">
        <v>46161</v>
      </c>
      <c r="B1110" s="1" t="n">
        <v>2026</v>
      </c>
      <c r="C1110" s="8" t="inlineStr">
        <is>
          <t>Continuum</t>
        </is>
      </c>
      <c r="D1110" s="11" t="inlineStr">
        <is>
          <t>Utility and C&amp;I</t>
        </is>
      </c>
      <c r="E1110" s="1" t="n"/>
      <c r="F1110" s="1" t="inlineStr">
        <is>
          <t>Closed</t>
        </is>
      </c>
      <c r="G1110" s="50" t="inlineStr">
        <is>
          <t>Mr. Harendresinh Jadeja</t>
        </is>
      </c>
      <c r="H1110" s="8" t="n">
        <v>9825182102</v>
      </c>
      <c r="I1110" s="10" t="inlineStr">
        <is>
          <t>PE19052601</t>
        </is>
      </c>
      <c r="J1110" s="8" t="inlineStr">
        <is>
          <t xml:space="preserve">Diode failure </t>
        </is>
      </c>
      <c r="K1110" s="8" t="inlineStr">
        <is>
          <t>Nakhatrana</t>
        </is>
      </c>
      <c r="L1110" s="8" t="inlineStr">
        <is>
          <t>Gujarat</t>
        </is>
      </c>
      <c r="M1110" s="2" t="inlineStr">
        <is>
          <t>PS</t>
        </is>
      </c>
      <c r="N1110" s="1" t="inlineStr">
        <is>
          <t>Cold Soldering</t>
        </is>
      </c>
      <c r="O1110" s="51" t="n">
        <v>580</v>
      </c>
      <c r="P1110" s="2" t="inlineStr">
        <is>
          <t>NSMI25011289674</t>
        </is>
      </c>
      <c r="Q1110" s="29">
        <f>MID(P1110,5,2)</f>
        <v/>
      </c>
      <c r="R1110" s="14">
        <f>MID(P1110,7,2)</f>
        <v/>
      </c>
      <c r="S1110" s="1" t="inlineStr">
        <is>
          <t>G2G</t>
        </is>
      </c>
      <c r="T1110" s="1" t="inlineStr">
        <is>
          <t>P4 - PEIPL</t>
        </is>
      </c>
      <c r="U1110" s="1" t="inlineStr">
        <is>
          <t>P JB Cold Soldering</t>
        </is>
      </c>
      <c r="V1110" s="1" t="inlineStr">
        <is>
          <t>Inspection</t>
        </is>
      </c>
      <c r="W1110" s="1" t="inlineStr">
        <is>
          <t>Repair</t>
        </is>
      </c>
      <c r="X1110" s="5" t="n">
        <v>46185</v>
      </c>
      <c r="Y1110" s="1">
        <f>IF(X1110="","",X1110-A1110)</f>
        <v/>
      </c>
      <c r="Z1110" s="5" t="n">
        <v>46185</v>
      </c>
      <c r="AA1110" s="3" t="n"/>
      <c r="AB1110" s="3" t="n"/>
      <c r="AE1110" s="146">
        <f>IF(AND(F1110="Closed",X1110&gt;=DATE(2026,6,1),X1110&lt;=DATE(2026,6,30)),"Closed in June","other")</f>
        <v/>
      </c>
    </row>
    <row r="1111" hidden="1">
      <c r="A1111" s="9" t="n">
        <v>46161</v>
      </c>
      <c r="B1111" s="1" t="n">
        <v>2026</v>
      </c>
      <c r="C1111" s="8" t="inlineStr">
        <is>
          <t>Continuum</t>
        </is>
      </c>
      <c r="D1111" s="11" t="inlineStr">
        <is>
          <t>Utility and C&amp;I</t>
        </is>
      </c>
      <c r="E1111" s="1" t="n"/>
      <c r="F1111" s="1" t="inlineStr">
        <is>
          <t>Closed</t>
        </is>
      </c>
      <c r="G1111" s="50" t="inlineStr">
        <is>
          <t>Mr. Harendresinh Jadeja</t>
        </is>
      </c>
      <c r="H1111" s="8" t="n">
        <v>9825182102</v>
      </c>
      <c r="I1111" s="10" t="inlineStr">
        <is>
          <t>PE19052601</t>
        </is>
      </c>
      <c r="J1111" s="8" t="inlineStr">
        <is>
          <t xml:space="preserve">Diode failure </t>
        </is>
      </c>
      <c r="K1111" s="8" t="inlineStr">
        <is>
          <t>Nakhatrana</t>
        </is>
      </c>
      <c r="L1111" s="8" t="inlineStr">
        <is>
          <t>Gujarat</t>
        </is>
      </c>
      <c r="M1111" s="2" t="inlineStr">
        <is>
          <t>PS</t>
        </is>
      </c>
      <c r="N1111" s="1" t="inlineStr">
        <is>
          <t>Cold Soldering</t>
        </is>
      </c>
      <c r="O1111" s="51" t="n">
        <v>580</v>
      </c>
      <c r="P1111" s="2" t="inlineStr">
        <is>
          <t>NSMI25011275817</t>
        </is>
      </c>
      <c r="Q1111" s="29">
        <f>MID(P1111,5,2)</f>
        <v/>
      </c>
      <c r="R1111" s="14">
        <f>MID(P1111,7,2)</f>
        <v/>
      </c>
      <c r="S1111" s="1" t="inlineStr">
        <is>
          <t>G2G</t>
        </is>
      </c>
      <c r="T1111" s="1" t="inlineStr">
        <is>
          <t>P4 - PEIPL</t>
        </is>
      </c>
      <c r="U1111" s="1" t="inlineStr">
        <is>
          <t>P JB Cold Soldering</t>
        </is>
      </c>
      <c r="V1111" s="1" t="inlineStr">
        <is>
          <t>Inspection</t>
        </is>
      </c>
      <c r="W1111" s="1" t="inlineStr">
        <is>
          <t>Repair</t>
        </is>
      </c>
      <c r="X1111" s="5" t="n">
        <v>46185</v>
      </c>
      <c r="Y1111" s="1">
        <f>IF(X1111="","",X1111-A1111)</f>
        <v/>
      </c>
      <c r="Z1111" s="5" t="n">
        <v>46185</v>
      </c>
      <c r="AA1111" s="3" t="n"/>
      <c r="AB1111" s="3" t="n"/>
      <c r="AE1111" s="146">
        <f>IF(AND(F1111="Closed",X1111&gt;=DATE(2026,6,1),X1111&lt;=DATE(2026,6,30)),"Closed in June","other")</f>
        <v/>
      </c>
    </row>
    <row r="1112" hidden="1">
      <c r="A1112" s="9" t="n">
        <v>46161</v>
      </c>
      <c r="B1112" s="1" t="n">
        <v>2026</v>
      </c>
      <c r="C1112" s="8" t="inlineStr">
        <is>
          <t>Continuum</t>
        </is>
      </c>
      <c r="D1112" s="11" t="inlineStr">
        <is>
          <t>Utility and C&amp;I</t>
        </is>
      </c>
      <c r="E1112" s="1" t="n"/>
      <c r="F1112" s="1" t="inlineStr">
        <is>
          <t>Closed</t>
        </is>
      </c>
      <c r="G1112" s="50" t="inlineStr">
        <is>
          <t>Mr. Harendresinh Jadeja</t>
        </is>
      </c>
      <c r="H1112" s="8" t="n">
        <v>9825182102</v>
      </c>
      <c r="I1112" s="10" t="inlineStr">
        <is>
          <t>PE19052601</t>
        </is>
      </c>
      <c r="J1112" s="8" t="inlineStr">
        <is>
          <t xml:space="preserve">Diode failure </t>
        </is>
      </c>
      <c r="K1112" s="8" t="inlineStr">
        <is>
          <t>Nakhatrana</t>
        </is>
      </c>
      <c r="L1112" s="8" t="inlineStr">
        <is>
          <t>Gujarat</t>
        </is>
      </c>
      <c r="M1112" s="2" t="inlineStr">
        <is>
          <t>OK</t>
        </is>
      </c>
      <c r="N1112" s="2" t="inlineStr">
        <is>
          <t>No Issue Found</t>
        </is>
      </c>
      <c r="O1112" s="51" t="n">
        <v>580</v>
      </c>
      <c r="P1112" s="2" t="inlineStr">
        <is>
          <t>NSMI25011265340</t>
        </is>
      </c>
      <c r="Q1112" s="14">
        <f>MID(P1112,5,2)</f>
        <v/>
      </c>
      <c r="R1112" s="14">
        <f>MID(P1112,7,2)</f>
        <v/>
      </c>
      <c r="S1112" s="1" t="inlineStr">
        <is>
          <t>G2G</t>
        </is>
      </c>
      <c r="T1112" s="1" t="inlineStr">
        <is>
          <t>P2 - PEPPL</t>
        </is>
      </c>
      <c r="U1112" s="6" t="inlineStr">
        <is>
          <t>No Issue Found</t>
        </is>
      </c>
      <c r="V1112" s="1" t="inlineStr">
        <is>
          <t>Inspection</t>
        </is>
      </c>
      <c r="W1112" s="1" t="inlineStr">
        <is>
          <t>Rejected</t>
        </is>
      </c>
      <c r="X1112" s="5" t="n">
        <v>46185</v>
      </c>
      <c r="Y1112" s="1">
        <f>IF(X1112="","",X1112-A1112)</f>
        <v/>
      </c>
      <c r="Z1112" s="5" t="n">
        <v>46185</v>
      </c>
      <c r="AA1112" s="3" t="n"/>
      <c r="AB1112" s="3" t="n"/>
      <c r="AE1112" s="146">
        <f>IF(AND(F1112="Closed",X1112&gt;=DATE(2026,6,1),X1112&lt;=DATE(2026,6,30)),"Closed in June","other")</f>
        <v/>
      </c>
    </row>
    <row r="1113" hidden="1">
      <c r="A1113" s="9" t="n">
        <v>46161</v>
      </c>
      <c r="B1113" s="1" t="n">
        <v>2026</v>
      </c>
      <c r="C1113" s="8" t="inlineStr">
        <is>
          <t>Continuum</t>
        </is>
      </c>
      <c r="D1113" s="11" t="inlineStr">
        <is>
          <t>Utility and C&amp;I</t>
        </is>
      </c>
      <c r="E1113" s="1" t="n"/>
      <c r="F1113" s="1" t="inlineStr">
        <is>
          <t>Closed</t>
        </is>
      </c>
      <c r="G1113" s="50" t="inlineStr">
        <is>
          <t>Mr. Harendresinh Jadeja</t>
        </is>
      </c>
      <c r="H1113" s="8" t="n">
        <v>9825182102</v>
      </c>
      <c r="I1113" s="10" t="inlineStr">
        <is>
          <t>PE19052601</t>
        </is>
      </c>
      <c r="J1113" s="8" t="inlineStr">
        <is>
          <t xml:space="preserve">Diode failure </t>
        </is>
      </c>
      <c r="K1113" s="8" t="inlineStr">
        <is>
          <t>Nakhatrana</t>
        </is>
      </c>
      <c r="L1113" s="8" t="inlineStr">
        <is>
          <t>Gujarat</t>
        </is>
      </c>
      <c r="M1113" s="2" t="inlineStr">
        <is>
          <t>PS</t>
        </is>
      </c>
      <c r="N1113" s="1" t="inlineStr">
        <is>
          <t>Cold Soldering</t>
        </is>
      </c>
      <c r="O1113" s="51" t="n">
        <v>580</v>
      </c>
      <c r="P1113" s="2" t="inlineStr">
        <is>
          <t>NSMI25011263628</t>
        </is>
      </c>
      <c r="Q1113" s="29">
        <f>MID(P1113,5,2)</f>
        <v/>
      </c>
      <c r="R1113" s="14">
        <f>MID(P1113,7,2)</f>
        <v/>
      </c>
      <c r="S1113" s="1" t="inlineStr">
        <is>
          <t>G2G</t>
        </is>
      </c>
      <c r="T1113" s="1" t="inlineStr">
        <is>
          <t>P4 - PEIPL</t>
        </is>
      </c>
      <c r="U1113" s="1" t="inlineStr">
        <is>
          <t>P JB Cold Soldering</t>
        </is>
      </c>
      <c r="V1113" s="1" t="inlineStr">
        <is>
          <t>Inspection</t>
        </is>
      </c>
      <c r="W1113" s="1" t="inlineStr">
        <is>
          <t>Repair</t>
        </is>
      </c>
      <c r="X1113" s="5" t="n">
        <v>46185</v>
      </c>
      <c r="Y1113" s="1">
        <f>IF(X1113="","",X1113-A1113)</f>
        <v/>
      </c>
      <c r="Z1113" s="5" t="n">
        <v>46185</v>
      </c>
      <c r="AA1113" s="3" t="n"/>
      <c r="AB1113" s="3" t="n"/>
      <c r="AE1113" s="146">
        <f>IF(AND(F1113="Closed",X1113&gt;=DATE(2026,6,1),X1113&lt;=DATE(2026,6,30)),"Closed in June","other")</f>
        <v/>
      </c>
    </row>
    <row r="1114" hidden="1">
      <c r="A1114" s="9" t="n">
        <v>46161</v>
      </c>
      <c r="B1114" s="1" t="n">
        <v>2026</v>
      </c>
      <c r="C1114" s="8" t="inlineStr">
        <is>
          <t>Continuum</t>
        </is>
      </c>
      <c r="D1114" s="11" t="inlineStr">
        <is>
          <t>Utility and C&amp;I</t>
        </is>
      </c>
      <c r="E1114" s="1" t="n"/>
      <c r="F1114" s="1" t="inlineStr">
        <is>
          <t>Closed</t>
        </is>
      </c>
      <c r="G1114" s="50" t="inlineStr">
        <is>
          <t>Mr. Harendresinh Jadeja</t>
        </is>
      </c>
      <c r="H1114" s="8" t="n">
        <v>9825182102</v>
      </c>
      <c r="I1114" s="10" t="inlineStr">
        <is>
          <t>PE19052601</t>
        </is>
      </c>
      <c r="J1114" s="8" t="inlineStr">
        <is>
          <t xml:space="preserve">Diode failure </t>
        </is>
      </c>
      <c r="K1114" s="8" t="inlineStr">
        <is>
          <t>Nakhatrana</t>
        </is>
      </c>
      <c r="L1114" s="8" t="inlineStr">
        <is>
          <t>Gujarat</t>
        </is>
      </c>
      <c r="M1114" s="2" t="inlineStr">
        <is>
          <t>PS</t>
        </is>
      </c>
      <c r="N1114" s="1" t="inlineStr">
        <is>
          <t>Cold Soldering</t>
        </is>
      </c>
      <c r="O1114" s="51" t="n">
        <v>580</v>
      </c>
      <c r="P1114" s="2" t="inlineStr">
        <is>
          <t>NSMI25011264774</t>
        </is>
      </c>
      <c r="Q1114" s="29">
        <f>MID(P1114,5,2)</f>
        <v/>
      </c>
      <c r="R1114" s="14">
        <f>MID(P1114,7,2)</f>
        <v/>
      </c>
      <c r="S1114" s="1" t="inlineStr">
        <is>
          <t>G2G</t>
        </is>
      </c>
      <c r="T1114" s="1" t="inlineStr">
        <is>
          <t>P4 - PEIPL</t>
        </is>
      </c>
      <c r="U1114" s="1" t="inlineStr">
        <is>
          <t>P JB Cold Soldering</t>
        </is>
      </c>
      <c r="V1114" s="1" t="inlineStr">
        <is>
          <t>Inspection</t>
        </is>
      </c>
      <c r="W1114" s="1" t="inlineStr">
        <is>
          <t>Repair</t>
        </is>
      </c>
      <c r="X1114" s="5" t="n">
        <v>46185</v>
      </c>
      <c r="Y1114" s="1">
        <f>IF(X1114="","",X1114-A1114)</f>
        <v/>
      </c>
      <c r="Z1114" s="5" t="n">
        <v>46185</v>
      </c>
      <c r="AA1114" s="3" t="n"/>
      <c r="AB1114" s="3" t="n"/>
      <c r="AE1114" s="146">
        <f>IF(AND(F1114="Closed",X1114&gt;=DATE(2026,6,1),X1114&lt;=DATE(2026,6,30)),"Closed in June","other")</f>
        <v/>
      </c>
    </row>
    <row r="1115" hidden="1">
      <c r="A1115" s="9" t="n">
        <v>46161</v>
      </c>
      <c r="B1115" s="1" t="n">
        <v>2026</v>
      </c>
      <c r="C1115" s="8" t="inlineStr">
        <is>
          <t>Continuum</t>
        </is>
      </c>
      <c r="D1115" s="11" t="inlineStr">
        <is>
          <t>Utility and C&amp;I</t>
        </is>
      </c>
      <c r="E1115" s="1" t="n"/>
      <c r="F1115" s="1" t="inlineStr">
        <is>
          <t>Closed</t>
        </is>
      </c>
      <c r="G1115" s="50" t="inlineStr">
        <is>
          <t>Mr. Harendresinh Jadeja</t>
        </is>
      </c>
      <c r="H1115" s="8" t="n">
        <v>9825182102</v>
      </c>
      <c r="I1115" s="10" t="inlineStr">
        <is>
          <t>PE19052601</t>
        </is>
      </c>
      <c r="J1115" s="8" t="inlineStr">
        <is>
          <t xml:space="preserve">Diode failure </t>
        </is>
      </c>
      <c r="K1115" s="8" t="inlineStr">
        <is>
          <t>Nakhatrana</t>
        </is>
      </c>
      <c r="L1115" s="8" t="inlineStr">
        <is>
          <t>Gujarat</t>
        </is>
      </c>
      <c r="M1115" s="2" t="inlineStr">
        <is>
          <t>PNS</t>
        </is>
      </c>
      <c r="N1115" s="1" t="inlineStr">
        <is>
          <t>Cold Soldering</t>
        </is>
      </c>
      <c r="O1115" s="51" t="n">
        <v>580</v>
      </c>
      <c r="P1115" s="2" t="inlineStr">
        <is>
          <t>NSMI25011261740</t>
        </is>
      </c>
      <c r="Q1115" s="14">
        <f>MID(P1115,5,2)</f>
        <v/>
      </c>
      <c r="R1115" s="14">
        <f>MID(P1115,7,2)</f>
        <v/>
      </c>
      <c r="S1115" s="1" t="inlineStr">
        <is>
          <t>G2G</t>
        </is>
      </c>
      <c r="T1115" s="1" t="inlineStr">
        <is>
          <t>P4 - PEIPL</t>
        </is>
      </c>
      <c r="U1115" s="1" t="inlineStr">
        <is>
          <t>P &amp; N JB Cold Soldering</t>
        </is>
      </c>
      <c r="V1115" s="1" t="inlineStr">
        <is>
          <t>Inspection</t>
        </is>
      </c>
      <c r="W1115" s="1" t="inlineStr">
        <is>
          <t>Repair</t>
        </is>
      </c>
      <c r="X1115" s="5" t="n">
        <v>46185</v>
      </c>
      <c r="Y1115" s="1">
        <f>IF(X1115="","",X1115-A1115)</f>
        <v/>
      </c>
      <c r="Z1115" s="5" t="n">
        <v>46185</v>
      </c>
      <c r="AA1115" s="3" t="n"/>
      <c r="AB1115" s="3" t="n"/>
      <c r="AE1115" s="146">
        <f>IF(AND(F1115="Closed",X1115&gt;=DATE(2026,6,1),X1115&lt;=DATE(2026,6,30)),"Closed in June","other")</f>
        <v/>
      </c>
    </row>
    <row r="1116" hidden="1">
      <c r="A1116" s="9" t="n">
        <v>46161</v>
      </c>
      <c r="B1116" s="1" t="n">
        <v>2026</v>
      </c>
      <c r="C1116" s="8" t="inlineStr">
        <is>
          <t>Continuum</t>
        </is>
      </c>
      <c r="D1116" s="11" t="inlineStr">
        <is>
          <t>Utility and C&amp;I</t>
        </is>
      </c>
      <c r="E1116" s="1" t="n"/>
      <c r="F1116" s="1" t="inlineStr">
        <is>
          <t>Closed</t>
        </is>
      </c>
      <c r="G1116" s="50" t="inlineStr">
        <is>
          <t>Mr. Harendresinh Jadeja</t>
        </is>
      </c>
      <c r="H1116" s="8" t="n">
        <v>9825182102</v>
      </c>
      <c r="I1116" s="10" t="inlineStr">
        <is>
          <t>PE19052601</t>
        </is>
      </c>
      <c r="J1116" s="8" t="inlineStr">
        <is>
          <t xml:space="preserve">Diode failure </t>
        </is>
      </c>
      <c r="K1116" s="8" t="inlineStr">
        <is>
          <t>Nakhatrana</t>
        </is>
      </c>
      <c r="L1116" s="8" t="inlineStr">
        <is>
          <t>Gujarat</t>
        </is>
      </c>
      <c r="M1116" s="2" t="inlineStr">
        <is>
          <t>PS</t>
        </is>
      </c>
      <c r="N1116" s="1" t="inlineStr">
        <is>
          <t>Cold Soldering</t>
        </is>
      </c>
      <c r="O1116" s="51" t="n">
        <v>580</v>
      </c>
      <c r="P1116" s="2" t="inlineStr">
        <is>
          <t>NSMI25011292691</t>
        </is>
      </c>
      <c r="Q1116" s="29">
        <f>MID(P1116,5,2)</f>
        <v/>
      </c>
      <c r="R1116" s="14">
        <f>MID(P1116,7,2)</f>
        <v/>
      </c>
      <c r="S1116" s="1" t="inlineStr">
        <is>
          <t>G2G</t>
        </is>
      </c>
      <c r="T1116" s="1" t="inlineStr">
        <is>
          <t>P4 - PEIPL</t>
        </is>
      </c>
      <c r="U1116" s="1" t="inlineStr">
        <is>
          <t>P JB Cold Soldering</t>
        </is>
      </c>
      <c r="V1116" s="1" t="inlineStr">
        <is>
          <t>Inspection</t>
        </is>
      </c>
      <c r="W1116" s="1" t="inlineStr">
        <is>
          <t>Repair</t>
        </is>
      </c>
      <c r="X1116" s="5" t="n">
        <v>46185</v>
      </c>
      <c r="Y1116" s="1">
        <f>IF(X1116="","",X1116-A1116)</f>
        <v/>
      </c>
      <c r="Z1116" s="5" t="n">
        <v>46185</v>
      </c>
      <c r="AA1116" s="3" t="n"/>
      <c r="AB1116" s="3" t="n"/>
      <c r="AE1116" s="146">
        <f>IF(AND(F1116="Closed",X1116&gt;=DATE(2026,6,1),X1116&lt;=DATE(2026,6,30)),"Closed in June","other")</f>
        <v/>
      </c>
    </row>
    <row r="1117" hidden="1">
      <c r="A1117" s="9" t="n">
        <v>46161</v>
      </c>
      <c r="B1117" s="1" t="n">
        <v>2026</v>
      </c>
      <c r="C1117" s="8" t="inlineStr">
        <is>
          <t>Continuum</t>
        </is>
      </c>
      <c r="D1117" s="11" t="inlineStr">
        <is>
          <t>Utility and C&amp;I</t>
        </is>
      </c>
      <c r="E1117" s="1" t="n"/>
      <c r="F1117" s="1" t="inlineStr">
        <is>
          <t>Closed</t>
        </is>
      </c>
      <c r="G1117" s="50" t="inlineStr">
        <is>
          <t>Mr. Harendresinh Jadeja</t>
        </is>
      </c>
      <c r="H1117" s="8" t="n">
        <v>9825182102</v>
      </c>
      <c r="I1117" s="10" t="inlineStr">
        <is>
          <t>PE19052601</t>
        </is>
      </c>
      <c r="J1117" s="8" t="inlineStr">
        <is>
          <t xml:space="preserve">Diode failure </t>
        </is>
      </c>
      <c r="K1117" s="8" t="inlineStr">
        <is>
          <t>Nakhatrana</t>
        </is>
      </c>
      <c r="L1117" s="8" t="inlineStr">
        <is>
          <t>Gujarat</t>
        </is>
      </c>
      <c r="M1117" s="2" t="inlineStr">
        <is>
          <t>NS</t>
        </is>
      </c>
      <c r="N1117" s="8" t="inlineStr">
        <is>
          <t>Cold Soldering</t>
        </is>
      </c>
      <c r="O1117" s="51" t="n">
        <v>580</v>
      </c>
      <c r="P1117" s="2" t="inlineStr">
        <is>
          <t>NSMI25011265863</t>
        </is>
      </c>
      <c r="Q1117" s="14">
        <f>MID(P1117,5,2)</f>
        <v/>
      </c>
      <c r="R1117" s="14">
        <f>MID(P1117,7,2)</f>
        <v/>
      </c>
      <c r="S1117" s="1" t="inlineStr">
        <is>
          <t>G2G</t>
        </is>
      </c>
      <c r="T1117" s="1" t="inlineStr">
        <is>
          <t>P4 - PEIPL</t>
        </is>
      </c>
      <c r="U1117" s="6" t="inlineStr">
        <is>
          <t>N JB Cold Soldering</t>
        </is>
      </c>
      <c r="V1117" s="1" t="inlineStr">
        <is>
          <t>Inspection</t>
        </is>
      </c>
      <c r="W1117" s="1" t="inlineStr">
        <is>
          <t>Repair</t>
        </is>
      </c>
      <c r="X1117" s="5" t="n">
        <v>46185</v>
      </c>
      <c r="Y1117" s="1">
        <f>IF(X1117="","",X1117-A1117)</f>
        <v/>
      </c>
      <c r="Z1117" s="5" t="n">
        <v>46185</v>
      </c>
      <c r="AA1117" s="3" t="n"/>
      <c r="AB1117" s="3" t="n"/>
      <c r="AE1117" s="146">
        <f>IF(AND(F1117="Closed",X1117&gt;=DATE(2026,6,1),X1117&lt;=DATE(2026,6,30)),"Closed in June","other")</f>
        <v/>
      </c>
    </row>
    <row r="1118" hidden="1">
      <c r="A1118" s="9" t="n">
        <v>46161</v>
      </c>
      <c r="B1118" s="1" t="n">
        <v>2026</v>
      </c>
      <c r="C1118" s="8" t="inlineStr">
        <is>
          <t>Continuum</t>
        </is>
      </c>
      <c r="D1118" s="11" t="inlineStr">
        <is>
          <t>Utility and C&amp;I</t>
        </is>
      </c>
      <c r="E1118" s="1" t="n"/>
      <c r="F1118" s="1" t="inlineStr">
        <is>
          <t>Closed</t>
        </is>
      </c>
      <c r="G1118" s="50" t="inlineStr">
        <is>
          <t>Mr. Harendresinh Jadeja</t>
        </is>
      </c>
      <c r="H1118" s="8" t="n">
        <v>9825182102</v>
      </c>
      <c r="I1118" s="10" t="inlineStr">
        <is>
          <t>PE19052601</t>
        </is>
      </c>
      <c r="J1118" s="8" t="inlineStr">
        <is>
          <t xml:space="preserve">Diode failure </t>
        </is>
      </c>
      <c r="K1118" s="8" t="inlineStr">
        <is>
          <t>Nakhatrana</t>
        </is>
      </c>
      <c r="L1118" s="8" t="inlineStr">
        <is>
          <t>Gujarat</t>
        </is>
      </c>
      <c r="M1118" s="2" t="inlineStr">
        <is>
          <t>PS</t>
        </is>
      </c>
      <c r="N1118" s="1" t="inlineStr">
        <is>
          <t>Cold Soldering</t>
        </is>
      </c>
      <c r="O1118" s="51" t="n">
        <v>580</v>
      </c>
      <c r="P1118" s="2" t="inlineStr">
        <is>
          <t>NSMI25011273011</t>
        </is>
      </c>
      <c r="Q1118" s="29">
        <f>MID(P1118,5,2)</f>
        <v/>
      </c>
      <c r="R1118" s="14">
        <f>MID(P1118,7,2)</f>
        <v/>
      </c>
      <c r="S1118" s="1" t="inlineStr">
        <is>
          <t>G2G</t>
        </is>
      </c>
      <c r="T1118" s="1" t="inlineStr">
        <is>
          <t>P4 - PEIPL</t>
        </is>
      </c>
      <c r="U1118" s="1" t="inlineStr">
        <is>
          <t>P JB Cold Soldering</t>
        </is>
      </c>
      <c r="V1118" s="1" t="inlineStr">
        <is>
          <t>Inspection</t>
        </is>
      </c>
      <c r="W1118" s="1" t="inlineStr">
        <is>
          <t>Repair</t>
        </is>
      </c>
      <c r="X1118" s="5" t="n">
        <v>46185</v>
      </c>
      <c r="Y1118" s="1">
        <f>IF(X1118="","",X1118-A1118)</f>
        <v/>
      </c>
      <c r="Z1118" s="5" t="n">
        <v>46185</v>
      </c>
      <c r="AA1118" s="3" t="n"/>
      <c r="AB1118" s="3" t="n"/>
      <c r="AE1118" s="146">
        <f>IF(AND(F1118="Closed",X1118&gt;=DATE(2026,6,1),X1118&lt;=DATE(2026,6,30)),"Closed in June","other")</f>
        <v/>
      </c>
    </row>
    <row r="1119" hidden="1">
      <c r="A1119" s="9" t="n">
        <v>46161</v>
      </c>
      <c r="B1119" s="1" t="n">
        <v>2026</v>
      </c>
      <c r="C1119" s="8" t="inlineStr">
        <is>
          <t>Continuum</t>
        </is>
      </c>
      <c r="D1119" s="11" t="inlineStr">
        <is>
          <t>Utility and C&amp;I</t>
        </is>
      </c>
      <c r="E1119" s="1" t="n"/>
      <c r="F1119" s="1" t="inlineStr">
        <is>
          <t>Closed</t>
        </is>
      </c>
      <c r="G1119" s="50" t="inlineStr">
        <is>
          <t>Mr. Harendresinh Jadeja</t>
        </is>
      </c>
      <c r="H1119" s="8" t="n">
        <v>9825182102</v>
      </c>
      <c r="I1119" s="10" t="inlineStr">
        <is>
          <t>PE19052601</t>
        </is>
      </c>
      <c r="J1119" s="8" t="inlineStr">
        <is>
          <t xml:space="preserve">Diode failure </t>
        </is>
      </c>
      <c r="K1119" s="8" t="inlineStr">
        <is>
          <t>Nakhatrana</t>
        </is>
      </c>
      <c r="L1119" s="8" t="inlineStr">
        <is>
          <t>Gujarat</t>
        </is>
      </c>
      <c r="M1119" s="2" t="inlineStr">
        <is>
          <t>NS</t>
        </is>
      </c>
      <c r="N1119" s="8" t="inlineStr">
        <is>
          <t>Cold Soldering</t>
        </is>
      </c>
      <c r="O1119" s="51" t="n">
        <v>580</v>
      </c>
      <c r="P1119" s="2" t="inlineStr">
        <is>
          <t>NSMI25011295100</t>
        </is>
      </c>
      <c r="Q1119" s="14">
        <f>MID(P1119,5,2)</f>
        <v/>
      </c>
      <c r="R1119" s="14">
        <f>MID(P1119,7,2)</f>
        <v/>
      </c>
      <c r="S1119" s="1" t="inlineStr">
        <is>
          <t>G2G</t>
        </is>
      </c>
      <c r="T1119" s="1" t="inlineStr">
        <is>
          <t>P4 - PEIPL</t>
        </is>
      </c>
      <c r="U1119" s="6" t="inlineStr">
        <is>
          <t>N JB Cold Soldering</t>
        </is>
      </c>
      <c r="V1119" s="1" t="inlineStr">
        <is>
          <t>Inspection</t>
        </is>
      </c>
      <c r="W1119" s="1" t="inlineStr">
        <is>
          <t>Repair</t>
        </is>
      </c>
      <c r="X1119" s="5" t="n">
        <v>46185</v>
      </c>
      <c r="Y1119" s="1">
        <f>IF(X1119="","",X1119-A1119)</f>
        <v/>
      </c>
      <c r="Z1119" s="5" t="n">
        <v>46185</v>
      </c>
      <c r="AA1119" s="3" t="n"/>
      <c r="AB1119" s="3" t="n"/>
      <c r="AE1119" s="146">
        <f>IF(AND(F1119="Closed",X1119&gt;=DATE(2026,6,1),X1119&lt;=DATE(2026,6,30)),"Closed in June","other")</f>
        <v/>
      </c>
    </row>
    <row r="1120" hidden="1">
      <c r="A1120" s="9" t="n">
        <v>46161</v>
      </c>
      <c r="B1120" s="1" t="n">
        <v>2026</v>
      </c>
      <c r="C1120" s="8" t="inlineStr">
        <is>
          <t>Continuum</t>
        </is>
      </c>
      <c r="D1120" s="11" t="inlineStr">
        <is>
          <t>Utility and C&amp;I</t>
        </is>
      </c>
      <c r="E1120" s="1" t="n"/>
      <c r="F1120" s="1" t="inlineStr">
        <is>
          <t>Closed</t>
        </is>
      </c>
      <c r="G1120" s="50" t="inlineStr">
        <is>
          <t>Mr. Harendresinh Jadeja</t>
        </is>
      </c>
      <c r="H1120" s="8" t="n">
        <v>9825182102</v>
      </c>
      <c r="I1120" s="10" t="inlineStr">
        <is>
          <t>PE19052601</t>
        </is>
      </c>
      <c r="J1120" s="8" t="inlineStr">
        <is>
          <t xml:space="preserve">Diode failure </t>
        </is>
      </c>
      <c r="K1120" s="8" t="inlineStr">
        <is>
          <t>Nakhatrana</t>
        </is>
      </c>
      <c r="L1120" s="8" t="inlineStr">
        <is>
          <t>Gujarat</t>
        </is>
      </c>
      <c r="M1120" s="2" t="inlineStr">
        <is>
          <t>PS</t>
        </is>
      </c>
      <c r="N1120" s="1" t="inlineStr">
        <is>
          <t>Cold Soldering</t>
        </is>
      </c>
      <c r="O1120" s="51" t="n">
        <v>580</v>
      </c>
      <c r="P1120" s="2" t="inlineStr">
        <is>
          <t>NSMI25011228031</t>
        </is>
      </c>
      <c r="Q1120" s="29">
        <f>MID(P1120,5,2)</f>
        <v/>
      </c>
      <c r="R1120" s="14">
        <f>MID(P1120,7,2)</f>
        <v/>
      </c>
      <c r="S1120" s="1" t="inlineStr">
        <is>
          <t>G2G</t>
        </is>
      </c>
      <c r="T1120" s="1" t="inlineStr">
        <is>
          <t>P4 - PEIPL</t>
        </is>
      </c>
      <c r="U1120" s="1" t="inlineStr">
        <is>
          <t>P JB Cold Soldering</t>
        </is>
      </c>
      <c r="V1120" s="1" t="inlineStr">
        <is>
          <t>Inspection</t>
        </is>
      </c>
      <c r="W1120" s="1" t="inlineStr">
        <is>
          <t>Repair</t>
        </is>
      </c>
      <c r="X1120" s="5" t="n">
        <v>46185</v>
      </c>
      <c r="Y1120" s="1">
        <f>IF(X1120="","",X1120-A1120)</f>
        <v/>
      </c>
      <c r="Z1120" s="5" t="n">
        <v>46185</v>
      </c>
      <c r="AA1120" s="3" t="n"/>
      <c r="AB1120" s="3" t="n"/>
      <c r="AE1120" s="146">
        <f>IF(AND(F1120="Closed",X1120&gt;=DATE(2026,6,1),X1120&lt;=DATE(2026,6,30)),"Closed in June","other")</f>
        <v/>
      </c>
    </row>
    <row r="1121" hidden="1">
      <c r="A1121" s="9" t="n">
        <v>46161</v>
      </c>
      <c r="B1121" s="1" t="n">
        <v>2026</v>
      </c>
      <c r="C1121" s="8" t="inlineStr">
        <is>
          <t>Continuum</t>
        </is>
      </c>
      <c r="D1121" s="11" t="inlineStr">
        <is>
          <t>Utility and C&amp;I</t>
        </is>
      </c>
      <c r="E1121" s="1" t="n"/>
      <c r="F1121" s="1" t="inlineStr">
        <is>
          <t>Closed</t>
        </is>
      </c>
      <c r="G1121" s="50" t="inlineStr">
        <is>
          <t>Mr. Harendresinh Jadeja</t>
        </is>
      </c>
      <c r="H1121" s="8" t="n">
        <v>9825182102</v>
      </c>
      <c r="I1121" s="10" t="inlineStr">
        <is>
          <t>PE19052601</t>
        </is>
      </c>
      <c r="J1121" s="8" t="inlineStr">
        <is>
          <t xml:space="preserve">Diode failure </t>
        </is>
      </c>
      <c r="K1121" s="8" t="inlineStr">
        <is>
          <t>Nakhatrana</t>
        </is>
      </c>
      <c r="L1121" s="8" t="inlineStr">
        <is>
          <t>Gujarat</t>
        </is>
      </c>
      <c r="M1121" s="2" t="inlineStr">
        <is>
          <t>PS</t>
        </is>
      </c>
      <c r="N1121" s="1" t="inlineStr">
        <is>
          <t>Cold Soldering</t>
        </is>
      </c>
      <c r="O1121" s="51" t="n">
        <v>580</v>
      </c>
      <c r="P1121" s="2" t="inlineStr">
        <is>
          <t>NSMI25011264548</t>
        </is>
      </c>
      <c r="Q1121" s="29">
        <f>MID(P1121,5,2)</f>
        <v/>
      </c>
      <c r="R1121" s="14">
        <f>MID(P1121,7,2)</f>
        <v/>
      </c>
      <c r="S1121" s="1" t="inlineStr">
        <is>
          <t>G2G</t>
        </is>
      </c>
      <c r="T1121" s="1" t="inlineStr">
        <is>
          <t>P4 - PEIPL</t>
        </is>
      </c>
      <c r="U1121" s="1" t="inlineStr">
        <is>
          <t>P JB Cold Soldering</t>
        </is>
      </c>
      <c r="V1121" s="1" t="inlineStr">
        <is>
          <t>Inspection</t>
        </is>
      </c>
      <c r="W1121" s="1" t="inlineStr">
        <is>
          <t>Repair</t>
        </is>
      </c>
      <c r="X1121" s="5" t="n">
        <v>46185</v>
      </c>
      <c r="Y1121" s="1">
        <f>IF(X1121="","",X1121-A1121)</f>
        <v/>
      </c>
      <c r="Z1121" s="5" t="n">
        <v>46185</v>
      </c>
      <c r="AA1121" s="3" t="n"/>
      <c r="AB1121" s="3" t="n"/>
      <c r="AE1121" s="146">
        <f>IF(AND(F1121="Closed",X1121&gt;=DATE(2026,6,1),X1121&lt;=DATE(2026,6,30)),"Closed in June","other")</f>
        <v/>
      </c>
    </row>
    <row r="1122" hidden="1">
      <c r="A1122" s="9" t="n">
        <v>46161</v>
      </c>
      <c r="B1122" s="1" t="n">
        <v>2026</v>
      </c>
      <c r="C1122" s="8" t="inlineStr">
        <is>
          <t>Continuum</t>
        </is>
      </c>
      <c r="D1122" s="11" t="inlineStr">
        <is>
          <t>Utility and C&amp;I</t>
        </is>
      </c>
      <c r="E1122" s="1" t="n"/>
      <c r="F1122" s="1" t="inlineStr">
        <is>
          <t>Closed</t>
        </is>
      </c>
      <c r="G1122" s="50" t="inlineStr">
        <is>
          <t>Mr. Harendresinh Jadeja</t>
        </is>
      </c>
      <c r="H1122" s="8" t="n">
        <v>9825182102</v>
      </c>
      <c r="I1122" s="10" t="inlineStr">
        <is>
          <t>PE19052601</t>
        </is>
      </c>
      <c r="J1122" s="8" t="inlineStr">
        <is>
          <t xml:space="preserve">Diode failure </t>
        </is>
      </c>
      <c r="K1122" s="8" t="inlineStr">
        <is>
          <t>Nakhatrana</t>
        </is>
      </c>
      <c r="L1122" s="8" t="inlineStr">
        <is>
          <t>Gujarat</t>
        </is>
      </c>
      <c r="M1122" s="2" t="inlineStr">
        <is>
          <t>PS</t>
        </is>
      </c>
      <c r="N1122" s="1" t="inlineStr">
        <is>
          <t>Cold Soldering</t>
        </is>
      </c>
      <c r="O1122" s="51" t="n">
        <v>580</v>
      </c>
      <c r="P1122" s="2" t="inlineStr">
        <is>
          <t>NSMI25011228030</t>
        </is>
      </c>
      <c r="Q1122" s="29">
        <f>MID(P1122,5,2)</f>
        <v/>
      </c>
      <c r="R1122" s="14">
        <f>MID(P1122,7,2)</f>
        <v/>
      </c>
      <c r="S1122" s="1" t="inlineStr">
        <is>
          <t>G2G</t>
        </is>
      </c>
      <c r="T1122" s="1" t="inlineStr">
        <is>
          <t>P4 - PEIPL</t>
        </is>
      </c>
      <c r="U1122" s="1" t="inlineStr">
        <is>
          <t>P JB Cold Soldering</t>
        </is>
      </c>
      <c r="V1122" s="1" t="inlineStr">
        <is>
          <t>Inspection</t>
        </is>
      </c>
      <c r="W1122" s="1" t="inlineStr">
        <is>
          <t>Repair</t>
        </is>
      </c>
      <c r="X1122" s="5" t="n">
        <v>46185</v>
      </c>
      <c r="Y1122" s="1">
        <f>IF(X1122="","",X1122-A1122)</f>
        <v/>
      </c>
      <c r="Z1122" s="5" t="n">
        <v>46185</v>
      </c>
      <c r="AA1122" s="3" t="n"/>
      <c r="AB1122" s="3" t="n"/>
      <c r="AE1122" s="146">
        <f>IF(AND(F1122="Closed",X1122&gt;=DATE(2026,6,1),X1122&lt;=DATE(2026,6,30)),"Closed in June","other")</f>
        <v/>
      </c>
    </row>
    <row r="1123" hidden="1">
      <c r="A1123" s="9" t="n">
        <v>46161</v>
      </c>
      <c r="B1123" s="1" t="n">
        <v>2026</v>
      </c>
      <c r="C1123" s="8" t="inlineStr">
        <is>
          <t>Continuum</t>
        </is>
      </c>
      <c r="D1123" s="11" t="inlineStr">
        <is>
          <t>Utility and C&amp;I</t>
        </is>
      </c>
      <c r="E1123" s="1" t="n"/>
      <c r="F1123" s="1" t="inlineStr">
        <is>
          <t>Closed</t>
        </is>
      </c>
      <c r="G1123" s="50" t="inlineStr">
        <is>
          <t>Mr. Harendresinh Jadeja</t>
        </is>
      </c>
      <c r="H1123" s="8" t="n">
        <v>9825182102</v>
      </c>
      <c r="I1123" s="10" t="inlineStr">
        <is>
          <t>PE19052601</t>
        </is>
      </c>
      <c r="J1123" s="8" t="inlineStr">
        <is>
          <t xml:space="preserve">Diode failure </t>
        </is>
      </c>
      <c r="K1123" s="8" t="inlineStr">
        <is>
          <t>Nakhatrana</t>
        </is>
      </c>
      <c r="L1123" s="8" t="inlineStr">
        <is>
          <t>Gujarat</t>
        </is>
      </c>
      <c r="M1123" s="2" t="inlineStr">
        <is>
          <t>PS</t>
        </is>
      </c>
      <c r="N1123" s="1" t="inlineStr">
        <is>
          <t>Cold Soldering</t>
        </is>
      </c>
      <c r="O1123" s="51" t="n">
        <v>580</v>
      </c>
      <c r="P1123" s="2" t="inlineStr">
        <is>
          <t>NSMI25011263465</t>
        </is>
      </c>
      <c r="Q1123" s="29">
        <f>MID(P1123,5,2)</f>
        <v/>
      </c>
      <c r="R1123" s="14">
        <f>MID(P1123,7,2)</f>
        <v/>
      </c>
      <c r="S1123" s="1" t="inlineStr">
        <is>
          <t>G2G</t>
        </is>
      </c>
      <c r="T1123" s="1" t="inlineStr">
        <is>
          <t>P4 - PEIPL</t>
        </is>
      </c>
      <c r="U1123" s="1" t="inlineStr">
        <is>
          <t>P JB Cold Soldering</t>
        </is>
      </c>
      <c r="V1123" s="1" t="inlineStr">
        <is>
          <t>Inspection</t>
        </is>
      </c>
      <c r="W1123" s="1" t="inlineStr">
        <is>
          <t>Repair</t>
        </is>
      </c>
      <c r="X1123" s="5" t="n">
        <v>46185</v>
      </c>
      <c r="Y1123" s="1">
        <f>IF(X1123="","",X1123-A1123)</f>
        <v/>
      </c>
      <c r="Z1123" s="5" t="n">
        <v>46185</v>
      </c>
      <c r="AA1123" s="3" t="n"/>
      <c r="AB1123" s="3" t="n"/>
      <c r="AE1123" s="146">
        <f>IF(AND(F1123="Closed",X1123&gt;=DATE(2026,6,1),X1123&lt;=DATE(2026,6,30)),"Closed in June","other")</f>
        <v/>
      </c>
    </row>
    <row r="1124" hidden="1">
      <c r="A1124" s="9" t="n">
        <v>46161</v>
      </c>
      <c r="B1124" s="1" t="n">
        <v>2026</v>
      </c>
      <c r="C1124" s="8" t="inlineStr">
        <is>
          <t>Continuum</t>
        </is>
      </c>
      <c r="D1124" s="11" t="inlineStr">
        <is>
          <t>Utility and C&amp;I</t>
        </is>
      </c>
      <c r="E1124" s="1" t="n"/>
      <c r="F1124" s="1" t="inlineStr">
        <is>
          <t>Closed</t>
        </is>
      </c>
      <c r="G1124" s="50" t="inlineStr">
        <is>
          <t>Mr. Harendresinh Jadeja</t>
        </is>
      </c>
      <c r="H1124" s="8" t="n">
        <v>9825182102</v>
      </c>
      <c r="I1124" s="10" t="inlineStr">
        <is>
          <t>PE19052601</t>
        </is>
      </c>
      <c r="J1124" s="8" t="inlineStr">
        <is>
          <t xml:space="preserve">Diode failure </t>
        </is>
      </c>
      <c r="K1124" s="8" t="inlineStr">
        <is>
          <t>Nakhatrana</t>
        </is>
      </c>
      <c r="L1124" s="8" t="inlineStr">
        <is>
          <t>Gujarat</t>
        </is>
      </c>
      <c r="M1124" s="2" t="inlineStr">
        <is>
          <t>OK</t>
        </is>
      </c>
      <c r="N1124" s="2" t="inlineStr">
        <is>
          <t>No Issue Found</t>
        </is>
      </c>
      <c r="O1124" s="51" t="n">
        <v>580</v>
      </c>
      <c r="P1124" s="2" t="inlineStr">
        <is>
          <t>NSMI25101664061</t>
        </is>
      </c>
      <c r="Q1124" s="14">
        <f>MID(P1124,5,2)</f>
        <v/>
      </c>
      <c r="R1124" s="14">
        <f>MID(P1124,7,2)</f>
        <v/>
      </c>
      <c r="S1124" s="1" t="inlineStr">
        <is>
          <t>G2G</t>
        </is>
      </c>
      <c r="T1124" s="1" t="inlineStr">
        <is>
          <t>P2 - PEPPL</t>
        </is>
      </c>
      <c r="U1124" s="6" t="inlineStr">
        <is>
          <t>No Issue Found</t>
        </is>
      </c>
      <c r="V1124" s="1" t="inlineStr">
        <is>
          <t>Inspection</t>
        </is>
      </c>
      <c r="W1124" s="1" t="inlineStr">
        <is>
          <t>Rejected</t>
        </is>
      </c>
      <c r="X1124" s="5" t="n">
        <v>46185</v>
      </c>
      <c r="Y1124" s="1">
        <f>IF(X1124="","",X1124-A1124)</f>
        <v/>
      </c>
      <c r="Z1124" s="5" t="n">
        <v>46185</v>
      </c>
      <c r="AA1124" s="3" t="n"/>
      <c r="AB1124" s="3" t="n"/>
      <c r="AE1124" s="146">
        <f>IF(AND(F1124="Closed",X1124&gt;=DATE(2026,6,1),X1124&lt;=DATE(2026,6,30)),"Closed in June","other")</f>
        <v/>
      </c>
    </row>
    <row r="1125" hidden="1">
      <c r="A1125" s="9" t="n">
        <v>46161</v>
      </c>
      <c r="B1125" s="1" t="n">
        <v>2026</v>
      </c>
      <c r="C1125" s="8" t="inlineStr">
        <is>
          <t>Continuum</t>
        </is>
      </c>
      <c r="D1125" s="11" t="inlineStr">
        <is>
          <t>Utility and C&amp;I</t>
        </is>
      </c>
      <c r="E1125" s="1" t="n"/>
      <c r="F1125" s="1" t="inlineStr">
        <is>
          <t>Closed</t>
        </is>
      </c>
      <c r="G1125" s="50" t="inlineStr">
        <is>
          <t>Mr. Harendresinh Jadeja</t>
        </is>
      </c>
      <c r="H1125" s="8" t="n">
        <v>9825182102</v>
      </c>
      <c r="I1125" s="10" t="inlineStr">
        <is>
          <t>PE19052601</t>
        </is>
      </c>
      <c r="J1125" s="8" t="inlineStr">
        <is>
          <t xml:space="preserve">Diode failure </t>
        </is>
      </c>
      <c r="K1125" s="8" t="inlineStr">
        <is>
          <t>Nakhatrana</t>
        </is>
      </c>
      <c r="L1125" s="8" t="inlineStr">
        <is>
          <t>Gujarat</t>
        </is>
      </c>
      <c r="M1125" s="2" t="inlineStr">
        <is>
          <t>PS</t>
        </is>
      </c>
      <c r="N1125" s="1" t="inlineStr">
        <is>
          <t>Cold Soldering</t>
        </is>
      </c>
      <c r="O1125" s="51" t="n">
        <v>580</v>
      </c>
      <c r="P1125" s="2" t="inlineStr">
        <is>
          <t>NSMI25011238037</t>
        </is>
      </c>
      <c r="Q1125" s="29">
        <f>MID(P1125,5,2)</f>
        <v/>
      </c>
      <c r="R1125" s="14">
        <f>MID(P1125,7,2)</f>
        <v/>
      </c>
      <c r="S1125" s="1" t="inlineStr">
        <is>
          <t>G2G</t>
        </is>
      </c>
      <c r="T1125" s="1" t="inlineStr">
        <is>
          <t>P4 - PEIPL</t>
        </is>
      </c>
      <c r="U1125" s="1" t="inlineStr">
        <is>
          <t>P JB Cold Soldering</t>
        </is>
      </c>
      <c r="V1125" s="1" t="inlineStr">
        <is>
          <t>Inspection</t>
        </is>
      </c>
      <c r="W1125" s="1" t="inlineStr">
        <is>
          <t>Repair</t>
        </is>
      </c>
      <c r="X1125" s="5" t="n">
        <v>46185</v>
      </c>
      <c r="Y1125" s="1">
        <f>IF(X1125="","",X1125-A1125)</f>
        <v/>
      </c>
      <c r="Z1125" s="5" t="n">
        <v>46185</v>
      </c>
      <c r="AA1125" s="3" t="n"/>
      <c r="AB1125" s="3" t="n"/>
      <c r="AE1125" s="146">
        <f>IF(AND(F1125="Closed",X1125&gt;=DATE(2026,6,1),X1125&lt;=DATE(2026,6,30)),"Closed in June","other")</f>
        <v/>
      </c>
    </row>
    <row r="1126" hidden="1">
      <c r="A1126" s="9" t="n">
        <v>46161</v>
      </c>
      <c r="B1126" s="1" t="n">
        <v>2026</v>
      </c>
      <c r="C1126" s="8" t="inlineStr">
        <is>
          <t>Continuum</t>
        </is>
      </c>
      <c r="D1126" s="11" t="inlineStr">
        <is>
          <t>Utility and C&amp;I</t>
        </is>
      </c>
      <c r="E1126" s="1" t="n"/>
      <c r="F1126" s="1" t="inlineStr">
        <is>
          <t>Closed</t>
        </is>
      </c>
      <c r="G1126" s="50" t="inlineStr">
        <is>
          <t>Mr. Harendresinh Jadeja</t>
        </is>
      </c>
      <c r="H1126" s="8" t="n">
        <v>9825182102</v>
      </c>
      <c r="I1126" s="10" t="inlineStr">
        <is>
          <t>PE19052601</t>
        </is>
      </c>
      <c r="J1126" s="8" t="inlineStr">
        <is>
          <t xml:space="preserve">Diode failure </t>
        </is>
      </c>
      <c r="K1126" s="8" t="inlineStr">
        <is>
          <t>Nakhatrana</t>
        </is>
      </c>
      <c r="L1126" s="8" t="inlineStr">
        <is>
          <t>Gujarat</t>
        </is>
      </c>
      <c r="M1126" s="2" t="inlineStr">
        <is>
          <t>PS</t>
        </is>
      </c>
      <c r="N1126" s="1" t="inlineStr">
        <is>
          <t>Cold Soldering</t>
        </is>
      </c>
      <c r="O1126" s="51" t="n">
        <v>580</v>
      </c>
      <c r="P1126" s="2" t="inlineStr">
        <is>
          <t>NSMI25011236673</t>
        </is>
      </c>
      <c r="Q1126" s="29">
        <f>MID(P1126,5,2)</f>
        <v/>
      </c>
      <c r="R1126" s="14">
        <f>MID(P1126,7,2)</f>
        <v/>
      </c>
      <c r="S1126" s="1" t="inlineStr">
        <is>
          <t>G2G</t>
        </is>
      </c>
      <c r="T1126" s="1" t="inlineStr">
        <is>
          <t>P4 - PEIPL</t>
        </is>
      </c>
      <c r="U1126" s="1" t="inlineStr">
        <is>
          <t>P JB Cold Soldering</t>
        </is>
      </c>
      <c r="V1126" s="1" t="inlineStr">
        <is>
          <t>Inspection</t>
        </is>
      </c>
      <c r="W1126" s="1" t="inlineStr">
        <is>
          <t>Repair</t>
        </is>
      </c>
      <c r="X1126" s="5" t="n">
        <v>46185</v>
      </c>
      <c r="Y1126" s="1">
        <f>IF(X1126="","",X1126-A1126)</f>
        <v/>
      </c>
      <c r="Z1126" s="5" t="n">
        <v>46185</v>
      </c>
      <c r="AA1126" s="3" t="n"/>
      <c r="AB1126" s="3" t="n"/>
      <c r="AE1126" s="146">
        <f>IF(AND(F1126="Closed",X1126&gt;=DATE(2026,6,1),X1126&lt;=DATE(2026,6,30)),"Closed in June","other")</f>
        <v/>
      </c>
    </row>
    <row r="1127" hidden="1">
      <c r="A1127" s="9" t="n">
        <v>46161</v>
      </c>
      <c r="B1127" s="1" t="n">
        <v>2026</v>
      </c>
      <c r="C1127" s="8" t="inlineStr">
        <is>
          <t>Continuum</t>
        </is>
      </c>
      <c r="D1127" s="11" t="inlineStr">
        <is>
          <t>Utility and C&amp;I</t>
        </is>
      </c>
      <c r="E1127" s="1" t="n"/>
      <c r="F1127" s="1" t="inlineStr">
        <is>
          <t>Closed</t>
        </is>
      </c>
      <c r="G1127" s="50" t="inlineStr">
        <is>
          <t>Mr. Harendresinh Jadeja</t>
        </is>
      </c>
      <c r="H1127" s="8" t="n">
        <v>9825182102</v>
      </c>
      <c r="I1127" s="10" t="inlineStr">
        <is>
          <t>PE19052601</t>
        </is>
      </c>
      <c r="J1127" s="8" t="inlineStr">
        <is>
          <t xml:space="preserve">Diode failure </t>
        </is>
      </c>
      <c r="K1127" s="8" t="inlineStr">
        <is>
          <t>Nakhatrana</t>
        </is>
      </c>
      <c r="L1127" s="8" t="inlineStr">
        <is>
          <t>Gujarat</t>
        </is>
      </c>
      <c r="M1127" s="2" t="inlineStr">
        <is>
          <t>PS</t>
        </is>
      </c>
      <c r="N1127" s="1" t="inlineStr">
        <is>
          <t>Cold Soldering</t>
        </is>
      </c>
      <c r="O1127" s="51" t="n">
        <v>580</v>
      </c>
      <c r="P1127" s="2" t="inlineStr">
        <is>
          <t>NSMI25011230159</t>
        </is>
      </c>
      <c r="Q1127" s="29">
        <f>MID(P1127,5,2)</f>
        <v/>
      </c>
      <c r="R1127" s="14">
        <f>MID(P1127,7,2)</f>
        <v/>
      </c>
      <c r="S1127" s="1" t="inlineStr">
        <is>
          <t>G2G</t>
        </is>
      </c>
      <c r="T1127" s="1" t="inlineStr">
        <is>
          <t>P4 - PEIPL</t>
        </is>
      </c>
      <c r="U1127" s="1" t="inlineStr">
        <is>
          <t>P JB Cold Soldering</t>
        </is>
      </c>
      <c r="V1127" s="1" t="inlineStr">
        <is>
          <t>Inspection</t>
        </is>
      </c>
      <c r="W1127" s="1" t="inlineStr">
        <is>
          <t>Repair</t>
        </is>
      </c>
      <c r="X1127" s="5" t="n">
        <v>46185</v>
      </c>
      <c r="Y1127" s="1">
        <f>IF(X1127="","",X1127-A1127)</f>
        <v/>
      </c>
      <c r="Z1127" s="5" t="n">
        <v>46185</v>
      </c>
      <c r="AA1127" s="3" t="n"/>
      <c r="AB1127" s="3" t="n"/>
      <c r="AE1127" s="146">
        <f>IF(AND(F1127="Closed",X1127&gt;=DATE(2026,6,1),X1127&lt;=DATE(2026,6,30)),"Closed in June","other")</f>
        <v/>
      </c>
    </row>
    <row r="1128" hidden="1">
      <c r="A1128" s="9" t="n">
        <v>46161</v>
      </c>
      <c r="B1128" s="1" t="n">
        <v>2026</v>
      </c>
      <c r="C1128" s="8" t="inlineStr">
        <is>
          <t>Continuum</t>
        </is>
      </c>
      <c r="D1128" s="11" t="inlineStr">
        <is>
          <t>Utility and C&amp;I</t>
        </is>
      </c>
      <c r="E1128" s="1" t="n"/>
      <c r="F1128" s="1" t="inlineStr">
        <is>
          <t>Closed</t>
        </is>
      </c>
      <c r="G1128" s="50" t="inlineStr">
        <is>
          <t>Mr. Harendresinh Jadeja</t>
        </is>
      </c>
      <c r="H1128" s="8" t="n">
        <v>9825182102</v>
      </c>
      <c r="I1128" s="10" t="inlineStr">
        <is>
          <t>PE19052601</t>
        </is>
      </c>
      <c r="J1128" s="8" t="inlineStr">
        <is>
          <t xml:space="preserve">Diode failure </t>
        </is>
      </c>
      <c r="K1128" s="8" t="inlineStr">
        <is>
          <t>Nakhatrana</t>
        </is>
      </c>
      <c r="L1128" s="8" t="inlineStr">
        <is>
          <t>Gujarat</t>
        </is>
      </c>
      <c r="M1128" s="2" t="inlineStr">
        <is>
          <t>PS</t>
        </is>
      </c>
      <c r="N1128" s="1" t="inlineStr">
        <is>
          <t>Cold Soldering</t>
        </is>
      </c>
      <c r="O1128" s="51" t="n">
        <v>580</v>
      </c>
      <c r="P1128" s="2" t="inlineStr">
        <is>
          <t>NSMI25011230107</t>
        </is>
      </c>
      <c r="Q1128" s="29">
        <f>MID(P1128,5,2)</f>
        <v/>
      </c>
      <c r="R1128" s="14">
        <f>MID(P1128,7,2)</f>
        <v/>
      </c>
      <c r="S1128" s="1" t="inlineStr">
        <is>
          <t>G2G</t>
        </is>
      </c>
      <c r="T1128" s="1" t="inlineStr">
        <is>
          <t>P4 - PEIPL</t>
        </is>
      </c>
      <c r="U1128" s="1" t="inlineStr">
        <is>
          <t>P JB Cold Soldering</t>
        </is>
      </c>
      <c r="V1128" s="1" t="inlineStr">
        <is>
          <t>Inspection</t>
        </is>
      </c>
      <c r="W1128" s="1" t="inlineStr">
        <is>
          <t>Repair</t>
        </is>
      </c>
      <c r="X1128" s="5" t="n">
        <v>46185</v>
      </c>
      <c r="Y1128" s="1">
        <f>IF(X1128="","",X1128-A1128)</f>
        <v/>
      </c>
      <c r="Z1128" s="5" t="n">
        <v>46185</v>
      </c>
      <c r="AA1128" s="3" t="n"/>
      <c r="AB1128" s="3" t="n"/>
      <c r="AE1128" s="146">
        <f>IF(AND(F1128="Closed",X1128&gt;=DATE(2026,6,1),X1128&lt;=DATE(2026,6,30)),"Closed in June","other")</f>
        <v/>
      </c>
    </row>
    <row r="1129" hidden="1">
      <c r="A1129" s="9" t="n">
        <v>46161</v>
      </c>
      <c r="B1129" s="1" t="n">
        <v>2026</v>
      </c>
      <c r="C1129" s="8" t="inlineStr">
        <is>
          <t>Continuum</t>
        </is>
      </c>
      <c r="D1129" s="11" t="inlineStr">
        <is>
          <t>Utility and C&amp;I</t>
        </is>
      </c>
      <c r="E1129" s="1" t="n"/>
      <c r="F1129" s="1" t="inlineStr">
        <is>
          <t>Closed</t>
        </is>
      </c>
      <c r="G1129" s="50" t="inlineStr">
        <is>
          <t>Mr. Harendresinh Jadeja</t>
        </is>
      </c>
      <c r="H1129" s="8" t="n">
        <v>9825182102</v>
      </c>
      <c r="I1129" s="10" t="inlineStr">
        <is>
          <t>PE19052601</t>
        </is>
      </c>
      <c r="J1129" s="8" t="inlineStr">
        <is>
          <t xml:space="preserve">Diode failure </t>
        </is>
      </c>
      <c r="K1129" s="8" t="inlineStr">
        <is>
          <t>Nakhatrana</t>
        </is>
      </c>
      <c r="L1129" s="8" t="inlineStr">
        <is>
          <t>Gujarat</t>
        </is>
      </c>
      <c r="M1129" s="2" t="inlineStr">
        <is>
          <t>PS</t>
        </is>
      </c>
      <c r="N1129" s="1" t="inlineStr">
        <is>
          <t>Cold Soldering</t>
        </is>
      </c>
      <c r="O1129" s="51" t="n">
        <v>580</v>
      </c>
      <c r="P1129" s="2" t="inlineStr">
        <is>
          <t>NSMI25011232289</t>
        </is>
      </c>
      <c r="Q1129" s="29">
        <f>MID(P1129,5,2)</f>
        <v/>
      </c>
      <c r="R1129" s="14">
        <f>MID(P1129,7,2)</f>
        <v/>
      </c>
      <c r="S1129" s="1" t="inlineStr">
        <is>
          <t>G2G</t>
        </is>
      </c>
      <c r="T1129" s="1" t="inlineStr">
        <is>
          <t>P4 - PEIPL</t>
        </is>
      </c>
      <c r="U1129" s="1" t="inlineStr">
        <is>
          <t>P JB Cold Soldering</t>
        </is>
      </c>
      <c r="V1129" s="1" t="inlineStr">
        <is>
          <t>Inspection</t>
        </is>
      </c>
      <c r="W1129" s="1" t="inlineStr">
        <is>
          <t>Repair</t>
        </is>
      </c>
      <c r="X1129" s="5" t="n">
        <v>46185</v>
      </c>
      <c r="Y1129" s="1">
        <f>IF(X1129="","",X1129-A1129)</f>
        <v/>
      </c>
      <c r="Z1129" s="5" t="n">
        <v>46185</v>
      </c>
      <c r="AA1129" s="3" t="n"/>
      <c r="AB1129" s="3" t="n"/>
      <c r="AE1129" s="146">
        <f>IF(AND(F1129="Closed",X1129&gt;=DATE(2026,6,1),X1129&lt;=DATE(2026,6,30)),"Closed in June","other")</f>
        <v/>
      </c>
    </row>
    <row r="1130" hidden="1">
      <c r="A1130" s="9" t="n">
        <v>46161</v>
      </c>
      <c r="B1130" s="1" t="n">
        <v>2026</v>
      </c>
      <c r="C1130" s="8" t="inlineStr">
        <is>
          <t>Continuum</t>
        </is>
      </c>
      <c r="D1130" s="11" t="inlineStr">
        <is>
          <t>Utility and C&amp;I</t>
        </is>
      </c>
      <c r="E1130" s="1" t="n"/>
      <c r="F1130" s="1" t="inlineStr">
        <is>
          <t>Closed</t>
        </is>
      </c>
      <c r="G1130" s="50" t="inlineStr">
        <is>
          <t>Mr. Harendresinh Jadeja</t>
        </is>
      </c>
      <c r="H1130" s="8" t="n">
        <v>9825182102</v>
      </c>
      <c r="I1130" s="10" t="inlineStr">
        <is>
          <t>PE19052601</t>
        </is>
      </c>
      <c r="J1130" s="8" t="inlineStr">
        <is>
          <t xml:space="preserve">Diode failure </t>
        </is>
      </c>
      <c r="K1130" s="8" t="inlineStr">
        <is>
          <t>Nakhatrana</t>
        </is>
      </c>
      <c r="L1130" s="8" t="inlineStr">
        <is>
          <t>Gujarat</t>
        </is>
      </c>
      <c r="M1130" s="2" t="inlineStr">
        <is>
          <t>NS</t>
        </is>
      </c>
      <c r="N1130" s="8" t="inlineStr">
        <is>
          <t>Cold Soldering</t>
        </is>
      </c>
      <c r="O1130" s="51" t="n">
        <v>580</v>
      </c>
      <c r="P1130" s="2" t="inlineStr">
        <is>
          <t>NSMI25011252209</t>
        </is>
      </c>
      <c r="Q1130" s="14">
        <f>MID(P1130,5,2)</f>
        <v/>
      </c>
      <c r="R1130" s="14">
        <f>MID(P1130,7,2)</f>
        <v/>
      </c>
      <c r="S1130" s="1" t="inlineStr">
        <is>
          <t>G2G</t>
        </is>
      </c>
      <c r="T1130" s="1" t="inlineStr">
        <is>
          <t>P4 - PEIPL</t>
        </is>
      </c>
      <c r="U1130" s="6" t="inlineStr">
        <is>
          <t>N JB Cold Soldering</t>
        </is>
      </c>
      <c r="V1130" s="1" t="inlineStr">
        <is>
          <t>Inspection</t>
        </is>
      </c>
      <c r="W1130" s="1" t="inlineStr">
        <is>
          <t>Repair</t>
        </is>
      </c>
      <c r="X1130" s="5" t="n">
        <v>46185</v>
      </c>
      <c r="Y1130" s="1">
        <f>IF(X1130="","",X1130-A1130)</f>
        <v/>
      </c>
      <c r="Z1130" s="5" t="n">
        <v>46185</v>
      </c>
      <c r="AA1130" s="3" t="n"/>
      <c r="AB1130" s="3" t="n"/>
      <c r="AE1130" s="146">
        <f>IF(AND(F1130="Closed",X1130&gt;=DATE(2026,6,1),X1130&lt;=DATE(2026,6,30)),"Closed in June","other")</f>
        <v/>
      </c>
    </row>
    <row r="1131" hidden="1">
      <c r="A1131" s="9" t="n">
        <v>46161</v>
      </c>
      <c r="B1131" s="1" t="n">
        <v>2026</v>
      </c>
      <c r="C1131" s="8" t="inlineStr">
        <is>
          <t>Continuum</t>
        </is>
      </c>
      <c r="D1131" s="11" t="inlineStr">
        <is>
          <t>Utility and C&amp;I</t>
        </is>
      </c>
      <c r="E1131" s="1" t="n"/>
      <c r="F1131" s="1" t="inlineStr">
        <is>
          <t>Closed</t>
        </is>
      </c>
      <c r="G1131" s="50" t="inlineStr">
        <is>
          <t>Mr. Harendresinh Jadeja</t>
        </is>
      </c>
      <c r="H1131" s="8" t="n">
        <v>9825182102</v>
      </c>
      <c r="I1131" s="10" t="inlineStr">
        <is>
          <t>PE19052601</t>
        </is>
      </c>
      <c r="J1131" s="8" t="inlineStr">
        <is>
          <t xml:space="preserve">Diode failure </t>
        </is>
      </c>
      <c r="K1131" s="8" t="inlineStr">
        <is>
          <t>Nakhatrana</t>
        </is>
      </c>
      <c r="L1131" s="8" t="inlineStr">
        <is>
          <t>Gujarat</t>
        </is>
      </c>
      <c r="M1131" s="2" t="inlineStr">
        <is>
          <t>NS</t>
        </is>
      </c>
      <c r="N1131" s="8" t="inlineStr">
        <is>
          <t>Cold Soldering</t>
        </is>
      </c>
      <c r="O1131" s="51" t="n">
        <v>580</v>
      </c>
      <c r="P1131" s="2" t="inlineStr">
        <is>
          <t>NSMI25011252311</t>
        </is>
      </c>
      <c r="Q1131" s="14">
        <f>MID(P1131,5,2)</f>
        <v/>
      </c>
      <c r="R1131" s="14">
        <f>MID(P1131,7,2)</f>
        <v/>
      </c>
      <c r="S1131" s="1" t="inlineStr">
        <is>
          <t>G2G</t>
        </is>
      </c>
      <c r="T1131" s="1" t="inlineStr">
        <is>
          <t>P4 - PEIPL</t>
        </is>
      </c>
      <c r="U1131" s="6" t="inlineStr">
        <is>
          <t>N JB Cold Soldering</t>
        </is>
      </c>
      <c r="V1131" s="1" t="inlineStr">
        <is>
          <t>Inspection</t>
        </is>
      </c>
      <c r="W1131" s="1" t="inlineStr">
        <is>
          <t>Repair</t>
        </is>
      </c>
      <c r="X1131" s="5" t="n">
        <v>46185</v>
      </c>
      <c r="Y1131" s="1">
        <f>IF(X1131="","",X1131-A1131)</f>
        <v/>
      </c>
      <c r="Z1131" s="5" t="n">
        <v>46185</v>
      </c>
      <c r="AA1131" s="3" t="n"/>
      <c r="AB1131" s="3" t="n"/>
      <c r="AE1131" s="146">
        <f>IF(AND(F1131="Closed",X1131&gt;=DATE(2026,6,1),X1131&lt;=DATE(2026,6,30)),"Closed in June","other")</f>
        <v/>
      </c>
    </row>
    <row r="1132" hidden="1">
      <c r="A1132" s="9" t="n">
        <v>46161</v>
      </c>
      <c r="B1132" s="1" t="n">
        <v>2026</v>
      </c>
      <c r="C1132" s="8" t="inlineStr">
        <is>
          <t>Continuum</t>
        </is>
      </c>
      <c r="D1132" s="11" t="inlineStr">
        <is>
          <t>Utility and C&amp;I</t>
        </is>
      </c>
      <c r="E1132" s="1" t="n"/>
      <c r="F1132" s="1" t="inlineStr">
        <is>
          <t>Closed</t>
        </is>
      </c>
      <c r="G1132" s="50" t="inlineStr">
        <is>
          <t>Mr. Harendresinh Jadeja</t>
        </is>
      </c>
      <c r="H1132" s="8" t="n">
        <v>9825182102</v>
      </c>
      <c r="I1132" s="10" t="inlineStr">
        <is>
          <t>PE19052601</t>
        </is>
      </c>
      <c r="J1132" s="8" t="inlineStr">
        <is>
          <t xml:space="preserve">Diode failure </t>
        </is>
      </c>
      <c r="K1132" s="8" t="inlineStr">
        <is>
          <t>Nakhatrana</t>
        </is>
      </c>
      <c r="L1132" s="8" t="inlineStr">
        <is>
          <t>Gujarat</t>
        </is>
      </c>
      <c r="M1132" s="2" t="inlineStr">
        <is>
          <t>PS</t>
        </is>
      </c>
      <c r="N1132" s="1" t="inlineStr">
        <is>
          <t>Cold Soldering</t>
        </is>
      </c>
      <c r="O1132" s="51" t="n">
        <v>580</v>
      </c>
      <c r="P1132" s="2" t="inlineStr">
        <is>
          <t>NSMI25011232498</t>
        </is>
      </c>
      <c r="Q1132" s="29">
        <f>MID(P1132,5,2)</f>
        <v/>
      </c>
      <c r="R1132" s="14">
        <f>MID(P1132,7,2)</f>
        <v/>
      </c>
      <c r="S1132" s="1" t="inlineStr">
        <is>
          <t>G2G</t>
        </is>
      </c>
      <c r="T1132" s="1" t="inlineStr">
        <is>
          <t>P4 - PEIPL</t>
        </is>
      </c>
      <c r="U1132" s="1" t="inlineStr">
        <is>
          <t>P JB Cold Soldering</t>
        </is>
      </c>
      <c r="V1132" s="1" t="inlineStr">
        <is>
          <t>Inspection</t>
        </is>
      </c>
      <c r="W1132" s="1" t="inlineStr">
        <is>
          <t>Repair</t>
        </is>
      </c>
      <c r="X1132" s="5" t="n">
        <v>46185</v>
      </c>
      <c r="Y1132" s="1">
        <f>IF(X1132="","",X1132-A1132)</f>
        <v/>
      </c>
      <c r="Z1132" s="5" t="n">
        <v>46185</v>
      </c>
      <c r="AA1132" s="3" t="n"/>
      <c r="AB1132" s="3" t="n"/>
      <c r="AE1132" s="146">
        <f>IF(AND(F1132="Closed",X1132&gt;=DATE(2026,6,1),X1132&lt;=DATE(2026,6,30)),"Closed in June","other")</f>
        <v/>
      </c>
    </row>
    <row r="1133" hidden="1">
      <c r="A1133" s="9" t="n">
        <v>46161</v>
      </c>
      <c r="B1133" s="1" t="n">
        <v>2026</v>
      </c>
      <c r="C1133" s="8" t="inlineStr">
        <is>
          <t>Continuum</t>
        </is>
      </c>
      <c r="D1133" s="11" t="inlineStr">
        <is>
          <t>Utility and C&amp;I</t>
        </is>
      </c>
      <c r="E1133" s="1" t="n"/>
      <c r="F1133" s="1" t="inlineStr">
        <is>
          <t>Closed</t>
        </is>
      </c>
      <c r="G1133" s="50" t="inlineStr">
        <is>
          <t>Mr. Harendresinh Jadeja</t>
        </is>
      </c>
      <c r="H1133" s="8" t="n">
        <v>9825182102</v>
      </c>
      <c r="I1133" s="10" t="inlineStr">
        <is>
          <t>PE19052601</t>
        </is>
      </c>
      <c r="J1133" s="8" t="inlineStr">
        <is>
          <t xml:space="preserve">Diode failure </t>
        </is>
      </c>
      <c r="K1133" s="8" t="inlineStr">
        <is>
          <t>Nakhatrana</t>
        </is>
      </c>
      <c r="L1133" s="8" t="inlineStr">
        <is>
          <t>Gujarat</t>
        </is>
      </c>
      <c r="M1133" s="2" t="inlineStr">
        <is>
          <t>PS</t>
        </is>
      </c>
      <c r="N1133" s="1" t="inlineStr">
        <is>
          <t>Cold Soldering</t>
        </is>
      </c>
      <c r="O1133" s="51" t="n">
        <v>580</v>
      </c>
      <c r="P1133" s="2" t="inlineStr">
        <is>
          <t>NSMI25011263178</t>
        </is>
      </c>
      <c r="Q1133" s="29">
        <f>MID(P1133,5,2)</f>
        <v/>
      </c>
      <c r="R1133" s="14">
        <f>MID(P1133,7,2)</f>
        <v/>
      </c>
      <c r="S1133" s="1" t="inlineStr">
        <is>
          <t>G2G</t>
        </is>
      </c>
      <c r="T1133" s="1" t="inlineStr">
        <is>
          <t>P4 - PEIPL</t>
        </is>
      </c>
      <c r="U1133" s="1" t="inlineStr">
        <is>
          <t>P JB Cold Soldering</t>
        </is>
      </c>
      <c r="V1133" s="1" t="inlineStr">
        <is>
          <t>Inspection</t>
        </is>
      </c>
      <c r="W1133" s="1" t="inlineStr">
        <is>
          <t>Repair</t>
        </is>
      </c>
      <c r="X1133" s="5" t="n">
        <v>46185</v>
      </c>
      <c r="Y1133" s="1">
        <f>IF(X1133="","",X1133-A1133)</f>
        <v/>
      </c>
      <c r="Z1133" s="5" t="n">
        <v>46185</v>
      </c>
      <c r="AA1133" s="3" t="n"/>
      <c r="AB1133" s="3" t="n"/>
      <c r="AE1133" s="146">
        <f>IF(AND(F1133="Closed",X1133&gt;=DATE(2026,6,1),X1133&lt;=DATE(2026,6,30)),"Closed in June","other")</f>
        <v/>
      </c>
    </row>
    <row r="1134" hidden="1">
      <c r="A1134" s="9" t="n">
        <v>46161</v>
      </c>
      <c r="B1134" s="1" t="n">
        <v>2026</v>
      </c>
      <c r="C1134" s="8" t="inlineStr">
        <is>
          <t>Continuum</t>
        </is>
      </c>
      <c r="D1134" s="11" t="inlineStr">
        <is>
          <t>Utility and C&amp;I</t>
        </is>
      </c>
      <c r="E1134" s="1" t="n"/>
      <c r="F1134" s="1" t="inlineStr">
        <is>
          <t>Closed</t>
        </is>
      </c>
      <c r="G1134" s="50" t="inlineStr">
        <is>
          <t>Mr. Harendresinh Jadeja</t>
        </is>
      </c>
      <c r="H1134" s="8" t="n">
        <v>9825182102</v>
      </c>
      <c r="I1134" s="10" t="inlineStr">
        <is>
          <t>PE19052601</t>
        </is>
      </c>
      <c r="J1134" s="8" t="inlineStr">
        <is>
          <t xml:space="preserve">Diode failure </t>
        </is>
      </c>
      <c r="K1134" s="8" t="inlineStr">
        <is>
          <t>Nakhatrana</t>
        </is>
      </c>
      <c r="L1134" s="8" t="inlineStr">
        <is>
          <t>Gujarat</t>
        </is>
      </c>
      <c r="M1134" s="2" t="inlineStr">
        <is>
          <t>NS</t>
        </is>
      </c>
      <c r="N1134" s="8" t="inlineStr">
        <is>
          <t>Cold Soldering</t>
        </is>
      </c>
      <c r="O1134" s="51" t="n">
        <v>580</v>
      </c>
      <c r="P1134" s="2" t="inlineStr">
        <is>
          <t>NSMI25011263223</t>
        </is>
      </c>
      <c r="Q1134" s="14">
        <f>MID(P1134,5,2)</f>
        <v/>
      </c>
      <c r="R1134" s="14">
        <f>MID(P1134,7,2)</f>
        <v/>
      </c>
      <c r="S1134" s="1" t="inlineStr">
        <is>
          <t>G2G</t>
        </is>
      </c>
      <c r="T1134" s="1" t="inlineStr">
        <is>
          <t>P4 - PEIPL</t>
        </is>
      </c>
      <c r="U1134" s="6" t="inlineStr">
        <is>
          <t>N JB Cold Soldering</t>
        </is>
      </c>
      <c r="V1134" s="1" t="inlineStr">
        <is>
          <t>Inspection</t>
        </is>
      </c>
      <c r="W1134" s="1" t="inlineStr">
        <is>
          <t>Repair</t>
        </is>
      </c>
      <c r="X1134" s="5" t="n">
        <v>46185</v>
      </c>
      <c r="Y1134" s="1">
        <f>IF(X1134="","",X1134-A1134)</f>
        <v/>
      </c>
      <c r="Z1134" s="5" t="n">
        <v>46185</v>
      </c>
      <c r="AA1134" s="3" t="n"/>
      <c r="AB1134" s="3" t="n"/>
      <c r="AE1134" s="146">
        <f>IF(AND(F1134="Closed",X1134&gt;=DATE(2026,6,1),X1134&lt;=DATE(2026,6,30)),"Closed in June","other")</f>
        <v/>
      </c>
    </row>
    <row r="1135" hidden="1">
      <c r="A1135" s="9" t="n">
        <v>46161</v>
      </c>
      <c r="B1135" s="1" t="n">
        <v>2026</v>
      </c>
      <c r="C1135" s="8" t="inlineStr">
        <is>
          <t>Continuum</t>
        </is>
      </c>
      <c r="D1135" s="11" t="inlineStr">
        <is>
          <t>Utility and C&amp;I</t>
        </is>
      </c>
      <c r="E1135" s="1" t="n"/>
      <c r="F1135" s="1" t="inlineStr">
        <is>
          <t>Closed</t>
        </is>
      </c>
      <c r="G1135" s="50" t="inlineStr">
        <is>
          <t>Mr. Harendresinh Jadeja</t>
        </is>
      </c>
      <c r="H1135" s="8" t="n">
        <v>9825182102</v>
      </c>
      <c r="I1135" s="10" t="inlineStr">
        <is>
          <t>PE19052601</t>
        </is>
      </c>
      <c r="J1135" s="8" t="inlineStr">
        <is>
          <t xml:space="preserve">Diode failure </t>
        </is>
      </c>
      <c r="K1135" s="8" t="inlineStr">
        <is>
          <t>Nakhatrana</t>
        </is>
      </c>
      <c r="L1135" s="8" t="inlineStr">
        <is>
          <t>Gujarat</t>
        </is>
      </c>
      <c r="M1135" s="2" t="inlineStr">
        <is>
          <t>PS</t>
        </is>
      </c>
      <c r="N1135" s="1" t="inlineStr">
        <is>
          <t>Cold Soldering</t>
        </is>
      </c>
      <c r="O1135" s="51" t="n">
        <v>580</v>
      </c>
      <c r="P1135" s="2" t="inlineStr">
        <is>
          <t>NSMI25011263174</t>
        </is>
      </c>
      <c r="Q1135" s="29">
        <f>MID(P1135,5,2)</f>
        <v/>
      </c>
      <c r="R1135" s="14">
        <f>MID(P1135,7,2)</f>
        <v/>
      </c>
      <c r="S1135" s="1" t="inlineStr">
        <is>
          <t>G2G</t>
        </is>
      </c>
      <c r="T1135" s="1" t="inlineStr">
        <is>
          <t>P4 - PEIPL</t>
        </is>
      </c>
      <c r="U1135" s="1" t="inlineStr">
        <is>
          <t>P JB Cold Soldering</t>
        </is>
      </c>
      <c r="V1135" s="1" t="inlineStr">
        <is>
          <t>Inspection</t>
        </is>
      </c>
      <c r="W1135" s="1" t="inlineStr">
        <is>
          <t>Repair</t>
        </is>
      </c>
      <c r="X1135" s="5" t="n">
        <v>46185</v>
      </c>
      <c r="Y1135" s="1">
        <f>IF(X1135="","",X1135-A1135)</f>
        <v/>
      </c>
      <c r="Z1135" s="5" t="n">
        <v>46185</v>
      </c>
      <c r="AA1135" s="3" t="n"/>
      <c r="AB1135" s="3" t="n"/>
      <c r="AE1135" s="146">
        <f>IF(AND(F1135="Closed",X1135&gt;=DATE(2026,6,1),X1135&lt;=DATE(2026,6,30)),"Closed in June","other")</f>
        <v/>
      </c>
    </row>
    <row r="1136" hidden="1">
      <c r="A1136" s="9" t="n">
        <v>46161</v>
      </c>
      <c r="B1136" s="1" t="n">
        <v>2026</v>
      </c>
      <c r="C1136" s="8" t="inlineStr">
        <is>
          <t>Continuum</t>
        </is>
      </c>
      <c r="D1136" s="11" t="inlineStr">
        <is>
          <t>Utility and C&amp;I</t>
        </is>
      </c>
      <c r="E1136" s="1" t="n"/>
      <c r="F1136" s="1" t="inlineStr">
        <is>
          <t>Closed</t>
        </is>
      </c>
      <c r="G1136" s="50" t="inlineStr">
        <is>
          <t>Mr. Harendresinh Jadeja</t>
        </is>
      </c>
      <c r="H1136" s="8" t="n">
        <v>9825182102</v>
      </c>
      <c r="I1136" s="10" t="inlineStr">
        <is>
          <t>PE19052601</t>
        </is>
      </c>
      <c r="J1136" s="8" t="inlineStr">
        <is>
          <t xml:space="preserve">Diode failure </t>
        </is>
      </c>
      <c r="K1136" s="8" t="inlineStr">
        <is>
          <t>Nakhatrana</t>
        </is>
      </c>
      <c r="L1136" s="8" t="inlineStr">
        <is>
          <t>Gujarat</t>
        </is>
      </c>
      <c r="M1136" s="2" t="inlineStr">
        <is>
          <t>NS</t>
        </is>
      </c>
      <c r="N1136" s="8" t="inlineStr">
        <is>
          <t>Cold Soldering</t>
        </is>
      </c>
      <c r="O1136" s="51" t="n">
        <v>580</v>
      </c>
      <c r="P1136" s="2" t="inlineStr">
        <is>
          <t>NSMI25011263157</t>
        </is>
      </c>
      <c r="Q1136" s="14">
        <f>MID(P1136,5,2)</f>
        <v/>
      </c>
      <c r="R1136" s="14">
        <f>MID(P1136,7,2)</f>
        <v/>
      </c>
      <c r="S1136" s="1" t="inlineStr">
        <is>
          <t>G2G</t>
        </is>
      </c>
      <c r="T1136" s="1" t="inlineStr">
        <is>
          <t>P4 - PEIPL</t>
        </is>
      </c>
      <c r="U1136" s="6" t="inlineStr">
        <is>
          <t>N JB Cold Soldering</t>
        </is>
      </c>
      <c r="V1136" s="1" t="inlineStr">
        <is>
          <t>Inspection</t>
        </is>
      </c>
      <c r="W1136" s="1" t="inlineStr">
        <is>
          <t>Repair</t>
        </is>
      </c>
      <c r="X1136" s="5" t="n">
        <v>46185</v>
      </c>
      <c r="Y1136" s="1">
        <f>IF(X1136="","",X1136-A1136)</f>
        <v/>
      </c>
      <c r="Z1136" s="5" t="n">
        <v>46185</v>
      </c>
      <c r="AA1136" s="3" t="n"/>
      <c r="AB1136" s="3" t="n"/>
      <c r="AE1136" s="146">
        <f>IF(AND(F1136="Closed",X1136&gt;=DATE(2026,6,1),X1136&lt;=DATE(2026,6,30)),"Closed in June","other")</f>
        <v/>
      </c>
    </row>
    <row r="1137" hidden="1">
      <c r="A1137" s="9" t="n">
        <v>46161</v>
      </c>
      <c r="B1137" s="1" t="n">
        <v>2026</v>
      </c>
      <c r="C1137" s="8" t="inlineStr">
        <is>
          <t>Continuum</t>
        </is>
      </c>
      <c r="D1137" s="11" t="inlineStr">
        <is>
          <t>Utility and C&amp;I</t>
        </is>
      </c>
      <c r="E1137" s="1" t="n"/>
      <c r="F1137" s="1" t="inlineStr">
        <is>
          <t>Closed</t>
        </is>
      </c>
      <c r="G1137" s="50" t="inlineStr">
        <is>
          <t>Mr. Harendresinh Jadeja</t>
        </is>
      </c>
      <c r="H1137" s="8" t="n">
        <v>9825182102</v>
      </c>
      <c r="I1137" s="10" t="inlineStr">
        <is>
          <t>PE19052601</t>
        </is>
      </c>
      <c r="J1137" s="8" t="inlineStr">
        <is>
          <t xml:space="preserve">Diode failure </t>
        </is>
      </c>
      <c r="K1137" s="8" t="inlineStr">
        <is>
          <t>Nakhatrana</t>
        </is>
      </c>
      <c r="L1137" s="8" t="inlineStr">
        <is>
          <t>Gujarat</t>
        </is>
      </c>
      <c r="M1137" s="2" t="inlineStr">
        <is>
          <t>PS</t>
        </is>
      </c>
      <c r="N1137" s="1" t="inlineStr">
        <is>
          <t>Cold Soldering</t>
        </is>
      </c>
      <c r="O1137" s="51" t="n">
        <v>580</v>
      </c>
      <c r="P1137" s="2" t="inlineStr">
        <is>
          <t>NSMI25011229793</t>
        </is>
      </c>
      <c r="Q1137" s="29">
        <f>MID(P1137,5,2)</f>
        <v/>
      </c>
      <c r="R1137" s="14">
        <f>MID(P1137,7,2)</f>
        <v/>
      </c>
      <c r="S1137" s="1" t="inlineStr">
        <is>
          <t>G2G</t>
        </is>
      </c>
      <c r="T1137" s="1" t="inlineStr">
        <is>
          <t>P4 - PEIPL</t>
        </is>
      </c>
      <c r="U1137" s="1" t="inlineStr">
        <is>
          <t>P JB Cold Soldering</t>
        </is>
      </c>
      <c r="V1137" s="1" t="inlineStr">
        <is>
          <t>Inspection</t>
        </is>
      </c>
      <c r="W1137" s="1" t="inlineStr">
        <is>
          <t>Repair</t>
        </is>
      </c>
      <c r="X1137" s="5" t="n">
        <v>46185</v>
      </c>
      <c r="Y1137" s="1">
        <f>IF(X1137="","",X1137-A1137)</f>
        <v/>
      </c>
      <c r="Z1137" s="5" t="n">
        <v>46185</v>
      </c>
      <c r="AA1137" s="3" t="n"/>
      <c r="AB1137" s="3" t="n"/>
      <c r="AE1137" s="146">
        <f>IF(AND(F1137="Closed",X1137&gt;=DATE(2026,6,1),X1137&lt;=DATE(2026,6,30)),"Closed in June","other")</f>
        <v/>
      </c>
    </row>
    <row r="1138" hidden="1">
      <c r="A1138" s="9" t="n">
        <v>46161</v>
      </c>
      <c r="B1138" s="1" t="n">
        <v>2026</v>
      </c>
      <c r="C1138" s="8" t="inlineStr">
        <is>
          <t>Continuum</t>
        </is>
      </c>
      <c r="D1138" s="11" t="inlineStr">
        <is>
          <t>Utility and C&amp;I</t>
        </is>
      </c>
      <c r="E1138" s="1" t="n"/>
      <c r="F1138" s="1" t="inlineStr">
        <is>
          <t>Closed</t>
        </is>
      </c>
      <c r="G1138" s="50" t="inlineStr">
        <is>
          <t>Mr. Harendresinh Jadeja</t>
        </is>
      </c>
      <c r="H1138" s="8" t="n">
        <v>9825182102</v>
      </c>
      <c r="I1138" s="10" t="inlineStr">
        <is>
          <t>PE19052601</t>
        </is>
      </c>
      <c r="J1138" s="8" t="inlineStr">
        <is>
          <t xml:space="preserve">Diode failure </t>
        </is>
      </c>
      <c r="K1138" s="8" t="inlineStr">
        <is>
          <t>Nakhatrana</t>
        </is>
      </c>
      <c r="L1138" s="8" t="inlineStr">
        <is>
          <t>Gujarat</t>
        </is>
      </c>
      <c r="M1138" s="2" t="inlineStr">
        <is>
          <t>NS</t>
        </is>
      </c>
      <c r="N1138" s="8" t="inlineStr">
        <is>
          <t>Cold Soldering</t>
        </is>
      </c>
      <c r="O1138" s="51" t="n">
        <v>580</v>
      </c>
      <c r="P1138" s="2" t="inlineStr">
        <is>
          <t>NSMI25011274894</t>
        </is>
      </c>
      <c r="Q1138" s="14">
        <f>MID(P1138,5,2)</f>
        <v/>
      </c>
      <c r="R1138" s="14">
        <f>MID(P1138,7,2)</f>
        <v/>
      </c>
      <c r="S1138" s="1" t="inlineStr">
        <is>
          <t>G2G</t>
        </is>
      </c>
      <c r="T1138" s="1" t="inlineStr">
        <is>
          <t>P4 - PEIPL</t>
        </is>
      </c>
      <c r="U1138" s="6" t="inlineStr">
        <is>
          <t>N JB Cold Soldering</t>
        </is>
      </c>
      <c r="V1138" s="1" t="inlineStr">
        <is>
          <t>Inspection</t>
        </is>
      </c>
      <c r="W1138" s="1" t="inlineStr">
        <is>
          <t>Repair</t>
        </is>
      </c>
      <c r="X1138" s="5" t="n">
        <v>46185</v>
      </c>
      <c r="Y1138" s="1">
        <f>IF(X1138="","",X1138-A1138)</f>
        <v/>
      </c>
      <c r="Z1138" s="5" t="n">
        <v>46185</v>
      </c>
      <c r="AA1138" s="3" t="n"/>
      <c r="AB1138" s="3" t="n"/>
      <c r="AE1138" s="146">
        <f>IF(AND(F1138="Closed",X1138&gt;=DATE(2026,6,1),X1138&lt;=DATE(2026,6,30)),"Closed in June","other")</f>
        <v/>
      </c>
    </row>
    <row r="1139" hidden="1">
      <c r="A1139" s="9" t="n">
        <v>46161</v>
      </c>
      <c r="B1139" s="1" t="n">
        <v>2026</v>
      </c>
      <c r="C1139" s="8" t="inlineStr">
        <is>
          <t>Continuum</t>
        </is>
      </c>
      <c r="D1139" s="11" t="inlineStr">
        <is>
          <t>Utility and C&amp;I</t>
        </is>
      </c>
      <c r="E1139" s="1" t="n"/>
      <c r="F1139" s="1" t="inlineStr">
        <is>
          <t>Closed</t>
        </is>
      </c>
      <c r="G1139" s="50" t="inlineStr">
        <is>
          <t>Mr. Harendresinh Jadeja</t>
        </is>
      </c>
      <c r="H1139" s="8" t="n">
        <v>9825182102</v>
      </c>
      <c r="I1139" s="10" t="inlineStr">
        <is>
          <t>PE19052601</t>
        </is>
      </c>
      <c r="J1139" s="8" t="inlineStr">
        <is>
          <t xml:space="preserve">Diode failure </t>
        </is>
      </c>
      <c r="K1139" s="8" t="inlineStr">
        <is>
          <t>Nakhatrana</t>
        </is>
      </c>
      <c r="L1139" s="8" t="inlineStr">
        <is>
          <t>Gujarat</t>
        </is>
      </c>
      <c r="M1139" s="2" t="inlineStr">
        <is>
          <t>PS</t>
        </is>
      </c>
      <c r="N1139" s="1" t="inlineStr">
        <is>
          <t>Cold Soldering</t>
        </is>
      </c>
      <c r="O1139" s="51" t="n">
        <v>580</v>
      </c>
      <c r="P1139" s="2" t="inlineStr">
        <is>
          <t>NSMI25011260766</t>
        </is>
      </c>
      <c r="Q1139" s="29">
        <f>MID(P1139,5,2)</f>
        <v/>
      </c>
      <c r="R1139" s="14">
        <f>MID(P1139,7,2)</f>
        <v/>
      </c>
      <c r="S1139" s="1" t="inlineStr">
        <is>
          <t>G2G</t>
        </is>
      </c>
      <c r="T1139" s="1" t="inlineStr">
        <is>
          <t>P4 - PEIPL</t>
        </is>
      </c>
      <c r="U1139" s="1" t="inlineStr">
        <is>
          <t>P JB Cold Soldering</t>
        </is>
      </c>
      <c r="V1139" s="1" t="inlineStr">
        <is>
          <t>Inspection</t>
        </is>
      </c>
      <c r="W1139" s="1" t="inlineStr">
        <is>
          <t>Repair</t>
        </is>
      </c>
      <c r="X1139" s="5" t="n">
        <v>46185</v>
      </c>
      <c r="Y1139" s="1">
        <f>IF(X1139="","",X1139-A1139)</f>
        <v/>
      </c>
      <c r="Z1139" s="5" t="n">
        <v>46185</v>
      </c>
      <c r="AA1139" s="3" t="n"/>
      <c r="AB1139" s="3" t="n"/>
      <c r="AE1139" s="146">
        <f>IF(AND(F1139="Closed",X1139&gt;=DATE(2026,6,1),X1139&lt;=DATE(2026,6,30)),"Closed in June","other")</f>
        <v/>
      </c>
    </row>
    <row r="1140" hidden="1">
      <c r="A1140" s="9" t="n">
        <v>46161</v>
      </c>
      <c r="B1140" s="1" t="n">
        <v>2026</v>
      </c>
      <c r="C1140" s="8" t="inlineStr">
        <is>
          <t>Continuum</t>
        </is>
      </c>
      <c r="D1140" s="11" t="inlineStr">
        <is>
          <t>Utility and C&amp;I</t>
        </is>
      </c>
      <c r="E1140" s="1" t="n"/>
      <c r="F1140" s="1" t="inlineStr">
        <is>
          <t>Closed</t>
        </is>
      </c>
      <c r="G1140" s="50" t="inlineStr">
        <is>
          <t>Mr. Harendresinh Jadeja</t>
        </is>
      </c>
      <c r="H1140" s="8" t="n">
        <v>9825182102</v>
      </c>
      <c r="I1140" s="10" t="inlineStr">
        <is>
          <t>PE19052601</t>
        </is>
      </c>
      <c r="J1140" s="8" t="inlineStr">
        <is>
          <t xml:space="preserve">Diode failure </t>
        </is>
      </c>
      <c r="K1140" s="8" t="inlineStr">
        <is>
          <t>Nakhatrana</t>
        </is>
      </c>
      <c r="L1140" s="8" t="inlineStr">
        <is>
          <t>Gujarat</t>
        </is>
      </c>
      <c r="M1140" s="2" t="inlineStr">
        <is>
          <t>PS</t>
        </is>
      </c>
      <c r="N1140" s="1" t="inlineStr">
        <is>
          <t>Cold Soldering</t>
        </is>
      </c>
      <c r="O1140" s="51" t="n">
        <v>580</v>
      </c>
      <c r="P1140" s="2" t="inlineStr">
        <is>
          <t>NSMI25011274198</t>
        </is>
      </c>
      <c r="Q1140" s="29">
        <f>MID(P1140,5,2)</f>
        <v/>
      </c>
      <c r="R1140" s="14">
        <f>MID(P1140,7,2)</f>
        <v/>
      </c>
      <c r="S1140" s="1" t="inlineStr">
        <is>
          <t>G2G</t>
        </is>
      </c>
      <c r="T1140" s="1" t="inlineStr">
        <is>
          <t>P4 - PEIPL</t>
        </is>
      </c>
      <c r="U1140" s="1" t="inlineStr">
        <is>
          <t>P JB Cold Soldering</t>
        </is>
      </c>
      <c r="V1140" s="1" t="inlineStr">
        <is>
          <t>Inspection</t>
        </is>
      </c>
      <c r="W1140" s="1" t="inlineStr">
        <is>
          <t>Repair</t>
        </is>
      </c>
      <c r="X1140" s="5" t="n">
        <v>46185</v>
      </c>
      <c r="Y1140" s="1">
        <f>IF(X1140="","",X1140-A1140)</f>
        <v/>
      </c>
      <c r="Z1140" s="5" t="n">
        <v>46185</v>
      </c>
      <c r="AA1140" s="3" t="n"/>
      <c r="AB1140" s="3" t="n"/>
      <c r="AE1140" s="146">
        <f>IF(AND(F1140="Closed",X1140&gt;=DATE(2026,6,1),X1140&lt;=DATE(2026,6,30)),"Closed in June","other")</f>
        <v/>
      </c>
    </row>
    <row r="1141" hidden="1">
      <c r="A1141" s="9" t="n">
        <v>46161</v>
      </c>
      <c r="B1141" s="1" t="n">
        <v>2026</v>
      </c>
      <c r="C1141" s="8" t="inlineStr">
        <is>
          <t>Continuum</t>
        </is>
      </c>
      <c r="D1141" s="11" t="inlineStr">
        <is>
          <t>Utility and C&amp;I</t>
        </is>
      </c>
      <c r="E1141" s="1" t="n"/>
      <c r="F1141" s="1" t="inlineStr">
        <is>
          <t>Closed</t>
        </is>
      </c>
      <c r="G1141" s="50" t="inlineStr">
        <is>
          <t>Mr. Harendresinh Jadeja</t>
        </is>
      </c>
      <c r="H1141" s="8" t="n">
        <v>9825182102</v>
      </c>
      <c r="I1141" s="10" t="inlineStr">
        <is>
          <t>PE19052601</t>
        </is>
      </c>
      <c r="J1141" s="8" t="inlineStr">
        <is>
          <t xml:space="preserve">Diode failure </t>
        </is>
      </c>
      <c r="K1141" s="8" t="inlineStr">
        <is>
          <t>Nakhatrana</t>
        </is>
      </c>
      <c r="L1141" s="8" t="inlineStr">
        <is>
          <t>Gujarat</t>
        </is>
      </c>
      <c r="M1141" s="2" t="inlineStr">
        <is>
          <t>PS</t>
        </is>
      </c>
      <c r="N1141" s="1" t="inlineStr">
        <is>
          <t>Cold Soldering</t>
        </is>
      </c>
      <c r="O1141" s="51" t="n">
        <v>580</v>
      </c>
      <c r="P1141" s="2" t="inlineStr">
        <is>
          <t>NSMI25011233276</t>
        </is>
      </c>
      <c r="Q1141" s="29">
        <f>MID(P1141,5,2)</f>
        <v/>
      </c>
      <c r="R1141" s="14">
        <f>MID(P1141,7,2)</f>
        <v/>
      </c>
      <c r="S1141" s="1" t="inlineStr">
        <is>
          <t>G2G</t>
        </is>
      </c>
      <c r="T1141" s="1" t="inlineStr">
        <is>
          <t>P4 - PEIPL</t>
        </is>
      </c>
      <c r="U1141" s="1" t="inlineStr">
        <is>
          <t>P JB Cold Soldering</t>
        </is>
      </c>
      <c r="V1141" s="1" t="inlineStr">
        <is>
          <t>Inspection</t>
        </is>
      </c>
      <c r="W1141" s="1" t="inlineStr">
        <is>
          <t>Repair</t>
        </is>
      </c>
      <c r="X1141" s="5" t="n">
        <v>46185</v>
      </c>
      <c r="Y1141" s="1">
        <f>IF(X1141="","",X1141-A1141)</f>
        <v/>
      </c>
      <c r="Z1141" s="5" t="n">
        <v>46185</v>
      </c>
      <c r="AA1141" s="3" t="n"/>
      <c r="AB1141" s="3" t="n"/>
      <c r="AE1141" s="146">
        <f>IF(AND(F1141="Closed",X1141&gt;=DATE(2026,6,1),X1141&lt;=DATE(2026,6,30)),"Closed in June","other")</f>
        <v/>
      </c>
    </row>
    <row r="1142" hidden="1">
      <c r="A1142" s="9" t="n">
        <v>46161</v>
      </c>
      <c r="B1142" s="1" t="n">
        <v>2026</v>
      </c>
      <c r="C1142" s="8" t="inlineStr">
        <is>
          <t>Continuum</t>
        </is>
      </c>
      <c r="D1142" s="11" t="inlineStr">
        <is>
          <t>Utility and C&amp;I</t>
        </is>
      </c>
      <c r="E1142" s="1" t="n"/>
      <c r="F1142" s="1" t="inlineStr">
        <is>
          <t>Closed</t>
        </is>
      </c>
      <c r="G1142" s="50" t="inlineStr">
        <is>
          <t>Mr. Harendresinh Jadeja</t>
        </is>
      </c>
      <c r="H1142" s="8" t="n">
        <v>9825182102</v>
      </c>
      <c r="I1142" s="10" t="inlineStr">
        <is>
          <t>PE19052601</t>
        </is>
      </c>
      <c r="J1142" s="8" t="inlineStr">
        <is>
          <t xml:space="preserve">Diode failure </t>
        </is>
      </c>
      <c r="K1142" s="8" t="inlineStr">
        <is>
          <t>Nakhatrana</t>
        </is>
      </c>
      <c r="L1142" s="8" t="inlineStr">
        <is>
          <t>Gujarat</t>
        </is>
      </c>
      <c r="M1142" s="2" t="inlineStr">
        <is>
          <t>NS</t>
        </is>
      </c>
      <c r="N1142" s="8" t="inlineStr">
        <is>
          <t>Cold Soldering</t>
        </is>
      </c>
      <c r="O1142" s="51" t="n">
        <v>580</v>
      </c>
      <c r="P1142" s="2" t="inlineStr">
        <is>
          <t>NSMI25011232364</t>
        </is>
      </c>
      <c r="Q1142" s="14">
        <f>MID(P1142,5,2)</f>
        <v/>
      </c>
      <c r="R1142" s="14">
        <f>MID(P1142,7,2)</f>
        <v/>
      </c>
      <c r="S1142" s="1" t="inlineStr">
        <is>
          <t>G2G</t>
        </is>
      </c>
      <c r="T1142" s="1" t="inlineStr">
        <is>
          <t>P4 - PEIPL</t>
        </is>
      </c>
      <c r="U1142" s="6" t="inlineStr">
        <is>
          <t>N JB Cold Soldering</t>
        </is>
      </c>
      <c r="V1142" s="1" t="inlineStr">
        <is>
          <t>Inspection</t>
        </is>
      </c>
      <c r="W1142" s="1" t="inlineStr">
        <is>
          <t>Repair</t>
        </is>
      </c>
      <c r="X1142" s="5" t="n">
        <v>46185</v>
      </c>
      <c r="Y1142" s="1">
        <f>IF(X1142="","",X1142-A1142)</f>
        <v/>
      </c>
      <c r="Z1142" s="5" t="n">
        <v>46185</v>
      </c>
      <c r="AA1142" s="3" t="n"/>
      <c r="AB1142" s="3" t="n"/>
      <c r="AE1142" s="146">
        <f>IF(AND(F1142="Closed",X1142&gt;=DATE(2026,6,1),X1142&lt;=DATE(2026,6,30)),"Closed in June","other")</f>
        <v/>
      </c>
    </row>
    <row r="1143" hidden="1">
      <c r="A1143" s="9" t="n">
        <v>46161</v>
      </c>
      <c r="B1143" s="1" t="n">
        <v>2026</v>
      </c>
      <c r="C1143" s="8" t="inlineStr">
        <is>
          <t>Continuum</t>
        </is>
      </c>
      <c r="D1143" s="11" t="inlineStr">
        <is>
          <t>Utility and C&amp;I</t>
        </is>
      </c>
      <c r="E1143" s="1" t="n"/>
      <c r="F1143" s="1" t="inlineStr">
        <is>
          <t>Closed</t>
        </is>
      </c>
      <c r="G1143" s="50" t="inlineStr">
        <is>
          <t>Mr. Harendresinh Jadeja</t>
        </is>
      </c>
      <c r="H1143" s="8" t="n">
        <v>9825182102</v>
      </c>
      <c r="I1143" s="10" t="inlineStr">
        <is>
          <t>PE19052601</t>
        </is>
      </c>
      <c r="J1143" s="8" t="inlineStr">
        <is>
          <t xml:space="preserve">Diode failure </t>
        </is>
      </c>
      <c r="K1143" s="8" t="inlineStr">
        <is>
          <t>Nakhatrana</t>
        </is>
      </c>
      <c r="L1143" s="8" t="inlineStr">
        <is>
          <t>Gujarat</t>
        </is>
      </c>
      <c r="M1143" s="2" t="inlineStr">
        <is>
          <t>PS</t>
        </is>
      </c>
      <c r="N1143" s="1" t="inlineStr">
        <is>
          <t>Cold Soldering</t>
        </is>
      </c>
      <c r="O1143" s="51" t="n">
        <v>580</v>
      </c>
      <c r="P1143" s="2" t="inlineStr">
        <is>
          <t>NSMI25011239190</t>
        </is>
      </c>
      <c r="Q1143" s="29">
        <f>MID(P1143,5,2)</f>
        <v/>
      </c>
      <c r="R1143" s="14">
        <f>MID(P1143,7,2)</f>
        <v/>
      </c>
      <c r="S1143" s="1" t="inlineStr">
        <is>
          <t>G2G</t>
        </is>
      </c>
      <c r="T1143" s="1" t="inlineStr">
        <is>
          <t>P4 - PEIPL</t>
        </is>
      </c>
      <c r="U1143" s="1" t="inlineStr">
        <is>
          <t>P JB Cold Soldering</t>
        </is>
      </c>
      <c r="V1143" s="1" t="inlineStr">
        <is>
          <t>Inspection</t>
        </is>
      </c>
      <c r="W1143" s="1" t="inlineStr">
        <is>
          <t>Repair</t>
        </is>
      </c>
      <c r="X1143" s="5" t="n">
        <v>46185</v>
      </c>
      <c r="Y1143" s="1">
        <f>IF(X1143="","",X1143-A1143)</f>
        <v/>
      </c>
      <c r="Z1143" s="5" t="n">
        <v>46185</v>
      </c>
      <c r="AA1143" s="3" t="n"/>
      <c r="AB1143" s="3" t="n"/>
      <c r="AE1143" s="146">
        <f>IF(AND(F1143="Closed",X1143&gt;=DATE(2026,6,1),X1143&lt;=DATE(2026,6,30)),"Closed in June","other")</f>
        <v/>
      </c>
    </row>
    <row r="1144" hidden="1">
      <c r="A1144" s="9" t="n">
        <v>46161</v>
      </c>
      <c r="B1144" s="1" t="n">
        <v>2026</v>
      </c>
      <c r="C1144" s="8" t="inlineStr">
        <is>
          <t>Continuum</t>
        </is>
      </c>
      <c r="D1144" s="11" t="inlineStr">
        <is>
          <t>Utility and C&amp;I</t>
        </is>
      </c>
      <c r="E1144" s="1" t="n"/>
      <c r="F1144" s="1" t="inlineStr">
        <is>
          <t>Closed</t>
        </is>
      </c>
      <c r="G1144" s="50" t="inlineStr">
        <is>
          <t>Mr. Harendresinh Jadeja</t>
        </is>
      </c>
      <c r="H1144" s="8" t="n">
        <v>9825182102</v>
      </c>
      <c r="I1144" s="10" t="inlineStr">
        <is>
          <t>PE19052601</t>
        </is>
      </c>
      <c r="J1144" s="8" t="inlineStr">
        <is>
          <t xml:space="preserve">Diode failure </t>
        </is>
      </c>
      <c r="K1144" s="8" t="inlineStr">
        <is>
          <t>Nakhatrana</t>
        </is>
      </c>
      <c r="L1144" s="8" t="inlineStr">
        <is>
          <t>Gujarat</t>
        </is>
      </c>
      <c r="M1144" s="2" t="inlineStr">
        <is>
          <t>NR</t>
        </is>
      </c>
      <c r="N1144" s="8" t="inlineStr">
        <is>
          <t>JB Issue</t>
        </is>
      </c>
      <c r="O1144" s="51" t="n">
        <v>580</v>
      </c>
      <c r="P1144" s="2" t="inlineStr">
        <is>
          <t>NSMI25011272911</t>
        </is>
      </c>
      <c r="Q1144" s="14">
        <f>MID(P1144,5,2)</f>
        <v/>
      </c>
      <c r="R1144" s="14">
        <f>MID(P1144,7,2)</f>
        <v/>
      </c>
      <c r="S1144" s="1" t="inlineStr">
        <is>
          <t>G2G</t>
        </is>
      </c>
      <c r="T1144" s="1" t="inlineStr">
        <is>
          <t>P4 - PEIPL</t>
        </is>
      </c>
      <c r="U1144" s="6" t="inlineStr">
        <is>
          <t>N JB Issue</t>
        </is>
      </c>
      <c r="V1144" s="1" t="inlineStr">
        <is>
          <t>Inspection</t>
        </is>
      </c>
      <c r="W1144" s="1" t="inlineStr">
        <is>
          <t>Repair</t>
        </is>
      </c>
      <c r="X1144" s="5" t="n">
        <v>46185</v>
      </c>
      <c r="Y1144" s="1">
        <f>IF(X1144="","",X1144-A1144)</f>
        <v/>
      </c>
      <c r="Z1144" s="5" t="n">
        <v>46185</v>
      </c>
      <c r="AA1144" s="3" t="n"/>
      <c r="AB1144" s="3" t="n"/>
      <c r="AE1144" s="146">
        <f>IF(AND(F1144="Closed",X1144&gt;=DATE(2026,6,1),X1144&lt;=DATE(2026,6,30)),"Closed in June","other")</f>
        <v/>
      </c>
    </row>
    <row r="1145" hidden="1">
      <c r="A1145" s="9" t="n">
        <v>46161</v>
      </c>
      <c r="B1145" s="1" t="n">
        <v>2026</v>
      </c>
      <c r="C1145" s="8" t="inlineStr">
        <is>
          <t>Continuum</t>
        </is>
      </c>
      <c r="D1145" s="11" t="inlineStr">
        <is>
          <t>Utility and C&amp;I</t>
        </is>
      </c>
      <c r="E1145" s="1" t="n"/>
      <c r="F1145" s="1" t="inlineStr">
        <is>
          <t>Closed</t>
        </is>
      </c>
      <c r="G1145" s="50" t="inlineStr">
        <is>
          <t>Mr. Harendresinh Jadeja</t>
        </is>
      </c>
      <c r="H1145" s="8" t="n">
        <v>9825182102</v>
      </c>
      <c r="I1145" s="10" t="inlineStr">
        <is>
          <t>PE19052601</t>
        </is>
      </c>
      <c r="J1145" s="8" t="inlineStr">
        <is>
          <t xml:space="preserve">Diode failure </t>
        </is>
      </c>
      <c r="K1145" s="8" t="inlineStr">
        <is>
          <t>Nakhatrana</t>
        </is>
      </c>
      <c r="L1145" s="8" t="inlineStr">
        <is>
          <t>Gujarat</t>
        </is>
      </c>
      <c r="M1145" s="2" t="inlineStr">
        <is>
          <t>NR</t>
        </is>
      </c>
      <c r="N1145" s="8" t="inlineStr">
        <is>
          <t>JB Issue</t>
        </is>
      </c>
      <c r="O1145" s="51" t="n">
        <v>580</v>
      </c>
      <c r="P1145" s="2" t="inlineStr">
        <is>
          <t>NSMI25011265101</t>
        </is>
      </c>
      <c r="Q1145" s="29">
        <f>MID(P1145,5,2)</f>
        <v/>
      </c>
      <c r="R1145" s="14">
        <f>MID(P1145,7,2)</f>
        <v/>
      </c>
      <c r="S1145" s="1" t="inlineStr">
        <is>
          <t>G2G</t>
        </is>
      </c>
      <c r="T1145" s="1" t="inlineStr">
        <is>
          <t>P4 - PEIPL</t>
        </is>
      </c>
      <c r="U1145" s="6" t="inlineStr">
        <is>
          <t>N JB Issue</t>
        </is>
      </c>
      <c r="V1145" s="1" t="inlineStr">
        <is>
          <t>Inspection</t>
        </is>
      </c>
      <c r="W1145" s="1" t="inlineStr">
        <is>
          <t>Repair</t>
        </is>
      </c>
      <c r="X1145" s="5" t="n">
        <v>46186</v>
      </c>
      <c r="Y1145" s="1">
        <f>IF(X1145="","",X1145-A1145)</f>
        <v/>
      </c>
      <c r="Z1145" s="5" t="n">
        <v>46186</v>
      </c>
      <c r="AA1145" s="3" t="n"/>
      <c r="AB1145" s="3" t="n"/>
      <c r="AE1145" s="146">
        <f>IF(AND(F1145="Closed",X1145&gt;=DATE(2026,6,1),X1145&lt;=DATE(2026,6,30)),"Closed in June","other")</f>
        <v/>
      </c>
    </row>
    <row r="1146" hidden="1">
      <c r="A1146" s="9" t="n">
        <v>46161</v>
      </c>
      <c r="B1146" s="1" t="n">
        <v>2026</v>
      </c>
      <c r="C1146" s="8" t="inlineStr">
        <is>
          <t>Continuum</t>
        </is>
      </c>
      <c r="D1146" s="11" t="inlineStr">
        <is>
          <t>Utility and C&amp;I</t>
        </is>
      </c>
      <c r="E1146" s="1" t="n"/>
      <c r="F1146" s="1" t="inlineStr">
        <is>
          <t>Closed</t>
        </is>
      </c>
      <c r="G1146" s="50" t="inlineStr">
        <is>
          <t>Mr. Harendresinh Jadeja</t>
        </is>
      </c>
      <c r="H1146" s="8" t="n">
        <v>9825182102</v>
      </c>
      <c r="I1146" s="10" t="inlineStr">
        <is>
          <t>PE19052601</t>
        </is>
      </c>
      <c r="J1146" s="8" t="inlineStr">
        <is>
          <t xml:space="preserve">Diode failure </t>
        </is>
      </c>
      <c r="K1146" s="8" t="inlineStr">
        <is>
          <t>Nakhatrana</t>
        </is>
      </c>
      <c r="L1146" s="8" t="inlineStr">
        <is>
          <t>Gujarat</t>
        </is>
      </c>
      <c r="M1146" s="2" t="inlineStr">
        <is>
          <t>NR</t>
        </is>
      </c>
      <c r="N1146" s="8" t="inlineStr">
        <is>
          <t>JB Issue</t>
        </is>
      </c>
      <c r="O1146" s="51" t="n">
        <v>580</v>
      </c>
      <c r="P1146" s="2" t="inlineStr">
        <is>
          <t>NSMI25011290149</t>
        </is>
      </c>
      <c r="Q1146" s="29">
        <f>MID(P1146,5,2)</f>
        <v/>
      </c>
      <c r="R1146" s="14">
        <f>MID(P1146,7,2)</f>
        <v/>
      </c>
      <c r="S1146" s="1" t="inlineStr">
        <is>
          <t>G2G</t>
        </is>
      </c>
      <c r="T1146" s="1" t="inlineStr">
        <is>
          <t>P4 - PEIPL</t>
        </is>
      </c>
      <c r="U1146" s="6" t="inlineStr">
        <is>
          <t>N JB Issue</t>
        </is>
      </c>
      <c r="V1146" s="1" t="inlineStr">
        <is>
          <t>Inspection</t>
        </is>
      </c>
      <c r="W1146" s="1" t="inlineStr">
        <is>
          <t>Repair</t>
        </is>
      </c>
      <c r="X1146" s="5" t="n">
        <v>46186</v>
      </c>
      <c r="Y1146" s="1">
        <f>IF(X1146="","",X1146-A1146)</f>
        <v/>
      </c>
      <c r="Z1146" s="5" t="n">
        <v>46186</v>
      </c>
      <c r="AA1146" s="3" t="n"/>
      <c r="AB1146" s="3" t="n"/>
      <c r="AE1146" s="146">
        <f>IF(AND(F1146="Closed",X1146&gt;=DATE(2026,6,1),X1146&lt;=DATE(2026,6,30)),"Closed in June","other")</f>
        <v/>
      </c>
    </row>
    <row r="1147" hidden="1">
      <c r="A1147" s="9" t="n">
        <v>46161</v>
      </c>
      <c r="B1147" s="1" t="n">
        <v>2026</v>
      </c>
      <c r="C1147" s="8" t="inlineStr">
        <is>
          <t>Continuum</t>
        </is>
      </c>
      <c r="D1147" s="11" t="inlineStr">
        <is>
          <t>Utility and C&amp;I</t>
        </is>
      </c>
      <c r="E1147" s="1" t="n"/>
      <c r="F1147" s="1" t="inlineStr">
        <is>
          <t>Closed</t>
        </is>
      </c>
      <c r="G1147" s="50" t="inlineStr">
        <is>
          <t>Mr. Harendresinh Jadeja</t>
        </is>
      </c>
      <c r="H1147" s="8" t="n">
        <v>9825182102</v>
      </c>
      <c r="I1147" s="10" t="inlineStr">
        <is>
          <t>PE19052601</t>
        </is>
      </c>
      <c r="J1147" s="8" t="inlineStr">
        <is>
          <t xml:space="preserve">Diode failure </t>
        </is>
      </c>
      <c r="K1147" s="8" t="inlineStr">
        <is>
          <t>Nakhatrana</t>
        </is>
      </c>
      <c r="L1147" s="8" t="inlineStr">
        <is>
          <t>Gujarat</t>
        </is>
      </c>
      <c r="M1147" s="2" t="inlineStr">
        <is>
          <t>NR</t>
        </is>
      </c>
      <c r="N1147" s="8" t="inlineStr">
        <is>
          <t>JB Issue</t>
        </is>
      </c>
      <c r="O1147" s="51" t="n">
        <v>580</v>
      </c>
      <c r="P1147" s="2" t="inlineStr">
        <is>
          <t>NSMI25011290342</t>
        </is>
      </c>
      <c r="Q1147" s="29">
        <f>MID(P1147,5,2)</f>
        <v/>
      </c>
      <c r="R1147" s="14">
        <f>MID(P1147,7,2)</f>
        <v/>
      </c>
      <c r="S1147" s="1" t="inlineStr">
        <is>
          <t>G2G</t>
        </is>
      </c>
      <c r="T1147" s="1" t="inlineStr">
        <is>
          <t>P4 - PEIPL</t>
        </is>
      </c>
      <c r="U1147" s="6" t="inlineStr">
        <is>
          <t>N JB Issue</t>
        </is>
      </c>
      <c r="V1147" s="1" t="inlineStr">
        <is>
          <t>Inspection</t>
        </is>
      </c>
      <c r="W1147" s="1" t="inlineStr">
        <is>
          <t>Repair</t>
        </is>
      </c>
      <c r="X1147" s="5" t="n">
        <v>46186</v>
      </c>
      <c r="Y1147" s="1">
        <f>IF(X1147="","",X1147-A1147)</f>
        <v/>
      </c>
      <c r="Z1147" s="5" t="n">
        <v>46186</v>
      </c>
      <c r="AA1147" s="3" t="n"/>
      <c r="AB1147" s="3" t="n"/>
      <c r="AE1147" s="146">
        <f>IF(AND(F1147="Closed",X1147&gt;=DATE(2026,6,1),X1147&lt;=DATE(2026,6,30)),"Closed in June","other")</f>
        <v/>
      </c>
    </row>
    <row r="1148" hidden="1">
      <c r="A1148" s="9" t="n">
        <v>46161</v>
      </c>
      <c r="B1148" s="1" t="n">
        <v>2026</v>
      </c>
      <c r="C1148" s="8" t="inlineStr">
        <is>
          <t>Continuum</t>
        </is>
      </c>
      <c r="D1148" s="11" t="inlineStr">
        <is>
          <t>Utility and C&amp;I</t>
        </is>
      </c>
      <c r="E1148" s="1" t="n"/>
      <c r="F1148" s="1" t="inlineStr">
        <is>
          <t>Closed</t>
        </is>
      </c>
      <c r="G1148" s="50" t="inlineStr">
        <is>
          <t>Mr. Harendresinh Jadeja</t>
        </is>
      </c>
      <c r="H1148" s="8" t="n">
        <v>9825182102</v>
      </c>
      <c r="I1148" s="10" t="inlineStr">
        <is>
          <t>PE19052601</t>
        </is>
      </c>
      <c r="J1148" s="8" t="inlineStr">
        <is>
          <t xml:space="preserve">Diode failure </t>
        </is>
      </c>
      <c r="K1148" s="8" t="inlineStr">
        <is>
          <t>Nakhatrana</t>
        </is>
      </c>
      <c r="L1148" s="8" t="inlineStr">
        <is>
          <t>Gujarat</t>
        </is>
      </c>
      <c r="M1148" s="2" t="inlineStr">
        <is>
          <t>NS</t>
        </is>
      </c>
      <c r="N1148" s="8" t="inlineStr">
        <is>
          <t>Cold Soldering</t>
        </is>
      </c>
      <c r="O1148" s="51" t="n">
        <v>580</v>
      </c>
      <c r="P1148" s="2" t="inlineStr">
        <is>
          <t>NSMI25011290405</t>
        </is>
      </c>
      <c r="Q1148" s="29">
        <f>MID(P1148,5,2)</f>
        <v/>
      </c>
      <c r="R1148" s="14">
        <f>MID(P1148,7,2)</f>
        <v/>
      </c>
      <c r="S1148" s="1" t="inlineStr">
        <is>
          <t>G2G</t>
        </is>
      </c>
      <c r="T1148" s="1" t="inlineStr">
        <is>
          <t>P4 - PEIPL</t>
        </is>
      </c>
      <c r="U1148" s="6" t="inlineStr">
        <is>
          <t>N JB Cold Soldering</t>
        </is>
      </c>
      <c r="V1148" s="1" t="inlineStr">
        <is>
          <t>Inspection</t>
        </is>
      </c>
      <c r="W1148" s="1" t="inlineStr">
        <is>
          <t>Repair</t>
        </is>
      </c>
      <c r="X1148" s="5" t="n">
        <v>46186</v>
      </c>
      <c r="Y1148" s="1">
        <f>IF(X1148="","",X1148-A1148)</f>
        <v/>
      </c>
      <c r="Z1148" s="5" t="n">
        <v>46186</v>
      </c>
      <c r="AA1148" s="3" t="n"/>
      <c r="AB1148" s="3" t="n"/>
      <c r="AE1148" s="146">
        <f>IF(AND(F1148="Closed",X1148&gt;=DATE(2026,6,1),X1148&lt;=DATE(2026,6,30)),"Closed in June","other")</f>
        <v/>
      </c>
    </row>
    <row r="1149" hidden="1">
      <c r="A1149" s="9" t="n">
        <v>46161</v>
      </c>
      <c r="B1149" s="1" t="n">
        <v>2026</v>
      </c>
      <c r="C1149" s="8" t="inlineStr">
        <is>
          <t>Continuum</t>
        </is>
      </c>
      <c r="D1149" s="11" t="inlineStr">
        <is>
          <t>Utility and C&amp;I</t>
        </is>
      </c>
      <c r="E1149" s="1" t="n"/>
      <c r="F1149" s="1" t="inlineStr">
        <is>
          <t>Closed</t>
        </is>
      </c>
      <c r="G1149" s="50" t="inlineStr">
        <is>
          <t>Mr. Harendresinh Jadeja</t>
        </is>
      </c>
      <c r="H1149" s="8" t="n">
        <v>9825182102</v>
      </c>
      <c r="I1149" s="10" t="inlineStr">
        <is>
          <t>PE19052601</t>
        </is>
      </c>
      <c r="J1149" s="8" t="inlineStr">
        <is>
          <t xml:space="preserve">Diode failure </t>
        </is>
      </c>
      <c r="K1149" s="8" t="inlineStr">
        <is>
          <t>Nakhatrana</t>
        </is>
      </c>
      <c r="L1149" s="8" t="inlineStr">
        <is>
          <t>Gujarat</t>
        </is>
      </c>
      <c r="M1149" s="2" t="inlineStr">
        <is>
          <t>NS</t>
        </is>
      </c>
      <c r="N1149" s="8" t="inlineStr">
        <is>
          <t>Cold Soldering</t>
        </is>
      </c>
      <c r="O1149" s="51" t="n">
        <v>580</v>
      </c>
      <c r="P1149" s="2" t="inlineStr">
        <is>
          <t>NSMI25011292360</t>
        </is>
      </c>
      <c r="Q1149" s="29">
        <f>MID(P1149,5,2)</f>
        <v/>
      </c>
      <c r="R1149" s="14">
        <f>MID(P1149,7,2)</f>
        <v/>
      </c>
      <c r="S1149" s="1" t="inlineStr">
        <is>
          <t>G2G</t>
        </is>
      </c>
      <c r="T1149" s="1" t="inlineStr">
        <is>
          <t>P4 - PEIPL</t>
        </is>
      </c>
      <c r="U1149" s="6" t="inlineStr">
        <is>
          <t>N JB Cold Soldering</t>
        </is>
      </c>
      <c r="V1149" s="1" t="inlineStr">
        <is>
          <t>Inspection</t>
        </is>
      </c>
      <c r="W1149" s="1" t="inlineStr">
        <is>
          <t>Repair</t>
        </is>
      </c>
      <c r="X1149" s="5" t="n">
        <v>46186</v>
      </c>
      <c r="Y1149" s="1">
        <f>IF(X1149="","",X1149-A1149)</f>
        <v/>
      </c>
      <c r="Z1149" s="5" t="n">
        <v>46186</v>
      </c>
      <c r="AA1149" s="3" t="n"/>
      <c r="AB1149" s="3" t="n"/>
      <c r="AE1149" s="146">
        <f>IF(AND(F1149="Closed",X1149&gt;=DATE(2026,6,1),X1149&lt;=DATE(2026,6,30)),"Closed in June","other")</f>
        <v/>
      </c>
    </row>
    <row r="1150" hidden="1">
      <c r="A1150" s="9" t="n">
        <v>46161</v>
      </c>
      <c r="B1150" s="1" t="n">
        <v>2026</v>
      </c>
      <c r="C1150" s="8" t="inlineStr">
        <is>
          <t>Continuum</t>
        </is>
      </c>
      <c r="D1150" s="11" t="inlineStr">
        <is>
          <t>Utility and C&amp;I</t>
        </is>
      </c>
      <c r="E1150" s="1" t="n"/>
      <c r="F1150" s="1" t="inlineStr">
        <is>
          <t>Closed</t>
        </is>
      </c>
      <c r="G1150" s="50" t="inlineStr">
        <is>
          <t>Mr. Harendresinh Jadeja</t>
        </is>
      </c>
      <c r="H1150" s="8" t="n">
        <v>9825182102</v>
      </c>
      <c r="I1150" s="10" t="inlineStr">
        <is>
          <t>PE19052601</t>
        </is>
      </c>
      <c r="J1150" s="8" t="inlineStr">
        <is>
          <t xml:space="preserve">Diode failure </t>
        </is>
      </c>
      <c r="K1150" s="8" t="inlineStr">
        <is>
          <t>Nakhatrana</t>
        </is>
      </c>
      <c r="L1150" s="8" t="inlineStr">
        <is>
          <t>Gujarat</t>
        </is>
      </c>
      <c r="M1150" s="2" t="inlineStr">
        <is>
          <t>PS</t>
        </is>
      </c>
      <c r="N1150" s="1" t="inlineStr">
        <is>
          <t>Cold Soldering</t>
        </is>
      </c>
      <c r="O1150" s="51" t="n">
        <v>580</v>
      </c>
      <c r="P1150" s="2" t="inlineStr">
        <is>
          <t>NSMI25040048059</t>
        </is>
      </c>
      <c r="Q1150" s="29">
        <f>MID(P1150,5,2)</f>
        <v/>
      </c>
      <c r="R1150" s="14">
        <f>MID(P1150,7,2)</f>
        <v/>
      </c>
      <c r="S1150" s="1" t="inlineStr">
        <is>
          <t>G2G</t>
        </is>
      </c>
      <c r="T1150" s="1" t="inlineStr">
        <is>
          <t>P4 - PEIPL</t>
        </is>
      </c>
      <c r="U1150" s="1" t="inlineStr">
        <is>
          <t>P JB Cold Soldering</t>
        </is>
      </c>
      <c r="V1150" s="1" t="inlineStr">
        <is>
          <t>Inspection</t>
        </is>
      </c>
      <c r="W1150" s="1" t="inlineStr">
        <is>
          <t>Repair</t>
        </is>
      </c>
      <c r="X1150" s="5" t="n">
        <v>46186</v>
      </c>
      <c r="Y1150" s="1">
        <f>IF(X1150="","",X1150-A1150)</f>
        <v/>
      </c>
      <c r="Z1150" s="5" t="n">
        <v>46186</v>
      </c>
      <c r="AA1150" s="3" t="n"/>
      <c r="AB1150" s="3" t="n"/>
      <c r="AE1150" s="146">
        <f>IF(AND(F1150="Closed",X1150&gt;=DATE(2026,6,1),X1150&lt;=DATE(2026,6,30)),"Closed in June","other")</f>
        <v/>
      </c>
    </row>
    <row r="1151" hidden="1">
      <c r="A1151" s="9" t="n">
        <v>46161</v>
      </c>
      <c r="B1151" s="1" t="n">
        <v>2026</v>
      </c>
      <c r="C1151" s="8" t="inlineStr">
        <is>
          <t>Continuum</t>
        </is>
      </c>
      <c r="D1151" s="11" t="inlineStr">
        <is>
          <t>Utility and C&amp;I</t>
        </is>
      </c>
      <c r="E1151" s="1" t="n"/>
      <c r="F1151" s="1" t="inlineStr">
        <is>
          <t>Closed</t>
        </is>
      </c>
      <c r="G1151" s="50" t="inlineStr">
        <is>
          <t>Mr. Harendresinh Jadeja</t>
        </is>
      </c>
      <c r="H1151" s="8" t="n">
        <v>9825182102</v>
      </c>
      <c r="I1151" s="10" t="inlineStr">
        <is>
          <t>PE19052601</t>
        </is>
      </c>
      <c r="J1151" s="8" t="inlineStr">
        <is>
          <t xml:space="preserve">Diode failure </t>
        </is>
      </c>
      <c r="K1151" s="8" t="inlineStr">
        <is>
          <t>Nakhatrana</t>
        </is>
      </c>
      <c r="L1151" s="8" t="inlineStr">
        <is>
          <t>Gujarat</t>
        </is>
      </c>
      <c r="M1151" s="2" t="inlineStr">
        <is>
          <t>PS</t>
        </is>
      </c>
      <c r="N1151" s="1" t="inlineStr">
        <is>
          <t>Cold Soldering</t>
        </is>
      </c>
      <c r="O1151" s="51" t="n">
        <v>580</v>
      </c>
      <c r="P1151" s="2" t="inlineStr">
        <is>
          <t>NSMI25011238565</t>
        </is>
      </c>
      <c r="Q1151" s="29">
        <f>MID(P1151,5,2)</f>
        <v/>
      </c>
      <c r="R1151" s="14">
        <f>MID(P1151,7,2)</f>
        <v/>
      </c>
      <c r="S1151" s="1" t="inlineStr">
        <is>
          <t>G2G</t>
        </is>
      </c>
      <c r="T1151" s="1" t="inlineStr">
        <is>
          <t>P4 - PEIPL</t>
        </is>
      </c>
      <c r="U1151" s="1" t="inlineStr">
        <is>
          <t>P JB Cold Soldering</t>
        </is>
      </c>
      <c r="V1151" s="1" t="inlineStr">
        <is>
          <t>Inspection</t>
        </is>
      </c>
      <c r="W1151" s="1" t="inlineStr">
        <is>
          <t>Repair</t>
        </is>
      </c>
      <c r="X1151" s="5" t="n">
        <v>46186</v>
      </c>
      <c r="Y1151" s="1">
        <f>IF(X1151="","",X1151-A1151)</f>
        <v/>
      </c>
      <c r="Z1151" s="5" t="n">
        <v>46186</v>
      </c>
      <c r="AA1151" s="3" t="n"/>
      <c r="AB1151" s="3" t="n"/>
      <c r="AE1151" s="146">
        <f>IF(AND(F1151="Closed",X1151&gt;=DATE(2026,6,1),X1151&lt;=DATE(2026,6,30)),"Closed in June","other")</f>
        <v/>
      </c>
    </row>
    <row r="1152" hidden="1">
      <c r="A1152" s="9" t="n">
        <v>46161</v>
      </c>
      <c r="B1152" s="1" t="n">
        <v>2026</v>
      </c>
      <c r="C1152" s="8" t="inlineStr">
        <is>
          <t>Continuum</t>
        </is>
      </c>
      <c r="D1152" s="11" t="inlineStr">
        <is>
          <t>Utility and C&amp;I</t>
        </is>
      </c>
      <c r="E1152" s="1" t="n"/>
      <c r="F1152" s="1" t="inlineStr">
        <is>
          <t>Closed</t>
        </is>
      </c>
      <c r="G1152" s="50" t="inlineStr">
        <is>
          <t>Mr. Harendresinh Jadeja</t>
        </is>
      </c>
      <c r="H1152" s="8" t="n">
        <v>9825182102</v>
      </c>
      <c r="I1152" s="10" t="inlineStr">
        <is>
          <t>PE19052601</t>
        </is>
      </c>
      <c r="J1152" s="8" t="inlineStr">
        <is>
          <t xml:space="preserve">Diode failure </t>
        </is>
      </c>
      <c r="K1152" s="8" t="inlineStr">
        <is>
          <t>Nakhatrana</t>
        </is>
      </c>
      <c r="L1152" s="8" t="inlineStr">
        <is>
          <t>Gujarat</t>
        </is>
      </c>
      <c r="M1152" s="2" t="inlineStr">
        <is>
          <t>PS</t>
        </is>
      </c>
      <c r="N1152" s="1" t="inlineStr">
        <is>
          <t>Cold Soldering</t>
        </is>
      </c>
      <c r="O1152" s="51" t="n">
        <v>580</v>
      </c>
      <c r="P1152" s="2" t="inlineStr">
        <is>
          <t>NSMI25011276027</t>
        </is>
      </c>
      <c r="Q1152" s="29">
        <f>MID(P1152,5,2)</f>
        <v/>
      </c>
      <c r="R1152" s="14">
        <f>MID(P1152,7,2)</f>
        <v/>
      </c>
      <c r="S1152" s="1" t="inlineStr">
        <is>
          <t>G2G</t>
        </is>
      </c>
      <c r="T1152" s="1" t="inlineStr">
        <is>
          <t>P4 - PEIPL</t>
        </is>
      </c>
      <c r="U1152" s="1" t="inlineStr">
        <is>
          <t>P JB Cold Soldering</t>
        </is>
      </c>
      <c r="V1152" s="1" t="inlineStr">
        <is>
          <t>Inspection</t>
        </is>
      </c>
      <c r="W1152" s="1" t="inlineStr">
        <is>
          <t>Repair</t>
        </is>
      </c>
      <c r="X1152" s="5" t="n">
        <v>46186</v>
      </c>
      <c r="Y1152" s="1">
        <f>IF(X1152="","",X1152-A1152)</f>
        <v/>
      </c>
      <c r="Z1152" s="5" t="n">
        <v>46186</v>
      </c>
      <c r="AA1152" s="3" t="n"/>
      <c r="AB1152" s="3" t="n"/>
      <c r="AE1152" s="146">
        <f>IF(AND(F1152="Closed",X1152&gt;=DATE(2026,6,1),X1152&lt;=DATE(2026,6,30)),"Closed in June","other")</f>
        <v/>
      </c>
    </row>
    <row r="1153" hidden="1">
      <c r="A1153" s="9" t="n">
        <v>46161</v>
      </c>
      <c r="B1153" s="1" t="n">
        <v>2026</v>
      </c>
      <c r="C1153" s="8" t="inlineStr">
        <is>
          <t>Continuum</t>
        </is>
      </c>
      <c r="D1153" s="11" t="inlineStr">
        <is>
          <t>Utility and C&amp;I</t>
        </is>
      </c>
      <c r="E1153" s="1" t="n"/>
      <c r="F1153" s="1" t="inlineStr">
        <is>
          <t>Closed</t>
        </is>
      </c>
      <c r="G1153" s="50" t="inlineStr">
        <is>
          <t>Mr. Harendresinh Jadeja</t>
        </is>
      </c>
      <c r="H1153" s="8" t="n">
        <v>9825182102</v>
      </c>
      <c r="I1153" s="10" t="inlineStr">
        <is>
          <t>PE19052601</t>
        </is>
      </c>
      <c r="J1153" s="8" t="inlineStr">
        <is>
          <t xml:space="preserve">Diode failure </t>
        </is>
      </c>
      <c r="K1153" s="8" t="inlineStr">
        <is>
          <t>Nakhatrana</t>
        </is>
      </c>
      <c r="L1153" s="8" t="inlineStr">
        <is>
          <t>Gujarat</t>
        </is>
      </c>
      <c r="M1153" s="2" t="inlineStr">
        <is>
          <t>NS</t>
        </is>
      </c>
      <c r="N1153" s="8" t="inlineStr">
        <is>
          <t>Cold Soldering</t>
        </is>
      </c>
      <c r="O1153" s="51" t="n">
        <v>580</v>
      </c>
      <c r="P1153" s="2" t="inlineStr">
        <is>
          <t>NSMI25040043689</t>
        </is>
      </c>
      <c r="Q1153" s="29">
        <f>MID(P1153,5,2)</f>
        <v/>
      </c>
      <c r="R1153" s="14">
        <f>MID(P1153,7,2)</f>
        <v/>
      </c>
      <c r="S1153" s="1" t="inlineStr">
        <is>
          <t>G2G</t>
        </is>
      </c>
      <c r="T1153" s="1" t="inlineStr">
        <is>
          <t>P4 - PEIPL</t>
        </is>
      </c>
      <c r="U1153" s="6" t="inlineStr">
        <is>
          <t>N JB Cold Soldering</t>
        </is>
      </c>
      <c r="V1153" s="1" t="inlineStr">
        <is>
          <t>Inspection</t>
        </is>
      </c>
      <c r="W1153" s="1" t="inlineStr">
        <is>
          <t>Repair</t>
        </is>
      </c>
      <c r="X1153" s="5" t="n">
        <v>46186</v>
      </c>
      <c r="Y1153" s="1">
        <f>IF(X1153="","",X1153-A1153)</f>
        <v/>
      </c>
      <c r="Z1153" s="5" t="n">
        <v>46186</v>
      </c>
      <c r="AA1153" s="3" t="n"/>
      <c r="AB1153" s="3" t="n"/>
      <c r="AE1153" s="146">
        <f>IF(AND(F1153="Closed",X1153&gt;=DATE(2026,6,1),X1153&lt;=DATE(2026,6,30)),"Closed in June","other")</f>
        <v/>
      </c>
    </row>
    <row r="1154" hidden="1">
      <c r="A1154" s="9" t="n">
        <v>46161</v>
      </c>
      <c r="B1154" s="1" t="n">
        <v>2026</v>
      </c>
      <c r="C1154" s="8" t="inlineStr">
        <is>
          <t>Continuum</t>
        </is>
      </c>
      <c r="D1154" s="11" t="inlineStr">
        <is>
          <t>Utility and C&amp;I</t>
        </is>
      </c>
      <c r="E1154" s="1" t="n"/>
      <c r="F1154" s="1" t="inlineStr">
        <is>
          <t>Closed</t>
        </is>
      </c>
      <c r="G1154" s="50" t="inlineStr">
        <is>
          <t>Mr. Harendresinh Jadeja</t>
        </is>
      </c>
      <c r="H1154" s="8" t="n">
        <v>9825182102</v>
      </c>
      <c r="I1154" s="10" t="inlineStr">
        <is>
          <t>PE19052601</t>
        </is>
      </c>
      <c r="J1154" s="8" t="inlineStr">
        <is>
          <t xml:space="preserve">Diode failure </t>
        </is>
      </c>
      <c r="K1154" s="8" t="inlineStr">
        <is>
          <t>Nakhatrana</t>
        </is>
      </c>
      <c r="L1154" s="8" t="inlineStr">
        <is>
          <t>Gujarat</t>
        </is>
      </c>
      <c r="M1154" s="2" t="inlineStr">
        <is>
          <t>PS</t>
        </is>
      </c>
      <c r="N1154" s="1" t="inlineStr">
        <is>
          <t>Cold Soldering</t>
        </is>
      </c>
      <c r="O1154" s="51" t="n">
        <v>580</v>
      </c>
      <c r="P1154" s="2" t="inlineStr">
        <is>
          <t>NSMI25011251865</t>
        </is>
      </c>
      <c r="Q1154" s="29">
        <f>MID(P1154,5,2)</f>
        <v/>
      </c>
      <c r="R1154" s="14">
        <f>MID(P1154,7,2)</f>
        <v/>
      </c>
      <c r="S1154" s="1" t="inlineStr">
        <is>
          <t>G2G</t>
        </is>
      </c>
      <c r="T1154" s="1" t="inlineStr">
        <is>
          <t>P4 - PEIPL</t>
        </is>
      </c>
      <c r="U1154" s="1" t="inlineStr">
        <is>
          <t>P JB Cold Soldering</t>
        </is>
      </c>
      <c r="V1154" s="1" t="inlineStr">
        <is>
          <t>Inspection</t>
        </is>
      </c>
      <c r="W1154" s="1" t="inlineStr">
        <is>
          <t>Repair</t>
        </is>
      </c>
      <c r="X1154" s="5" t="n">
        <v>46186</v>
      </c>
      <c r="Y1154" s="1">
        <f>IF(X1154="","",X1154-A1154)</f>
        <v/>
      </c>
      <c r="Z1154" s="5" t="n">
        <v>46186</v>
      </c>
      <c r="AA1154" s="3" t="n"/>
      <c r="AB1154" s="3" t="n"/>
      <c r="AE1154" s="146">
        <f>IF(AND(F1154="Closed",X1154&gt;=DATE(2026,6,1),X1154&lt;=DATE(2026,6,30)),"Closed in June","other")</f>
        <v/>
      </c>
    </row>
    <row r="1155" hidden="1">
      <c r="A1155" s="9" t="n">
        <v>46161</v>
      </c>
      <c r="B1155" s="1" t="n">
        <v>2026</v>
      </c>
      <c r="C1155" s="8" t="inlineStr">
        <is>
          <t>Continuum</t>
        </is>
      </c>
      <c r="D1155" s="11" t="inlineStr">
        <is>
          <t>Utility and C&amp;I</t>
        </is>
      </c>
      <c r="E1155" s="1" t="n"/>
      <c r="F1155" s="1" t="inlineStr">
        <is>
          <t>Closed</t>
        </is>
      </c>
      <c r="G1155" s="50" t="inlineStr">
        <is>
          <t>Mr. Harendresinh Jadeja</t>
        </is>
      </c>
      <c r="H1155" s="8" t="n">
        <v>9825182102</v>
      </c>
      <c r="I1155" s="10" t="inlineStr">
        <is>
          <t>PE19052601</t>
        </is>
      </c>
      <c r="J1155" s="8" t="inlineStr">
        <is>
          <t xml:space="preserve">Diode failure </t>
        </is>
      </c>
      <c r="K1155" s="8" t="inlineStr">
        <is>
          <t>Nakhatrana</t>
        </is>
      </c>
      <c r="L1155" s="8" t="inlineStr">
        <is>
          <t>Gujarat</t>
        </is>
      </c>
      <c r="M1155" s="2" t="inlineStr">
        <is>
          <t>NS</t>
        </is>
      </c>
      <c r="N1155" s="8" t="inlineStr">
        <is>
          <t>Cold Soldering</t>
        </is>
      </c>
      <c r="O1155" s="51" t="n">
        <v>580</v>
      </c>
      <c r="P1155" s="2" t="inlineStr">
        <is>
          <t>NSMI25011255747</t>
        </is>
      </c>
      <c r="Q1155" s="29">
        <f>MID(P1155,5,2)</f>
        <v/>
      </c>
      <c r="R1155" s="14">
        <f>MID(P1155,7,2)</f>
        <v/>
      </c>
      <c r="S1155" s="1" t="inlineStr">
        <is>
          <t>G2G</t>
        </is>
      </c>
      <c r="T1155" s="1" t="inlineStr">
        <is>
          <t>P4 - PEIPL</t>
        </is>
      </c>
      <c r="U1155" s="6" t="inlineStr">
        <is>
          <t>N JB Cold Soldering</t>
        </is>
      </c>
      <c r="V1155" s="1" t="inlineStr">
        <is>
          <t>Inspection</t>
        </is>
      </c>
      <c r="W1155" s="1" t="inlineStr">
        <is>
          <t>Repair</t>
        </is>
      </c>
      <c r="X1155" s="5" t="n">
        <v>46186</v>
      </c>
      <c r="Y1155" s="1">
        <f>IF(X1155="","",X1155-A1155)</f>
        <v/>
      </c>
      <c r="Z1155" s="5" t="n">
        <v>46186</v>
      </c>
      <c r="AA1155" s="3" t="n"/>
      <c r="AB1155" s="3" t="n"/>
      <c r="AE1155" s="146">
        <f>IF(AND(F1155="Closed",X1155&gt;=DATE(2026,6,1),X1155&lt;=DATE(2026,6,30)),"Closed in June","other")</f>
        <v/>
      </c>
    </row>
    <row r="1156" hidden="1">
      <c r="A1156" s="9" t="n">
        <v>46161</v>
      </c>
      <c r="B1156" s="1" t="n">
        <v>2026</v>
      </c>
      <c r="C1156" s="8" t="inlineStr">
        <is>
          <t>Continuum</t>
        </is>
      </c>
      <c r="D1156" s="11" t="inlineStr">
        <is>
          <t>Utility and C&amp;I</t>
        </is>
      </c>
      <c r="E1156" s="1" t="n"/>
      <c r="F1156" s="1" t="inlineStr">
        <is>
          <t>Closed</t>
        </is>
      </c>
      <c r="G1156" s="50" t="inlineStr">
        <is>
          <t>Mr. Harendresinh Jadeja</t>
        </is>
      </c>
      <c r="H1156" s="8" t="n">
        <v>9825182102</v>
      </c>
      <c r="I1156" s="10" t="inlineStr">
        <is>
          <t>PE19052601</t>
        </is>
      </c>
      <c r="J1156" s="8" t="inlineStr">
        <is>
          <t xml:space="preserve">Diode failure </t>
        </is>
      </c>
      <c r="K1156" s="8" t="inlineStr">
        <is>
          <t>Nakhatrana</t>
        </is>
      </c>
      <c r="L1156" s="8" t="inlineStr">
        <is>
          <t>Gujarat</t>
        </is>
      </c>
      <c r="M1156" s="2" t="inlineStr">
        <is>
          <t>OK</t>
        </is>
      </c>
      <c r="N1156" s="2" t="inlineStr">
        <is>
          <t>No Issue Found</t>
        </is>
      </c>
      <c r="O1156" s="51" t="n">
        <v>580</v>
      </c>
      <c r="P1156" s="2" t="inlineStr">
        <is>
          <t>NSMI25040044915</t>
        </is>
      </c>
      <c r="Q1156" s="29">
        <f>MID(P1156,5,2)</f>
        <v/>
      </c>
      <c r="R1156" s="14">
        <f>MID(P1156,7,2)</f>
        <v/>
      </c>
      <c r="S1156" s="1" t="inlineStr">
        <is>
          <t>G2G</t>
        </is>
      </c>
      <c r="T1156" s="1" t="inlineStr">
        <is>
          <t>P4 - PEIPL</t>
        </is>
      </c>
      <c r="U1156" s="6" t="inlineStr">
        <is>
          <t>No Issue Found</t>
        </is>
      </c>
      <c r="V1156" s="1" t="inlineStr">
        <is>
          <t>Inspection</t>
        </is>
      </c>
      <c r="W1156" s="1" t="inlineStr">
        <is>
          <t>Rejected</t>
        </is>
      </c>
      <c r="X1156" s="5" t="n">
        <v>46186</v>
      </c>
      <c r="Y1156" s="1">
        <f>IF(X1156="","",X1156-A1156)</f>
        <v/>
      </c>
      <c r="Z1156" s="5" t="n">
        <v>46186</v>
      </c>
      <c r="AA1156" s="3" t="n"/>
      <c r="AB1156" s="3" t="n"/>
      <c r="AE1156" s="146">
        <f>IF(AND(F1156="Closed",X1156&gt;=DATE(2026,6,1),X1156&lt;=DATE(2026,6,30)),"Closed in June","other")</f>
        <v/>
      </c>
    </row>
    <row r="1157" hidden="1">
      <c r="A1157" s="9" t="n">
        <v>46161</v>
      </c>
      <c r="B1157" s="1" t="n">
        <v>2026</v>
      </c>
      <c r="C1157" s="8" t="inlineStr">
        <is>
          <t>Continuum</t>
        </is>
      </c>
      <c r="D1157" s="11" t="inlineStr">
        <is>
          <t>Utility and C&amp;I</t>
        </is>
      </c>
      <c r="E1157" s="1" t="n"/>
      <c r="F1157" s="1" t="inlineStr">
        <is>
          <t>Closed</t>
        </is>
      </c>
      <c r="G1157" s="50" t="inlineStr">
        <is>
          <t>Mr. Harendresinh Jadeja</t>
        </is>
      </c>
      <c r="H1157" s="8" t="n">
        <v>9825182102</v>
      </c>
      <c r="I1157" s="10" t="inlineStr">
        <is>
          <t>PE19052601</t>
        </is>
      </c>
      <c r="J1157" s="8" t="inlineStr">
        <is>
          <t xml:space="preserve">Diode failure </t>
        </is>
      </c>
      <c r="K1157" s="8" t="inlineStr">
        <is>
          <t>Nakhatrana</t>
        </is>
      </c>
      <c r="L1157" s="8" t="inlineStr">
        <is>
          <t>Gujarat</t>
        </is>
      </c>
      <c r="M1157" s="2" t="inlineStr">
        <is>
          <t>PS</t>
        </is>
      </c>
      <c r="N1157" s="1" t="inlineStr">
        <is>
          <t>Cold Soldering</t>
        </is>
      </c>
      <c r="O1157" s="51" t="n">
        <v>580</v>
      </c>
      <c r="P1157" s="2" t="inlineStr">
        <is>
          <t>NSMI25011253576</t>
        </is>
      </c>
      <c r="Q1157" s="29">
        <f>MID(P1157,5,2)</f>
        <v/>
      </c>
      <c r="R1157" s="14">
        <f>MID(P1157,7,2)</f>
        <v/>
      </c>
      <c r="S1157" s="1" t="inlineStr">
        <is>
          <t>G2G</t>
        </is>
      </c>
      <c r="T1157" s="1" t="inlineStr">
        <is>
          <t>P4 - PEIPL</t>
        </is>
      </c>
      <c r="U1157" s="1" t="inlineStr">
        <is>
          <t>P JB Cold Soldering</t>
        </is>
      </c>
      <c r="V1157" s="1" t="inlineStr">
        <is>
          <t>Inspection</t>
        </is>
      </c>
      <c r="W1157" s="1" t="inlineStr">
        <is>
          <t>Repair</t>
        </is>
      </c>
      <c r="X1157" s="5" t="n">
        <v>46186</v>
      </c>
      <c r="Y1157" s="1">
        <f>IF(X1157="","",X1157-A1157)</f>
        <v/>
      </c>
      <c r="Z1157" s="5" t="n">
        <v>46186</v>
      </c>
      <c r="AA1157" s="3" t="n"/>
      <c r="AB1157" s="3" t="n"/>
      <c r="AE1157" s="146">
        <f>IF(AND(F1157="Closed",X1157&gt;=DATE(2026,6,1),X1157&lt;=DATE(2026,6,30)),"Closed in June","other")</f>
        <v/>
      </c>
    </row>
    <row r="1158" hidden="1">
      <c r="A1158" s="9" t="n">
        <v>46161</v>
      </c>
      <c r="B1158" s="1" t="n">
        <v>2026</v>
      </c>
      <c r="C1158" s="8" t="inlineStr">
        <is>
          <t>Continuum</t>
        </is>
      </c>
      <c r="D1158" s="11" t="inlineStr">
        <is>
          <t>Utility and C&amp;I</t>
        </is>
      </c>
      <c r="E1158" s="1" t="n"/>
      <c r="F1158" s="1" t="inlineStr">
        <is>
          <t>Closed</t>
        </is>
      </c>
      <c r="G1158" s="50" t="inlineStr">
        <is>
          <t>Mr. Harendresinh Jadeja</t>
        </is>
      </c>
      <c r="H1158" s="8" t="n">
        <v>9825182102</v>
      </c>
      <c r="I1158" s="10" t="inlineStr">
        <is>
          <t>PE19052601</t>
        </is>
      </c>
      <c r="J1158" s="8" t="inlineStr">
        <is>
          <t xml:space="preserve">Diode failure </t>
        </is>
      </c>
      <c r="K1158" s="8" t="inlineStr">
        <is>
          <t>Nakhatrana</t>
        </is>
      </c>
      <c r="L1158" s="8" t="inlineStr">
        <is>
          <t>Gujarat</t>
        </is>
      </c>
      <c r="M1158" s="2" t="inlineStr">
        <is>
          <t>PS</t>
        </is>
      </c>
      <c r="N1158" s="1" t="inlineStr">
        <is>
          <t>Cold Soldering</t>
        </is>
      </c>
      <c r="O1158" s="51" t="n">
        <v>580</v>
      </c>
      <c r="P1158" s="2" t="inlineStr">
        <is>
          <t>NSMI25011256295</t>
        </is>
      </c>
      <c r="Q1158" s="29">
        <f>MID(P1158,5,2)</f>
        <v/>
      </c>
      <c r="R1158" s="14">
        <f>MID(P1158,7,2)</f>
        <v/>
      </c>
      <c r="S1158" s="1" t="inlineStr">
        <is>
          <t>G2G</t>
        </is>
      </c>
      <c r="T1158" s="1" t="inlineStr">
        <is>
          <t>P4 - PEIPL</t>
        </is>
      </c>
      <c r="U1158" s="1" t="inlineStr">
        <is>
          <t>P JB Cold Soldering</t>
        </is>
      </c>
      <c r="V1158" s="1" t="inlineStr">
        <is>
          <t>Inspection</t>
        </is>
      </c>
      <c r="W1158" s="1" t="inlineStr">
        <is>
          <t>Repair</t>
        </is>
      </c>
      <c r="X1158" s="5" t="n">
        <v>46186</v>
      </c>
      <c r="Y1158" s="1">
        <f>IF(X1158="","",X1158-A1158)</f>
        <v/>
      </c>
      <c r="Z1158" s="5" t="n">
        <v>46186</v>
      </c>
      <c r="AA1158" s="3" t="n"/>
      <c r="AB1158" s="3" t="n"/>
      <c r="AE1158" s="146">
        <f>IF(AND(F1158="Closed",X1158&gt;=DATE(2026,6,1),X1158&lt;=DATE(2026,6,30)),"Closed in June","other")</f>
        <v/>
      </c>
    </row>
    <row r="1159" hidden="1">
      <c r="A1159" s="9" t="n">
        <v>46161</v>
      </c>
      <c r="B1159" s="1" t="n">
        <v>2026</v>
      </c>
      <c r="C1159" s="8" t="inlineStr">
        <is>
          <t>Continuum</t>
        </is>
      </c>
      <c r="D1159" s="11" t="inlineStr">
        <is>
          <t>Utility and C&amp;I</t>
        </is>
      </c>
      <c r="E1159" s="1" t="n"/>
      <c r="F1159" s="1" t="inlineStr">
        <is>
          <t>Closed</t>
        </is>
      </c>
      <c r="G1159" s="50" t="inlineStr">
        <is>
          <t>Mr. Harendresinh Jadeja</t>
        </is>
      </c>
      <c r="H1159" s="8" t="n">
        <v>9825182102</v>
      </c>
      <c r="I1159" s="10" t="inlineStr">
        <is>
          <t>PE19052601</t>
        </is>
      </c>
      <c r="J1159" s="8" t="inlineStr">
        <is>
          <t xml:space="preserve">Diode failure </t>
        </is>
      </c>
      <c r="K1159" s="8" t="inlineStr">
        <is>
          <t>Nakhatrana</t>
        </is>
      </c>
      <c r="L1159" s="8" t="inlineStr">
        <is>
          <t>Gujarat</t>
        </is>
      </c>
      <c r="M1159" s="2" t="inlineStr">
        <is>
          <t>PR</t>
        </is>
      </c>
      <c r="N1159" s="1" t="inlineStr">
        <is>
          <t>JB Issue</t>
        </is>
      </c>
      <c r="O1159" s="51" t="n">
        <v>580</v>
      </c>
      <c r="P1159" s="2" t="inlineStr">
        <is>
          <t>NSMI25011232860</t>
        </is>
      </c>
      <c r="Q1159" s="29">
        <f>MID(P1159,5,2)</f>
        <v/>
      </c>
      <c r="R1159" s="14">
        <f>MID(P1159,7,2)</f>
        <v/>
      </c>
      <c r="S1159" s="1" t="inlineStr">
        <is>
          <t>G2G</t>
        </is>
      </c>
      <c r="T1159" s="1" t="inlineStr">
        <is>
          <t>P4 - PEIPL</t>
        </is>
      </c>
      <c r="U1159" s="6" t="inlineStr">
        <is>
          <t>P JB Issue</t>
        </is>
      </c>
      <c r="V1159" s="1" t="inlineStr">
        <is>
          <t>Inspection</t>
        </is>
      </c>
      <c r="W1159" s="1" t="inlineStr">
        <is>
          <t>Repair</t>
        </is>
      </c>
      <c r="X1159" s="5" t="n">
        <v>46186</v>
      </c>
      <c r="Y1159" s="1">
        <f>IF(X1159="","",X1159-A1159)</f>
        <v/>
      </c>
      <c r="Z1159" s="5" t="n">
        <v>46186</v>
      </c>
      <c r="AA1159" s="3" t="n"/>
      <c r="AB1159" s="3" t="n"/>
      <c r="AE1159" s="146">
        <f>IF(AND(F1159="Closed",X1159&gt;=DATE(2026,6,1),X1159&lt;=DATE(2026,6,30)),"Closed in June","other")</f>
        <v/>
      </c>
    </row>
    <row r="1160" hidden="1">
      <c r="A1160" s="9" t="n">
        <v>46161</v>
      </c>
      <c r="B1160" s="1" t="n">
        <v>2026</v>
      </c>
      <c r="C1160" s="8" t="inlineStr">
        <is>
          <t>Continuum</t>
        </is>
      </c>
      <c r="D1160" s="11" t="inlineStr">
        <is>
          <t>Utility and C&amp;I</t>
        </is>
      </c>
      <c r="E1160" s="1" t="n"/>
      <c r="F1160" s="1" t="inlineStr">
        <is>
          <t>Closed</t>
        </is>
      </c>
      <c r="G1160" s="50" t="inlineStr">
        <is>
          <t>Mr. Harendresinh Jadeja</t>
        </is>
      </c>
      <c r="H1160" s="8" t="n">
        <v>9825182102</v>
      </c>
      <c r="I1160" s="10" t="inlineStr">
        <is>
          <t>PE19052601</t>
        </is>
      </c>
      <c r="J1160" s="8" t="inlineStr">
        <is>
          <t xml:space="preserve">Diode failure </t>
        </is>
      </c>
      <c r="K1160" s="8" t="inlineStr">
        <is>
          <t>Nakhatrana</t>
        </is>
      </c>
      <c r="L1160" s="8" t="inlineStr">
        <is>
          <t>Gujarat</t>
        </is>
      </c>
      <c r="M1160" s="2" t="inlineStr">
        <is>
          <t>OK</t>
        </is>
      </c>
      <c r="N1160" s="2" t="inlineStr">
        <is>
          <t>No Issue Found</t>
        </is>
      </c>
      <c r="O1160" s="51" t="n">
        <v>580</v>
      </c>
      <c r="P1160" s="2" t="inlineStr">
        <is>
          <t>NSMI25112142657</t>
        </is>
      </c>
      <c r="Q1160" s="29">
        <f>MID(P1160,5,2)</f>
        <v/>
      </c>
      <c r="R1160" s="14">
        <f>MID(P1160,7,2)</f>
        <v/>
      </c>
      <c r="S1160" s="1" t="inlineStr">
        <is>
          <t>G2G</t>
        </is>
      </c>
      <c r="T1160" s="1" t="inlineStr">
        <is>
          <t>P4 - PEIPL</t>
        </is>
      </c>
      <c r="U1160" s="6" t="inlineStr">
        <is>
          <t>No Issue Found</t>
        </is>
      </c>
      <c r="V1160" s="1" t="inlineStr">
        <is>
          <t>Inspection</t>
        </is>
      </c>
      <c r="W1160" s="1" t="inlineStr">
        <is>
          <t>Rejected</t>
        </is>
      </c>
      <c r="X1160" s="5" t="n">
        <v>46186</v>
      </c>
      <c r="Y1160" s="1">
        <f>IF(X1160="","",X1160-A1160)</f>
        <v/>
      </c>
      <c r="Z1160" s="5" t="n">
        <v>46186</v>
      </c>
      <c r="AA1160" s="3" t="n"/>
      <c r="AB1160" s="3" t="n"/>
      <c r="AE1160" s="146">
        <f>IF(AND(F1160="Closed",X1160&gt;=DATE(2026,6,1),X1160&lt;=DATE(2026,6,30)),"Closed in June","other")</f>
        <v/>
      </c>
    </row>
    <row r="1161" hidden="1">
      <c r="A1161" s="9" t="n">
        <v>46161</v>
      </c>
      <c r="B1161" s="1" t="n">
        <v>2026</v>
      </c>
      <c r="C1161" s="8" t="inlineStr">
        <is>
          <t>Continuum</t>
        </is>
      </c>
      <c r="D1161" s="11" t="inlineStr">
        <is>
          <t>Utility and C&amp;I</t>
        </is>
      </c>
      <c r="E1161" s="1" t="n"/>
      <c r="F1161" s="1" t="inlineStr">
        <is>
          <t>Closed</t>
        </is>
      </c>
      <c r="G1161" s="50" t="inlineStr">
        <is>
          <t>Mr. Harendresinh Jadeja</t>
        </is>
      </c>
      <c r="H1161" s="8" t="n">
        <v>9825182102</v>
      </c>
      <c r="I1161" s="10" t="inlineStr">
        <is>
          <t>PE19052601</t>
        </is>
      </c>
      <c r="J1161" s="8" t="inlineStr">
        <is>
          <t xml:space="preserve">Diode failure </t>
        </is>
      </c>
      <c r="K1161" s="8" t="inlineStr">
        <is>
          <t>Nakhatrana</t>
        </is>
      </c>
      <c r="L1161" s="8" t="inlineStr">
        <is>
          <t>Gujarat</t>
        </is>
      </c>
      <c r="M1161" s="2" t="inlineStr">
        <is>
          <t>OK</t>
        </is>
      </c>
      <c r="N1161" s="2" t="inlineStr">
        <is>
          <t>No Issue Found</t>
        </is>
      </c>
      <c r="O1161" s="51" t="n">
        <v>580</v>
      </c>
      <c r="P1161" s="2" t="inlineStr">
        <is>
          <t>NSMI25112103575</t>
        </is>
      </c>
      <c r="Q1161" s="29">
        <f>MID(P1161,5,2)</f>
        <v/>
      </c>
      <c r="R1161" s="14">
        <f>MID(P1161,7,2)</f>
        <v/>
      </c>
      <c r="S1161" s="1" t="inlineStr">
        <is>
          <t>G2G</t>
        </is>
      </c>
      <c r="T1161" s="1" t="inlineStr">
        <is>
          <t>P4 - PEIPL</t>
        </is>
      </c>
      <c r="U1161" s="6" t="inlineStr">
        <is>
          <t>No Issue Found</t>
        </is>
      </c>
      <c r="V1161" s="1" t="inlineStr">
        <is>
          <t>Inspection</t>
        </is>
      </c>
      <c r="W1161" s="1" t="inlineStr">
        <is>
          <t>Rejected</t>
        </is>
      </c>
      <c r="X1161" s="5" t="n">
        <v>46186</v>
      </c>
      <c r="Y1161" s="1">
        <f>IF(X1161="","",X1161-A1161)</f>
        <v/>
      </c>
      <c r="Z1161" s="5" t="n">
        <v>46186</v>
      </c>
      <c r="AA1161" s="3" t="n"/>
      <c r="AB1161" s="3" t="n"/>
      <c r="AE1161" s="146">
        <f>IF(AND(F1161="Closed",X1161&gt;=DATE(2026,6,1),X1161&lt;=DATE(2026,6,30)),"Closed in June","other")</f>
        <v/>
      </c>
    </row>
    <row r="1162" hidden="1">
      <c r="A1162" s="9" t="n">
        <v>46161</v>
      </c>
      <c r="B1162" s="1" t="n">
        <v>2026</v>
      </c>
      <c r="C1162" s="8" t="inlineStr">
        <is>
          <t>Continuum</t>
        </is>
      </c>
      <c r="D1162" s="11" t="inlineStr">
        <is>
          <t>Utility and C&amp;I</t>
        </is>
      </c>
      <c r="E1162" s="1" t="n"/>
      <c r="F1162" s="1" t="inlineStr">
        <is>
          <t>Closed</t>
        </is>
      </c>
      <c r="G1162" s="50" t="inlineStr">
        <is>
          <t>Mr. Harendresinh Jadeja</t>
        </is>
      </c>
      <c r="H1162" s="8" t="n">
        <v>9825182102</v>
      </c>
      <c r="I1162" s="10" t="inlineStr">
        <is>
          <t>PE19052601</t>
        </is>
      </c>
      <c r="J1162" s="8" t="inlineStr">
        <is>
          <t xml:space="preserve">Diode failure </t>
        </is>
      </c>
      <c r="K1162" s="8" t="inlineStr">
        <is>
          <t>Nakhatrana</t>
        </is>
      </c>
      <c r="L1162" s="8" t="inlineStr">
        <is>
          <t>Gujarat</t>
        </is>
      </c>
      <c r="M1162" s="2" t="inlineStr">
        <is>
          <t>NS</t>
        </is>
      </c>
      <c r="N1162" s="8" t="inlineStr">
        <is>
          <t>Cold Soldering</t>
        </is>
      </c>
      <c r="O1162" s="51" t="n">
        <v>580</v>
      </c>
      <c r="P1162" s="2" t="inlineStr">
        <is>
          <t>NSMI25011265546</t>
        </is>
      </c>
      <c r="Q1162" s="29">
        <f>MID(P1162,5,2)</f>
        <v/>
      </c>
      <c r="R1162" s="14">
        <f>MID(P1162,7,2)</f>
        <v/>
      </c>
      <c r="S1162" s="1" t="inlineStr">
        <is>
          <t>G2G</t>
        </is>
      </c>
      <c r="T1162" s="1" t="inlineStr">
        <is>
          <t>P4 - PEIPL</t>
        </is>
      </c>
      <c r="U1162" s="6" t="inlineStr">
        <is>
          <t>N JB Cold Soldering</t>
        </is>
      </c>
      <c r="V1162" s="1" t="inlineStr">
        <is>
          <t>Inspection</t>
        </is>
      </c>
      <c r="W1162" s="1" t="inlineStr">
        <is>
          <t>Repair</t>
        </is>
      </c>
      <c r="X1162" s="5" t="n">
        <v>46186</v>
      </c>
      <c r="Y1162" s="1">
        <f>IF(X1162="","",X1162-A1162)</f>
        <v/>
      </c>
      <c r="Z1162" s="5" t="n">
        <v>46186</v>
      </c>
      <c r="AA1162" s="3" t="n"/>
      <c r="AB1162" s="3" t="n"/>
      <c r="AE1162" s="146">
        <f>IF(AND(F1162="Closed",X1162&gt;=DATE(2026,6,1),X1162&lt;=DATE(2026,6,30)),"Closed in June","other")</f>
        <v/>
      </c>
    </row>
    <row r="1163" hidden="1">
      <c r="A1163" s="9" t="n">
        <v>46161</v>
      </c>
      <c r="B1163" s="1" t="n">
        <v>2026</v>
      </c>
      <c r="C1163" s="8" t="inlineStr">
        <is>
          <t>Continuum</t>
        </is>
      </c>
      <c r="D1163" s="11" t="inlineStr">
        <is>
          <t>Utility and C&amp;I</t>
        </is>
      </c>
      <c r="E1163" s="1" t="n"/>
      <c r="F1163" s="1" t="inlineStr">
        <is>
          <t>Closed</t>
        </is>
      </c>
      <c r="G1163" s="50" t="inlineStr">
        <is>
          <t>Mr. Harendresinh Jadeja</t>
        </is>
      </c>
      <c r="H1163" s="8" t="n">
        <v>9825182102</v>
      </c>
      <c r="I1163" s="10" t="inlineStr">
        <is>
          <t>PE19052601</t>
        </is>
      </c>
      <c r="J1163" s="8" t="inlineStr">
        <is>
          <t xml:space="preserve">Diode failure </t>
        </is>
      </c>
      <c r="K1163" s="8" t="inlineStr">
        <is>
          <t>Nakhatrana</t>
        </is>
      </c>
      <c r="L1163" s="8" t="inlineStr">
        <is>
          <t>Gujarat</t>
        </is>
      </c>
      <c r="M1163" s="2" t="inlineStr">
        <is>
          <t>NS</t>
        </is>
      </c>
      <c r="N1163" s="8" t="inlineStr">
        <is>
          <t>Cold Soldering</t>
        </is>
      </c>
      <c r="O1163" s="51" t="n">
        <v>580</v>
      </c>
      <c r="P1163" s="2" t="inlineStr">
        <is>
          <t>NSMI25011265449</t>
        </is>
      </c>
      <c r="Q1163" s="29">
        <f>MID(P1163,5,2)</f>
        <v/>
      </c>
      <c r="R1163" s="14">
        <f>MID(P1163,7,2)</f>
        <v/>
      </c>
      <c r="S1163" s="1" t="inlineStr">
        <is>
          <t>G2G</t>
        </is>
      </c>
      <c r="T1163" s="1" t="inlineStr">
        <is>
          <t>P4 - PEIPL</t>
        </is>
      </c>
      <c r="U1163" s="6" t="inlineStr">
        <is>
          <t>N JB Cold Soldering</t>
        </is>
      </c>
      <c r="V1163" s="1" t="inlineStr">
        <is>
          <t>Inspection</t>
        </is>
      </c>
      <c r="W1163" s="1" t="inlineStr">
        <is>
          <t>Repair</t>
        </is>
      </c>
      <c r="X1163" s="5" t="n">
        <v>46186</v>
      </c>
      <c r="Y1163" s="1">
        <f>IF(X1163="","",X1163-A1163)</f>
        <v/>
      </c>
      <c r="Z1163" s="5" t="n">
        <v>46186</v>
      </c>
      <c r="AA1163" s="3" t="n"/>
      <c r="AB1163" s="3" t="n"/>
      <c r="AE1163" s="146">
        <f>IF(AND(F1163="Closed",X1163&gt;=DATE(2026,6,1),X1163&lt;=DATE(2026,6,30)),"Closed in June","other")</f>
        <v/>
      </c>
    </row>
    <row r="1164" hidden="1">
      <c r="A1164" s="9" t="n">
        <v>46161</v>
      </c>
      <c r="B1164" s="1" t="n">
        <v>2026</v>
      </c>
      <c r="C1164" s="8" t="inlineStr">
        <is>
          <t>Continuum</t>
        </is>
      </c>
      <c r="D1164" s="11" t="inlineStr">
        <is>
          <t>Utility and C&amp;I</t>
        </is>
      </c>
      <c r="E1164" s="1" t="n"/>
      <c r="F1164" s="1" t="inlineStr">
        <is>
          <t>Closed</t>
        </is>
      </c>
      <c r="G1164" s="50" t="inlineStr">
        <is>
          <t>Mr. Harendresinh Jadeja</t>
        </is>
      </c>
      <c r="H1164" s="8" t="n">
        <v>9825182102</v>
      </c>
      <c r="I1164" s="10" t="inlineStr">
        <is>
          <t>PE19052601</t>
        </is>
      </c>
      <c r="J1164" s="8" t="inlineStr">
        <is>
          <t xml:space="preserve">Diode failure </t>
        </is>
      </c>
      <c r="K1164" s="8" t="inlineStr">
        <is>
          <t>Nakhatrana</t>
        </is>
      </c>
      <c r="L1164" s="8" t="inlineStr">
        <is>
          <t>Gujarat</t>
        </is>
      </c>
      <c r="M1164" s="2" t="inlineStr">
        <is>
          <t>PS</t>
        </is>
      </c>
      <c r="N1164" s="1" t="inlineStr">
        <is>
          <t>Cold Soldering</t>
        </is>
      </c>
      <c r="O1164" s="51" t="n">
        <v>580</v>
      </c>
      <c r="P1164" s="2" t="inlineStr">
        <is>
          <t>NSMI25011265503</t>
        </is>
      </c>
      <c r="Q1164" s="29">
        <f>MID(P1164,5,2)</f>
        <v/>
      </c>
      <c r="R1164" s="14">
        <f>MID(P1164,7,2)</f>
        <v/>
      </c>
      <c r="S1164" s="1" t="inlineStr">
        <is>
          <t>G2G</t>
        </is>
      </c>
      <c r="T1164" s="1" t="inlineStr">
        <is>
          <t>P4 - PEIPL</t>
        </is>
      </c>
      <c r="U1164" s="1" t="inlineStr">
        <is>
          <t>P JB Cold Soldering</t>
        </is>
      </c>
      <c r="V1164" s="1" t="inlineStr">
        <is>
          <t>Inspection</t>
        </is>
      </c>
      <c r="W1164" s="1" t="inlineStr">
        <is>
          <t>Repair</t>
        </is>
      </c>
      <c r="X1164" s="5" t="n">
        <v>46186</v>
      </c>
      <c r="Y1164" s="1">
        <f>IF(X1164="","",X1164-A1164)</f>
        <v/>
      </c>
      <c r="Z1164" s="5" t="n">
        <v>46186</v>
      </c>
      <c r="AA1164" s="3" t="n"/>
      <c r="AB1164" s="3" t="n"/>
      <c r="AE1164" s="146">
        <f>IF(AND(F1164="Closed",X1164&gt;=DATE(2026,6,1),X1164&lt;=DATE(2026,6,30)),"Closed in June","other")</f>
        <v/>
      </c>
    </row>
    <row r="1165" hidden="1">
      <c r="A1165" s="9" t="n">
        <v>46161</v>
      </c>
      <c r="B1165" s="1" t="n">
        <v>2026</v>
      </c>
      <c r="C1165" s="8" t="inlineStr">
        <is>
          <t>Continuum</t>
        </is>
      </c>
      <c r="D1165" s="11" t="inlineStr">
        <is>
          <t>Utility and C&amp;I</t>
        </is>
      </c>
      <c r="E1165" s="1" t="n"/>
      <c r="F1165" s="1" t="inlineStr">
        <is>
          <t>Closed</t>
        </is>
      </c>
      <c r="G1165" s="50" t="inlineStr">
        <is>
          <t>Mr. Harendresinh Jadeja</t>
        </is>
      </c>
      <c r="H1165" s="8" t="n">
        <v>9825182102</v>
      </c>
      <c r="I1165" s="10" t="inlineStr">
        <is>
          <t>PE19052601</t>
        </is>
      </c>
      <c r="J1165" s="8" t="inlineStr">
        <is>
          <t xml:space="preserve">Diode failure </t>
        </is>
      </c>
      <c r="K1165" s="8" t="inlineStr">
        <is>
          <t>Nakhatrana</t>
        </is>
      </c>
      <c r="L1165" s="8" t="inlineStr">
        <is>
          <t>Gujarat</t>
        </is>
      </c>
      <c r="M1165" s="2" t="inlineStr">
        <is>
          <t>NS</t>
        </is>
      </c>
      <c r="N1165" s="8" t="inlineStr">
        <is>
          <t>Cold Soldering</t>
        </is>
      </c>
      <c r="O1165" s="51" t="n">
        <v>580</v>
      </c>
      <c r="P1165" s="2" t="inlineStr">
        <is>
          <t>NSMI25011271975</t>
        </is>
      </c>
      <c r="Q1165" s="29">
        <f>MID(P1165,5,2)</f>
        <v/>
      </c>
      <c r="R1165" s="14">
        <f>MID(P1165,7,2)</f>
        <v/>
      </c>
      <c r="S1165" s="1" t="inlineStr">
        <is>
          <t>G2G</t>
        </is>
      </c>
      <c r="T1165" s="1" t="inlineStr">
        <is>
          <t>P4 - PEIPL</t>
        </is>
      </c>
      <c r="U1165" s="6" t="inlineStr">
        <is>
          <t>N JB Cold Soldering</t>
        </is>
      </c>
      <c r="V1165" s="1" t="inlineStr">
        <is>
          <t>Inspection</t>
        </is>
      </c>
      <c r="W1165" s="1" t="inlineStr">
        <is>
          <t>Repair</t>
        </is>
      </c>
      <c r="X1165" s="5" t="n">
        <v>46186</v>
      </c>
      <c r="Y1165" s="1">
        <f>IF(X1165="","",X1165-A1165)</f>
        <v/>
      </c>
      <c r="Z1165" s="5" t="n">
        <v>46186</v>
      </c>
      <c r="AA1165" s="3" t="n"/>
      <c r="AB1165" s="3" t="n"/>
      <c r="AE1165" s="146">
        <f>IF(AND(F1165="Closed",X1165&gt;=DATE(2026,6,1),X1165&lt;=DATE(2026,6,30)),"Closed in June","other")</f>
        <v/>
      </c>
    </row>
    <row r="1166" hidden="1">
      <c r="A1166" s="9" t="n">
        <v>46161</v>
      </c>
      <c r="B1166" s="1" t="n">
        <v>2026</v>
      </c>
      <c r="C1166" s="8" t="inlineStr">
        <is>
          <t>Continuum</t>
        </is>
      </c>
      <c r="D1166" s="11" t="inlineStr">
        <is>
          <t>Utility and C&amp;I</t>
        </is>
      </c>
      <c r="E1166" s="1" t="n"/>
      <c r="F1166" s="1" t="inlineStr">
        <is>
          <t>Closed</t>
        </is>
      </c>
      <c r="G1166" s="50" t="inlineStr">
        <is>
          <t>Mr. Harendresinh Jadeja</t>
        </is>
      </c>
      <c r="H1166" s="8" t="n">
        <v>9825182102</v>
      </c>
      <c r="I1166" s="10" t="inlineStr">
        <is>
          <t>PE19052601</t>
        </is>
      </c>
      <c r="J1166" s="8" t="inlineStr">
        <is>
          <t xml:space="preserve">Diode failure </t>
        </is>
      </c>
      <c r="K1166" s="8" t="inlineStr">
        <is>
          <t>Nakhatrana</t>
        </is>
      </c>
      <c r="L1166" s="8" t="inlineStr">
        <is>
          <t>Gujarat</t>
        </is>
      </c>
      <c r="M1166" s="2" t="inlineStr">
        <is>
          <t>NS</t>
        </is>
      </c>
      <c r="N1166" s="8" t="inlineStr">
        <is>
          <t>Cold Soldering</t>
        </is>
      </c>
      <c r="O1166" s="51" t="n">
        <v>580</v>
      </c>
      <c r="P1166" s="2" t="inlineStr">
        <is>
          <t>NSMI25011272919</t>
        </is>
      </c>
      <c r="Q1166" s="29">
        <f>MID(P1166,5,2)</f>
        <v/>
      </c>
      <c r="R1166" s="14">
        <f>MID(P1166,7,2)</f>
        <v/>
      </c>
      <c r="S1166" s="1" t="inlineStr">
        <is>
          <t>G2G</t>
        </is>
      </c>
      <c r="T1166" s="1" t="inlineStr">
        <is>
          <t>P4 - PEIPL</t>
        </is>
      </c>
      <c r="U1166" s="6" t="inlineStr">
        <is>
          <t>N JB Cold Soldering</t>
        </is>
      </c>
      <c r="V1166" s="1" t="inlineStr">
        <is>
          <t>Inspection</t>
        </is>
      </c>
      <c r="W1166" s="1" t="inlineStr">
        <is>
          <t>Repair</t>
        </is>
      </c>
      <c r="X1166" s="5" t="n">
        <v>46186</v>
      </c>
      <c r="Y1166" s="1">
        <f>IF(X1166="","",X1166-A1166)</f>
        <v/>
      </c>
      <c r="Z1166" s="5" t="n">
        <v>46186</v>
      </c>
      <c r="AA1166" s="3" t="n"/>
      <c r="AB1166" s="3" t="n"/>
      <c r="AE1166" s="146">
        <f>IF(AND(F1166="Closed",X1166&gt;=DATE(2026,6,1),X1166&lt;=DATE(2026,6,30)),"Closed in June","other")</f>
        <v/>
      </c>
    </row>
    <row r="1167" hidden="1">
      <c r="A1167" s="9" t="n">
        <v>46161</v>
      </c>
      <c r="B1167" s="1" t="n">
        <v>2026</v>
      </c>
      <c r="C1167" s="8" t="inlineStr">
        <is>
          <t>Continuum</t>
        </is>
      </c>
      <c r="D1167" s="11" t="inlineStr">
        <is>
          <t>Utility and C&amp;I</t>
        </is>
      </c>
      <c r="E1167" s="1" t="n"/>
      <c r="F1167" s="1" t="inlineStr">
        <is>
          <t>Closed</t>
        </is>
      </c>
      <c r="G1167" s="50" t="inlineStr">
        <is>
          <t>Mr. Harendresinh Jadeja</t>
        </is>
      </c>
      <c r="H1167" s="8" t="n">
        <v>9825182102</v>
      </c>
      <c r="I1167" s="10" t="inlineStr">
        <is>
          <t>PE19052601</t>
        </is>
      </c>
      <c r="J1167" s="8" t="inlineStr">
        <is>
          <t xml:space="preserve">Diode failure </t>
        </is>
      </c>
      <c r="K1167" s="8" t="inlineStr">
        <is>
          <t>Nakhatrana</t>
        </is>
      </c>
      <c r="L1167" s="8" t="inlineStr">
        <is>
          <t>Gujarat</t>
        </is>
      </c>
      <c r="M1167" s="2" t="inlineStr">
        <is>
          <t>NS</t>
        </is>
      </c>
      <c r="N1167" s="8" t="inlineStr">
        <is>
          <t>Cold Soldering</t>
        </is>
      </c>
      <c r="O1167" s="51" t="n">
        <v>580</v>
      </c>
      <c r="P1167" s="2" t="inlineStr">
        <is>
          <t>NSMI25011289511</t>
        </is>
      </c>
      <c r="Q1167" s="29">
        <f>MID(P1167,5,2)</f>
        <v/>
      </c>
      <c r="R1167" s="14">
        <f>MID(P1167,7,2)</f>
        <v/>
      </c>
      <c r="S1167" s="1" t="inlineStr">
        <is>
          <t>G2G</t>
        </is>
      </c>
      <c r="T1167" s="1" t="inlineStr">
        <is>
          <t>P4 - PEIPL</t>
        </is>
      </c>
      <c r="U1167" s="6" t="inlineStr">
        <is>
          <t>N JB Cold Soldering</t>
        </is>
      </c>
      <c r="V1167" s="1" t="inlineStr">
        <is>
          <t>Inspection</t>
        </is>
      </c>
      <c r="W1167" s="1" t="inlineStr">
        <is>
          <t>Repair</t>
        </is>
      </c>
      <c r="X1167" s="5" t="n">
        <v>46186</v>
      </c>
      <c r="Y1167" s="1">
        <f>IF(X1167="","",X1167-A1167)</f>
        <v/>
      </c>
      <c r="Z1167" s="5" t="n">
        <v>46186</v>
      </c>
      <c r="AA1167" s="3" t="n"/>
      <c r="AB1167" s="3" t="n"/>
      <c r="AE1167" s="146">
        <f>IF(AND(F1167="Closed",X1167&gt;=DATE(2026,6,1),X1167&lt;=DATE(2026,6,30)),"Closed in June","other")</f>
        <v/>
      </c>
    </row>
    <row r="1168" hidden="1">
      <c r="A1168" s="9" t="n">
        <v>46161</v>
      </c>
      <c r="B1168" s="1" t="n">
        <v>2026</v>
      </c>
      <c r="C1168" s="8" t="inlineStr">
        <is>
          <t>Continuum</t>
        </is>
      </c>
      <c r="D1168" s="11" t="inlineStr">
        <is>
          <t>Utility and C&amp;I</t>
        </is>
      </c>
      <c r="E1168" s="1" t="n"/>
      <c r="F1168" s="1" t="inlineStr">
        <is>
          <t>Closed</t>
        </is>
      </c>
      <c r="G1168" s="50" t="inlineStr">
        <is>
          <t>Mr. Harendresinh Jadeja</t>
        </is>
      </c>
      <c r="H1168" s="8" t="n">
        <v>9825182102</v>
      </c>
      <c r="I1168" s="10" t="inlineStr">
        <is>
          <t>PE19052601</t>
        </is>
      </c>
      <c r="J1168" s="8" t="inlineStr">
        <is>
          <t xml:space="preserve">Diode failure </t>
        </is>
      </c>
      <c r="K1168" s="8" t="inlineStr">
        <is>
          <t>Nakhatrana</t>
        </is>
      </c>
      <c r="L1168" s="8" t="inlineStr">
        <is>
          <t>Gujarat</t>
        </is>
      </c>
      <c r="M1168" s="2" t="inlineStr">
        <is>
          <t>PS</t>
        </is>
      </c>
      <c r="N1168" s="1" t="inlineStr">
        <is>
          <t>Cold Soldering</t>
        </is>
      </c>
      <c r="O1168" s="51" t="n">
        <v>580</v>
      </c>
      <c r="P1168" s="2" t="inlineStr">
        <is>
          <t>NSMI25011255042</t>
        </is>
      </c>
      <c r="Q1168" s="29">
        <f>MID(P1168,5,2)</f>
        <v/>
      </c>
      <c r="R1168" s="14">
        <f>MID(P1168,7,2)</f>
        <v/>
      </c>
      <c r="S1168" s="1" t="inlineStr">
        <is>
          <t>G2G</t>
        </is>
      </c>
      <c r="T1168" s="1" t="inlineStr">
        <is>
          <t>P4 - PEIPL</t>
        </is>
      </c>
      <c r="U1168" s="1" t="inlineStr">
        <is>
          <t>P JB Cold Soldering</t>
        </is>
      </c>
      <c r="V1168" s="1" t="inlineStr">
        <is>
          <t>Inspection</t>
        </is>
      </c>
      <c r="W1168" s="1" t="inlineStr">
        <is>
          <t>Repair</t>
        </is>
      </c>
      <c r="X1168" s="5" t="n">
        <v>46186</v>
      </c>
      <c r="Y1168" s="1">
        <f>IF(X1168="","",X1168-A1168)</f>
        <v/>
      </c>
      <c r="Z1168" s="5" t="n">
        <v>46186</v>
      </c>
      <c r="AA1168" s="3" t="n"/>
      <c r="AB1168" s="3" t="n"/>
      <c r="AE1168" s="146">
        <f>IF(AND(F1168="Closed",X1168&gt;=DATE(2026,6,1),X1168&lt;=DATE(2026,6,30)),"Closed in June","other")</f>
        <v/>
      </c>
    </row>
    <row r="1169" hidden="1">
      <c r="A1169" s="9" t="n">
        <v>46161</v>
      </c>
      <c r="B1169" s="1" t="n">
        <v>2026</v>
      </c>
      <c r="C1169" s="8" t="inlineStr">
        <is>
          <t>Continuum</t>
        </is>
      </c>
      <c r="D1169" s="11" t="inlineStr">
        <is>
          <t>Utility and C&amp;I</t>
        </is>
      </c>
      <c r="E1169" s="1" t="n"/>
      <c r="F1169" s="1" t="inlineStr">
        <is>
          <t>Closed</t>
        </is>
      </c>
      <c r="G1169" s="50" t="inlineStr">
        <is>
          <t>Mr. Harendresinh Jadeja</t>
        </is>
      </c>
      <c r="H1169" s="8" t="n">
        <v>9825182102</v>
      </c>
      <c r="I1169" s="10" t="inlineStr">
        <is>
          <t>PE19052601</t>
        </is>
      </c>
      <c r="J1169" s="8" t="inlineStr">
        <is>
          <t xml:space="preserve">Diode failure </t>
        </is>
      </c>
      <c r="K1169" s="8" t="inlineStr">
        <is>
          <t>Nakhatrana</t>
        </is>
      </c>
      <c r="L1169" s="8" t="inlineStr">
        <is>
          <t>Gujarat</t>
        </is>
      </c>
      <c r="M1169" s="2" t="inlineStr">
        <is>
          <t>NS</t>
        </is>
      </c>
      <c r="N1169" s="8" t="inlineStr">
        <is>
          <t>Cold Soldering</t>
        </is>
      </c>
      <c r="O1169" s="51" t="n">
        <v>580</v>
      </c>
      <c r="P1169" s="2" t="inlineStr">
        <is>
          <t>NSMI25011293117</t>
        </is>
      </c>
      <c r="Q1169" s="29">
        <f>MID(P1169,5,2)</f>
        <v/>
      </c>
      <c r="R1169" s="14">
        <f>MID(P1169,7,2)</f>
        <v/>
      </c>
      <c r="S1169" s="1" t="inlineStr">
        <is>
          <t>G2G</t>
        </is>
      </c>
      <c r="T1169" s="1" t="inlineStr">
        <is>
          <t>P4 - PEIPL</t>
        </is>
      </c>
      <c r="U1169" s="6" t="inlineStr">
        <is>
          <t>N JB Cold Soldering</t>
        </is>
      </c>
      <c r="V1169" s="1" t="inlineStr">
        <is>
          <t>Inspection</t>
        </is>
      </c>
      <c r="W1169" s="1" t="inlineStr">
        <is>
          <t>Repair</t>
        </is>
      </c>
      <c r="X1169" s="5" t="n">
        <v>46186</v>
      </c>
      <c r="Y1169" s="1">
        <f>IF(X1169="","",X1169-A1169)</f>
        <v/>
      </c>
      <c r="Z1169" s="5" t="n">
        <v>46186</v>
      </c>
      <c r="AA1169" s="3" t="n"/>
      <c r="AB1169" s="3" t="n"/>
      <c r="AE1169" s="146">
        <f>IF(AND(F1169="Closed",X1169&gt;=DATE(2026,6,1),X1169&lt;=DATE(2026,6,30)),"Closed in June","other")</f>
        <v/>
      </c>
    </row>
    <row r="1170" hidden="1">
      <c r="A1170" s="9" t="n">
        <v>46161</v>
      </c>
      <c r="B1170" s="1" t="n">
        <v>2026</v>
      </c>
      <c r="C1170" s="8" t="inlineStr">
        <is>
          <t>Continuum</t>
        </is>
      </c>
      <c r="D1170" s="11" t="inlineStr">
        <is>
          <t>Utility and C&amp;I</t>
        </is>
      </c>
      <c r="E1170" s="1" t="n"/>
      <c r="F1170" s="1" t="inlineStr">
        <is>
          <t>Closed</t>
        </is>
      </c>
      <c r="G1170" s="50" t="inlineStr">
        <is>
          <t>Mr. Harendresinh Jadeja</t>
        </is>
      </c>
      <c r="H1170" s="8" t="n">
        <v>9825182102</v>
      </c>
      <c r="I1170" s="10" t="inlineStr">
        <is>
          <t>PE19052601</t>
        </is>
      </c>
      <c r="J1170" s="8" t="inlineStr">
        <is>
          <t xml:space="preserve">Diode failure </t>
        </is>
      </c>
      <c r="K1170" s="8" t="inlineStr">
        <is>
          <t>Nakhatrana</t>
        </is>
      </c>
      <c r="L1170" s="8" t="inlineStr">
        <is>
          <t>Gujarat</t>
        </is>
      </c>
      <c r="M1170" s="2" t="inlineStr">
        <is>
          <t>PS</t>
        </is>
      </c>
      <c r="N1170" s="1" t="inlineStr">
        <is>
          <t>Cold Soldering</t>
        </is>
      </c>
      <c r="O1170" s="51" t="n">
        <v>580</v>
      </c>
      <c r="P1170" s="2" t="inlineStr">
        <is>
          <t>NSMI25011292843</t>
        </is>
      </c>
      <c r="Q1170" s="29">
        <f>MID(P1170,5,2)</f>
        <v/>
      </c>
      <c r="R1170" s="14">
        <f>MID(P1170,7,2)</f>
        <v/>
      </c>
      <c r="S1170" s="1" t="inlineStr">
        <is>
          <t>G2G</t>
        </is>
      </c>
      <c r="T1170" s="1" t="inlineStr">
        <is>
          <t>P4 - PEIPL</t>
        </is>
      </c>
      <c r="U1170" s="1" t="inlineStr">
        <is>
          <t>P JB Cold Soldering</t>
        </is>
      </c>
      <c r="V1170" s="1" t="inlineStr">
        <is>
          <t>Inspection</t>
        </is>
      </c>
      <c r="W1170" s="1" t="inlineStr">
        <is>
          <t>Repair</t>
        </is>
      </c>
      <c r="X1170" s="5" t="n">
        <v>46186</v>
      </c>
      <c r="Y1170" s="1">
        <f>IF(X1170="","",X1170-A1170)</f>
        <v/>
      </c>
      <c r="Z1170" s="5" t="n">
        <v>46186</v>
      </c>
      <c r="AA1170" s="3" t="n"/>
      <c r="AB1170" s="3" t="n"/>
      <c r="AE1170" s="146">
        <f>IF(AND(F1170="Closed",X1170&gt;=DATE(2026,6,1),X1170&lt;=DATE(2026,6,30)),"Closed in June","other")</f>
        <v/>
      </c>
    </row>
    <row r="1171" hidden="1">
      <c r="A1171" s="9" t="n">
        <v>46161</v>
      </c>
      <c r="B1171" s="1" t="n">
        <v>2026</v>
      </c>
      <c r="C1171" s="8" t="inlineStr">
        <is>
          <t>Continuum</t>
        </is>
      </c>
      <c r="D1171" s="11" t="inlineStr">
        <is>
          <t>Utility and C&amp;I</t>
        </is>
      </c>
      <c r="E1171" s="1" t="n"/>
      <c r="F1171" s="1" t="inlineStr">
        <is>
          <t>Closed</t>
        </is>
      </c>
      <c r="G1171" s="50" t="inlineStr">
        <is>
          <t>Mr. Harendresinh Jadeja</t>
        </is>
      </c>
      <c r="H1171" s="8" t="n">
        <v>9825182102</v>
      </c>
      <c r="I1171" s="10" t="inlineStr">
        <is>
          <t>PE19052601</t>
        </is>
      </c>
      <c r="J1171" s="8" t="inlineStr">
        <is>
          <t xml:space="preserve">Diode failure </t>
        </is>
      </c>
      <c r="K1171" s="8" t="inlineStr">
        <is>
          <t>Nakhatrana</t>
        </is>
      </c>
      <c r="L1171" s="8" t="inlineStr">
        <is>
          <t>Gujarat</t>
        </is>
      </c>
      <c r="M1171" s="2" t="inlineStr">
        <is>
          <t>NS</t>
        </is>
      </c>
      <c r="N1171" s="8" t="inlineStr">
        <is>
          <t>Cold Soldering</t>
        </is>
      </c>
      <c r="O1171" s="51" t="n">
        <v>580</v>
      </c>
      <c r="P1171" s="2" t="inlineStr">
        <is>
          <t>NSMI25011257489</t>
        </is>
      </c>
      <c r="Q1171" s="29">
        <f>MID(P1171,5,2)</f>
        <v/>
      </c>
      <c r="R1171" s="14">
        <f>MID(P1171,7,2)</f>
        <v/>
      </c>
      <c r="S1171" s="1" t="inlineStr">
        <is>
          <t>G2G</t>
        </is>
      </c>
      <c r="T1171" s="1" t="inlineStr">
        <is>
          <t>P4 - PEIPL</t>
        </is>
      </c>
      <c r="U1171" s="6" t="inlineStr">
        <is>
          <t>N JB Cold Soldering</t>
        </is>
      </c>
      <c r="V1171" s="1" t="inlineStr">
        <is>
          <t>Inspection</t>
        </is>
      </c>
      <c r="W1171" s="1" t="inlineStr">
        <is>
          <t>Repair</t>
        </is>
      </c>
      <c r="X1171" s="5" t="n">
        <v>46186</v>
      </c>
      <c r="Y1171" s="1">
        <f>IF(X1171="","",X1171-A1171)</f>
        <v/>
      </c>
      <c r="Z1171" s="5" t="n">
        <v>46186</v>
      </c>
      <c r="AA1171" s="3" t="n"/>
      <c r="AB1171" s="3" t="n"/>
      <c r="AE1171" s="146">
        <f>IF(AND(F1171="Closed",X1171&gt;=DATE(2026,6,1),X1171&lt;=DATE(2026,6,30)),"Closed in June","other")</f>
        <v/>
      </c>
    </row>
    <row r="1172" hidden="1">
      <c r="A1172" s="9" t="n">
        <v>46161</v>
      </c>
      <c r="B1172" s="1" t="n">
        <v>2026</v>
      </c>
      <c r="C1172" s="8" t="inlineStr">
        <is>
          <t>Continuum</t>
        </is>
      </c>
      <c r="D1172" s="11" t="inlineStr">
        <is>
          <t>Utility and C&amp;I</t>
        </is>
      </c>
      <c r="E1172" s="1" t="n"/>
      <c r="F1172" s="1" t="inlineStr">
        <is>
          <t>Closed</t>
        </is>
      </c>
      <c r="G1172" s="50" t="inlineStr">
        <is>
          <t>Mr. Harendresinh Jadeja</t>
        </is>
      </c>
      <c r="H1172" s="8" t="n">
        <v>9825182102</v>
      </c>
      <c r="I1172" s="10" t="inlineStr">
        <is>
          <t>PE19052601</t>
        </is>
      </c>
      <c r="J1172" s="8" t="inlineStr">
        <is>
          <t xml:space="preserve">Diode failure </t>
        </is>
      </c>
      <c r="K1172" s="8" t="inlineStr">
        <is>
          <t>Nakhatrana</t>
        </is>
      </c>
      <c r="L1172" s="8" t="inlineStr">
        <is>
          <t>Gujarat</t>
        </is>
      </c>
      <c r="M1172" s="2" t="inlineStr">
        <is>
          <t>PS</t>
        </is>
      </c>
      <c r="N1172" s="1" t="inlineStr">
        <is>
          <t>Cold Soldering</t>
        </is>
      </c>
      <c r="O1172" s="51" t="n">
        <v>580</v>
      </c>
      <c r="P1172" s="2" t="inlineStr">
        <is>
          <t>NSMI25011262670</t>
        </is>
      </c>
      <c r="Q1172" s="29">
        <f>MID(P1172,5,2)</f>
        <v/>
      </c>
      <c r="R1172" s="14">
        <f>MID(P1172,7,2)</f>
        <v/>
      </c>
      <c r="S1172" s="1" t="inlineStr">
        <is>
          <t>G2G</t>
        </is>
      </c>
      <c r="T1172" s="1" t="inlineStr">
        <is>
          <t>P4 - PEIPL</t>
        </is>
      </c>
      <c r="U1172" s="1" t="inlineStr">
        <is>
          <t>P JB Cold Soldering</t>
        </is>
      </c>
      <c r="V1172" s="1" t="inlineStr">
        <is>
          <t>Inspection</t>
        </is>
      </c>
      <c r="W1172" s="1" t="inlineStr">
        <is>
          <t>Repair</t>
        </is>
      </c>
      <c r="X1172" s="5" t="n">
        <v>46186</v>
      </c>
      <c r="Y1172" s="1">
        <f>IF(X1172="","",X1172-A1172)</f>
        <v/>
      </c>
      <c r="Z1172" s="5" t="n">
        <v>46186</v>
      </c>
      <c r="AA1172" s="3" t="n"/>
      <c r="AB1172" s="3" t="n"/>
      <c r="AE1172" s="146">
        <f>IF(AND(F1172="Closed",X1172&gt;=DATE(2026,6,1),X1172&lt;=DATE(2026,6,30)),"Closed in June","other")</f>
        <v/>
      </c>
    </row>
    <row r="1173" hidden="1">
      <c r="A1173" s="9" t="n">
        <v>46161</v>
      </c>
      <c r="B1173" s="1" t="n">
        <v>2026</v>
      </c>
      <c r="C1173" s="8" t="inlineStr">
        <is>
          <t>Continuum</t>
        </is>
      </c>
      <c r="D1173" s="11" t="inlineStr">
        <is>
          <t>Utility and C&amp;I</t>
        </is>
      </c>
      <c r="E1173" s="1" t="n"/>
      <c r="F1173" s="1" t="inlineStr">
        <is>
          <t>Closed</t>
        </is>
      </c>
      <c r="G1173" s="50" t="inlineStr">
        <is>
          <t>Mr. Harendresinh Jadeja</t>
        </is>
      </c>
      <c r="H1173" s="8" t="n">
        <v>9825182102</v>
      </c>
      <c r="I1173" s="10" t="inlineStr">
        <is>
          <t>PE19052601</t>
        </is>
      </c>
      <c r="J1173" s="8" t="inlineStr">
        <is>
          <t xml:space="preserve">Diode failure </t>
        </is>
      </c>
      <c r="K1173" s="8" t="inlineStr">
        <is>
          <t>Nakhatrana</t>
        </is>
      </c>
      <c r="L1173" s="8" t="inlineStr">
        <is>
          <t>Gujarat</t>
        </is>
      </c>
      <c r="M1173" s="2" t="inlineStr">
        <is>
          <t>PS</t>
        </is>
      </c>
      <c r="N1173" s="1" t="inlineStr">
        <is>
          <t>Cold Soldering</t>
        </is>
      </c>
      <c r="O1173" s="51" t="n">
        <v>580</v>
      </c>
      <c r="P1173" s="2" t="inlineStr">
        <is>
          <t>NSMI25011263304</t>
        </is>
      </c>
      <c r="Q1173" s="29">
        <f>MID(P1173,5,2)</f>
        <v/>
      </c>
      <c r="R1173" s="14">
        <f>MID(P1173,7,2)</f>
        <v/>
      </c>
      <c r="S1173" s="1" t="inlineStr">
        <is>
          <t>G2G</t>
        </is>
      </c>
      <c r="T1173" s="1" t="inlineStr">
        <is>
          <t>P4 - PEIPL</t>
        </is>
      </c>
      <c r="U1173" s="1" t="inlineStr">
        <is>
          <t>P JB Cold Soldering</t>
        </is>
      </c>
      <c r="V1173" s="1" t="inlineStr">
        <is>
          <t>Inspection</t>
        </is>
      </c>
      <c r="W1173" s="1" t="inlineStr">
        <is>
          <t>Repair</t>
        </is>
      </c>
      <c r="X1173" s="5" t="n">
        <v>46186</v>
      </c>
      <c r="Y1173" s="1">
        <f>IF(X1173="","",X1173-A1173)</f>
        <v/>
      </c>
      <c r="Z1173" s="5" t="n">
        <v>46186</v>
      </c>
      <c r="AA1173" s="3" t="n"/>
      <c r="AB1173" s="3" t="n"/>
      <c r="AE1173" s="146">
        <f>IF(AND(F1173="Closed",X1173&gt;=DATE(2026,6,1),X1173&lt;=DATE(2026,6,30)),"Closed in June","other")</f>
        <v/>
      </c>
    </row>
    <row r="1174" hidden="1">
      <c r="A1174" s="9" t="n">
        <v>46161</v>
      </c>
      <c r="B1174" s="1" t="n">
        <v>2026</v>
      </c>
      <c r="C1174" s="8" t="inlineStr">
        <is>
          <t>Continuum</t>
        </is>
      </c>
      <c r="D1174" s="11" t="inlineStr">
        <is>
          <t>Utility and C&amp;I</t>
        </is>
      </c>
      <c r="E1174" s="1" t="n"/>
      <c r="F1174" s="1" t="inlineStr">
        <is>
          <t>Closed</t>
        </is>
      </c>
      <c r="G1174" s="50" t="inlineStr">
        <is>
          <t>Mr. Harendresinh Jadeja</t>
        </is>
      </c>
      <c r="H1174" s="8" t="n">
        <v>9825182102</v>
      </c>
      <c r="I1174" s="10" t="inlineStr">
        <is>
          <t>PE19052601</t>
        </is>
      </c>
      <c r="J1174" s="8" t="inlineStr">
        <is>
          <t xml:space="preserve">Diode failure </t>
        </is>
      </c>
      <c r="K1174" s="8" t="inlineStr">
        <is>
          <t>Nakhatrana</t>
        </is>
      </c>
      <c r="L1174" s="8" t="inlineStr">
        <is>
          <t>Gujarat</t>
        </is>
      </c>
      <c r="M1174" s="2" t="inlineStr">
        <is>
          <t>PS</t>
        </is>
      </c>
      <c r="N1174" s="1" t="inlineStr">
        <is>
          <t>Cold Soldering</t>
        </is>
      </c>
      <c r="O1174" s="51" t="n">
        <v>580</v>
      </c>
      <c r="P1174" s="2" t="inlineStr">
        <is>
          <t>NSMI25011262669</t>
        </is>
      </c>
      <c r="Q1174" s="29">
        <f>MID(P1174,5,2)</f>
        <v/>
      </c>
      <c r="R1174" s="14">
        <f>MID(P1174,7,2)</f>
        <v/>
      </c>
      <c r="S1174" s="1" t="inlineStr">
        <is>
          <t>G2G</t>
        </is>
      </c>
      <c r="T1174" s="1" t="inlineStr">
        <is>
          <t>P4 - PEIPL</t>
        </is>
      </c>
      <c r="U1174" s="1" t="inlineStr">
        <is>
          <t>P JB Cold Soldering</t>
        </is>
      </c>
      <c r="V1174" s="1" t="inlineStr">
        <is>
          <t>Inspection</t>
        </is>
      </c>
      <c r="W1174" s="1" t="inlineStr">
        <is>
          <t>Repair</t>
        </is>
      </c>
      <c r="X1174" s="5" t="n">
        <v>46186</v>
      </c>
      <c r="Y1174" s="1">
        <f>IF(X1174="","",X1174-A1174)</f>
        <v/>
      </c>
      <c r="Z1174" s="5" t="n">
        <v>46186</v>
      </c>
      <c r="AA1174" s="3" t="n"/>
      <c r="AB1174" s="3" t="n"/>
      <c r="AE1174" s="146">
        <f>IF(AND(F1174="Closed",X1174&gt;=DATE(2026,6,1),X1174&lt;=DATE(2026,6,30)),"Closed in June","other")</f>
        <v/>
      </c>
    </row>
    <row r="1175" hidden="1">
      <c r="A1175" s="9" t="n">
        <v>46161</v>
      </c>
      <c r="B1175" s="1" t="n">
        <v>2026</v>
      </c>
      <c r="C1175" s="8" t="inlineStr">
        <is>
          <t>Continuum</t>
        </is>
      </c>
      <c r="D1175" s="11" t="inlineStr">
        <is>
          <t>Utility and C&amp;I</t>
        </is>
      </c>
      <c r="E1175" s="1" t="n"/>
      <c r="F1175" s="1" t="inlineStr">
        <is>
          <t>Closed</t>
        </is>
      </c>
      <c r="G1175" s="50" t="inlineStr">
        <is>
          <t>Mr. Harendresinh Jadeja</t>
        </is>
      </c>
      <c r="H1175" s="8" t="n">
        <v>9825182102</v>
      </c>
      <c r="I1175" s="10" t="inlineStr">
        <is>
          <t>PE19052601</t>
        </is>
      </c>
      <c r="J1175" s="8" t="inlineStr">
        <is>
          <t xml:space="preserve">Diode failure </t>
        </is>
      </c>
      <c r="K1175" s="8" t="inlineStr">
        <is>
          <t>Nakhatrana</t>
        </is>
      </c>
      <c r="L1175" s="8" t="inlineStr">
        <is>
          <t>Gujarat</t>
        </is>
      </c>
      <c r="M1175" s="2" t="inlineStr">
        <is>
          <t>PS</t>
        </is>
      </c>
      <c r="N1175" s="1" t="inlineStr">
        <is>
          <t>Cold Soldering</t>
        </is>
      </c>
      <c r="O1175" s="51" t="n">
        <v>580</v>
      </c>
      <c r="P1175" s="2" t="inlineStr">
        <is>
          <t>NSMI25011263337</t>
        </is>
      </c>
      <c r="Q1175" s="29">
        <f>MID(P1175,5,2)</f>
        <v/>
      </c>
      <c r="R1175" s="14">
        <f>MID(P1175,7,2)</f>
        <v/>
      </c>
      <c r="S1175" s="1" t="inlineStr">
        <is>
          <t>G2G</t>
        </is>
      </c>
      <c r="T1175" s="1" t="inlineStr">
        <is>
          <t>P4 - PEIPL</t>
        </is>
      </c>
      <c r="U1175" s="1" t="inlineStr">
        <is>
          <t>P JB Cold Soldering</t>
        </is>
      </c>
      <c r="V1175" s="1" t="inlineStr">
        <is>
          <t>Inspection</t>
        </is>
      </c>
      <c r="W1175" s="1" t="inlineStr">
        <is>
          <t>Repair</t>
        </is>
      </c>
      <c r="X1175" s="5" t="n">
        <v>46186</v>
      </c>
      <c r="Y1175" s="1">
        <f>IF(X1175="","",X1175-A1175)</f>
        <v/>
      </c>
      <c r="Z1175" s="5" t="n">
        <v>46186</v>
      </c>
      <c r="AA1175" s="3" t="n"/>
      <c r="AB1175" s="3" t="n"/>
      <c r="AE1175" s="146">
        <f>IF(AND(F1175="Closed",X1175&gt;=DATE(2026,6,1),X1175&lt;=DATE(2026,6,30)),"Closed in June","other")</f>
        <v/>
      </c>
    </row>
    <row r="1176" hidden="1">
      <c r="A1176" s="9" t="n">
        <v>46161</v>
      </c>
      <c r="B1176" s="1" t="n">
        <v>2026</v>
      </c>
      <c r="C1176" s="8" t="inlineStr">
        <is>
          <t>Continuum</t>
        </is>
      </c>
      <c r="D1176" s="11" t="inlineStr">
        <is>
          <t>Utility and C&amp;I</t>
        </is>
      </c>
      <c r="E1176" s="1" t="n"/>
      <c r="F1176" s="1" t="inlineStr">
        <is>
          <t>Closed</t>
        </is>
      </c>
      <c r="G1176" s="50" t="inlineStr">
        <is>
          <t>Mr. Harendresinh Jadeja</t>
        </is>
      </c>
      <c r="H1176" s="8" t="n">
        <v>9825182102</v>
      </c>
      <c r="I1176" s="10" t="inlineStr">
        <is>
          <t>PE19052601</t>
        </is>
      </c>
      <c r="J1176" s="8" t="inlineStr">
        <is>
          <t xml:space="preserve">Diode failure </t>
        </is>
      </c>
      <c r="K1176" s="8" t="inlineStr">
        <is>
          <t>Nakhatrana</t>
        </is>
      </c>
      <c r="L1176" s="8" t="inlineStr">
        <is>
          <t>Gujarat</t>
        </is>
      </c>
      <c r="M1176" s="2" t="inlineStr">
        <is>
          <t>PS</t>
        </is>
      </c>
      <c r="N1176" s="1" t="inlineStr">
        <is>
          <t>Cold Soldering</t>
        </is>
      </c>
      <c r="O1176" s="51" t="n">
        <v>580</v>
      </c>
      <c r="P1176" s="2" t="inlineStr">
        <is>
          <t>NSMI25011256754</t>
        </is>
      </c>
      <c r="Q1176" s="29">
        <f>MID(P1176,5,2)</f>
        <v/>
      </c>
      <c r="R1176" s="14">
        <f>MID(P1176,7,2)</f>
        <v/>
      </c>
      <c r="S1176" s="1" t="inlineStr">
        <is>
          <t>G2G</t>
        </is>
      </c>
      <c r="T1176" s="1" t="inlineStr">
        <is>
          <t>P4 - PEIPL</t>
        </is>
      </c>
      <c r="U1176" s="1" t="inlineStr">
        <is>
          <t>P JB Cold Soldering</t>
        </is>
      </c>
      <c r="V1176" s="1" t="inlineStr">
        <is>
          <t>Inspection</t>
        </is>
      </c>
      <c r="W1176" s="1" t="inlineStr">
        <is>
          <t>Repair</t>
        </is>
      </c>
      <c r="X1176" s="5" t="n">
        <v>46186</v>
      </c>
      <c r="Y1176" s="1">
        <f>IF(X1176="","",X1176-A1176)</f>
        <v/>
      </c>
      <c r="Z1176" s="5" t="n">
        <v>46186</v>
      </c>
      <c r="AA1176" s="3" t="n"/>
      <c r="AB1176" s="3" t="n"/>
      <c r="AE1176" s="146">
        <f>IF(AND(F1176="Closed",X1176&gt;=DATE(2026,6,1),X1176&lt;=DATE(2026,6,30)),"Closed in June","other")</f>
        <v/>
      </c>
    </row>
    <row r="1177" hidden="1">
      <c r="A1177" s="9" t="n">
        <v>46161</v>
      </c>
      <c r="B1177" s="1" t="n">
        <v>2026</v>
      </c>
      <c r="C1177" s="8" t="inlineStr">
        <is>
          <t>Continuum</t>
        </is>
      </c>
      <c r="D1177" s="11" t="inlineStr">
        <is>
          <t>Utility and C&amp;I</t>
        </is>
      </c>
      <c r="E1177" s="1" t="n"/>
      <c r="F1177" s="1" t="inlineStr">
        <is>
          <t>Closed</t>
        </is>
      </c>
      <c r="G1177" s="50" t="inlineStr">
        <is>
          <t>Mr. Harendresinh Jadeja</t>
        </is>
      </c>
      <c r="H1177" s="8" t="n">
        <v>9825182102</v>
      </c>
      <c r="I1177" s="10" t="inlineStr">
        <is>
          <t>PE19052601</t>
        </is>
      </c>
      <c r="J1177" s="8" t="inlineStr">
        <is>
          <t xml:space="preserve">Diode failure </t>
        </is>
      </c>
      <c r="K1177" s="8" t="inlineStr">
        <is>
          <t>Nakhatrana</t>
        </is>
      </c>
      <c r="L1177" s="8" t="inlineStr">
        <is>
          <t>Gujarat</t>
        </is>
      </c>
      <c r="M1177" s="2" t="inlineStr">
        <is>
          <t>PS</t>
        </is>
      </c>
      <c r="N1177" s="1" t="inlineStr">
        <is>
          <t>Cold Soldering</t>
        </is>
      </c>
      <c r="O1177" s="51" t="n">
        <v>580</v>
      </c>
      <c r="P1177" s="2" t="inlineStr">
        <is>
          <t>NSMI25011256735</t>
        </is>
      </c>
      <c r="Q1177" s="29">
        <f>MID(P1177,5,2)</f>
        <v/>
      </c>
      <c r="R1177" s="14">
        <f>MID(P1177,7,2)</f>
        <v/>
      </c>
      <c r="S1177" s="1" t="inlineStr">
        <is>
          <t>G2G</t>
        </is>
      </c>
      <c r="T1177" s="1" t="inlineStr">
        <is>
          <t>P4 - PEIPL</t>
        </is>
      </c>
      <c r="U1177" s="1" t="inlineStr">
        <is>
          <t>P JB Cold Soldering</t>
        </is>
      </c>
      <c r="V1177" s="1" t="inlineStr">
        <is>
          <t>Inspection</t>
        </is>
      </c>
      <c r="W1177" s="1" t="inlineStr">
        <is>
          <t>Repair</t>
        </is>
      </c>
      <c r="X1177" s="5" t="n">
        <v>46186</v>
      </c>
      <c r="Y1177" s="1">
        <f>IF(X1177="","",X1177-A1177)</f>
        <v/>
      </c>
      <c r="Z1177" s="5" t="n">
        <v>46186</v>
      </c>
      <c r="AA1177" s="3" t="n"/>
      <c r="AB1177" s="3" t="n"/>
      <c r="AE1177" s="146">
        <f>IF(AND(F1177="Closed",X1177&gt;=DATE(2026,6,1),X1177&lt;=DATE(2026,6,30)),"Closed in June","other")</f>
        <v/>
      </c>
    </row>
    <row r="1178" hidden="1">
      <c r="A1178" s="9" t="n">
        <v>46161</v>
      </c>
      <c r="B1178" s="1" t="n">
        <v>2026</v>
      </c>
      <c r="C1178" s="8" t="inlineStr">
        <is>
          <t>Continuum</t>
        </is>
      </c>
      <c r="D1178" s="11" t="inlineStr">
        <is>
          <t>Utility and C&amp;I</t>
        </is>
      </c>
      <c r="E1178" s="1" t="n"/>
      <c r="F1178" s="1" t="inlineStr">
        <is>
          <t>Closed</t>
        </is>
      </c>
      <c r="G1178" s="50" t="inlineStr">
        <is>
          <t>Mr. Harendresinh Jadeja</t>
        </is>
      </c>
      <c r="H1178" s="8" t="n">
        <v>9825182102</v>
      </c>
      <c r="I1178" s="10" t="inlineStr">
        <is>
          <t>PE19052601</t>
        </is>
      </c>
      <c r="J1178" s="8" t="inlineStr">
        <is>
          <t xml:space="preserve">Diode failure </t>
        </is>
      </c>
      <c r="K1178" s="8" t="inlineStr">
        <is>
          <t>Nakhatrana</t>
        </is>
      </c>
      <c r="L1178" s="8" t="inlineStr">
        <is>
          <t>Gujarat</t>
        </is>
      </c>
      <c r="M1178" s="2" t="inlineStr">
        <is>
          <t>PS</t>
        </is>
      </c>
      <c r="N1178" s="1" t="inlineStr">
        <is>
          <t>Cold Soldering</t>
        </is>
      </c>
      <c r="O1178" s="51" t="n">
        <v>580</v>
      </c>
      <c r="P1178" s="2" t="inlineStr">
        <is>
          <t>NSMI25011257120</t>
        </is>
      </c>
      <c r="Q1178" s="29">
        <f>MID(P1178,5,2)</f>
        <v/>
      </c>
      <c r="R1178" s="14">
        <f>MID(P1178,7,2)</f>
        <v/>
      </c>
      <c r="S1178" s="1" t="inlineStr">
        <is>
          <t>G2G</t>
        </is>
      </c>
      <c r="T1178" s="1" t="inlineStr">
        <is>
          <t>P4 - PEIPL</t>
        </is>
      </c>
      <c r="U1178" s="1" t="inlineStr">
        <is>
          <t>P JB Cold Soldering</t>
        </is>
      </c>
      <c r="V1178" s="1" t="inlineStr">
        <is>
          <t>Inspection</t>
        </is>
      </c>
      <c r="W1178" s="1" t="inlineStr">
        <is>
          <t>Repair</t>
        </is>
      </c>
      <c r="X1178" s="5" t="n">
        <v>46186</v>
      </c>
      <c r="Y1178" s="1">
        <f>IF(X1178="","",X1178-A1178)</f>
        <v/>
      </c>
      <c r="Z1178" s="5" t="n">
        <v>46186</v>
      </c>
      <c r="AA1178" s="3" t="n"/>
      <c r="AB1178" s="3" t="n"/>
      <c r="AE1178" s="146">
        <f>IF(AND(F1178="Closed",X1178&gt;=DATE(2026,6,1),X1178&lt;=DATE(2026,6,30)),"Closed in June","other")</f>
        <v/>
      </c>
    </row>
    <row r="1179" hidden="1">
      <c r="A1179" s="9" t="n">
        <v>46161</v>
      </c>
      <c r="B1179" s="1" t="n">
        <v>2026</v>
      </c>
      <c r="C1179" s="8" t="inlineStr">
        <is>
          <t>Continuum</t>
        </is>
      </c>
      <c r="D1179" s="11" t="inlineStr">
        <is>
          <t>Utility and C&amp;I</t>
        </is>
      </c>
      <c r="E1179" s="1" t="n"/>
      <c r="F1179" s="1" t="inlineStr">
        <is>
          <t>Closed</t>
        </is>
      </c>
      <c r="G1179" s="50" t="inlineStr">
        <is>
          <t>Mr. Harendresinh Jadeja</t>
        </is>
      </c>
      <c r="H1179" s="8" t="n">
        <v>9825182102</v>
      </c>
      <c r="I1179" s="10" t="inlineStr">
        <is>
          <t>PE19052601</t>
        </is>
      </c>
      <c r="J1179" s="8" t="inlineStr">
        <is>
          <t xml:space="preserve">Diode failure </t>
        </is>
      </c>
      <c r="K1179" s="8" t="inlineStr">
        <is>
          <t>Nakhatrana</t>
        </is>
      </c>
      <c r="L1179" s="8" t="inlineStr">
        <is>
          <t>Gujarat</t>
        </is>
      </c>
      <c r="M1179" s="2" t="inlineStr">
        <is>
          <t>NS</t>
        </is>
      </c>
      <c r="N1179" s="8" t="inlineStr">
        <is>
          <t>Cold Soldering</t>
        </is>
      </c>
      <c r="O1179" s="51" t="n">
        <v>580</v>
      </c>
      <c r="P1179" s="2" t="inlineStr">
        <is>
          <t>NSMI25011234119</t>
        </is>
      </c>
      <c r="Q1179" s="29">
        <f>MID(P1179,5,2)</f>
        <v/>
      </c>
      <c r="R1179" s="14">
        <f>MID(P1179,7,2)</f>
        <v/>
      </c>
      <c r="S1179" s="1" t="inlineStr">
        <is>
          <t>G2G</t>
        </is>
      </c>
      <c r="T1179" s="1" t="inlineStr">
        <is>
          <t>P4 - PEIPL</t>
        </is>
      </c>
      <c r="U1179" s="6" t="inlineStr">
        <is>
          <t>N JB Cold Soldering</t>
        </is>
      </c>
      <c r="V1179" s="1" t="inlineStr">
        <is>
          <t>Inspection</t>
        </is>
      </c>
      <c r="W1179" s="1" t="inlineStr">
        <is>
          <t>Repair</t>
        </is>
      </c>
      <c r="X1179" s="5" t="n">
        <v>46186</v>
      </c>
      <c r="Y1179" s="1">
        <f>IF(X1179="","",X1179-A1179)</f>
        <v/>
      </c>
      <c r="Z1179" s="5" t="n">
        <v>46186</v>
      </c>
      <c r="AA1179" s="3" t="n"/>
      <c r="AB1179" s="3" t="n"/>
      <c r="AE1179" s="146">
        <f>IF(AND(F1179="Closed",X1179&gt;=DATE(2026,6,1),X1179&lt;=DATE(2026,6,30)),"Closed in June","other")</f>
        <v/>
      </c>
    </row>
    <row r="1180" hidden="1">
      <c r="A1180" s="9" t="n">
        <v>46161</v>
      </c>
      <c r="B1180" s="1" t="n">
        <v>2026</v>
      </c>
      <c r="C1180" s="8" t="inlineStr">
        <is>
          <t>Continuum</t>
        </is>
      </c>
      <c r="D1180" s="11" t="inlineStr">
        <is>
          <t>Utility and C&amp;I</t>
        </is>
      </c>
      <c r="E1180" s="1" t="n"/>
      <c r="F1180" s="1" t="inlineStr">
        <is>
          <t>Closed</t>
        </is>
      </c>
      <c r="G1180" s="50" t="inlineStr">
        <is>
          <t>Mr. Harendresinh Jadeja</t>
        </is>
      </c>
      <c r="H1180" s="8" t="n">
        <v>9825182102</v>
      </c>
      <c r="I1180" s="10" t="inlineStr">
        <is>
          <t>PE19052601</t>
        </is>
      </c>
      <c r="J1180" s="8" t="inlineStr">
        <is>
          <t xml:space="preserve">Diode failure </t>
        </is>
      </c>
      <c r="K1180" s="8" t="inlineStr">
        <is>
          <t>Nakhatrana</t>
        </is>
      </c>
      <c r="L1180" s="8" t="inlineStr">
        <is>
          <t>Gujarat</t>
        </is>
      </c>
      <c r="M1180" s="2" t="inlineStr">
        <is>
          <t>PS</t>
        </is>
      </c>
      <c r="N1180" s="1" t="inlineStr">
        <is>
          <t>Cold Soldering</t>
        </is>
      </c>
      <c r="O1180" s="51" t="n">
        <v>580</v>
      </c>
      <c r="P1180" s="2" t="inlineStr">
        <is>
          <t>NSMI25011263275</t>
        </is>
      </c>
      <c r="Q1180" s="29">
        <f>MID(P1180,5,2)</f>
        <v/>
      </c>
      <c r="R1180" s="14">
        <f>MID(P1180,7,2)</f>
        <v/>
      </c>
      <c r="S1180" s="1" t="inlineStr">
        <is>
          <t>G2G</t>
        </is>
      </c>
      <c r="T1180" s="1" t="inlineStr">
        <is>
          <t>P4 - PEIPL</t>
        </is>
      </c>
      <c r="U1180" s="1" t="inlineStr">
        <is>
          <t>P JB Cold Soldering</t>
        </is>
      </c>
      <c r="V1180" s="1" t="inlineStr">
        <is>
          <t>Inspection</t>
        </is>
      </c>
      <c r="W1180" s="1" t="inlineStr">
        <is>
          <t>Repair</t>
        </is>
      </c>
      <c r="X1180" s="5" t="n">
        <v>46186</v>
      </c>
      <c r="Y1180" s="1">
        <f>IF(X1180="","",X1180-A1180)</f>
        <v/>
      </c>
      <c r="Z1180" s="5" t="n">
        <v>46186</v>
      </c>
      <c r="AA1180" s="3" t="n"/>
      <c r="AB1180" s="3" t="n"/>
      <c r="AE1180" s="146">
        <f>IF(AND(F1180="Closed",X1180&gt;=DATE(2026,6,1),X1180&lt;=DATE(2026,6,30)),"Closed in June","other")</f>
        <v/>
      </c>
    </row>
    <row r="1181" hidden="1">
      <c r="A1181" s="9" t="n">
        <v>46161</v>
      </c>
      <c r="B1181" s="1" t="n">
        <v>2026</v>
      </c>
      <c r="C1181" s="8" t="inlineStr">
        <is>
          <t>Continuum</t>
        </is>
      </c>
      <c r="D1181" s="11" t="inlineStr">
        <is>
          <t>Utility and C&amp;I</t>
        </is>
      </c>
      <c r="E1181" s="1" t="n"/>
      <c r="F1181" s="1" t="inlineStr">
        <is>
          <t>Closed</t>
        </is>
      </c>
      <c r="G1181" s="50" t="inlineStr">
        <is>
          <t>Mr. Harendresinh Jadeja</t>
        </is>
      </c>
      <c r="H1181" s="8" t="n">
        <v>9825182102</v>
      </c>
      <c r="I1181" s="10" t="inlineStr">
        <is>
          <t>PE19052601</t>
        </is>
      </c>
      <c r="J1181" s="8" t="inlineStr">
        <is>
          <t xml:space="preserve">Diode failure </t>
        </is>
      </c>
      <c r="K1181" s="8" t="inlineStr">
        <is>
          <t>Nakhatrana</t>
        </is>
      </c>
      <c r="L1181" s="8" t="inlineStr">
        <is>
          <t>Gujarat</t>
        </is>
      </c>
      <c r="M1181" s="2" t="inlineStr">
        <is>
          <t>PS</t>
        </is>
      </c>
      <c r="N1181" s="1" t="inlineStr">
        <is>
          <t>Cold Soldering</t>
        </is>
      </c>
      <c r="O1181" s="51" t="n">
        <v>580</v>
      </c>
      <c r="P1181" s="2" t="inlineStr">
        <is>
          <t>NSMI25011272115</t>
        </is>
      </c>
      <c r="Q1181" s="29">
        <f>MID(P1181,5,2)</f>
        <v/>
      </c>
      <c r="R1181" s="14">
        <f>MID(P1181,7,2)</f>
        <v/>
      </c>
      <c r="S1181" s="1" t="inlineStr">
        <is>
          <t>G2G</t>
        </is>
      </c>
      <c r="T1181" s="1" t="inlineStr">
        <is>
          <t>P4 - PEIPL</t>
        </is>
      </c>
      <c r="U1181" s="1" t="inlineStr">
        <is>
          <t>P JB Cold Soldering</t>
        </is>
      </c>
      <c r="V1181" s="1" t="inlineStr">
        <is>
          <t>Inspection</t>
        </is>
      </c>
      <c r="W1181" s="1" t="inlineStr">
        <is>
          <t>Repair</t>
        </is>
      </c>
      <c r="X1181" s="5" t="n">
        <v>46186</v>
      </c>
      <c r="Y1181" s="1">
        <f>IF(X1181="","",X1181-A1181)</f>
        <v/>
      </c>
      <c r="Z1181" s="5" t="n">
        <v>46186</v>
      </c>
      <c r="AA1181" s="3" t="n"/>
      <c r="AB1181" s="3" t="n"/>
      <c r="AE1181" s="146">
        <f>IF(AND(F1181="Closed",X1181&gt;=DATE(2026,6,1),X1181&lt;=DATE(2026,6,30)),"Closed in June","other")</f>
        <v/>
      </c>
    </row>
    <row r="1182" hidden="1">
      <c r="A1182" s="9" t="n">
        <v>46161</v>
      </c>
      <c r="B1182" s="1" t="n">
        <v>2026</v>
      </c>
      <c r="C1182" s="8" t="inlineStr">
        <is>
          <t>Continuum</t>
        </is>
      </c>
      <c r="D1182" s="11" t="inlineStr">
        <is>
          <t>Utility and C&amp;I</t>
        </is>
      </c>
      <c r="E1182" s="1" t="n"/>
      <c r="F1182" s="1" t="inlineStr">
        <is>
          <t>Closed</t>
        </is>
      </c>
      <c r="G1182" s="50" t="inlineStr">
        <is>
          <t>Mr. Harendresinh Jadeja</t>
        </is>
      </c>
      <c r="H1182" s="8" t="n">
        <v>9825182102</v>
      </c>
      <c r="I1182" s="10" t="inlineStr">
        <is>
          <t>PE19052601</t>
        </is>
      </c>
      <c r="J1182" s="8" t="inlineStr">
        <is>
          <t xml:space="preserve">Diode failure </t>
        </is>
      </c>
      <c r="K1182" s="8" t="inlineStr">
        <is>
          <t>Nakhatrana</t>
        </is>
      </c>
      <c r="L1182" s="8" t="inlineStr">
        <is>
          <t>Gujarat</t>
        </is>
      </c>
      <c r="M1182" s="2" t="inlineStr">
        <is>
          <t>NS</t>
        </is>
      </c>
      <c r="N1182" s="8" t="inlineStr">
        <is>
          <t>Cold Soldering</t>
        </is>
      </c>
      <c r="O1182" s="51" t="n">
        <v>580</v>
      </c>
      <c r="P1182" s="2" t="inlineStr">
        <is>
          <t>NSMI25011273289</t>
        </is>
      </c>
      <c r="Q1182" s="29">
        <f>MID(P1182,5,2)</f>
        <v/>
      </c>
      <c r="R1182" s="14">
        <f>MID(P1182,7,2)</f>
        <v/>
      </c>
      <c r="S1182" s="1" t="inlineStr">
        <is>
          <t>G2G</t>
        </is>
      </c>
      <c r="T1182" s="1" t="inlineStr">
        <is>
          <t>P4 - PEIPL</t>
        </is>
      </c>
      <c r="U1182" s="6" t="inlineStr">
        <is>
          <t>N JB Cold Soldering</t>
        </is>
      </c>
      <c r="V1182" s="1" t="inlineStr">
        <is>
          <t>Inspection</t>
        </is>
      </c>
      <c r="W1182" s="1" t="inlineStr">
        <is>
          <t>Repair</t>
        </is>
      </c>
      <c r="X1182" s="5" t="n">
        <v>46186</v>
      </c>
      <c r="Y1182" s="1">
        <f>IF(X1182="","",X1182-A1182)</f>
        <v/>
      </c>
      <c r="Z1182" s="5" t="n">
        <v>46186</v>
      </c>
      <c r="AA1182" s="3" t="n"/>
      <c r="AB1182" s="3" t="n"/>
      <c r="AE1182" s="146">
        <f>IF(AND(F1182="Closed",X1182&gt;=DATE(2026,6,1),X1182&lt;=DATE(2026,6,30)),"Closed in June","other")</f>
        <v/>
      </c>
    </row>
    <row r="1183" hidden="1">
      <c r="A1183" s="9" t="n">
        <v>46161</v>
      </c>
      <c r="B1183" s="1" t="n">
        <v>2026</v>
      </c>
      <c r="C1183" s="8" t="inlineStr">
        <is>
          <t>Continuum</t>
        </is>
      </c>
      <c r="D1183" s="11" t="inlineStr">
        <is>
          <t>Utility and C&amp;I</t>
        </is>
      </c>
      <c r="E1183" s="1" t="n"/>
      <c r="F1183" s="1" t="inlineStr">
        <is>
          <t>Closed</t>
        </is>
      </c>
      <c r="G1183" s="50" t="inlineStr">
        <is>
          <t>Mr. Harendresinh Jadeja</t>
        </is>
      </c>
      <c r="H1183" s="8" t="n">
        <v>9825182102</v>
      </c>
      <c r="I1183" s="10" t="inlineStr">
        <is>
          <t>PE19052601</t>
        </is>
      </c>
      <c r="J1183" s="8" t="inlineStr">
        <is>
          <t xml:space="preserve">Diode failure </t>
        </is>
      </c>
      <c r="K1183" s="8" t="inlineStr">
        <is>
          <t>Nakhatrana</t>
        </is>
      </c>
      <c r="L1183" s="8" t="inlineStr">
        <is>
          <t>Gujarat</t>
        </is>
      </c>
      <c r="M1183" s="2" t="inlineStr">
        <is>
          <t>PS</t>
        </is>
      </c>
      <c r="N1183" s="1" t="inlineStr">
        <is>
          <t>Cold Soldering</t>
        </is>
      </c>
      <c r="O1183" s="51" t="n">
        <v>580</v>
      </c>
      <c r="P1183" s="2" t="inlineStr">
        <is>
          <t>NSMI25011274786</t>
        </is>
      </c>
      <c r="Q1183" s="29">
        <f>MID(P1183,5,2)</f>
        <v/>
      </c>
      <c r="R1183" s="14">
        <f>MID(P1183,7,2)</f>
        <v/>
      </c>
      <c r="S1183" s="1" t="inlineStr">
        <is>
          <t>G2G</t>
        </is>
      </c>
      <c r="T1183" s="1" t="inlineStr">
        <is>
          <t>P4 - PEIPL</t>
        </is>
      </c>
      <c r="U1183" s="1" t="inlineStr">
        <is>
          <t>P JB Cold Soldering</t>
        </is>
      </c>
      <c r="V1183" s="1" t="inlineStr">
        <is>
          <t>Inspection</t>
        </is>
      </c>
      <c r="W1183" s="1" t="inlineStr">
        <is>
          <t>Repair</t>
        </is>
      </c>
      <c r="X1183" s="5" t="n">
        <v>46186</v>
      </c>
      <c r="Y1183" s="1">
        <f>IF(X1183="","",X1183-A1183)</f>
        <v/>
      </c>
      <c r="Z1183" s="5" t="n">
        <v>46186</v>
      </c>
      <c r="AA1183" s="3" t="n"/>
      <c r="AB1183" s="3" t="n"/>
      <c r="AE1183" s="146">
        <f>IF(AND(F1183="Closed",X1183&gt;=DATE(2026,6,1),X1183&lt;=DATE(2026,6,30)),"Closed in June","other")</f>
        <v/>
      </c>
    </row>
    <row r="1184" hidden="1">
      <c r="A1184" s="9" t="n">
        <v>46161</v>
      </c>
      <c r="B1184" s="1" t="n">
        <v>2026</v>
      </c>
      <c r="C1184" s="8" t="inlineStr">
        <is>
          <t>Continuum</t>
        </is>
      </c>
      <c r="D1184" s="11" t="inlineStr">
        <is>
          <t>Utility and C&amp;I</t>
        </is>
      </c>
      <c r="E1184" s="1" t="n"/>
      <c r="F1184" s="1" t="inlineStr">
        <is>
          <t>Closed</t>
        </is>
      </c>
      <c r="G1184" s="50" t="inlineStr">
        <is>
          <t>Mr. Harendresinh Jadeja</t>
        </is>
      </c>
      <c r="H1184" s="8" t="n">
        <v>9825182102</v>
      </c>
      <c r="I1184" s="10" t="inlineStr">
        <is>
          <t>PE19052601</t>
        </is>
      </c>
      <c r="J1184" s="8" t="inlineStr">
        <is>
          <t xml:space="preserve">Diode failure </t>
        </is>
      </c>
      <c r="K1184" s="8" t="inlineStr">
        <is>
          <t>Nakhatrana</t>
        </is>
      </c>
      <c r="L1184" s="8" t="inlineStr">
        <is>
          <t>Gujarat</t>
        </is>
      </c>
      <c r="M1184" s="2" t="inlineStr">
        <is>
          <t>PS</t>
        </is>
      </c>
      <c r="N1184" s="1" t="inlineStr">
        <is>
          <t>Cold Soldering</t>
        </is>
      </c>
      <c r="O1184" s="51" t="n">
        <v>580</v>
      </c>
      <c r="P1184" s="2" t="inlineStr">
        <is>
          <t>NSMI25011277082</t>
        </is>
      </c>
      <c r="Q1184" s="29">
        <f>MID(P1184,5,2)</f>
        <v/>
      </c>
      <c r="R1184" s="14">
        <f>MID(P1184,7,2)</f>
        <v/>
      </c>
      <c r="S1184" s="1" t="inlineStr">
        <is>
          <t>G2G</t>
        </is>
      </c>
      <c r="T1184" s="1" t="inlineStr">
        <is>
          <t>P4 - PEIPL</t>
        </is>
      </c>
      <c r="U1184" s="1" t="inlineStr">
        <is>
          <t>P JB Cold Soldering</t>
        </is>
      </c>
      <c r="V1184" s="1" t="inlineStr">
        <is>
          <t>Inspection</t>
        </is>
      </c>
      <c r="W1184" s="1" t="inlineStr">
        <is>
          <t>Repair</t>
        </is>
      </c>
      <c r="X1184" s="5" t="n">
        <v>46186</v>
      </c>
      <c r="Y1184" s="1">
        <f>IF(X1184="","",X1184-A1184)</f>
        <v/>
      </c>
      <c r="Z1184" s="5" t="n">
        <v>46186</v>
      </c>
      <c r="AA1184" s="3" t="n"/>
      <c r="AB1184" s="3" t="n"/>
      <c r="AE1184" s="146">
        <f>IF(AND(F1184="Closed",X1184&gt;=DATE(2026,6,1),X1184&lt;=DATE(2026,6,30)),"Closed in June","other")</f>
        <v/>
      </c>
    </row>
    <row r="1185" hidden="1">
      <c r="A1185" s="9" t="n">
        <v>46161</v>
      </c>
      <c r="B1185" s="1" t="n">
        <v>2026</v>
      </c>
      <c r="C1185" s="8" t="inlineStr">
        <is>
          <t>Continuum</t>
        </is>
      </c>
      <c r="D1185" s="11" t="inlineStr">
        <is>
          <t>Utility and C&amp;I</t>
        </is>
      </c>
      <c r="E1185" s="1" t="n"/>
      <c r="F1185" s="1" t="inlineStr">
        <is>
          <t>Closed</t>
        </is>
      </c>
      <c r="G1185" s="50" t="inlineStr">
        <is>
          <t>Mr. Harendresinh Jadeja</t>
        </is>
      </c>
      <c r="H1185" s="8" t="n">
        <v>9825182102</v>
      </c>
      <c r="I1185" s="10" t="inlineStr">
        <is>
          <t>PE19052601</t>
        </is>
      </c>
      <c r="J1185" s="8" t="inlineStr">
        <is>
          <t xml:space="preserve">Diode failure </t>
        </is>
      </c>
      <c r="K1185" s="8" t="inlineStr">
        <is>
          <t>Nakhatrana</t>
        </is>
      </c>
      <c r="L1185" s="8" t="inlineStr">
        <is>
          <t>Gujarat</t>
        </is>
      </c>
      <c r="M1185" s="31" t="inlineStr">
        <is>
          <t xml:space="preserve">Physical damage </t>
        </is>
      </c>
      <c r="N1185" s="6" t="inlineStr">
        <is>
          <t>JB tampered &amp; Glass Breakage</t>
        </is>
      </c>
      <c r="O1185" s="51" t="n">
        <v>580</v>
      </c>
      <c r="P1185" s="2" t="inlineStr">
        <is>
          <t>NSMI25011263098</t>
        </is>
      </c>
      <c r="Q1185" s="29">
        <f>MID(P1185,5,2)</f>
        <v/>
      </c>
      <c r="R1185" s="14">
        <f>MID(P1185,7,2)</f>
        <v/>
      </c>
      <c r="S1185" s="1" t="inlineStr">
        <is>
          <t>G2G</t>
        </is>
      </c>
      <c r="T1185" s="1" t="inlineStr">
        <is>
          <t>P4 - PEIPL</t>
        </is>
      </c>
      <c r="U1185" s="6" t="inlineStr">
        <is>
          <t>External force applied</t>
        </is>
      </c>
      <c r="V1185" s="1" t="inlineStr">
        <is>
          <t>Inspection</t>
        </is>
      </c>
      <c r="W1185" s="1" t="inlineStr">
        <is>
          <t>Rejected</t>
        </is>
      </c>
      <c r="X1185" s="5" t="n">
        <v>46186</v>
      </c>
      <c r="Y1185" s="1">
        <f>IF(X1185="","",X1185-A1185)</f>
        <v/>
      </c>
      <c r="Z1185" s="5" t="n">
        <v>46186</v>
      </c>
      <c r="AA1185" s="3" t="n"/>
      <c r="AB1185" s="3" t="n"/>
      <c r="AE1185" s="146">
        <f>IF(AND(F1185="Closed",X1185&gt;=DATE(2026,6,1),X1185&lt;=DATE(2026,6,30)),"Closed in June","other")</f>
        <v/>
      </c>
    </row>
    <row r="1186" hidden="1">
      <c r="A1186" s="49" t="n">
        <v>46177</v>
      </c>
      <c r="B1186" s="1" t="n">
        <v>2026</v>
      </c>
      <c r="C1186" s="11" t="inlineStr">
        <is>
          <t>Ayana</t>
        </is>
      </c>
      <c r="D1186" s="11" t="inlineStr">
        <is>
          <t>Utility and C&amp;I</t>
        </is>
      </c>
      <c r="E1186" s="1" t="n"/>
      <c r="F1186" s="1" t="inlineStr">
        <is>
          <t>WIP</t>
        </is>
      </c>
      <c r="G1186" s="11" t="inlineStr">
        <is>
          <t>Vasu.N</t>
        </is>
      </c>
      <c r="H1186" s="8" t="n">
        <v>9578099893</v>
      </c>
      <c r="I1186" s="10" t="inlineStr">
        <is>
          <t>PE04062601</t>
        </is>
      </c>
      <c r="J1186" s="28" t="inlineStr">
        <is>
          <t>Module burnt</t>
        </is>
      </c>
      <c r="K1186" s="8" t="inlineStr">
        <is>
          <t>Jatavira</t>
        </is>
      </c>
      <c r="L1186" s="39" t="inlineStr">
        <is>
          <t>Gujarat</t>
        </is>
      </c>
      <c r="M1186" s="2" t="inlineStr">
        <is>
          <t xml:space="preserve">Both glass broken </t>
        </is>
      </c>
      <c r="N1186" s="6" t="inlineStr">
        <is>
          <t>Module Breakage</t>
        </is>
      </c>
      <c r="O1186" s="6" t="n">
        <v>585</v>
      </c>
      <c r="P1186" s="2" t="inlineStr">
        <is>
          <t>NSMI24090501392</t>
        </is>
      </c>
      <c r="Q1186" s="29">
        <f>MID(P1186,5,2)</f>
        <v/>
      </c>
      <c r="R1186" s="14">
        <f>MID(P1186,7,2)</f>
        <v/>
      </c>
      <c r="S1186" s="6" t="inlineStr">
        <is>
          <t>G2G</t>
        </is>
      </c>
      <c r="T1186" s="1" t="inlineStr">
        <is>
          <t>P4 - PEIPL</t>
        </is>
      </c>
      <c r="U1186" s="6" t="inlineStr">
        <is>
          <t>Glass Breakage</t>
        </is>
      </c>
      <c r="V1186" s="1" t="inlineStr">
        <is>
          <t>Inspection</t>
        </is>
      </c>
      <c r="W1186" s="1" t="inlineStr">
        <is>
          <t>WIP</t>
        </is>
      </c>
      <c r="X1186" s="12" t="n"/>
      <c r="Y1186" s="1">
        <f>IF(X1186="","",X1186-A1186)</f>
        <v/>
      </c>
      <c r="Z1186" s="5" t="n">
        <v>46187</v>
      </c>
      <c r="AA1186" s="3" t="n"/>
      <c r="AB1186" s="3" t="n"/>
      <c r="AE1186" s="146">
        <f>IF(AND(F1186="Closed",X1186&gt;=DATE(2026,6,1),X1186&lt;=DATE(2026,6,30)),"Closed in June","other")</f>
        <v/>
      </c>
    </row>
    <row r="1187" hidden="1">
      <c r="A1187" s="49" t="n">
        <v>46177</v>
      </c>
      <c r="B1187" s="1" t="n">
        <v>2026</v>
      </c>
      <c r="C1187" s="11" t="inlineStr">
        <is>
          <t>Ayana</t>
        </is>
      </c>
      <c r="D1187" s="11" t="inlineStr">
        <is>
          <t>Utility and C&amp;I</t>
        </is>
      </c>
      <c r="E1187" s="1" t="n"/>
      <c r="F1187" s="1" t="inlineStr">
        <is>
          <t>WIP</t>
        </is>
      </c>
      <c r="G1187" s="11" t="inlineStr">
        <is>
          <t>Vasu.N</t>
        </is>
      </c>
      <c r="H1187" s="8" t="n">
        <v>9578099893</v>
      </c>
      <c r="I1187" s="10" t="inlineStr">
        <is>
          <t>PE04062601</t>
        </is>
      </c>
      <c r="J1187" s="28" t="inlineStr">
        <is>
          <t>Module burnt</t>
        </is>
      </c>
      <c r="K1187" s="8" t="inlineStr">
        <is>
          <t>Jatavira</t>
        </is>
      </c>
      <c r="L1187" s="39" t="inlineStr">
        <is>
          <t>Gujarat</t>
        </is>
      </c>
      <c r="M1187" s="2" t="inlineStr">
        <is>
          <t xml:space="preserve">Both glass broken </t>
        </is>
      </c>
      <c r="N1187" s="6" t="inlineStr">
        <is>
          <t>Module Breakage</t>
        </is>
      </c>
      <c r="O1187" s="6" t="n">
        <v>585</v>
      </c>
      <c r="P1187" s="2" t="inlineStr">
        <is>
          <t>NSMI24100550642</t>
        </is>
      </c>
      <c r="Q1187" s="29">
        <f>MID(P1187,5,2)</f>
        <v/>
      </c>
      <c r="R1187" s="14">
        <f>MID(P1187,7,2)</f>
        <v/>
      </c>
      <c r="S1187" s="6" t="inlineStr">
        <is>
          <t>G2G</t>
        </is>
      </c>
      <c r="T1187" s="1" t="inlineStr">
        <is>
          <t>P4 - PEIPL</t>
        </is>
      </c>
      <c r="U1187" s="6" t="inlineStr">
        <is>
          <t>Glass Breakage</t>
        </is>
      </c>
      <c r="V1187" s="1" t="inlineStr">
        <is>
          <t>Inspection</t>
        </is>
      </c>
      <c r="W1187" s="1" t="inlineStr">
        <is>
          <t>WIP</t>
        </is>
      </c>
      <c r="X1187" s="12" t="n"/>
      <c r="Y1187" s="1">
        <f>IF(X1187="","",X1187-A1187)</f>
        <v/>
      </c>
      <c r="Z1187" s="5" t="n">
        <v>46187</v>
      </c>
      <c r="AA1187" s="3" t="n"/>
      <c r="AB1187" s="3" t="n"/>
      <c r="AE1187" s="146">
        <f>IF(AND(F1187="Closed",X1187&gt;=DATE(2026,6,1),X1187&lt;=DATE(2026,6,30)),"Closed in June","other")</f>
        <v/>
      </c>
    </row>
    <row r="1188" hidden="1">
      <c r="A1188" s="49" t="n">
        <v>46177</v>
      </c>
      <c r="B1188" s="1" t="n">
        <v>2026</v>
      </c>
      <c r="C1188" s="11" t="inlineStr">
        <is>
          <t>Ayana</t>
        </is>
      </c>
      <c r="D1188" s="11" t="inlineStr">
        <is>
          <t>Utility and C&amp;I</t>
        </is>
      </c>
      <c r="E1188" s="1" t="n"/>
      <c r="F1188" s="1" t="inlineStr">
        <is>
          <t>WIP</t>
        </is>
      </c>
      <c r="G1188" s="11" t="inlineStr">
        <is>
          <t>Vasu.N</t>
        </is>
      </c>
      <c r="H1188" s="8" t="n">
        <v>9578099893</v>
      </c>
      <c r="I1188" s="10" t="inlineStr">
        <is>
          <t>PE04062601</t>
        </is>
      </c>
      <c r="J1188" s="28" t="inlineStr">
        <is>
          <t>Module burnt</t>
        </is>
      </c>
      <c r="K1188" s="8" t="inlineStr">
        <is>
          <t>Jatavira</t>
        </is>
      </c>
      <c r="L1188" s="39" t="inlineStr">
        <is>
          <t>Gujarat</t>
        </is>
      </c>
      <c r="M1188" s="2" t="inlineStr">
        <is>
          <t xml:space="preserve">Both glass broken </t>
        </is>
      </c>
      <c r="N1188" s="6" t="inlineStr">
        <is>
          <t>Module Breakage</t>
        </is>
      </c>
      <c r="O1188" s="6" t="n">
        <v>585</v>
      </c>
      <c r="P1188" s="2" t="inlineStr">
        <is>
          <t>NSMI24090429604</t>
        </is>
      </c>
      <c r="Q1188" s="29">
        <f>MID(P1188,5,2)</f>
        <v/>
      </c>
      <c r="R1188" s="14">
        <f>MID(P1188,7,2)</f>
        <v/>
      </c>
      <c r="S1188" s="6" t="inlineStr">
        <is>
          <t>G2G</t>
        </is>
      </c>
      <c r="T1188" s="1" t="inlineStr">
        <is>
          <t>P4 - PEIPL</t>
        </is>
      </c>
      <c r="U1188" s="6" t="inlineStr">
        <is>
          <t>Glass Breakage</t>
        </is>
      </c>
      <c r="V1188" s="1" t="inlineStr">
        <is>
          <t>Inspection</t>
        </is>
      </c>
      <c r="W1188" s="1" t="inlineStr">
        <is>
          <t>WIP</t>
        </is>
      </c>
      <c r="X1188" s="12" t="n"/>
      <c r="Y1188" s="1">
        <f>IF(X1188="","",X1188-A1188)</f>
        <v/>
      </c>
      <c r="Z1188" s="5" t="n">
        <v>46187</v>
      </c>
      <c r="AA1188" s="3" t="n"/>
      <c r="AB1188" s="3" t="n"/>
      <c r="AE1188" s="146">
        <f>IF(AND(F1188="Closed",X1188&gt;=DATE(2026,6,1),X1188&lt;=DATE(2026,6,30)),"Closed in June","other")</f>
        <v/>
      </c>
    </row>
    <row r="1189" hidden="1">
      <c r="A1189" s="49" t="n">
        <v>46177</v>
      </c>
      <c r="B1189" s="1" t="n">
        <v>2026</v>
      </c>
      <c r="C1189" s="11" t="inlineStr">
        <is>
          <t>Ayana</t>
        </is>
      </c>
      <c r="D1189" s="11" t="inlineStr">
        <is>
          <t>Utility and C&amp;I</t>
        </is>
      </c>
      <c r="E1189" s="1" t="n"/>
      <c r="F1189" s="1" t="inlineStr">
        <is>
          <t>WIP</t>
        </is>
      </c>
      <c r="G1189" s="11" t="inlineStr">
        <is>
          <t>Vasu.N</t>
        </is>
      </c>
      <c r="H1189" s="8" t="n">
        <v>9578099893</v>
      </c>
      <c r="I1189" s="10" t="inlineStr">
        <is>
          <t>PE04062601</t>
        </is>
      </c>
      <c r="J1189" s="28" t="inlineStr">
        <is>
          <t>Module burnt</t>
        </is>
      </c>
      <c r="K1189" s="8" t="inlineStr">
        <is>
          <t>Jatavira</t>
        </is>
      </c>
      <c r="L1189" s="39" t="inlineStr">
        <is>
          <t>Gujarat</t>
        </is>
      </c>
      <c r="M1189" s="2" t="inlineStr">
        <is>
          <t xml:space="preserve">Both glass broken </t>
        </is>
      </c>
      <c r="N1189" s="6" t="inlineStr">
        <is>
          <t>Module Breakage</t>
        </is>
      </c>
      <c r="O1189" s="6" t="n">
        <v>585</v>
      </c>
      <c r="P1189" s="2" t="inlineStr">
        <is>
          <t>NSMI24100557425</t>
        </is>
      </c>
      <c r="Q1189" s="29">
        <f>MID(P1189,5,2)</f>
        <v/>
      </c>
      <c r="R1189" s="14">
        <f>MID(P1189,7,2)</f>
        <v/>
      </c>
      <c r="S1189" s="6" t="inlineStr">
        <is>
          <t>G2G</t>
        </is>
      </c>
      <c r="T1189" s="1" t="inlineStr">
        <is>
          <t>P4 - PEIPL</t>
        </is>
      </c>
      <c r="U1189" s="6" t="inlineStr">
        <is>
          <t>Glass Breakage</t>
        </is>
      </c>
      <c r="V1189" s="1" t="inlineStr">
        <is>
          <t>Inspection</t>
        </is>
      </c>
      <c r="W1189" s="1" t="inlineStr">
        <is>
          <t>WIP</t>
        </is>
      </c>
      <c r="X1189" s="12" t="n"/>
      <c r="Y1189" s="1">
        <f>IF(X1189="","",X1189-A1189)</f>
        <v/>
      </c>
      <c r="Z1189" s="5" t="n">
        <v>46187</v>
      </c>
      <c r="AA1189" s="3" t="n"/>
      <c r="AB1189" s="3" t="n"/>
      <c r="AE1189" s="146">
        <f>IF(AND(F1189="Closed",X1189&gt;=DATE(2026,6,1),X1189&lt;=DATE(2026,6,30)),"Closed in June","other")</f>
        <v/>
      </c>
    </row>
    <row r="1190" hidden="1">
      <c r="A1190" s="49" t="n">
        <v>46177</v>
      </c>
      <c r="B1190" s="1" t="n">
        <v>2026</v>
      </c>
      <c r="C1190" s="11" t="inlineStr">
        <is>
          <t>Ayana</t>
        </is>
      </c>
      <c r="D1190" s="11" t="inlineStr">
        <is>
          <t>Utility and C&amp;I</t>
        </is>
      </c>
      <c r="E1190" s="1" t="n"/>
      <c r="F1190" s="1" t="inlineStr">
        <is>
          <t>WIP</t>
        </is>
      </c>
      <c r="G1190" s="11" t="inlineStr">
        <is>
          <t>Vasu.N</t>
        </is>
      </c>
      <c r="H1190" s="8" t="n">
        <v>9578099893</v>
      </c>
      <c r="I1190" s="10" t="inlineStr">
        <is>
          <t>PE04062601</t>
        </is>
      </c>
      <c r="J1190" s="28" t="inlineStr">
        <is>
          <t>Module burnt</t>
        </is>
      </c>
      <c r="K1190" s="8" t="inlineStr">
        <is>
          <t>Jatavira</t>
        </is>
      </c>
      <c r="L1190" s="39" t="inlineStr">
        <is>
          <t>Gujarat</t>
        </is>
      </c>
      <c r="M1190" s="2" t="inlineStr">
        <is>
          <t xml:space="preserve">Both glass broken </t>
        </is>
      </c>
      <c r="N1190" s="6" t="inlineStr">
        <is>
          <t>Module Breakage</t>
        </is>
      </c>
      <c r="O1190" s="6" t="n">
        <v>585</v>
      </c>
      <c r="P1190" s="2" t="inlineStr">
        <is>
          <t>NSMI24090482675</t>
        </is>
      </c>
      <c r="Q1190" s="29">
        <f>MID(P1190,5,2)</f>
        <v/>
      </c>
      <c r="R1190" s="14">
        <f>MID(P1190,7,2)</f>
        <v/>
      </c>
      <c r="S1190" s="6" t="inlineStr">
        <is>
          <t>G2G</t>
        </is>
      </c>
      <c r="T1190" s="1" t="inlineStr">
        <is>
          <t>P4 - PEIPL</t>
        </is>
      </c>
      <c r="U1190" s="6" t="inlineStr">
        <is>
          <t>Glass Breakage</t>
        </is>
      </c>
      <c r="V1190" s="1" t="inlineStr">
        <is>
          <t>Inspection</t>
        </is>
      </c>
      <c r="W1190" s="1" t="inlineStr">
        <is>
          <t>WIP</t>
        </is>
      </c>
      <c r="X1190" s="12" t="n"/>
      <c r="Y1190" s="1">
        <f>IF(X1190="","",X1190-A1190)</f>
        <v/>
      </c>
      <c r="Z1190" s="5" t="n">
        <v>46187</v>
      </c>
      <c r="AA1190" s="3" t="n"/>
      <c r="AB1190" s="3" t="n"/>
      <c r="AE1190" s="146">
        <f>IF(AND(F1190="Closed",X1190&gt;=DATE(2026,6,1),X1190&lt;=DATE(2026,6,30)),"Closed in June","other")</f>
        <v/>
      </c>
    </row>
    <row r="1191" hidden="1">
      <c r="A1191" s="49" t="n">
        <v>46177</v>
      </c>
      <c r="B1191" s="1" t="n">
        <v>2026</v>
      </c>
      <c r="C1191" s="11" t="inlineStr">
        <is>
          <t>Ayana</t>
        </is>
      </c>
      <c r="D1191" s="11" t="inlineStr">
        <is>
          <t>Utility and C&amp;I</t>
        </is>
      </c>
      <c r="E1191" s="1" t="n"/>
      <c r="F1191" s="1" t="inlineStr">
        <is>
          <t>WIP</t>
        </is>
      </c>
      <c r="G1191" s="11" t="inlineStr">
        <is>
          <t>Vasu.N</t>
        </is>
      </c>
      <c r="H1191" s="8" t="n">
        <v>9578099893</v>
      </c>
      <c r="I1191" s="10" t="inlineStr">
        <is>
          <t>PE04062601</t>
        </is>
      </c>
      <c r="J1191" s="28" t="inlineStr">
        <is>
          <t>Module burnt</t>
        </is>
      </c>
      <c r="K1191" s="8" t="inlineStr">
        <is>
          <t>Jatavira</t>
        </is>
      </c>
      <c r="L1191" s="39" t="inlineStr">
        <is>
          <t>Gujarat</t>
        </is>
      </c>
      <c r="M1191" s="2" t="inlineStr">
        <is>
          <t xml:space="preserve">Back glass broken </t>
        </is>
      </c>
      <c r="N1191" s="6" t="inlineStr">
        <is>
          <t>Module Breakage</t>
        </is>
      </c>
      <c r="O1191" s="6" t="n">
        <v>585</v>
      </c>
      <c r="P1191" s="2" t="inlineStr">
        <is>
          <t>NSMI24090452454</t>
        </is>
      </c>
      <c r="Q1191" s="29">
        <f>MID(P1191,5,2)</f>
        <v/>
      </c>
      <c r="R1191" s="14">
        <f>MID(P1191,7,2)</f>
        <v/>
      </c>
      <c r="S1191" s="6" t="inlineStr">
        <is>
          <t>G2G</t>
        </is>
      </c>
      <c r="T1191" s="1" t="inlineStr">
        <is>
          <t>P4 - PEIPL</t>
        </is>
      </c>
      <c r="U1191" s="6" t="inlineStr">
        <is>
          <t>Glass Breakage</t>
        </is>
      </c>
      <c r="V1191" s="1" t="inlineStr">
        <is>
          <t>Inspection</t>
        </is>
      </c>
      <c r="W1191" s="1" t="inlineStr">
        <is>
          <t>WIP</t>
        </is>
      </c>
      <c r="X1191" s="12" t="n"/>
      <c r="Y1191" s="1">
        <f>IF(X1191="","",X1191-A1191)</f>
        <v/>
      </c>
      <c r="Z1191" s="5" t="n">
        <v>46187</v>
      </c>
      <c r="AA1191" s="3" t="n"/>
      <c r="AB1191" s="3" t="n"/>
      <c r="AE1191" s="146">
        <f>IF(AND(F1191="Closed",X1191&gt;=DATE(2026,6,1),X1191&lt;=DATE(2026,6,30)),"Closed in June","other")</f>
        <v/>
      </c>
    </row>
    <row r="1192" hidden="1">
      <c r="A1192" s="49" t="n">
        <v>46177</v>
      </c>
      <c r="B1192" s="1" t="n">
        <v>2026</v>
      </c>
      <c r="C1192" s="11" t="inlineStr">
        <is>
          <t>Ayana</t>
        </is>
      </c>
      <c r="D1192" s="11" t="inlineStr">
        <is>
          <t>Utility and C&amp;I</t>
        </is>
      </c>
      <c r="E1192" s="1" t="n"/>
      <c r="F1192" s="1" t="inlineStr">
        <is>
          <t>WIP</t>
        </is>
      </c>
      <c r="G1192" s="11" t="inlineStr">
        <is>
          <t>Vasu.N</t>
        </is>
      </c>
      <c r="H1192" s="8" t="n">
        <v>9578099893</v>
      </c>
      <c r="I1192" s="10" t="inlineStr">
        <is>
          <t>PE04062601</t>
        </is>
      </c>
      <c r="J1192" s="28" t="inlineStr">
        <is>
          <t>Module burnt</t>
        </is>
      </c>
      <c r="K1192" s="8" t="inlineStr">
        <is>
          <t>Jatavira</t>
        </is>
      </c>
      <c r="L1192" s="39" t="inlineStr">
        <is>
          <t>Gujarat</t>
        </is>
      </c>
      <c r="M1192" s="2" t="inlineStr">
        <is>
          <t xml:space="preserve">Both glass broken </t>
        </is>
      </c>
      <c r="N1192" s="6" t="inlineStr">
        <is>
          <t>Module Breakage</t>
        </is>
      </c>
      <c r="O1192" s="6" t="n">
        <v>585</v>
      </c>
      <c r="P1192" s="2" t="inlineStr">
        <is>
          <t>NSMI24090455874</t>
        </is>
      </c>
      <c r="Q1192" s="29">
        <f>MID(P1192,5,2)</f>
        <v/>
      </c>
      <c r="R1192" s="14">
        <f>MID(P1192,7,2)</f>
        <v/>
      </c>
      <c r="S1192" s="6" t="inlineStr">
        <is>
          <t>G2G</t>
        </is>
      </c>
      <c r="T1192" s="1" t="inlineStr">
        <is>
          <t>P4 - PEIPL</t>
        </is>
      </c>
      <c r="U1192" s="6" t="inlineStr">
        <is>
          <t>Glass Breakage</t>
        </is>
      </c>
      <c r="V1192" s="1" t="inlineStr">
        <is>
          <t>Inspection</t>
        </is>
      </c>
      <c r="W1192" s="1" t="inlineStr">
        <is>
          <t>WIP</t>
        </is>
      </c>
      <c r="X1192" s="12" t="n"/>
      <c r="Y1192" s="1">
        <f>IF(X1192="","",X1192-A1192)</f>
        <v/>
      </c>
      <c r="Z1192" s="5" t="n">
        <v>46187</v>
      </c>
      <c r="AA1192" s="3" t="n"/>
      <c r="AB1192" s="3" t="n"/>
      <c r="AE1192" s="146">
        <f>IF(AND(F1192="Closed",X1192&gt;=DATE(2026,6,1),X1192&lt;=DATE(2026,6,30)),"Closed in June","other")</f>
        <v/>
      </c>
    </row>
    <row r="1193" hidden="1">
      <c r="A1193" s="49" t="n">
        <v>46177</v>
      </c>
      <c r="B1193" s="1" t="n">
        <v>2026</v>
      </c>
      <c r="C1193" s="11" t="inlineStr">
        <is>
          <t>Ayana</t>
        </is>
      </c>
      <c r="D1193" s="11" t="inlineStr">
        <is>
          <t>Utility and C&amp;I</t>
        </is>
      </c>
      <c r="E1193" s="1" t="n"/>
      <c r="F1193" s="1" t="inlineStr">
        <is>
          <t>WIP</t>
        </is>
      </c>
      <c r="G1193" s="11" t="inlineStr">
        <is>
          <t>Vasu.N</t>
        </is>
      </c>
      <c r="H1193" s="8" t="n">
        <v>9578099893</v>
      </c>
      <c r="I1193" s="10" t="inlineStr">
        <is>
          <t>PE04062601</t>
        </is>
      </c>
      <c r="J1193" s="28" t="inlineStr">
        <is>
          <t>Module burnt</t>
        </is>
      </c>
      <c r="K1193" s="8" t="inlineStr">
        <is>
          <t>Jatavira</t>
        </is>
      </c>
      <c r="L1193" s="39" t="inlineStr">
        <is>
          <t>Gujarat</t>
        </is>
      </c>
      <c r="M1193" s="2" t="inlineStr">
        <is>
          <t>Back glass broken with burn sport</t>
        </is>
      </c>
      <c r="N1193" s="6" t="inlineStr">
        <is>
          <t>Glass Breakage with Burn Spot</t>
        </is>
      </c>
      <c r="O1193" s="6" t="n">
        <v>585</v>
      </c>
      <c r="P1193" s="2" t="inlineStr">
        <is>
          <t>NSMI24090430187</t>
        </is>
      </c>
      <c r="Q1193" s="29">
        <f>MID(P1193,5,2)</f>
        <v/>
      </c>
      <c r="R1193" s="14">
        <f>MID(P1193,7,2)</f>
        <v/>
      </c>
      <c r="S1193" s="6" t="inlineStr">
        <is>
          <t>G2G</t>
        </is>
      </c>
      <c r="T1193" s="1" t="inlineStr">
        <is>
          <t>P4 - PEIPL</t>
        </is>
      </c>
      <c r="U1193" s="6" t="inlineStr">
        <is>
          <t>Glass Breakage with Burn Spot</t>
        </is>
      </c>
      <c r="V1193" s="1" t="inlineStr">
        <is>
          <t>Inspection</t>
        </is>
      </c>
      <c r="W1193" s="1" t="inlineStr">
        <is>
          <t>WIP</t>
        </is>
      </c>
      <c r="X1193" s="12" t="n"/>
      <c r="Y1193" s="1">
        <f>IF(X1193="","",X1193-A1193)</f>
        <v/>
      </c>
      <c r="Z1193" s="5" t="n">
        <v>46187</v>
      </c>
      <c r="AA1193" s="3" t="n"/>
      <c r="AB1193" s="3" t="n"/>
      <c r="AE1193" s="146">
        <f>IF(AND(F1193="Closed",X1193&gt;=DATE(2026,6,1),X1193&lt;=DATE(2026,6,30)),"Closed in June","other")</f>
        <v/>
      </c>
    </row>
    <row r="1194" hidden="1">
      <c r="A1194" s="49" t="n">
        <v>46177</v>
      </c>
      <c r="B1194" s="1" t="n">
        <v>2026</v>
      </c>
      <c r="C1194" s="11" t="inlineStr">
        <is>
          <t>Ayana</t>
        </is>
      </c>
      <c r="D1194" s="11" t="inlineStr">
        <is>
          <t>Utility and C&amp;I</t>
        </is>
      </c>
      <c r="E1194" s="1" t="n"/>
      <c r="F1194" s="1" t="inlineStr">
        <is>
          <t>WIP</t>
        </is>
      </c>
      <c r="G1194" s="11" t="inlineStr">
        <is>
          <t>Vasu.N</t>
        </is>
      </c>
      <c r="H1194" s="8" t="n">
        <v>9578099893</v>
      </c>
      <c r="I1194" s="10" t="inlineStr">
        <is>
          <t>PE04062601</t>
        </is>
      </c>
      <c r="J1194" s="28" t="inlineStr">
        <is>
          <t>Module burnt</t>
        </is>
      </c>
      <c r="K1194" s="8" t="inlineStr">
        <is>
          <t>Jatavira</t>
        </is>
      </c>
      <c r="L1194" s="39" t="inlineStr">
        <is>
          <t>Gujarat</t>
        </is>
      </c>
      <c r="M1194" s="2" t="inlineStr">
        <is>
          <t xml:space="preserve">Burning </t>
        </is>
      </c>
      <c r="N1194" s="6" t="inlineStr">
        <is>
          <t>Module Burn</t>
        </is>
      </c>
      <c r="O1194" s="6" t="n">
        <v>585</v>
      </c>
      <c r="P1194" s="2" t="inlineStr">
        <is>
          <t>NSMI24090517899</t>
        </is>
      </c>
      <c r="Q1194" s="29">
        <f>MID(P1194,5,2)</f>
        <v/>
      </c>
      <c r="R1194" s="14">
        <f>MID(P1194,7,2)</f>
        <v/>
      </c>
      <c r="S1194" s="6" t="inlineStr">
        <is>
          <t>G2G</t>
        </is>
      </c>
      <c r="T1194" s="1" t="inlineStr">
        <is>
          <t>P4 - PEIPL</t>
        </is>
      </c>
      <c r="U1194" s="6" t="inlineStr">
        <is>
          <t>Module Burn</t>
        </is>
      </c>
      <c r="V1194" s="1" t="inlineStr">
        <is>
          <t>Inspection</t>
        </is>
      </c>
      <c r="W1194" s="1" t="inlineStr">
        <is>
          <t>WIP</t>
        </is>
      </c>
      <c r="X1194" s="12" t="n"/>
      <c r="Y1194" s="1">
        <f>IF(X1194="","",X1194-A1194)</f>
        <v/>
      </c>
      <c r="Z1194" s="5" t="n">
        <v>46187</v>
      </c>
      <c r="AA1194" s="3" t="n"/>
      <c r="AB1194" s="3" t="n"/>
      <c r="AE1194" s="146">
        <f>IF(AND(F1194="Closed",X1194&gt;=DATE(2026,6,1),X1194&lt;=DATE(2026,6,30)),"Closed in June","other")</f>
        <v/>
      </c>
    </row>
    <row r="1195" hidden="1">
      <c r="A1195" s="49" t="n">
        <v>46177</v>
      </c>
      <c r="B1195" s="1" t="n">
        <v>2026</v>
      </c>
      <c r="C1195" s="11" t="inlineStr">
        <is>
          <t>Ayana</t>
        </is>
      </c>
      <c r="D1195" s="11" t="inlineStr">
        <is>
          <t>Utility and C&amp;I</t>
        </is>
      </c>
      <c r="E1195" s="1" t="n"/>
      <c r="F1195" s="1" t="inlineStr">
        <is>
          <t>WIP</t>
        </is>
      </c>
      <c r="G1195" s="11" t="inlineStr">
        <is>
          <t>Vasu.N</t>
        </is>
      </c>
      <c r="H1195" s="8" t="n">
        <v>9578099893</v>
      </c>
      <c r="I1195" s="10" t="inlineStr">
        <is>
          <t>PE04062601</t>
        </is>
      </c>
      <c r="J1195" s="28" t="inlineStr">
        <is>
          <t>Module burnt</t>
        </is>
      </c>
      <c r="K1195" s="8" t="inlineStr">
        <is>
          <t>Jatavira</t>
        </is>
      </c>
      <c r="L1195" s="39" t="inlineStr">
        <is>
          <t>Gujarat</t>
        </is>
      </c>
      <c r="M1195" s="2" t="inlineStr">
        <is>
          <t xml:space="preserve">Front glass broken with burn spot </t>
        </is>
      </c>
      <c r="N1195" s="6" t="inlineStr">
        <is>
          <t>Glass Breakage with Burn Spot</t>
        </is>
      </c>
      <c r="O1195" s="6" t="n">
        <v>585</v>
      </c>
      <c r="P1195" s="2" t="inlineStr">
        <is>
          <t>NSMI24090536718</t>
        </is>
      </c>
      <c r="Q1195" s="29">
        <f>MID(P1195,5,2)</f>
        <v/>
      </c>
      <c r="R1195" s="14">
        <f>MID(P1195,7,2)</f>
        <v/>
      </c>
      <c r="S1195" s="6" t="inlineStr">
        <is>
          <t>G2G</t>
        </is>
      </c>
      <c r="T1195" s="1" t="inlineStr">
        <is>
          <t>P4 - PEIPL</t>
        </is>
      </c>
      <c r="U1195" s="6" t="inlineStr">
        <is>
          <t>Glass Breakage with Burn Spot</t>
        </is>
      </c>
      <c r="V1195" s="1" t="inlineStr">
        <is>
          <t>Inspection</t>
        </is>
      </c>
      <c r="W1195" s="1" t="inlineStr">
        <is>
          <t>WIP</t>
        </is>
      </c>
      <c r="X1195" s="12" t="n"/>
      <c r="Y1195" s="1">
        <f>IF(X1195="","",X1195-A1195)</f>
        <v/>
      </c>
      <c r="Z1195" s="5" t="n">
        <v>46187</v>
      </c>
      <c r="AA1195" s="3" t="n"/>
      <c r="AB1195" s="3" t="n"/>
      <c r="AE1195" s="146">
        <f>IF(AND(F1195="Closed",X1195&gt;=DATE(2026,6,1),X1195&lt;=DATE(2026,6,30)),"Closed in June","other")</f>
        <v/>
      </c>
    </row>
    <row r="1196" hidden="1">
      <c r="A1196" s="49" t="n">
        <v>46177</v>
      </c>
      <c r="B1196" s="1" t="n">
        <v>2026</v>
      </c>
      <c r="C1196" s="11" t="inlineStr">
        <is>
          <t>Ayana</t>
        </is>
      </c>
      <c r="D1196" s="11" t="inlineStr">
        <is>
          <t>Utility and C&amp;I</t>
        </is>
      </c>
      <c r="E1196" s="1" t="n"/>
      <c r="F1196" s="1" t="inlineStr">
        <is>
          <t>WIP</t>
        </is>
      </c>
      <c r="G1196" s="11" t="inlineStr">
        <is>
          <t>Vasu.N</t>
        </is>
      </c>
      <c r="H1196" s="8" t="n">
        <v>9578099893</v>
      </c>
      <c r="I1196" s="10" t="inlineStr">
        <is>
          <t>PE04062601</t>
        </is>
      </c>
      <c r="J1196" s="28" t="inlineStr">
        <is>
          <t>Module burnt</t>
        </is>
      </c>
      <c r="K1196" s="8" t="inlineStr">
        <is>
          <t>Jatavira</t>
        </is>
      </c>
      <c r="L1196" s="39" t="inlineStr">
        <is>
          <t>Gujarat</t>
        </is>
      </c>
      <c r="M1196" s="2" t="inlineStr">
        <is>
          <t xml:space="preserve">Both glass broken with burn spot </t>
        </is>
      </c>
      <c r="N1196" s="6" t="inlineStr">
        <is>
          <t>Glass Breakage with Burn Spot</t>
        </is>
      </c>
      <c r="O1196" s="6" t="n">
        <v>585</v>
      </c>
      <c r="P1196" s="2" t="inlineStr">
        <is>
          <t>NSMI24090522227</t>
        </is>
      </c>
      <c r="Q1196" s="29">
        <f>MID(P1196,5,2)</f>
        <v/>
      </c>
      <c r="R1196" s="14">
        <f>MID(P1196,7,2)</f>
        <v/>
      </c>
      <c r="S1196" s="6" t="inlineStr">
        <is>
          <t>G2G</t>
        </is>
      </c>
      <c r="T1196" s="1" t="inlineStr">
        <is>
          <t>P4 - PEIPL</t>
        </is>
      </c>
      <c r="U1196" s="6" t="inlineStr">
        <is>
          <t>Glass Breakage with Burn Spot</t>
        </is>
      </c>
      <c r="V1196" s="1" t="inlineStr">
        <is>
          <t>Inspection</t>
        </is>
      </c>
      <c r="W1196" s="1" t="inlineStr">
        <is>
          <t>WIP</t>
        </is>
      </c>
      <c r="X1196" s="12" t="n"/>
      <c r="Y1196" s="1">
        <f>IF(X1196="","",X1196-A1196)</f>
        <v/>
      </c>
      <c r="Z1196" s="5" t="n">
        <v>46187</v>
      </c>
      <c r="AA1196" s="3" t="n"/>
      <c r="AB1196" s="3" t="n"/>
      <c r="AE1196" s="146">
        <f>IF(AND(F1196="Closed",X1196&gt;=DATE(2026,6,1),X1196&lt;=DATE(2026,6,30)),"Closed in June","other")</f>
        <v/>
      </c>
    </row>
    <row r="1197" hidden="1">
      <c r="A1197" s="49" t="n">
        <v>46177</v>
      </c>
      <c r="B1197" s="1" t="n">
        <v>2026</v>
      </c>
      <c r="C1197" s="11" t="inlineStr">
        <is>
          <t>Ayana</t>
        </is>
      </c>
      <c r="D1197" s="11" t="inlineStr">
        <is>
          <t>Utility and C&amp;I</t>
        </is>
      </c>
      <c r="E1197" s="1" t="n"/>
      <c r="F1197" s="1" t="inlineStr">
        <is>
          <t>WIP</t>
        </is>
      </c>
      <c r="G1197" s="11" t="inlineStr">
        <is>
          <t>Vasu.N</t>
        </is>
      </c>
      <c r="H1197" s="8" t="n">
        <v>9578099893</v>
      </c>
      <c r="I1197" s="10" t="inlineStr">
        <is>
          <t>PE04062601</t>
        </is>
      </c>
      <c r="J1197" s="28" t="inlineStr">
        <is>
          <t>Module burnt</t>
        </is>
      </c>
      <c r="K1197" s="8" t="inlineStr">
        <is>
          <t>Jatavira</t>
        </is>
      </c>
      <c r="L1197" s="39" t="inlineStr">
        <is>
          <t>Gujarat</t>
        </is>
      </c>
      <c r="M1197" s="2" t="inlineStr">
        <is>
          <t xml:space="preserve">Both glass broken with burn spot </t>
        </is>
      </c>
      <c r="N1197" s="6" t="inlineStr">
        <is>
          <t>Glass Breakage with Burn Spot</t>
        </is>
      </c>
      <c r="O1197" s="6" t="n">
        <v>585</v>
      </c>
      <c r="P1197" s="2" t="inlineStr">
        <is>
          <t>NSMI24090454682</t>
        </is>
      </c>
      <c r="Q1197" s="29">
        <f>MID(P1197,5,2)</f>
        <v/>
      </c>
      <c r="R1197" s="14">
        <f>MID(P1197,7,2)</f>
        <v/>
      </c>
      <c r="S1197" s="6" t="inlineStr">
        <is>
          <t>G2G</t>
        </is>
      </c>
      <c r="T1197" s="1" t="inlineStr">
        <is>
          <t>P4 - PEIPL</t>
        </is>
      </c>
      <c r="U1197" s="6" t="inlineStr">
        <is>
          <t>Glass Breakage with Burn Spot</t>
        </is>
      </c>
      <c r="V1197" s="1" t="inlineStr">
        <is>
          <t>Inspection</t>
        </is>
      </c>
      <c r="W1197" s="1" t="inlineStr">
        <is>
          <t>WIP</t>
        </is>
      </c>
      <c r="X1197" s="12" t="n"/>
      <c r="Y1197" s="1">
        <f>IF(X1197="","",X1197-A1197)</f>
        <v/>
      </c>
      <c r="Z1197" s="5" t="n">
        <v>46187</v>
      </c>
      <c r="AA1197" s="3" t="n"/>
      <c r="AB1197" s="3" t="n"/>
      <c r="AE1197" s="146">
        <f>IF(AND(F1197="Closed",X1197&gt;=DATE(2026,6,1),X1197&lt;=DATE(2026,6,30)),"Closed in June","other")</f>
        <v/>
      </c>
    </row>
    <row r="1198" hidden="1">
      <c r="A1198" s="49" t="n">
        <v>46177</v>
      </c>
      <c r="B1198" s="1" t="n">
        <v>2026</v>
      </c>
      <c r="C1198" s="11" t="inlineStr">
        <is>
          <t>Ayana</t>
        </is>
      </c>
      <c r="D1198" s="11" t="inlineStr">
        <is>
          <t>Utility and C&amp;I</t>
        </is>
      </c>
      <c r="E1198" s="1" t="n"/>
      <c r="F1198" s="1" t="inlineStr">
        <is>
          <t>WIP</t>
        </is>
      </c>
      <c r="G1198" s="11" t="inlineStr">
        <is>
          <t>Vasu.N</t>
        </is>
      </c>
      <c r="H1198" s="8" t="n">
        <v>9578099893</v>
      </c>
      <c r="I1198" s="10" t="inlineStr">
        <is>
          <t>PE04062601</t>
        </is>
      </c>
      <c r="J1198" s="28" t="inlineStr">
        <is>
          <t>Module burnt</t>
        </is>
      </c>
      <c r="K1198" s="8" t="inlineStr">
        <is>
          <t>Jatavira</t>
        </is>
      </c>
      <c r="L1198" s="39" t="inlineStr">
        <is>
          <t>Gujarat</t>
        </is>
      </c>
      <c r="M1198" s="2" t="inlineStr">
        <is>
          <t xml:space="preserve">Front glass broken with burn spot </t>
        </is>
      </c>
      <c r="N1198" s="6" t="inlineStr">
        <is>
          <t>Glass Breakage with Burn Spot</t>
        </is>
      </c>
      <c r="O1198" s="6" t="n">
        <v>585</v>
      </c>
      <c r="P1198" s="2" t="inlineStr">
        <is>
          <t>NSMI24090453259</t>
        </is>
      </c>
      <c r="Q1198" s="29">
        <f>MID(P1198,5,2)</f>
        <v/>
      </c>
      <c r="R1198" s="14">
        <f>MID(P1198,7,2)</f>
        <v/>
      </c>
      <c r="S1198" s="6" t="inlineStr">
        <is>
          <t>G2G</t>
        </is>
      </c>
      <c r="T1198" s="1" t="inlineStr">
        <is>
          <t>P4 - PEIPL</t>
        </is>
      </c>
      <c r="U1198" s="6" t="inlineStr">
        <is>
          <t>Glass Breakage with Burn Spot</t>
        </is>
      </c>
      <c r="V1198" s="1" t="inlineStr">
        <is>
          <t>Inspection</t>
        </is>
      </c>
      <c r="W1198" s="1" t="inlineStr">
        <is>
          <t>WIP</t>
        </is>
      </c>
      <c r="X1198" s="12" t="n"/>
      <c r="Y1198" s="1">
        <f>IF(X1198="","",X1198-A1198)</f>
        <v/>
      </c>
      <c r="Z1198" s="5" t="n">
        <v>46187</v>
      </c>
      <c r="AA1198" s="3" t="n"/>
      <c r="AB1198" s="3" t="n"/>
      <c r="AE1198" s="146">
        <f>IF(AND(F1198="Closed",X1198&gt;=DATE(2026,6,1),X1198&lt;=DATE(2026,6,30)),"Closed in June","other")</f>
        <v/>
      </c>
    </row>
    <row r="1199" hidden="1">
      <c r="A1199" s="49" t="n">
        <v>46177</v>
      </c>
      <c r="B1199" s="1" t="n">
        <v>2026</v>
      </c>
      <c r="C1199" s="11" t="inlineStr">
        <is>
          <t>Ayana</t>
        </is>
      </c>
      <c r="D1199" s="11" t="inlineStr">
        <is>
          <t>Utility and C&amp;I</t>
        </is>
      </c>
      <c r="E1199" s="1" t="n"/>
      <c r="F1199" s="1" t="inlineStr">
        <is>
          <t>WIP</t>
        </is>
      </c>
      <c r="G1199" s="11" t="inlineStr">
        <is>
          <t>Vasu.N</t>
        </is>
      </c>
      <c r="H1199" s="8" t="n">
        <v>9578099893</v>
      </c>
      <c r="I1199" s="10" t="inlineStr">
        <is>
          <t>PE04062601</t>
        </is>
      </c>
      <c r="J1199" s="28" t="inlineStr">
        <is>
          <t>Module burnt</t>
        </is>
      </c>
      <c r="K1199" s="8" t="inlineStr">
        <is>
          <t>Jatavira</t>
        </is>
      </c>
      <c r="L1199" s="39" t="inlineStr">
        <is>
          <t>Gujarat</t>
        </is>
      </c>
      <c r="M1199" s="2" t="inlineStr">
        <is>
          <t xml:space="preserve">Both glass broken with burn spot </t>
        </is>
      </c>
      <c r="N1199" s="6" t="inlineStr">
        <is>
          <t>Glass Breakage with Burn Spot</t>
        </is>
      </c>
      <c r="O1199" s="6" t="n">
        <v>585</v>
      </c>
      <c r="P1199" s="2" t="inlineStr">
        <is>
          <t>NSMI24090453342</t>
        </is>
      </c>
      <c r="Q1199" s="29">
        <f>MID(P1199,5,2)</f>
        <v/>
      </c>
      <c r="R1199" s="14">
        <f>MID(P1199,7,2)</f>
        <v/>
      </c>
      <c r="S1199" s="6" t="inlineStr">
        <is>
          <t>G2G</t>
        </is>
      </c>
      <c r="T1199" s="1" t="inlineStr">
        <is>
          <t>P4 - PEIPL</t>
        </is>
      </c>
      <c r="U1199" s="6" t="inlineStr">
        <is>
          <t>Glass Breakage with Burn Spot</t>
        </is>
      </c>
      <c r="V1199" s="1" t="inlineStr">
        <is>
          <t>Inspection</t>
        </is>
      </c>
      <c r="W1199" s="1" t="inlineStr">
        <is>
          <t>WIP</t>
        </is>
      </c>
      <c r="X1199" s="12" t="n"/>
      <c r="Y1199" s="1">
        <f>IF(X1199="","",X1199-A1199)</f>
        <v/>
      </c>
      <c r="Z1199" s="5" t="n">
        <v>46187</v>
      </c>
      <c r="AA1199" s="3" t="n"/>
      <c r="AB1199" s="3" t="n"/>
      <c r="AE1199" s="146">
        <f>IF(AND(F1199="Closed",X1199&gt;=DATE(2026,6,1),X1199&lt;=DATE(2026,6,30)),"Closed in June","other")</f>
        <v/>
      </c>
    </row>
    <row r="1200" hidden="1">
      <c r="A1200" s="49" t="n">
        <v>46177</v>
      </c>
      <c r="B1200" s="1" t="n">
        <v>2026</v>
      </c>
      <c r="C1200" s="11" t="inlineStr">
        <is>
          <t>Ayana</t>
        </is>
      </c>
      <c r="D1200" s="11" t="inlineStr">
        <is>
          <t>Utility and C&amp;I</t>
        </is>
      </c>
      <c r="E1200" s="1" t="n"/>
      <c r="F1200" s="1" t="inlineStr">
        <is>
          <t>WIP</t>
        </is>
      </c>
      <c r="G1200" s="11" t="inlineStr">
        <is>
          <t>Vasu.N</t>
        </is>
      </c>
      <c r="H1200" s="8" t="n">
        <v>9578099893</v>
      </c>
      <c r="I1200" s="10" t="inlineStr">
        <is>
          <t>PE04062601</t>
        </is>
      </c>
      <c r="J1200" s="28" t="inlineStr">
        <is>
          <t>Module burnt</t>
        </is>
      </c>
      <c r="K1200" s="8" t="inlineStr">
        <is>
          <t>Jatavira</t>
        </is>
      </c>
      <c r="L1200" s="39" t="inlineStr">
        <is>
          <t>Gujarat</t>
        </is>
      </c>
      <c r="M1200" s="2" t="inlineStr">
        <is>
          <t xml:space="preserve">Both glass broken with burn spot </t>
        </is>
      </c>
      <c r="N1200" s="6" t="inlineStr">
        <is>
          <t>Glass Breakage with Burn Spot</t>
        </is>
      </c>
      <c r="O1200" s="6" t="n">
        <v>585</v>
      </c>
      <c r="P1200" s="2" t="inlineStr">
        <is>
          <t>NSMI24090430460</t>
        </is>
      </c>
      <c r="Q1200" s="29">
        <f>MID(P1200,5,2)</f>
        <v/>
      </c>
      <c r="R1200" s="14">
        <f>MID(P1200,7,2)</f>
        <v/>
      </c>
      <c r="S1200" s="6" t="inlineStr">
        <is>
          <t>G2G</t>
        </is>
      </c>
      <c r="T1200" s="1" t="inlineStr">
        <is>
          <t>P4 - PEIPL</t>
        </is>
      </c>
      <c r="U1200" s="6" t="inlineStr">
        <is>
          <t>Glass Breakage with Burn Spot</t>
        </is>
      </c>
      <c r="V1200" s="1" t="inlineStr">
        <is>
          <t>Inspection</t>
        </is>
      </c>
      <c r="W1200" s="1" t="inlineStr">
        <is>
          <t>WIP</t>
        </is>
      </c>
      <c r="X1200" s="12" t="n"/>
      <c r="Y1200" s="1">
        <f>IF(X1200="","",X1200-A1200)</f>
        <v/>
      </c>
      <c r="Z1200" s="5" t="n">
        <v>46187</v>
      </c>
      <c r="AA1200" s="3" t="n"/>
      <c r="AB1200" s="3" t="n"/>
      <c r="AE1200" s="146">
        <f>IF(AND(F1200="Closed",X1200&gt;=DATE(2026,6,1),X1200&lt;=DATE(2026,6,30)),"Closed in June","other")</f>
        <v/>
      </c>
    </row>
    <row r="1201" hidden="1">
      <c r="A1201" s="49" t="n">
        <v>46177</v>
      </c>
      <c r="B1201" s="1" t="n">
        <v>2026</v>
      </c>
      <c r="C1201" s="11" t="inlineStr">
        <is>
          <t>Ayana</t>
        </is>
      </c>
      <c r="D1201" s="11" t="inlineStr">
        <is>
          <t>Utility and C&amp;I</t>
        </is>
      </c>
      <c r="E1201" s="1" t="n"/>
      <c r="F1201" s="1" t="inlineStr">
        <is>
          <t>WIP</t>
        </is>
      </c>
      <c r="G1201" s="11" t="inlineStr">
        <is>
          <t>Vasu.N</t>
        </is>
      </c>
      <c r="H1201" s="8" t="n">
        <v>9578099893</v>
      </c>
      <c r="I1201" s="10" t="inlineStr">
        <is>
          <t>PE04062601</t>
        </is>
      </c>
      <c r="J1201" s="28" t="inlineStr">
        <is>
          <t>Module burnt</t>
        </is>
      </c>
      <c r="K1201" s="8" t="inlineStr">
        <is>
          <t>Jatavira</t>
        </is>
      </c>
      <c r="L1201" s="39" t="inlineStr">
        <is>
          <t>Gujarat</t>
        </is>
      </c>
      <c r="M1201" s="2" t="inlineStr">
        <is>
          <t xml:space="preserve">Both glass broken with burn spot </t>
        </is>
      </c>
      <c r="N1201" s="6" t="inlineStr">
        <is>
          <t>Glass Breakage with Burn Spot</t>
        </is>
      </c>
      <c r="O1201" s="6" t="n">
        <v>585</v>
      </c>
      <c r="P1201" s="2" t="inlineStr">
        <is>
          <t>NSMI24090429009</t>
        </is>
      </c>
      <c r="Q1201" s="29">
        <f>MID(P1201,5,2)</f>
        <v/>
      </c>
      <c r="R1201" s="14">
        <f>MID(P1201,7,2)</f>
        <v/>
      </c>
      <c r="S1201" s="6" t="inlineStr">
        <is>
          <t>G2G</t>
        </is>
      </c>
      <c r="T1201" s="1" t="inlineStr">
        <is>
          <t>P4 - PEIPL</t>
        </is>
      </c>
      <c r="U1201" s="6" t="inlineStr">
        <is>
          <t>Glass Breakage with Burn Spot</t>
        </is>
      </c>
      <c r="V1201" s="1" t="inlineStr">
        <is>
          <t>Inspection</t>
        </is>
      </c>
      <c r="W1201" s="1" t="inlineStr">
        <is>
          <t>WIP</t>
        </is>
      </c>
      <c r="X1201" s="12" t="n"/>
      <c r="Y1201" s="1">
        <f>IF(X1201="","",X1201-A1201)</f>
        <v/>
      </c>
      <c r="Z1201" s="5" t="n">
        <v>46187</v>
      </c>
      <c r="AA1201" s="3" t="n"/>
      <c r="AB1201" s="3" t="n"/>
      <c r="AE1201" s="146">
        <f>IF(AND(F1201="Closed",X1201&gt;=DATE(2026,6,1),X1201&lt;=DATE(2026,6,30)),"Closed in June","other")</f>
        <v/>
      </c>
    </row>
    <row r="1202" hidden="1">
      <c r="A1202" s="49" t="n">
        <v>46177</v>
      </c>
      <c r="B1202" s="1" t="n">
        <v>2026</v>
      </c>
      <c r="C1202" s="11" t="inlineStr">
        <is>
          <t>Ayana</t>
        </is>
      </c>
      <c r="D1202" s="11" t="inlineStr">
        <is>
          <t>Utility and C&amp;I</t>
        </is>
      </c>
      <c r="E1202" s="1" t="n"/>
      <c r="F1202" s="1" t="inlineStr">
        <is>
          <t>WIP</t>
        </is>
      </c>
      <c r="G1202" s="11" t="inlineStr">
        <is>
          <t>Vasu.N</t>
        </is>
      </c>
      <c r="H1202" s="8" t="n">
        <v>9578099893</v>
      </c>
      <c r="I1202" s="10" t="inlineStr">
        <is>
          <t>PE04062601</t>
        </is>
      </c>
      <c r="J1202" s="28" t="inlineStr">
        <is>
          <t>Module burnt</t>
        </is>
      </c>
      <c r="K1202" s="8" t="inlineStr">
        <is>
          <t>Jatavira</t>
        </is>
      </c>
      <c r="L1202" s="39" t="inlineStr">
        <is>
          <t>Gujarat</t>
        </is>
      </c>
      <c r="M1202" s="2" t="inlineStr">
        <is>
          <t xml:space="preserve">Front glass broken with burn spot </t>
        </is>
      </c>
      <c r="N1202" s="6" t="inlineStr">
        <is>
          <t>Glass Breakage with Burn Spot</t>
        </is>
      </c>
      <c r="O1202" s="6" t="n">
        <v>585</v>
      </c>
      <c r="P1202" s="2" t="inlineStr">
        <is>
          <t>NSMI24090428276</t>
        </is>
      </c>
      <c r="Q1202" s="29">
        <f>MID(P1202,5,2)</f>
        <v/>
      </c>
      <c r="R1202" s="14">
        <f>MID(P1202,7,2)</f>
        <v/>
      </c>
      <c r="S1202" s="6" t="inlineStr">
        <is>
          <t>G2G</t>
        </is>
      </c>
      <c r="T1202" s="1" t="inlineStr">
        <is>
          <t>P4 - PEIPL</t>
        </is>
      </c>
      <c r="U1202" s="6" t="inlineStr">
        <is>
          <t>Glass Breakage with Burn Spot</t>
        </is>
      </c>
      <c r="V1202" s="1" t="inlineStr">
        <is>
          <t>Inspection</t>
        </is>
      </c>
      <c r="W1202" s="1" t="inlineStr">
        <is>
          <t>WIP</t>
        </is>
      </c>
      <c r="X1202" s="12" t="n"/>
      <c r="Y1202" s="1">
        <f>IF(X1202="","",X1202-A1202)</f>
        <v/>
      </c>
      <c r="Z1202" s="5" t="n">
        <v>46187</v>
      </c>
      <c r="AA1202" s="3" t="n"/>
      <c r="AB1202" s="3" t="n"/>
      <c r="AE1202" s="146">
        <f>IF(AND(F1202="Closed",X1202&gt;=DATE(2026,6,1),X1202&lt;=DATE(2026,6,30)),"Closed in June","other")</f>
        <v/>
      </c>
    </row>
    <row r="1203" hidden="1">
      <c r="A1203" s="49" t="n">
        <v>46177</v>
      </c>
      <c r="B1203" s="1" t="n">
        <v>2026</v>
      </c>
      <c r="C1203" s="11" t="inlineStr">
        <is>
          <t>Ayana</t>
        </is>
      </c>
      <c r="D1203" s="11" t="inlineStr">
        <is>
          <t>Utility and C&amp;I</t>
        </is>
      </c>
      <c r="E1203" s="1" t="n"/>
      <c r="F1203" s="1" t="inlineStr">
        <is>
          <t>WIP</t>
        </is>
      </c>
      <c r="G1203" s="11" t="inlineStr">
        <is>
          <t>Vasu.N</t>
        </is>
      </c>
      <c r="H1203" s="8" t="n">
        <v>9578099893</v>
      </c>
      <c r="I1203" s="10" t="inlineStr">
        <is>
          <t>PE04062601</t>
        </is>
      </c>
      <c r="J1203" s="28" t="inlineStr">
        <is>
          <t>Module burnt</t>
        </is>
      </c>
      <c r="K1203" s="8" t="inlineStr">
        <is>
          <t>Jatavira</t>
        </is>
      </c>
      <c r="L1203" s="39" t="inlineStr">
        <is>
          <t>Gujarat</t>
        </is>
      </c>
      <c r="M1203" s="2" t="inlineStr">
        <is>
          <t xml:space="preserve">Both glass broken with burn spot </t>
        </is>
      </c>
      <c r="N1203" s="6" t="inlineStr">
        <is>
          <t>Glass Breakage with Burn Spot</t>
        </is>
      </c>
      <c r="O1203" s="6" t="n">
        <v>585</v>
      </c>
      <c r="P1203" s="2" t="inlineStr">
        <is>
          <t>NSMI24090469016</t>
        </is>
      </c>
      <c r="Q1203" s="29">
        <f>MID(P1203,5,2)</f>
        <v/>
      </c>
      <c r="R1203" s="14">
        <f>MID(P1203,7,2)</f>
        <v/>
      </c>
      <c r="S1203" s="6" t="inlineStr">
        <is>
          <t>G2G</t>
        </is>
      </c>
      <c r="T1203" s="1" t="inlineStr">
        <is>
          <t>P4 - PEIPL</t>
        </is>
      </c>
      <c r="U1203" s="6" t="inlineStr">
        <is>
          <t>Glass Breakage with Burn Spot</t>
        </is>
      </c>
      <c r="V1203" s="1" t="inlineStr">
        <is>
          <t>Inspection</t>
        </is>
      </c>
      <c r="W1203" s="1" t="inlineStr">
        <is>
          <t>WIP</t>
        </is>
      </c>
      <c r="X1203" s="12" t="n"/>
      <c r="Y1203" s="1">
        <f>IF(X1203="","",X1203-A1203)</f>
        <v/>
      </c>
      <c r="Z1203" s="5" t="n">
        <v>46187</v>
      </c>
      <c r="AA1203" s="3" t="n"/>
      <c r="AB1203" s="3" t="n"/>
      <c r="AE1203" s="146">
        <f>IF(AND(F1203="Closed",X1203&gt;=DATE(2026,6,1),X1203&lt;=DATE(2026,6,30)),"Closed in June","other")</f>
        <v/>
      </c>
    </row>
    <row r="1204" hidden="1">
      <c r="A1204" s="49" t="n">
        <v>46177</v>
      </c>
      <c r="B1204" s="1" t="n">
        <v>2026</v>
      </c>
      <c r="C1204" s="11" t="inlineStr">
        <is>
          <t>Ayana</t>
        </is>
      </c>
      <c r="D1204" s="11" t="inlineStr">
        <is>
          <t>Utility and C&amp;I</t>
        </is>
      </c>
      <c r="E1204" s="1" t="n"/>
      <c r="F1204" s="1" t="inlineStr">
        <is>
          <t>WIP</t>
        </is>
      </c>
      <c r="G1204" s="11" t="inlineStr">
        <is>
          <t>Vasu.N</t>
        </is>
      </c>
      <c r="H1204" s="8" t="n">
        <v>9578099893</v>
      </c>
      <c r="I1204" s="10" t="inlineStr">
        <is>
          <t>PE04062601</t>
        </is>
      </c>
      <c r="J1204" s="28" t="inlineStr">
        <is>
          <t>Module burnt</t>
        </is>
      </c>
      <c r="K1204" s="8" t="inlineStr">
        <is>
          <t>Jatavira</t>
        </is>
      </c>
      <c r="L1204" s="39" t="inlineStr">
        <is>
          <t>Gujarat</t>
        </is>
      </c>
      <c r="M1204" s="2" t="inlineStr">
        <is>
          <t xml:space="preserve">Both glass broken with burn spot </t>
        </is>
      </c>
      <c r="N1204" s="6" t="inlineStr">
        <is>
          <t>Glass Breakage with Burn Spot</t>
        </is>
      </c>
      <c r="O1204" s="6" t="n">
        <v>585</v>
      </c>
      <c r="P1204" s="2" t="inlineStr">
        <is>
          <t>NSMI24090523167</t>
        </is>
      </c>
      <c r="Q1204" s="29">
        <f>MID(P1204,5,2)</f>
        <v/>
      </c>
      <c r="R1204" s="14">
        <f>MID(P1204,7,2)</f>
        <v/>
      </c>
      <c r="S1204" s="6" t="inlineStr">
        <is>
          <t>G2G</t>
        </is>
      </c>
      <c r="T1204" s="1" t="inlineStr">
        <is>
          <t>P4 - PEIPL</t>
        </is>
      </c>
      <c r="U1204" s="6" t="inlineStr">
        <is>
          <t>Glass Breakage with Burn Spot</t>
        </is>
      </c>
      <c r="V1204" s="1" t="inlineStr">
        <is>
          <t>Inspection</t>
        </is>
      </c>
      <c r="W1204" s="1" t="inlineStr">
        <is>
          <t>WIP</t>
        </is>
      </c>
      <c r="X1204" s="12" t="n"/>
      <c r="Y1204" s="1">
        <f>IF(X1204="","",X1204-A1204)</f>
        <v/>
      </c>
      <c r="Z1204" s="5" t="n">
        <v>46187</v>
      </c>
      <c r="AA1204" s="3" t="n"/>
      <c r="AB1204" s="3" t="n"/>
      <c r="AE1204" s="146">
        <f>IF(AND(F1204="Closed",X1204&gt;=DATE(2026,6,1),X1204&lt;=DATE(2026,6,30)),"Closed in June","other")</f>
        <v/>
      </c>
    </row>
    <row r="1205" hidden="1">
      <c r="A1205" s="49" t="n">
        <v>46177</v>
      </c>
      <c r="B1205" s="1" t="n">
        <v>2026</v>
      </c>
      <c r="C1205" s="11" t="inlineStr">
        <is>
          <t>Ayana</t>
        </is>
      </c>
      <c r="D1205" s="11" t="inlineStr">
        <is>
          <t>Utility and C&amp;I</t>
        </is>
      </c>
      <c r="E1205" s="1" t="n"/>
      <c r="F1205" s="1" t="inlineStr">
        <is>
          <t>WIP</t>
        </is>
      </c>
      <c r="G1205" s="11" t="inlineStr">
        <is>
          <t>Vasu.N</t>
        </is>
      </c>
      <c r="H1205" s="8" t="n">
        <v>9578099893</v>
      </c>
      <c r="I1205" s="10" t="inlineStr">
        <is>
          <t>PE04062601</t>
        </is>
      </c>
      <c r="J1205" s="28" t="inlineStr">
        <is>
          <t>Module burnt</t>
        </is>
      </c>
      <c r="K1205" s="8" t="inlineStr">
        <is>
          <t>Jatavira</t>
        </is>
      </c>
      <c r="L1205" s="39" t="inlineStr">
        <is>
          <t>Gujarat</t>
        </is>
      </c>
      <c r="M1205" s="2" t="inlineStr">
        <is>
          <t xml:space="preserve">Both glass broken with burn spot </t>
        </is>
      </c>
      <c r="N1205" s="6" t="inlineStr">
        <is>
          <t>Glass Breakage with Burn Spot</t>
        </is>
      </c>
      <c r="O1205" s="6" t="n">
        <v>585</v>
      </c>
      <c r="P1205" s="2" t="inlineStr">
        <is>
          <t>NSMI24090451366</t>
        </is>
      </c>
      <c r="Q1205" s="29">
        <f>MID(P1205,5,2)</f>
        <v/>
      </c>
      <c r="R1205" s="14">
        <f>MID(P1205,7,2)</f>
        <v/>
      </c>
      <c r="S1205" s="6" t="inlineStr">
        <is>
          <t>G2G</t>
        </is>
      </c>
      <c r="T1205" s="1" t="inlineStr">
        <is>
          <t>P4 - PEIPL</t>
        </is>
      </c>
      <c r="U1205" s="6" t="inlineStr">
        <is>
          <t>Glass Breakage with Burn Spot</t>
        </is>
      </c>
      <c r="V1205" s="1" t="inlineStr">
        <is>
          <t>Inspection</t>
        </is>
      </c>
      <c r="W1205" s="1" t="inlineStr">
        <is>
          <t>WIP</t>
        </is>
      </c>
      <c r="X1205" s="12" t="n"/>
      <c r="Y1205" s="1">
        <f>IF(X1205="","",X1205-A1205)</f>
        <v/>
      </c>
      <c r="Z1205" s="5" t="n">
        <v>46187</v>
      </c>
      <c r="AA1205" s="3" t="n"/>
      <c r="AB1205" s="3" t="n"/>
      <c r="AE1205" s="146">
        <f>IF(AND(F1205="Closed",X1205&gt;=DATE(2026,6,1),X1205&lt;=DATE(2026,6,30)),"Closed in June","other")</f>
        <v/>
      </c>
    </row>
    <row r="1206" hidden="1">
      <c r="A1206" s="9" t="n">
        <v>46161</v>
      </c>
      <c r="B1206" s="1" t="n">
        <v>2026</v>
      </c>
      <c r="C1206" s="8" t="inlineStr">
        <is>
          <t>Continuum</t>
        </is>
      </c>
      <c r="D1206" s="11" t="inlineStr">
        <is>
          <t>Utility and C&amp;I</t>
        </is>
      </c>
      <c r="E1206" s="1" t="n"/>
      <c r="F1206" s="1" t="inlineStr">
        <is>
          <t>Closed</t>
        </is>
      </c>
      <c r="G1206" s="50" t="inlineStr">
        <is>
          <t>Mr. Harendresinh Jadeja</t>
        </is>
      </c>
      <c r="H1206" s="8" t="n">
        <v>9825182102</v>
      </c>
      <c r="I1206" s="10" t="inlineStr">
        <is>
          <t>PE19052601</t>
        </is>
      </c>
      <c r="J1206" s="8" t="inlineStr">
        <is>
          <t xml:space="preserve">Diode failure </t>
        </is>
      </c>
      <c r="K1206" s="8" t="inlineStr">
        <is>
          <t>Nakhatrana</t>
        </is>
      </c>
      <c r="L1206" s="8" t="inlineStr">
        <is>
          <t>Gujarat</t>
        </is>
      </c>
      <c r="M1206" s="2" t="inlineStr">
        <is>
          <t>PS</t>
        </is>
      </c>
      <c r="N1206" s="1" t="inlineStr">
        <is>
          <t>Cold Soldering</t>
        </is>
      </c>
      <c r="O1206" s="51" t="n">
        <v>580</v>
      </c>
      <c r="P1206" s="2" t="inlineStr">
        <is>
          <t>NSMI25011299500</t>
        </is>
      </c>
      <c r="Q1206" s="29">
        <f>MID(P1206,5,2)</f>
        <v/>
      </c>
      <c r="R1206" s="14">
        <f>MID(P1206,7,2)</f>
        <v/>
      </c>
      <c r="S1206" s="1" t="inlineStr">
        <is>
          <t>G2G</t>
        </is>
      </c>
      <c r="T1206" s="1" t="inlineStr">
        <is>
          <t>P4 - PEIPL</t>
        </is>
      </c>
      <c r="U1206" s="1" t="inlineStr">
        <is>
          <t>P JB Cold Soldering</t>
        </is>
      </c>
      <c r="V1206" s="1" t="inlineStr">
        <is>
          <t>Inspection</t>
        </is>
      </c>
      <c r="W1206" s="1" t="inlineStr">
        <is>
          <t>Repair</t>
        </is>
      </c>
      <c r="X1206" s="5" t="n">
        <v>46188</v>
      </c>
      <c r="Y1206" s="1">
        <f>IF(X1206="","",X1206-A1206)</f>
        <v/>
      </c>
      <c r="Z1206" s="5" t="n">
        <v>46188</v>
      </c>
      <c r="AA1206" s="3" t="n"/>
      <c r="AB1206" s="3" t="n"/>
      <c r="AE1206" s="146">
        <f>IF(AND(F1206="Closed",X1206&gt;=DATE(2026,6,1),X1206&lt;=DATE(2026,6,30)),"Closed in June","other")</f>
        <v/>
      </c>
    </row>
    <row r="1207" hidden="1">
      <c r="A1207" s="9" t="n">
        <v>46161</v>
      </c>
      <c r="B1207" s="1" t="n">
        <v>2026</v>
      </c>
      <c r="C1207" s="8" t="inlineStr">
        <is>
          <t>Continuum</t>
        </is>
      </c>
      <c r="D1207" s="11" t="inlineStr">
        <is>
          <t>Utility and C&amp;I</t>
        </is>
      </c>
      <c r="E1207" s="1" t="n"/>
      <c r="F1207" s="1" t="inlineStr">
        <is>
          <t>Closed</t>
        </is>
      </c>
      <c r="G1207" s="50" t="inlineStr">
        <is>
          <t>Mr. Harendresinh Jadeja</t>
        </is>
      </c>
      <c r="H1207" s="8" t="n">
        <v>9825182102</v>
      </c>
      <c r="I1207" s="10" t="inlineStr">
        <is>
          <t>PE19052601</t>
        </is>
      </c>
      <c r="J1207" s="8" t="inlineStr">
        <is>
          <t xml:space="preserve">Diode failure </t>
        </is>
      </c>
      <c r="K1207" s="8" t="inlineStr">
        <is>
          <t>Nakhatrana</t>
        </is>
      </c>
      <c r="L1207" s="8" t="inlineStr">
        <is>
          <t>Gujarat</t>
        </is>
      </c>
      <c r="M1207" s="2" t="inlineStr">
        <is>
          <t>PS</t>
        </is>
      </c>
      <c r="N1207" s="1" t="inlineStr">
        <is>
          <t>Cold Soldering</t>
        </is>
      </c>
      <c r="O1207" s="51" t="n">
        <v>580</v>
      </c>
      <c r="P1207" s="2" t="inlineStr">
        <is>
          <t>NSMI25011277720</t>
        </is>
      </c>
      <c r="Q1207" s="29">
        <f>MID(P1207,5,2)</f>
        <v/>
      </c>
      <c r="R1207" s="14">
        <f>MID(P1207,7,2)</f>
        <v/>
      </c>
      <c r="S1207" s="1" t="inlineStr">
        <is>
          <t>G2G</t>
        </is>
      </c>
      <c r="T1207" s="1" t="inlineStr">
        <is>
          <t>P4 - PEIPL</t>
        </is>
      </c>
      <c r="U1207" s="1" t="inlineStr">
        <is>
          <t>P JB Cold Soldering</t>
        </is>
      </c>
      <c r="V1207" s="1" t="inlineStr">
        <is>
          <t>Inspection</t>
        </is>
      </c>
      <c r="W1207" s="1" t="inlineStr">
        <is>
          <t>Repair</t>
        </is>
      </c>
      <c r="X1207" s="5" t="n">
        <v>46188</v>
      </c>
      <c r="Y1207" s="1">
        <f>IF(X1207="","",X1207-A1207)</f>
        <v/>
      </c>
      <c r="Z1207" s="5" t="n">
        <v>46188</v>
      </c>
      <c r="AA1207" s="3" t="n"/>
      <c r="AB1207" s="3" t="n"/>
      <c r="AE1207" s="146">
        <f>IF(AND(F1207="Closed",X1207&gt;=DATE(2026,6,1),X1207&lt;=DATE(2026,6,30)),"Closed in June","other")</f>
        <v/>
      </c>
    </row>
    <row r="1208" hidden="1">
      <c r="A1208" s="9" t="n">
        <v>46161</v>
      </c>
      <c r="B1208" s="1" t="n">
        <v>2026</v>
      </c>
      <c r="C1208" s="8" t="inlineStr">
        <is>
          <t>Continuum</t>
        </is>
      </c>
      <c r="D1208" s="11" t="inlineStr">
        <is>
          <t>Utility and C&amp;I</t>
        </is>
      </c>
      <c r="E1208" s="1" t="n"/>
      <c r="F1208" s="1" t="inlineStr">
        <is>
          <t>Closed</t>
        </is>
      </c>
      <c r="G1208" s="50" t="inlineStr">
        <is>
          <t>Mr. Harendresinh Jadeja</t>
        </is>
      </c>
      <c r="H1208" s="8" t="n">
        <v>9825182102</v>
      </c>
      <c r="I1208" s="10" t="inlineStr">
        <is>
          <t>PE19052601</t>
        </is>
      </c>
      <c r="J1208" s="8" t="inlineStr">
        <is>
          <t xml:space="preserve">Diode failure </t>
        </is>
      </c>
      <c r="K1208" s="8" t="inlineStr">
        <is>
          <t>Nakhatrana</t>
        </is>
      </c>
      <c r="L1208" s="8" t="inlineStr">
        <is>
          <t>Gujarat</t>
        </is>
      </c>
      <c r="M1208" s="2" t="inlineStr">
        <is>
          <t>NS</t>
        </is>
      </c>
      <c r="N1208" s="8" t="inlineStr">
        <is>
          <t>Cold Soldering</t>
        </is>
      </c>
      <c r="O1208" s="51" t="n">
        <v>580</v>
      </c>
      <c r="P1208" s="2" t="inlineStr">
        <is>
          <t>NSMI25011265026</t>
        </is>
      </c>
      <c r="Q1208" s="29">
        <f>MID(P1208,5,2)</f>
        <v/>
      </c>
      <c r="R1208" s="14">
        <f>MID(P1208,7,2)</f>
        <v/>
      </c>
      <c r="S1208" s="1" t="inlineStr">
        <is>
          <t>G2G</t>
        </is>
      </c>
      <c r="T1208" s="1" t="inlineStr">
        <is>
          <t>P4 - PEIPL</t>
        </is>
      </c>
      <c r="U1208" s="6" t="inlineStr">
        <is>
          <t>N JB Cold Soldering</t>
        </is>
      </c>
      <c r="V1208" s="1" t="inlineStr">
        <is>
          <t>Inspection</t>
        </is>
      </c>
      <c r="W1208" s="1" t="inlineStr">
        <is>
          <t>Repair</t>
        </is>
      </c>
      <c r="X1208" s="5" t="n">
        <v>46188</v>
      </c>
      <c r="Y1208" s="1">
        <f>IF(X1208="","",X1208-A1208)</f>
        <v/>
      </c>
      <c r="Z1208" s="5" t="n">
        <v>46188</v>
      </c>
      <c r="AA1208" s="3" t="n"/>
      <c r="AB1208" s="3" t="n"/>
      <c r="AE1208" s="146">
        <f>IF(AND(F1208="Closed",X1208&gt;=DATE(2026,6,1),X1208&lt;=DATE(2026,6,30)),"Closed in June","other")</f>
        <v/>
      </c>
    </row>
    <row r="1209" hidden="1">
      <c r="A1209" s="9" t="n">
        <v>46161</v>
      </c>
      <c r="B1209" s="1" t="n">
        <v>2026</v>
      </c>
      <c r="C1209" s="8" t="inlineStr">
        <is>
          <t>Continuum</t>
        </is>
      </c>
      <c r="D1209" s="11" t="inlineStr">
        <is>
          <t>Utility and C&amp;I</t>
        </is>
      </c>
      <c r="E1209" s="1" t="n"/>
      <c r="F1209" s="1" t="inlineStr">
        <is>
          <t>Closed</t>
        </is>
      </c>
      <c r="G1209" s="50" t="inlineStr">
        <is>
          <t>Mr. Harendresinh Jadeja</t>
        </is>
      </c>
      <c r="H1209" s="8" t="n">
        <v>9825182102</v>
      </c>
      <c r="I1209" s="10" t="inlineStr">
        <is>
          <t>PE19052601</t>
        </is>
      </c>
      <c r="J1209" s="8" t="inlineStr">
        <is>
          <t xml:space="preserve">Diode failure </t>
        </is>
      </c>
      <c r="K1209" s="8" t="inlineStr">
        <is>
          <t>Nakhatrana</t>
        </is>
      </c>
      <c r="L1209" s="8" t="inlineStr">
        <is>
          <t>Gujarat</t>
        </is>
      </c>
      <c r="M1209" s="2" t="inlineStr">
        <is>
          <t>NS</t>
        </is>
      </c>
      <c r="N1209" s="8" t="inlineStr">
        <is>
          <t>Cold Soldering</t>
        </is>
      </c>
      <c r="O1209" s="51" t="n">
        <v>580</v>
      </c>
      <c r="P1209" s="2" t="inlineStr">
        <is>
          <t>NSMI25011290789</t>
        </is>
      </c>
      <c r="Q1209" s="29">
        <f>MID(P1209,5,2)</f>
        <v/>
      </c>
      <c r="R1209" s="14">
        <f>MID(P1209,7,2)</f>
        <v/>
      </c>
      <c r="S1209" s="1" t="inlineStr">
        <is>
          <t>G2G</t>
        </is>
      </c>
      <c r="T1209" s="1" t="inlineStr">
        <is>
          <t>P4 - PEIPL</t>
        </is>
      </c>
      <c r="U1209" s="6" t="inlineStr">
        <is>
          <t>N JB Cold Soldering</t>
        </is>
      </c>
      <c r="V1209" s="1" t="inlineStr">
        <is>
          <t>Inspection</t>
        </is>
      </c>
      <c r="W1209" s="1" t="inlineStr">
        <is>
          <t>Repair</t>
        </is>
      </c>
      <c r="X1209" s="5" t="n">
        <v>46188</v>
      </c>
      <c r="Y1209" s="1">
        <f>IF(X1209="","",X1209-A1209)</f>
        <v/>
      </c>
      <c r="Z1209" s="5" t="n">
        <v>46188</v>
      </c>
      <c r="AA1209" s="3" t="n"/>
      <c r="AB1209" s="3" t="n"/>
      <c r="AE1209" s="146">
        <f>IF(AND(F1209="Closed",X1209&gt;=DATE(2026,6,1),X1209&lt;=DATE(2026,6,30)),"Closed in June","other")</f>
        <v/>
      </c>
    </row>
    <row r="1210" hidden="1">
      <c r="A1210" s="9" t="n">
        <v>46161</v>
      </c>
      <c r="B1210" s="1" t="n">
        <v>2026</v>
      </c>
      <c r="C1210" s="8" t="inlineStr">
        <is>
          <t>Continuum</t>
        </is>
      </c>
      <c r="D1210" s="11" t="inlineStr">
        <is>
          <t>Utility and C&amp;I</t>
        </is>
      </c>
      <c r="E1210" s="1" t="n"/>
      <c r="F1210" s="1" t="inlineStr">
        <is>
          <t>Closed</t>
        </is>
      </c>
      <c r="G1210" s="50" t="inlineStr">
        <is>
          <t>Mr. Harendresinh Jadeja</t>
        </is>
      </c>
      <c r="H1210" s="8" t="n">
        <v>9825182102</v>
      </c>
      <c r="I1210" s="10" t="inlineStr">
        <is>
          <t>PE19052601</t>
        </is>
      </c>
      <c r="J1210" s="8" t="inlineStr">
        <is>
          <t xml:space="preserve">Diode failure </t>
        </is>
      </c>
      <c r="K1210" s="8" t="inlineStr">
        <is>
          <t>Nakhatrana</t>
        </is>
      </c>
      <c r="L1210" s="8" t="inlineStr">
        <is>
          <t>Gujarat</t>
        </is>
      </c>
      <c r="M1210" s="2" t="inlineStr">
        <is>
          <t>PS</t>
        </is>
      </c>
      <c r="N1210" s="1" t="inlineStr">
        <is>
          <t>Cold Soldering</t>
        </is>
      </c>
      <c r="O1210" s="51" t="n">
        <v>580</v>
      </c>
      <c r="P1210" s="2" t="inlineStr">
        <is>
          <t>NSMI25011292597</t>
        </is>
      </c>
      <c r="Q1210" s="29">
        <f>MID(P1210,5,2)</f>
        <v/>
      </c>
      <c r="R1210" s="14">
        <f>MID(P1210,7,2)</f>
        <v/>
      </c>
      <c r="S1210" s="1" t="inlineStr">
        <is>
          <t>G2G</t>
        </is>
      </c>
      <c r="T1210" s="1" t="inlineStr">
        <is>
          <t>P4 - PEIPL</t>
        </is>
      </c>
      <c r="U1210" s="1" t="inlineStr">
        <is>
          <t>P JB Cold Soldering</t>
        </is>
      </c>
      <c r="V1210" s="1" t="inlineStr">
        <is>
          <t>Inspection</t>
        </is>
      </c>
      <c r="W1210" s="1" t="inlineStr">
        <is>
          <t>Repair</t>
        </is>
      </c>
      <c r="X1210" s="5" t="n">
        <v>46188</v>
      </c>
      <c r="Y1210" s="1">
        <f>IF(X1210="","",X1210-A1210)</f>
        <v/>
      </c>
      <c r="Z1210" s="5" t="n">
        <v>46188</v>
      </c>
      <c r="AA1210" s="3" t="n"/>
      <c r="AB1210" s="3" t="n"/>
      <c r="AE1210" s="146">
        <f>IF(AND(F1210="Closed",X1210&gt;=DATE(2026,6,1),X1210&lt;=DATE(2026,6,30)),"Closed in June","other")</f>
        <v/>
      </c>
    </row>
    <row r="1211" hidden="1">
      <c r="A1211" s="9" t="n">
        <v>46161</v>
      </c>
      <c r="B1211" s="1" t="n">
        <v>2026</v>
      </c>
      <c r="C1211" s="8" t="inlineStr">
        <is>
          <t>Continuum</t>
        </is>
      </c>
      <c r="D1211" s="11" t="inlineStr">
        <is>
          <t>Utility and C&amp;I</t>
        </is>
      </c>
      <c r="E1211" s="1" t="n"/>
      <c r="F1211" s="1" t="inlineStr">
        <is>
          <t>Closed</t>
        </is>
      </c>
      <c r="G1211" s="50" t="inlineStr">
        <is>
          <t>Mr. Harendresinh Jadeja</t>
        </is>
      </c>
      <c r="H1211" s="8" t="n">
        <v>9825182102</v>
      </c>
      <c r="I1211" s="10" t="inlineStr">
        <is>
          <t>PE19052601</t>
        </is>
      </c>
      <c r="J1211" s="8" t="inlineStr">
        <is>
          <t xml:space="preserve">Diode failure </t>
        </is>
      </c>
      <c r="K1211" s="8" t="inlineStr">
        <is>
          <t>Nakhatrana</t>
        </is>
      </c>
      <c r="L1211" s="8" t="inlineStr">
        <is>
          <t>Gujarat</t>
        </is>
      </c>
      <c r="M1211" s="2" t="inlineStr">
        <is>
          <t>OK</t>
        </is>
      </c>
      <c r="N1211" s="2" t="inlineStr">
        <is>
          <t>No Issue Found</t>
        </is>
      </c>
      <c r="O1211" s="51" t="n">
        <v>580</v>
      </c>
      <c r="P1211" s="2" t="inlineStr">
        <is>
          <t>NSMI25011292540</t>
        </is>
      </c>
      <c r="Q1211" s="29">
        <f>MID(P1211,5,2)</f>
        <v/>
      </c>
      <c r="R1211" s="14">
        <f>MID(P1211,7,2)</f>
        <v/>
      </c>
      <c r="S1211" s="1" t="inlineStr">
        <is>
          <t>G2G</t>
        </is>
      </c>
      <c r="T1211" s="1" t="inlineStr">
        <is>
          <t>P4 - PEIPL</t>
        </is>
      </c>
      <c r="U1211" s="6" t="inlineStr">
        <is>
          <t>No Issue Found</t>
        </is>
      </c>
      <c r="V1211" s="1" t="inlineStr">
        <is>
          <t>Inspection</t>
        </is>
      </c>
      <c r="W1211" s="1" t="inlineStr">
        <is>
          <t>Rejected</t>
        </is>
      </c>
      <c r="X1211" s="5" t="n">
        <v>46188</v>
      </c>
      <c r="Y1211" s="1">
        <f>IF(X1211="","",X1211-A1211)</f>
        <v/>
      </c>
      <c r="Z1211" s="5" t="n">
        <v>46188</v>
      </c>
      <c r="AA1211" s="3" t="n"/>
      <c r="AB1211" s="3" t="n"/>
      <c r="AE1211" s="146">
        <f>IF(AND(F1211="Closed",X1211&gt;=DATE(2026,6,1),X1211&lt;=DATE(2026,6,30)),"Closed in June","other")</f>
        <v/>
      </c>
    </row>
    <row r="1212" hidden="1">
      <c r="A1212" s="9" t="n">
        <v>46161</v>
      </c>
      <c r="B1212" s="1" t="n">
        <v>2026</v>
      </c>
      <c r="C1212" s="8" t="inlineStr">
        <is>
          <t>Continuum</t>
        </is>
      </c>
      <c r="D1212" s="11" t="inlineStr">
        <is>
          <t>Utility and C&amp;I</t>
        </is>
      </c>
      <c r="E1212" s="1" t="n"/>
      <c r="F1212" s="1" t="inlineStr">
        <is>
          <t>Closed</t>
        </is>
      </c>
      <c r="G1212" s="50" t="inlineStr">
        <is>
          <t>Mr. Harendresinh Jadeja</t>
        </is>
      </c>
      <c r="H1212" s="8" t="n">
        <v>9825182102</v>
      </c>
      <c r="I1212" s="10" t="inlineStr">
        <is>
          <t>PE19052601</t>
        </is>
      </c>
      <c r="J1212" s="8" t="inlineStr">
        <is>
          <t xml:space="preserve">Diode failure </t>
        </is>
      </c>
      <c r="K1212" s="8" t="inlineStr">
        <is>
          <t>Nakhatrana</t>
        </is>
      </c>
      <c r="L1212" s="8" t="inlineStr">
        <is>
          <t>Gujarat</t>
        </is>
      </c>
      <c r="M1212" s="2" t="inlineStr">
        <is>
          <t>NR</t>
        </is>
      </c>
      <c r="N1212" s="8" t="inlineStr">
        <is>
          <t>JB Issue</t>
        </is>
      </c>
      <c r="O1212" s="51" t="n">
        <v>580</v>
      </c>
      <c r="P1212" s="2" t="inlineStr">
        <is>
          <t>NSMI25011290800</t>
        </is>
      </c>
      <c r="Q1212" s="29">
        <f>MID(P1212,5,2)</f>
        <v/>
      </c>
      <c r="R1212" s="14">
        <f>MID(P1212,7,2)</f>
        <v/>
      </c>
      <c r="S1212" s="1" t="inlineStr">
        <is>
          <t>G2G</t>
        </is>
      </c>
      <c r="T1212" s="1" t="inlineStr">
        <is>
          <t>P4 - PEIPL</t>
        </is>
      </c>
      <c r="U1212" s="6" t="inlineStr">
        <is>
          <t>N JB Issue</t>
        </is>
      </c>
      <c r="V1212" s="1" t="inlineStr">
        <is>
          <t>Inspection</t>
        </is>
      </c>
      <c r="W1212" s="1" t="inlineStr">
        <is>
          <t>Repair</t>
        </is>
      </c>
      <c r="X1212" s="5" t="n">
        <v>46188</v>
      </c>
      <c r="Y1212" s="1">
        <f>IF(X1212="","",X1212-A1212)</f>
        <v/>
      </c>
      <c r="Z1212" s="5" t="n">
        <v>46188</v>
      </c>
      <c r="AA1212" s="3" t="n"/>
      <c r="AB1212" s="3" t="n"/>
      <c r="AE1212" s="146">
        <f>IF(AND(F1212="Closed",X1212&gt;=DATE(2026,6,1),X1212&lt;=DATE(2026,6,30)),"Closed in June","other")</f>
        <v/>
      </c>
    </row>
    <row r="1213" hidden="1">
      <c r="A1213" s="9" t="n">
        <v>46161</v>
      </c>
      <c r="B1213" s="1" t="n">
        <v>2026</v>
      </c>
      <c r="C1213" s="8" t="inlineStr">
        <is>
          <t>Continuum</t>
        </is>
      </c>
      <c r="D1213" s="11" t="inlineStr">
        <is>
          <t>Utility and C&amp;I</t>
        </is>
      </c>
      <c r="E1213" s="1" t="n"/>
      <c r="F1213" s="1" t="inlineStr">
        <is>
          <t>Closed</t>
        </is>
      </c>
      <c r="G1213" s="50" t="inlineStr">
        <is>
          <t>Mr. Harendresinh Jadeja</t>
        </is>
      </c>
      <c r="H1213" s="8" t="n">
        <v>9825182102</v>
      </c>
      <c r="I1213" s="10" t="inlineStr">
        <is>
          <t>PE19052601</t>
        </is>
      </c>
      <c r="J1213" s="8" t="inlineStr">
        <is>
          <t xml:space="preserve">Diode failure </t>
        </is>
      </c>
      <c r="K1213" s="8" t="inlineStr">
        <is>
          <t>Nakhatrana</t>
        </is>
      </c>
      <c r="L1213" s="8" t="inlineStr">
        <is>
          <t>Gujarat</t>
        </is>
      </c>
      <c r="M1213" s="2" t="inlineStr">
        <is>
          <t>PS</t>
        </is>
      </c>
      <c r="N1213" s="1" t="inlineStr">
        <is>
          <t>Cold Soldering</t>
        </is>
      </c>
      <c r="O1213" s="51" t="n">
        <v>580</v>
      </c>
      <c r="P1213" s="2" t="inlineStr">
        <is>
          <t>NSMI25011277838</t>
        </is>
      </c>
      <c r="Q1213" s="29">
        <f>MID(P1213,5,2)</f>
        <v/>
      </c>
      <c r="R1213" s="14">
        <f>MID(P1213,7,2)</f>
        <v/>
      </c>
      <c r="S1213" s="1" t="inlineStr">
        <is>
          <t>G2G</t>
        </is>
      </c>
      <c r="T1213" s="1" t="inlineStr">
        <is>
          <t>P4 - PEIPL</t>
        </is>
      </c>
      <c r="U1213" s="1" t="inlineStr">
        <is>
          <t>P JB Cold Soldering</t>
        </is>
      </c>
      <c r="V1213" s="1" t="inlineStr">
        <is>
          <t>Inspection</t>
        </is>
      </c>
      <c r="W1213" s="1" t="inlineStr">
        <is>
          <t>Repair</t>
        </is>
      </c>
      <c r="X1213" s="5" t="n">
        <v>46188</v>
      </c>
      <c r="Y1213" s="1">
        <f>IF(X1213="","",X1213-A1213)</f>
        <v/>
      </c>
      <c r="Z1213" s="5" t="n">
        <v>46188</v>
      </c>
      <c r="AA1213" s="3" t="n"/>
      <c r="AB1213" s="3" t="n"/>
      <c r="AE1213" s="146">
        <f>IF(AND(F1213="Closed",X1213&gt;=DATE(2026,6,1),X1213&lt;=DATE(2026,6,30)),"Closed in June","other")</f>
        <v/>
      </c>
    </row>
    <row r="1214" hidden="1">
      <c r="A1214" s="9" t="n">
        <v>46161</v>
      </c>
      <c r="B1214" s="1" t="n">
        <v>2026</v>
      </c>
      <c r="C1214" s="8" t="inlineStr">
        <is>
          <t>Continuum</t>
        </is>
      </c>
      <c r="D1214" s="11" t="inlineStr">
        <is>
          <t>Utility and C&amp;I</t>
        </is>
      </c>
      <c r="E1214" s="1" t="n"/>
      <c r="F1214" s="1" t="inlineStr">
        <is>
          <t>Closed</t>
        </is>
      </c>
      <c r="G1214" s="50" t="inlineStr">
        <is>
          <t>Mr. Harendresinh Jadeja</t>
        </is>
      </c>
      <c r="H1214" s="8" t="n">
        <v>9825182102</v>
      </c>
      <c r="I1214" s="10" t="inlineStr">
        <is>
          <t>PE19052601</t>
        </is>
      </c>
      <c r="J1214" s="8" t="inlineStr">
        <is>
          <t xml:space="preserve">Diode failure </t>
        </is>
      </c>
      <c r="K1214" s="8" t="inlineStr">
        <is>
          <t>Nakhatrana</t>
        </is>
      </c>
      <c r="L1214" s="8" t="inlineStr">
        <is>
          <t>Gujarat</t>
        </is>
      </c>
      <c r="M1214" s="2" t="inlineStr">
        <is>
          <t>PS</t>
        </is>
      </c>
      <c r="N1214" s="1" t="inlineStr">
        <is>
          <t>Cold Soldering</t>
        </is>
      </c>
      <c r="O1214" s="51" t="n">
        <v>580</v>
      </c>
      <c r="P1214" s="2" t="inlineStr">
        <is>
          <t>NSMI25011299731</t>
        </is>
      </c>
      <c r="Q1214" s="29">
        <f>MID(P1214,5,2)</f>
        <v/>
      </c>
      <c r="R1214" s="14">
        <f>MID(P1214,7,2)</f>
        <v/>
      </c>
      <c r="S1214" s="1" t="inlineStr">
        <is>
          <t>G2G</t>
        </is>
      </c>
      <c r="T1214" s="1" t="inlineStr">
        <is>
          <t>P4 - PEIPL</t>
        </is>
      </c>
      <c r="U1214" s="1" t="inlineStr">
        <is>
          <t>P JB Cold Soldering</t>
        </is>
      </c>
      <c r="V1214" s="1" t="inlineStr">
        <is>
          <t>Inspection</t>
        </is>
      </c>
      <c r="W1214" s="1" t="inlineStr">
        <is>
          <t>Repair</t>
        </is>
      </c>
      <c r="X1214" s="5" t="n">
        <v>46188</v>
      </c>
      <c r="Y1214" s="1">
        <f>IF(X1214="","",X1214-A1214)</f>
        <v/>
      </c>
      <c r="Z1214" s="5" t="n">
        <v>46188</v>
      </c>
      <c r="AA1214" s="3" t="n"/>
      <c r="AB1214" s="3" t="n"/>
      <c r="AE1214" s="146">
        <f>IF(AND(F1214="Closed",X1214&gt;=DATE(2026,6,1),X1214&lt;=DATE(2026,6,30)),"Closed in June","other")</f>
        <v/>
      </c>
    </row>
    <row r="1215" hidden="1">
      <c r="A1215" s="9" t="n">
        <v>46161</v>
      </c>
      <c r="B1215" s="1" t="n">
        <v>2026</v>
      </c>
      <c r="C1215" s="8" t="inlineStr">
        <is>
          <t>Continuum</t>
        </is>
      </c>
      <c r="D1215" s="11" t="inlineStr">
        <is>
          <t>Utility and C&amp;I</t>
        </is>
      </c>
      <c r="E1215" s="1" t="n"/>
      <c r="F1215" s="1" t="inlineStr">
        <is>
          <t>Closed</t>
        </is>
      </c>
      <c r="G1215" s="50" t="inlineStr">
        <is>
          <t>Mr. Harendresinh Jadeja</t>
        </is>
      </c>
      <c r="H1215" s="8" t="n">
        <v>9825182102</v>
      </c>
      <c r="I1215" s="10" t="inlineStr">
        <is>
          <t>PE19052601</t>
        </is>
      </c>
      <c r="J1215" s="8" t="inlineStr">
        <is>
          <t xml:space="preserve">Diode failure </t>
        </is>
      </c>
      <c r="K1215" s="8" t="inlineStr">
        <is>
          <t>Nakhatrana</t>
        </is>
      </c>
      <c r="L1215" s="8" t="inlineStr">
        <is>
          <t>Gujarat</t>
        </is>
      </c>
      <c r="M1215" s="2" t="inlineStr">
        <is>
          <t>PS</t>
        </is>
      </c>
      <c r="N1215" s="1" t="inlineStr">
        <is>
          <t>Cold Soldering</t>
        </is>
      </c>
      <c r="O1215" s="51" t="n">
        <v>580</v>
      </c>
      <c r="P1215" s="2" t="inlineStr">
        <is>
          <t>NSMI25011299712</t>
        </is>
      </c>
      <c r="Q1215" s="29">
        <f>MID(P1215,5,2)</f>
        <v/>
      </c>
      <c r="R1215" s="14">
        <f>MID(P1215,7,2)</f>
        <v/>
      </c>
      <c r="S1215" s="1" t="inlineStr">
        <is>
          <t>G2G</t>
        </is>
      </c>
      <c r="T1215" s="1" t="inlineStr">
        <is>
          <t>P4 - PEIPL</t>
        </is>
      </c>
      <c r="U1215" s="1" t="inlineStr">
        <is>
          <t>P JB Cold Soldering</t>
        </is>
      </c>
      <c r="V1215" s="1" t="inlineStr">
        <is>
          <t>Inspection</t>
        </is>
      </c>
      <c r="W1215" s="1" t="inlineStr">
        <is>
          <t>Repair</t>
        </is>
      </c>
      <c r="X1215" s="5" t="n">
        <v>46188</v>
      </c>
      <c r="Y1215" s="1">
        <f>IF(X1215="","",X1215-A1215)</f>
        <v/>
      </c>
      <c r="Z1215" s="5" t="n">
        <v>46188</v>
      </c>
      <c r="AA1215" s="3" t="n"/>
      <c r="AB1215" s="3" t="n"/>
      <c r="AE1215" s="146">
        <f>IF(AND(F1215="Closed",X1215&gt;=DATE(2026,6,1),X1215&lt;=DATE(2026,6,30)),"Closed in June","other")</f>
        <v/>
      </c>
    </row>
    <row r="1216" hidden="1">
      <c r="A1216" s="9" t="n">
        <v>46161</v>
      </c>
      <c r="B1216" s="1" t="n">
        <v>2026</v>
      </c>
      <c r="C1216" s="8" t="inlineStr">
        <is>
          <t>Continuum</t>
        </is>
      </c>
      <c r="D1216" s="11" t="inlineStr">
        <is>
          <t>Utility and C&amp;I</t>
        </is>
      </c>
      <c r="E1216" s="1" t="n"/>
      <c r="F1216" s="1" t="inlineStr">
        <is>
          <t>Closed</t>
        </is>
      </c>
      <c r="G1216" s="50" t="inlineStr">
        <is>
          <t>Mr. Harendresinh Jadeja</t>
        </is>
      </c>
      <c r="H1216" s="8" t="n">
        <v>9825182102</v>
      </c>
      <c r="I1216" s="10" t="inlineStr">
        <is>
          <t>PE19052601</t>
        </is>
      </c>
      <c r="J1216" s="8" t="inlineStr">
        <is>
          <t xml:space="preserve">Diode failure </t>
        </is>
      </c>
      <c r="K1216" s="8" t="inlineStr">
        <is>
          <t>Nakhatrana</t>
        </is>
      </c>
      <c r="L1216" s="8" t="inlineStr">
        <is>
          <t>Gujarat</t>
        </is>
      </c>
      <c r="M1216" s="2" t="inlineStr">
        <is>
          <t>NS</t>
        </is>
      </c>
      <c r="N1216" s="8" t="inlineStr">
        <is>
          <t>Cold Soldering</t>
        </is>
      </c>
      <c r="O1216" s="51" t="n">
        <v>580</v>
      </c>
      <c r="P1216" s="2" t="inlineStr">
        <is>
          <t>NSMI25011294420</t>
        </is>
      </c>
      <c r="Q1216" s="29">
        <f>MID(P1216,5,2)</f>
        <v/>
      </c>
      <c r="R1216" s="14">
        <f>MID(P1216,7,2)</f>
        <v/>
      </c>
      <c r="S1216" s="1" t="inlineStr">
        <is>
          <t>G2G</t>
        </is>
      </c>
      <c r="T1216" s="1" t="inlineStr">
        <is>
          <t>P4 - PEIPL</t>
        </is>
      </c>
      <c r="U1216" s="6" t="inlineStr">
        <is>
          <t>N JB Cold Soldering</t>
        </is>
      </c>
      <c r="V1216" s="1" t="inlineStr">
        <is>
          <t>Inspection</t>
        </is>
      </c>
      <c r="W1216" s="1" t="inlineStr">
        <is>
          <t>Repair</t>
        </is>
      </c>
      <c r="X1216" s="5" t="n">
        <v>46188</v>
      </c>
      <c r="Y1216" s="1">
        <f>IF(X1216="","",X1216-A1216)</f>
        <v/>
      </c>
      <c r="Z1216" s="5" t="n">
        <v>46188</v>
      </c>
      <c r="AA1216" s="3" t="n"/>
      <c r="AB1216" s="3" t="n"/>
      <c r="AE1216" s="146">
        <f>IF(AND(F1216="Closed",X1216&gt;=DATE(2026,6,1),X1216&lt;=DATE(2026,6,30)),"Closed in June","other")</f>
        <v/>
      </c>
    </row>
    <row r="1217" hidden="1">
      <c r="A1217" s="9" t="n">
        <v>46161</v>
      </c>
      <c r="B1217" s="1" t="n">
        <v>2026</v>
      </c>
      <c r="C1217" s="8" t="inlineStr">
        <is>
          <t>Continuum</t>
        </is>
      </c>
      <c r="D1217" s="11" t="inlineStr">
        <is>
          <t>Utility and C&amp;I</t>
        </is>
      </c>
      <c r="E1217" s="1" t="n"/>
      <c r="F1217" s="1" t="inlineStr">
        <is>
          <t>Closed</t>
        </is>
      </c>
      <c r="G1217" s="50" t="inlineStr">
        <is>
          <t>Mr. Harendresinh Jadeja</t>
        </is>
      </c>
      <c r="H1217" s="8" t="n">
        <v>9825182102</v>
      </c>
      <c r="I1217" s="10" t="inlineStr">
        <is>
          <t>PE19052601</t>
        </is>
      </c>
      <c r="J1217" s="8" t="inlineStr">
        <is>
          <t xml:space="preserve">Diode failure </t>
        </is>
      </c>
      <c r="K1217" s="8" t="inlineStr">
        <is>
          <t>Nakhatrana</t>
        </is>
      </c>
      <c r="L1217" s="8" t="inlineStr">
        <is>
          <t>Gujarat</t>
        </is>
      </c>
      <c r="M1217" s="2" t="inlineStr">
        <is>
          <t>PS</t>
        </is>
      </c>
      <c r="N1217" s="1" t="inlineStr">
        <is>
          <t>Cold Soldering</t>
        </is>
      </c>
      <c r="O1217" s="51" t="n">
        <v>580</v>
      </c>
      <c r="P1217" s="2" t="inlineStr">
        <is>
          <t>NSMI25011299412</t>
        </is>
      </c>
      <c r="Q1217" s="29">
        <f>MID(P1217,5,2)</f>
        <v/>
      </c>
      <c r="R1217" s="14">
        <f>MID(P1217,7,2)</f>
        <v/>
      </c>
      <c r="S1217" s="1" t="inlineStr">
        <is>
          <t>G2G</t>
        </is>
      </c>
      <c r="T1217" s="1" t="inlineStr">
        <is>
          <t>P4 - PEIPL</t>
        </is>
      </c>
      <c r="U1217" s="1" t="inlineStr">
        <is>
          <t>P JB Cold Soldering</t>
        </is>
      </c>
      <c r="V1217" s="1" t="inlineStr">
        <is>
          <t>Inspection</t>
        </is>
      </c>
      <c r="W1217" s="1" t="inlineStr">
        <is>
          <t>Repair</t>
        </is>
      </c>
      <c r="X1217" s="5" t="n">
        <v>46188</v>
      </c>
      <c r="Y1217" s="1">
        <f>IF(X1217="","",X1217-A1217)</f>
        <v/>
      </c>
      <c r="Z1217" s="5" t="n">
        <v>46188</v>
      </c>
      <c r="AA1217" s="3" t="n"/>
      <c r="AB1217" s="3" t="n"/>
      <c r="AE1217" s="146">
        <f>IF(AND(F1217="Closed",X1217&gt;=DATE(2026,6,1),X1217&lt;=DATE(2026,6,30)),"Closed in June","other")</f>
        <v/>
      </c>
    </row>
    <row r="1218" hidden="1">
      <c r="A1218" s="9" t="n">
        <v>46161</v>
      </c>
      <c r="B1218" s="1" t="n">
        <v>2026</v>
      </c>
      <c r="C1218" s="8" t="inlineStr">
        <is>
          <t>Continuum</t>
        </is>
      </c>
      <c r="D1218" s="11" t="inlineStr">
        <is>
          <t>Utility and C&amp;I</t>
        </is>
      </c>
      <c r="E1218" s="1" t="n"/>
      <c r="F1218" s="1" t="inlineStr">
        <is>
          <t>Closed</t>
        </is>
      </c>
      <c r="G1218" s="50" t="inlineStr">
        <is>
          <t>Mr. Harendresinh Jadeja</t>
        </is>
      </c>
      <c r="H1218" s="8" t="n">
        <v>9825182102</v>
      </c>
      <c r="I1218" s="10" t="inlineStr">
        <is>
          <t>PE19052601</t>
        </is>
      </c>
      <c r="J1218" s="8" t="inlineStr">
        <is>
          <t xml:space="preserve">Diode failure </t>
        </is>
      </c>
      <c r="K1218" s="8" t="inlineStr">
        <is>
          <t>Nakhatrana</t>
        </is>
      </c>
      <c r="L1218" s="8" t="inlineStr">
        <is>
          <t>Gujarat</t>
        </is>
      </c>
      <c r="M1218" s="2" t="inlineStr">
        <is>
          <t>NS</t>
        </is>
      </c>
      <c r="N1218" s="8" t="inlineStr">
        <is>
          <t>Cold Soldering</t>
        </is>
      </c>
      <c r="O1218" s="51" t="n">
        <v>580</v>
      </c>
      <c r="P1218" s="2" t="inlineStr">
        <is>
          <t>NSMI25011294817</t>
        </is>
      </c>
      <c r="Q1218" s="29">
        <f>MID(P1218,5,2)</f>
        <v/>
      </c>
      <c r="R1218" s="14">
        <f>MID(P1218,7,2)</f>
        <v/>
      </c>
      <c r="S1218" s="1" t="inlineStr">
        <is>
          <t>G2G</t>
        </is>
      </c>
      <c r="T1218" s="1" t="inlineStr">
        <is>
          <t>P4 - PEIPL</t>
        </is>
      </c>
      <c r="U1218" s="6" t="inlineStr">
        <is>
          <t>N JB Cold Soldering</t>
        </is>
      </c>
      <c r="V1218" s="1" t="inlineStr">
        <is>
          <t>Inspection</t>
        </is>
      </c>
      <c r="W1218" s="1" t="inlineStr">
        <is>
          <t>Repair</t>
        </is>
      </c>
      <c r="X1218" s="5" t="n">
        <v>46188</v>
      </c>
      <c r="Y1218" s="1">
        <f>IF(X1218="","",X1218-A1218)</f>
        <v/>
      </c>
      <c r="Z1218" s="5" t="n">
        <v>46188</v>
      </c>
      <c r="AA1218" s="3" t="n"/>
      <c r="AB1218" s="3" t="n"/>
      <c r="AE1218" s="146">
        <f>IF(AND(F1218="Closed",X1218&gt;=DATE(2026,6,1),X1218&lt;=DATE(2026,6,30)),"Closed in June","other")</f>
        <v/>
      </c>
    </row>
    <row r="1219" hidden="1">
      <c r="A1219" s="9" t="n">
        <v>46161</v>
      </c>
      <c r="B1219" s="1" t="n">
        <v>2026</v>
      </c>
      <c r="C1219" s="8" t="inlineStr">
        <is>
          <t>Continuum</t>
        </is>
      </c>
      <c r="D1219" s="11" t="inlineStr">
        <is>
          <t>Utility and C&amp;I</t>
        </is>
      </c>
      <c r="E1219" s="1" t="n"/>
      <c r="F1219" s="1" t="inlineStr">
        <is>
          <t>Closed</t>
        </is>
      </c>
      <c r="G1219" s="50" t="inlineStr">
        <is>
          <t>Mr. Harendresinh Jadeja</t>
        </is>
      </c>
      <c r="H1219" s="8" t="n">
        <v>9825182102</v>
      </c>
      <c r="I1219" s="10" t="inlineStr">
        <is>
          <t>PE19052601</t>
        </is>
      </c>
      <c r="J1219" s="8" t="inlineStr">
        <is>
          <t xml:space="preserve">Diode failure </t>
        </is>
      </c>
      <c r="K1219" s="8" t="inlineStr">
        <is>
          <t>Nakhatrana</t>
        </is>
      </c>
      <c r="L1219" s="8" t="inlineStr">
        <is>
          <t>Gujarat</t>
        </is>
      </c>
      <c r="M1219" s="2" t="inlineStr">
        <is>
          <t>OK</t>
        </is>
      </c>
      <c r="N1219" s="2" t="inlineStr">
        <is>
          <t>No Issue Found</t>
        </is>
      </c>
      <c r="O1219" s="51" t="n">
        <v>580</v>
      </c>
      <c r="P1219" s="2" t="inlineStr">
        <is>
          <t>NSMI25011274043</t>
        </is>
      </c>
      <c r="Q1219" s="29">
        <f>MID(P1219,5,2)</f>
        <v/>
      </c>
      <c r="R1219" s="14">
        <f>MID(P1219,7,2)</f>
        <v/>
      </c>
      <c r="S1219" s="1" t="inlineStr">
        <is>
          <t>G2G</t>
        </is>
      </c>
      <c r="T1219" s="1" t="inlineStr">
        <is>
          <t>P4 - PEIPL</t>
        </is>
      </c>
      <c r="U1219" s="6" t="inlineStr">
        <is>
          <t>No Issue Found</t>
        </is>
      </c>
      <c r="V1219" s="1" t="inlineStr">
        <is>
          <t>Inspection</t>
        </is>
      </c>
      <c r="W1219" s="1" t="inlineStr">
        <is>
          <t>Rejected</t>
        </is>
      </c>
      <c r="X1219" s="5" t="n">
        <v>46188</v>
      </c>
      <c r="Y1219" s="1">
        <f>IF(X1219="","",X1219-A1219)</f>
        <v/>
      </c>
      <c r="Z1219" s="5" t="n">
        <v>46188</v>
      </c>
      <c r="AA1219" s="3" t="n"/>
      <c r="AB1219" s="3" t="n"/>
      <c r="AE1219" s="146">
        <f>IF(AND(F1219="Closed",X1219&gt;=DATE(2026,6,1),X1219&lt;=DATE(2026,6,30)),"Closed in June","other")</f>
        <v/>
      </c>
    </row>
    <row r="1220" hidden="1">
      <c r="A1220" s="9" t="n">
        <v>46161</v>
      </c>
      <c r="B1220" s="1" t="n">
        <v>2026</v>
      </c>
      <c r="C1220" s="8" t="inlineStr">
        <is>
          <t>Continuum</t>
        </is>
      </c>
      <c r="D1220" s="11" t="inlineStr">
        <is>
          <t>Utility and C&amp;I</t>
        </is>
      </c>
      <c r="E1220" s="1" t="n"/>
      <c r="F1220" s="1" t="inlineStr">
        <is>
          <t>Closed</t>
        </is>
      </c>
      <c r="G1220" s="50" t="inlineStr">
        <is>
          <t>Mr. Harendresinh Jadeja</t>
        </is>
      </c>
      <c r="H1220" s="8" t="n">
        <v>9825182102</v>
      </c>
      <c r="I1220" s="10" t="inlineStr">
        <is>
          <t>PE19052601</t>
        </is>
      </c>
      <c r="J1220" s="8" t="inlineStr">
        <is>
          <t xml:space="preserve">Diode failure </t>
        </is>
      </c>
      <c r="K1220" s="8" t="inlineStr">
        <is>
          <t>Nakhatrana</t>
        </is>
      </c>
      <c r="L1220" s="8" t="inlineStr">
        <is>
          <t>Gujarat</t>
        </is>
      </c>
      <c r="M1220" s="2" t="inlineStr">
        <is>
          <t>PS</t>
        </is>
      </c>
      <c r="N1220" s="1" t="inlineStr">
        <is>
          <t>Cold Soldering</t>
        </is>
      </c>
      <c r="O1220" s="51" t="n">
        <v>580</v>
      </c>
      <c r="P1220" s="2" t="inlineStr">
        <is>
          <t>NSMI25011265645</t>
        </is>
      </c>
      <c r="Q1220" s="29">
        <f>MID(P1220,5,2)</f>
        <v/>
      </c>
      <c r="R1220" s="14">
        <f>MID(P1220,7,2)</f>
        <v/>
      </c>
      <c r="S1220" s="1" t="inlineStr">
        <is>
          <t>G2G</t>
        </is>
      </c>
      <c r="T1220" s="1" t="inlineStr">
        <is>
          <t>P4 - PEIPL</t>
        </is>
      </c>
      <c r="U1220" s="1" t="inlineStr">
        <is>
          <t>P JB Cold Soldering</t>
        </is>
      </c>
      <c r="V1220" s="1" t="inlineStr">
        <is>
          <t>Inspection</t>
        </is>
      </c>
      <c r="W1220" s="1" t="inlineStr">
        <is>
          <t>Repair</t>
        </is>
      </c>
      <c r="X1220" s="5" t="n">
        <v>46188</v>
      </c>
      <c r="Y1220" s="1">
        <f>IF(X1220="","",X1220-A1220)</f>
        <v/>
      </c>
      <c r="Z1220" s="5" t="n">
        <v>46188</v>
      </c>
      <c r="AA1220" s="3" t="n"/>
      <c r="AB1220" s="3" t="n"/>
      <c r="AE1220" s="146">
        <f>IF(AND(F1220="Closed",X1220&gt;=DATE(2026,6,1),X1220&lt;=DATE(2026,6,30)),"Closed in June","other")</f>
        <v/>
      </c>
    </row>
    <row r="1221" hidden="1">
      <c r="A1221" s="9" t="n">
        <v>46161</v>
      </c>
      <c r="B1221" s="1" t="n">
        <v>2026</v>
      </c>
      <c r="C1221" s="8" t="inlineStr">
        <is>
          <t>Continuum</t>
        </is>
      </c>
      <c r="D1221" s="11" t="inlineStr">
        <is>
          <t>Utility and C&amp;I</t>
        </is>
      </c>
      <c r="E1221" s="1" t="n"/>
      <c r="F1221" s="1" t="inlineStr">
        <is>
          <t>Closed</t>
        </is>
      </c>
      <c r="G1221" s="50" t="inlineStr">
        <is>
          <t>Mr. Harendresinh Jadeja</t>
        </is>
      </c>
      <c r="H1221" s="8" t="n">
        <v>9825182102</v>
      </c>
      <c r="I1221" s="10" t="inlineStr">
        <is>
          <t>PE19052601</t>
        </is>
      </c>
      <c r="J1221" s="8" t="inlineStr">
        <is>
          <t xml:space="preserve">Diode failure </t>
        </is>
      </c>
      <c r="K1221" s="8" t="inlineStr">
        <is>
          <t>Nakhatrana</t>
        </is>
      </c>
      <c r="L1221" s="8" t="inlineStr">
        <is>
          <t>Gujarat</t>
        </is>
      </c>
      <c r="M1221" s="2" t="inlineStr">
        <is>
          <t>PS</t>
        </is>
      </c>
      <c r="N1221" s="1" t="inlineStr">
        <is>
          <t>Cold Soldering</t>
        </is>
      </c>
      <c r="O1221" s="51" t="n">
        <v>580</v>
      </c>
      <c r="P1221" s="2" t="inlineStr">
        <is>
          <t>NSMI25011265321</t>
        </is>
      </c>
      <c r="Q1221" s="29">
        <f>MID(P1221,5,2)</f>
        <v/>
      </c>
      <c r="R1221" s="14">
        <f>MID(P1221,7,2)</f>
        <v/>
      </c>
      <c r="S1221" s="1" t="inlineStr">
        <is>
          <t>G2G</t>
        </is>
      </c>
      <c r="T1221" s="1" t="inlineStr">
        <is>
          <t>P4 - PEIPL</t>
        </is>
      </c>
      <c r="U1221" s="1" t="inlineStr">
        <is>
          <t>P JB Cold Soldering</t>
        </is>
      </c>
      <c r="V1221" s="1" t="inlineStr">
        <is>
          <t>Inspection</t>
        </is>
      </c>
      <c r="W1221" s="1" t="inlineStr">
        <is>
          <t>Repair</t>
        </is>
      </c>
      <c r="X1221" s="5" t="n">
        <v>46188</v>
      </c>
      <c r="Y1221" s="1">
        <f>IF(X1221="","",X1221-A1221)</f>
        <v/>
      </c>
      <c r="Z1221" s="5" t="n">
        <v>46188</v>
      </c>
      <c r="AA1221" s="3" t="n"/>
      <c r="AB1221" s="3" t="n"/>
      <c r="AE1221" s="146">
        <f>IF(AND(F1221="Closed",X1221&gt;=DATE(2026,6,1),X1221&lt;=DATE(2026,6,30)),"Closed in June","other")</f>
        <v/>
      </c>
    </row>
    <row r="1222" hidden="1">
      <c r="A1222" s="9" t="n">
        <v>46161</v>
      </c>
      <c r="B1222" s="1" t="n">
        <v>2026</v>
      </c>
      <c r="C1222" s="8" t="inlineStr">
        <is>
          <t>Continuum</t>
        </is>
      </c>
      <c r="D1222" s="11" t="inlineStr">
        <is>
          <t>Utility and C&amp;I</t>
        </is>
      </c>
      <c r="E1222" s="1" t="n"/>
      <c r="F1222" s="1" t="inlineStr">
        <is>
          <t>Closed</t>
        </is>
      </c>
      <c r="G1222" s="50" t="inlineStr">
        <is>
          <t>Mr. Harendresinh Jadeja</t>
        </is>
      </c>
      <c r="H1222" s="8" t="n">
        <v>9825182102</v>
      </c>
      <c r="I1222" s="10" t="inlineStr">
        <is>
          <t>PE19052601</t>
        </is>
      </c>
      <c r="J1222" s="8" t="inlineStr">
        <is>
          <t xml:space="preserve">Diode failure </t>
        </is>
      </c>
      <c r="K1222" s="8" t="inlineStr">
        <is>
          <t>Nakhatrana</t>
        </is>
      </c>
      <c r="L1222" s="8" t="inlineStr">
        <is>
          <t>Gujarat</t>
        </is>
      </c>
      <c r="M1222" s="2" t="inlineStr">
        <is>
          <t>NS</t>
        </is>
      </c>
      <c r="N1222" s="8" t="inlineStr">
        <is>
          <t>Cold Soldering</t>
        </is>
      </c>
      <c r="O1222" s="51" t="n">
        <v>580</v>
      </c>
      <c r="P1222" s="2" t="inlineStr">
        <is>
          <t>NSMI25011255432</t>
        </is>
      </c>
      <c r="Q1222" s="29">
        <f>MID(P1222,5,2)</f>
        <v/>
      </c>
      <c r="R1222" s="14">
        <f>MID(P1222,7,2)</f>
        <v/>
      </c>
      <c r="S1222" s="1" t="inlineStr">
        <is>
          <t>G2G</t>
        </is>
      </c>
      <c r="T1222" s="1" t="inlineStr">
        <is>
          <t>P4 - PEIPL</t>
        </is>
      </c>
      <c r="U1222" s="6" t="inlineStr">
        <is>
          <t>N JB Cold Soldering</t>
        </is>
      </c>
      <c r="V1222" s="1" t="inlineStr">
        <is>
          <t>Inspection</t>
        </is>
      </c>
      <c r="W1222" s="1" t="inlineStr">
        <is>
          <t>Repair</t>
        </is>
      </c>
      <c r="X1222" s="5" t="n">
        <v>46188</v>
      </c>
      <c r="Y1222" s="1">
        <f>IF(X1222="","",X1222-A1222)</f>
        <v/>
      </c>
      <c r="Z1222" s="5" t="n">
        <v>46188</v>
      </c>
      <c r="AA1222" s="3" t="n"/>
      <c r="AB1222" s="3" t="n"/>
      <c r="AE1222" s="146">
        <f>IF(AND(F1222="Closed",X1222&gt;=DATE(2026,6,1),X1222&lt;=DATE(2026,6,30)),"Closed in June","other")</f>
        <v/>
      </c>
    </row>
    <row r="1223" hidden="1">
      <c r="A1223" s="9" t="n">
        <v>46161</v>
      </c>
      <c r="B1223" s="1" t="n">
        <v>2026</v>
      </c>
      <c r="C1223" s="8" t="inlineStr">
        <is>
          <t>Continuum</t>
        </is>
      </c>
      <c r="D1223" s="11" t="inlineStr">
        <is>
          <t>Utility and C&amp;I</t>
        </is>
      </c>
      <c r="E1223" s="1" t="n"/>
      <c r="F1223" s="1" t="inlineStr">
        <is>
          <t>Closed</t>
        </is>
      </c>
      <c r="G1223" s="50" t="inlineStr">
        <is>
          <t>Mr. Harendresinh Jadeja</t>
        </is>
      </c>
      <c r="H1223" s="8" t="n">
        <v>9825182102</v>
      </c>
      <c r="I1223" s="10" t="inlineStr">
        <is>
          <t>PE19052601</t>
        </is>
      </c>
      <c r="J1223" s="8" t="inlineStr">
        <is>
          <t xml:space="preserve">Diode failure </t>
        </is>
      </c>
      <c r="K1223" s="8" t="inlineStr">
        <is>
          <t>Nakhatrana</t>
        </is>
      </c>
      <c r="L1223" s="8" t="inlineStr">
        <is>
          <t>Gujarat</t>
        </is>
      </c>
      <c r="M1223" s="2" t="inlineStr">
        <is>
          <t>NS</t>
        </is>
      </c>
      <c r="N1223" s="8" t="inlineStr">
        <is>
          <t>Cold Soldering</t>
        </is>
      </c>
      <c r="O1223" s="51" t="n">
        <v>580</v>
      </c>
      <c r="P1223" s="2" t="inlineStr">
        <is>
          <t>NSMI25011264988</t>
        </is>
      </c>
      <c r="Q1223" s="29">
        <f>MID(P1223,5,2)</f>
        <v/>
      </c>
      <c r="R1223" s="14">
        <f>MID(P1223,7,2)</f>
        <v/>
      </c>
      <c r="S1223" s="1" t="inlineStr">
        <is>
          <t>G2G</t>
        </is>
      </c>
      <c r="T1223" s="1" t="inlineStr">
        <is>
          <t>P4 - PEIPL</t>
        </is>
      </c>
      <c r="U1223" s="6" t="inlineStr">
        <is>
          <t>N JB Cold Soldering</t>
        </is>
      </c>
      <c r="V1223" s="1" t="inlineStr">
        <is>
          <t>Inspection</t>
        </is>
      </c>
      <c r="W1223" s="1" t="inlineStr">
        <is>
          <t>Repair</t>
        </is>
      </c>
      <c r="X1223" s="5" t="n">
        <v>46188</v>
      </c>
      <c r="Y1223" s="1">
        <f>IF(X1223="","",X1223-A1223)</f>
        <v/>
      </c>
      <c r="Z1223" s="5" t="n">
        <v>46188</v>
      </c>
      <c r="AA1223" s="3" t="n"/>
      <c r="AB1223" s="3" t="n"/>
      <c r="AE1223" s="146">
        <f>IF(AND(F1223="Closed",X1223&gt;=DATE(2026,6,1),X1223&lt;=DATE(2026,6,30)),"Closed in June","other")</f>
        <v/>
      </c>
    </row>
    <row r="1224" hidden="1">
      <c r="A1224" s="9" t="n">
        <v>46161</v>
      </c>
      <c r="B1224" s="1" t="n">
        <v>2026</v>
      </c>
      <c r="C1224" s="8" t="inlineStr">
        <is>
          <t>Continuum</t>
        </is>
      </c>
      <c r="D1224" s="11" t="inlineStr">
        <is>
          <t>Utility and C&amp;I</t>
        </is>
      </c>
      <c r="E1224" s="1" t="n"/>
      <c r="F1224" s="1" t="inlineStr">
        <is>
          <t>Closed</t>
        </is>
      </c>
      <c r="G1224" s="50" t="inlineStr">
        <is>
          <t>Mr. Harendresinh Jadeja</t>
        </is>
      </c>
      <c r="H1224" s="8" t="n">
        <v>9825182102</v>
      </c>
      <c r="I1224" s="10" t="inlineStr">
        <is>
          <t>PE19052601</t>
        </is>
      </c>
      <c r="J1224" s="8" t="inlineStr">
        <is>
          <t xml:space="preserve">Diode failure </t>
        </is>
      </c>
      <c r="K1224" s="8" t="inlineStr">
        <is>
          <t>Nakhatrana</t>
        </is>
      </c>
      <c r="L1224" s="8" t="inlineStr">
        <is>
          <t>Gujarat</t>
        </is>
      </c>
      <c r="M1224" s="2" t="inlineStr">
        <is>
          <t>NS</t>
        </is>
      </c>
      <c r="N1224" s="8" t="inlineStr">
        <is>
          <t>Cold Soldering</t>
        </is>
      </c>
      <c r="O1224" s="51" t="n">
        <v>580</v>
      </c>
      <c r="P1224" s="2" t="inlineStr">
        <is>
          <t>NSMI25011264977</t>
        </is>
      </c>
      <c r="Q1224" s="29">
        <f>MID(P1224,5,2)</f>
        <v/>
      </c>
      <c r="R1224" s="14">
        <f>MID(P1224,7,2)</f>
        <v/>
      </c>
      <c r="S1224" s="1" t="inlineStr">
        <is>
          <t>G2G</t>
        </is>
      </c>
      <c r="T1224" s="1" t="inlineStr">
        <is>
          <t>P4 - PEIPL</t>
        </is>
      </c>
      <c r="U1224" s="6" t="inlineStr">
        <is>
          <t>N JB Cold Soldering</t>
        </is>
      </c>
      <c r="V1224" s="1" t="inlineStr">
        <is>
          <t>Inspection</t>
        </is>
      </c>
      <c r="W1224" s="1" t="inlineStr">
        <is>
          <t>Repair</t>
        </is>
      </c>
      <c r="X1224" s="5" t="n">
        <v>46188</v>
      </c>
      <c r="Y1224" s="1">
        <f>IF(X1224="","",X1224-A1224)</f>
        <v/>
      </c>
      <c r="Z1224" s="5" t="n">
        <v>46188</v>
      </c>
      <c r="AA1224" s="3" t="n"/>
      <c r="AB1224" s="3" t="n"/>
      <c r="AE1224" s="146">
        <f>IF(AND(F1224="Closed",X1224&gt;=DATE(2026,6,1),X1224&lt;=DATE(2026,6,30)),"Closed in June","other")</f>
        <v/>
      </c>
    </row>
    <row r="1225" hidden="1">
      <c r="A1225" s="9" t="n">
        <v>46161</v>
      </c>
      <c r="B1225" s="1" t="n">
        <v>2026</v>
      </c>
      <c r="C1225" s="8" t="inlineStr">
        <is>
          <t>Continuum</t>
        </is>
      </c>
      <c r="D1225" s="11" t="inlineStr">
        <is>
          <t>Utility and C&amp;I</t>
        </is>
      </c>
      <c r="E1225" s="1" t="n"/>
      <c r="F1225" s="1" t="inlineStr">
        <is>
          <t>Closed</t>
        </is>
      </c>
      <c r="G1225" s="50" t="inlineStr">
        <is>
          <t>Mr. Harendresinh Jadeja</t>
        </is>
      </c>
      <c r="H1225" s="8" t="n">
        <v>9825182102</v>
      </c>
      <c r="I1225" s="10" t="inlineStr">
        <is>
          <t>PE19052601</t>
        </is>
      </c>
      <c r="J1225" s="8" t="inlineStr">
        <is>
          <t xml:space="preserve">Diode failure </t>
        </is>
      </c>
      <c r="K1225" s="8" t="inlineStr">
        <is>
          <t>Nakhatrana</t>
        </is>
      </c>
      <c r="L1225" s="8" t="inlineStr">
        <is>
          <t>Gujarat</t>
        </is>
      </c>
      <c r="M1225" s="2" t="inlineStr">
        <is>
          <t>NS</t>
        </is>
      </c>
      <c r="N1225" s="8" t="inlineStr">
        <is>
          <t>Cold Soldering</t>
        </is>
      </c>
      <c r="O1225" s="51" t="n">
        <v>580</v>
      </c>
      <c r="P1225" s="2" t="inlineStr">
        <is>
          <t>NSMI25011265280</t>
        </is>
      </c>
      <c r="Q1225" s="29">
        <f>MID(P1225,5,2)</f>
        <v/>
      </c>
      <c r="R1225" s="14">
        <f>MID(P1225,7,2)</f>
        <v/>
      </c>
      <c r="S1225" s="1" t="inlineStr">
        <is>
          <t>G2G</t>
        </is>
      </c>
      <c r="T1225" s="1" t="inlineStr">
        <is>
          <t>P4 - PEIPL</t>
        </is>
      </c>
      <c r="U1225" s="6" t="inlineStr">
        <is>
          <t>N JB Cold Soldering</t>
        </is>
      </c>
      <c r="V1225" s="1" t="inlineStr">
        <is>
          <t>Inspection</t>
        </is>
      </c>
      <c r="W1225" s="1" t="inlineStr">
        <is>
          <t>Repair</t>
        </is>
      </c>
      <c r="X1225" s="5" t="n">
        <v>46188</v>
      </c>
      <c r="Y1225" s="1">
        <f>IF(X1225="","",X1225-A1225)</f>
        <v/>
      </c>
      <c r="Z1225" s="5" t="n">
        <v>46188</v>
      </c>
      <c r="AA1225" s="3" t="n"/>
      <c r="AB1225" s="3" t="n"/>
      <c r="AE1225" s="146">
        <f>IF(AND(F1225="Closed",X1225&gt;=DATE(2026,6,1),X1225&lt;=DATE(2026,6,30)),"Closed in June","other")</f>
        <v/>
      </c>
    </row>
    <row r="1226" hidden="1">
      <c r="A1226" s="9" t="n">
        <v>46161</v>
      </c>
      <c r="B1226" s="1" t="n">
        <v>2026</v>
      </c>
      <c r="C1226" s="8" t="inlineStr">
        <is>
          <t>Continuum</t>
        </is>
      </c>
      <c r="D1226" s="11" t="inlineStr">
        <is>
          <t>Utility and C&amp;I</t>
        </is>
      </c>
      <c r="E1226" s="1" t="n"/>
      <c r="F1226" s="1" t="inlineStr">
        <is>
          <t>Closed</t>
        </is>
      </c>
      <c r="G1226" s="50" t="inlineStr">
        <is>
          <t>Mr. Harendresinh Jadeja</t>
        </is>
      </c>
      <c r="H1226" s="8" t="n">
        <v>9825182102</v>
      </c>
      <c r="I1226" s="10" t="inlineStr">
        <is>
          <t>PE19052601</t>
        </is>
      </c>
      <c r="J1226" s="8" t="inlineStr">
        <is>
          <t xml:space="preserve">Diode failure </t>
        </is>
      </c>
      <c r="K1226" s="8" t="inlineStr">
        <is>
          <t>Nakhatrana</t>
        </is>
      </c>
      <c r="L1226" s="8" t="inlineStr">
        <is>
          <t>Gujarat</t>
        </is>
      </c>
      <c r="M1226" s="2" t="inlineStr">
        <is>
          <t>PR</t>
        </is>
      </c>
      <c r="N1226" s="1" t="inlineStr">
        <is>
          <t>JB Issue</t>
        </is>
      </c>
      <c r="O1226" s="51" t="n">
        <v>580</v>
      </c>
      <c r="P1226" s="2" t="inlineStr">
        <is>
          <t>NSMI25011265672</t>
        </is>
      </c>
      <c r="Q1226" s="29">
        <f>MID(P1226,5,2)</f>
        <v/>
      </c>
      <c r="R1226" s="14">
        <f>MID(P1226,7,2)</f>
        <v/>
      </c>
      <c r="S1226" s="1" t="inlineStr">
        <is>
          <t>G2G</t>
        </is>
      </c>
      <c r="T1226" s="1" t="inlineStr">
        <is>
          <t>P4 - PEIPL</t>
        </is>
      </c>
      <c r="U1226" s="6" t="inlineStr">
        <is>
          <t>P JB Issue</t>
        </is>
      </c>
      <c r="V1226" s="1" t="inlineStr">
        <is>
          <t>Inspection</t>
        </is>
      </c>
      <c r="W1226" s="1" t="inlineStr">
        <is>
          <t>Repair</t>
        </is>
      </c>
      <c r="X1226" s="5" t="n">
        <v>46188</v>
      </c>
      <c r="Y1226" s="1">
        <f>IF(X1226="","",X1226-A1226)</f>
        <v/>
      </c>
      <c r="Z1226" s="5" t="n">
        <v>46188</v>
      </c>
      <c r="AA1226" s="3" t="n"/>
      <c r="AB1226" s="3" t="n"/>
      <c r="AE1226" s="146">
        <f>IF(AND(F1226="Closed",X1226&gt;=DATE(2026,6,1),X1226&lt;=DATE(2026,6,30)),"Closed in June","other")</f>
        <v/>
      </c>
    </row>
    <row r="1227" hidden="1">
      <c r="A1227" s="9" t="n">
        <v>46161</v>
      </c>
      <c r="B1227" s="1" t="n">
        <v>2026</v>
      </c>
      <c r="C1227" s="8" t="inlineStr">
        <is>
          <t>Continuum</t>
        </is>
      </c>
      <c r="D1227" s="11" t="inlineStr">
        <is>
          <t>Utility and C&amp;I</t>
        </is>
      </c>
      <c r="E1227" s="1" t="n"/>
      <c r="F1227" s="1" t="inlineStr">
        <is>
          <t>Closed</t>
        </is>
      </c>
      <c r="G1227" s="50" t="inlineStr">
        <is>
          <t>Mr. Harendresinh Jadeja</t>
        </is>
      </c>
      <c r="H1227" s="8" t="n">
        <v>9825182102</v>
      </c>
      <c r="I1227" s="10" t="inlineStr">
        <is>
          <t>PE19052601</t>
        </is>
      </c>
      <c r="J1227" s="8" t="inlineStr">
        <is>
          <t xml:space="preserve">Diode failure </t>
        </is>
      </c>
      <c r="K1227" s="8" t="inlineStr">
        <is>
          <t>Nakhatrana</t>
        </is>
      </c>
      <c r="L1227" s="8" t="inlineStr">
        <is>
          <t>Gujarat</t>
        </is>
      </c>
      <c r="M1227" s="2" t="inlineStr">
        <is>
          <t>PS</t>
        </is>
      </c>
      <c r="N1227" s="1" t="inlineStr">
        <is>
          <t>Cold Soldering</t>
        </is>
      </c>
      <c r="O1227" s="51" t="n">
        <v>580</v>
      </c>
      <c r="P1227" s="2" t="inlineStr">
        <is>
          <t>NSMI25011263302</t>
        </is>
      </c>
      <c r="Q1227" s="29">
        <f>MID(P1227,5,2)</f>
        <v/>
      </c>
      <c r="R1227" s="14">
        <f>MID(P1227,7,2)</f>
        <v/>
      </c>
      <c r="S1227" s="1" t="inlineStr">
        <is>
          <t>G2G</t>
        </is>
      </c>
      <c r="T1227" s="1" t="inlineStr">
        <is>
          <t>P4 - PEIPL</t>
        </is>
      </c>
      <c r="U1227" s="1" t="inlineStr">
        <is>
          <t>P JB Cold Soldering</t>
        </is>
      </c>
      <c r="V1227" s="1" t="inlineStr">
        <is>
          <t>Inspection</t>
        </is>
      </c>
      <c r="W1227" s="1" t="inlineStr">
        <is>
          <t>Repair</t>
        </is>
      </c>
      <c r="X1227" s="5" t="n">
        <v>46188</v>
      </c>
      <c r="Y1227" s="1">
        <f>IF(X1227="","",X1227-A1227)</f>
        <v/>
      </c>
      <c r="Z1227" s="5" t="n">
        <v>46188</v>
      </c>
      <c r="AA1227" s="3" t="n"/>
      <c r="AB1227" s="3" t="n"/>
      <c r="AE1227" s="146">
        <f>IF(AND(F1227="Closed",X1227&gt;=DATE(2026,6,1),X1227&lt;=DATE(2026,6,30)),"Closed in June","other")</f>
        <v/>
      </c>
    </row>
    <row r="1228" hidden="1">
      <c r="A1228" s="9" t="n">
        <v>46161</v>
      </c>
      <c r="B1228" s="1" t="n">
        <v>2026</v>
      </c>
      <c r="C1228" s="8" t="inlineStr">
        <is>
          <t>Continuum</t>
        </is>
      </c>
      <c r="D1228" s="11" t="inlineStr">
        <is>
          <t>Utility and C&amp;I</t>
        </is>
      </c>
      <c r="E1228" s="1" t="n"/>
      <c r="F1228" s="1" t="inlineStr">
        <is>
          <t>Closed</t>
        </is>
      </c>
      <c r="G1228" s="50" t="inlineStr">
        <is>
          <t>Mr. Harendresinh Jadeja</t>
        </is>
      </c>
      <c r="H1228" s="8" t="n">
        <v>9825182102</v>
      </c>
      <c r="I1228" s="10" t="inlineStr">
        <is>
          <t>PE19052601</t>
        </is>
      </c>
      <c r="J1228" s="8" t="inlineStr">
        <is>
          <t xml:space="preserve">Diode failure </t>
        </is>
      </c>
      <c r="K1228" s="8" t="inlineStr">
        <is>
          <t>Nakhatrana</t>
        </is>
      </c>
      <c r="L1228" s="8" t="inlineStr">
        <is>
          <t>Gujarat</t>
        </is>
      </c>
      <c r="M1228" s="2" t="inlineStr">
        <is>
          <t>NS</t>
        </is>
      </c>
      <c r="N1228" s="8" t="inlineStr">
        <is>
          <t>Cold Soldering</t>
        </is>
      </c>
      <c r="O1228" s="51" t="n">
        <v>580</v>
      </c>
      <c r="P1228" s="2" t="inlineStr">
        <is>
          <t>NSMI25011257570</t>
        </is>
      </c>
      <c r="Q1228" s="29">
        <f>MID(P1228,5,2)</f>
        <v/>
      </c>
      <c r="R1228" s="14">
        <f>MID(P1228,7,2)</f>
        <v/>
      </c>
      <c r="S1228" s="1" t="inlineStr">
        <is>
          <t>G2G</t>
        </is>
      </c>
      <c r="T1228" s="1" t="inlineStr">
        <is>
          <t>P4 - PEIPL</t>
        </is>
      </c>
      <c r="U1228" s="6" t="inlineStr">
        <is>
          <t>N JB Cold Soldering</t>
        </is>
      </c>
      <c r="V1228" s="1" t="inlineStr">
        <is>
          <t>Inspection</t>
        </is>
      </c>
      <c r="W1228" s="1" t="inlineStr">
        <is>
          <t>Repair</t>
        </is>
      </c>
      <c r="X1228" s="5" t="n">
        <v>46188</v>
      </c>
      <c r="Y1228" s="1">
        <f>IF(X1228="","",X1228-A1228)</f>
        <v/>
      </c>
      <c r="Z1228" s="5" t="n">
        <v>46188</v>
      </c>
      <c r="AA1228" s="3" t="n"/>
      <c r="AB1228" s="3" t="n"/>
      <c r="AE1228" s="146">
        <f>IF(AND(F1228="Closed",X1228&gt;=DATE(2026,6,1),X1228&lt;=DATE(2026,6,30)),"Closed in June","other")</f>
        <v/>
      </c>
    </row>
    <row r="1229" hidden="1">
      <c r="A1229" s="9" t="n">
        <v>46161</v>
      </c>
      <c r="B1229" s="1" t="n">
        <v>2026</v>
      </c>
      <c r="C1229" s="8" t="inlineStr">
        <is>
          <t>Continuum</t>
        </is>
      </c>
      <c r="D1229" s="11" t="inlineStr">
        <is>
          <t>Utility and C&amp;I</t>
        </is>
      </c>
      <c r="E1229" s="1" t="n"/>
      <c r="F1229" s="1" t="inlineStr">
        <is>
          <t>Closed</t>
        </is>
      </c>
      <c r="G1229" s="50" t="inlineStr">
        <is>
          <t>Mr. Harendresinh Jadeja</t>
        </is>
      </c>
      <c r="H1229" s="8" t="n">
        <v>9825182102</v>
      </c>
      <c r="I1229" s="10" t="inlineStr">
        <is>
          <t>PE19052601</t>
        </is>
      </c>
      <c r="J1229" s="8" t="inlineStr">
        <is>
          <t xml:space="preserve">Diode failure </t>
        </is>
      </c>
      <c r="K1229" s="8" t="inlineStr">
        <is>
          <t>Nakhatrana</t>
        </is>
      </c>
      <c r="L1229" s="8" t="inlineStr">
        <is>
          <t>Gujarat</t>
        </is>
      </c>
      <c r="M1229" s="2" t="inlineStr">
        <is>
          <t>PS</t>
        </is>
      </c>
      <c r="N1229" s="1" t="inlineStr">
        <is>
          <t>Cold Soldering</t>
        </is>
      </c>
      <c r="O1229" s="51" t="n">
        <v>580</v>
      </c>
      <c r="P1229" s="2" t="inlineStr">
        <is>
          <t>NSMI25011294550</t>
        </is>
      </c>
      <c r="Q1229" s="29">
        <f>MID(P1229,5,2)</f>
        <v/>
      </c>
      <c r="R1229" s="14">
        <f>MID(P1229,7,2)</f>
        <v/>
      </c>
      <c r="S1229" s="1" t="inlineStr">
        <is>
          <t>G2G</t>
        </is>
      </c>
      <c r="T1229" s="1" t="inlineStr">
        <is>
          <t>P4 - PEIPL</t>
        </is>
      </c>
      <c r="U1229" s="1" t="inlineStr">
        <is>
          <t>P JB Cold Soldering</t>
        </is>
      </c>
      <c r="V1229" s="1" t="inlineStr">
        <is>
          <t>Inspection</t>
        </is>
      </c>
      <c r="W1229" s="1" t="inlineStr">
        <is>
          <t>Repair</t>
        </is>
      </c>
      <c r="X1229" s="5" t="n">
        <v>46188</v>
      </c>
      <c r="Y1229" s="1">
        <f>IF(X1229="","",X1229-A1229)</f>
        <v/>
      </c>
      <c r="Z1229" s="5" t="n">
        <v>46188</v>
      </c>
      <c r="AA1229" s="3" t="n"/>
      <c r="AB1229" s="3" t="n"/>
      <c r="AE1229" s="146">
        <f>IF(AND(F1229="Closed",X1229&gt;=DATE(2026,6,1),X1229&lt;=DATE(2026,6,30)),"Closed in June","other")</f>
        <v/>
      </c>
    </row>
    <row r="1230" hidden="1">
      <c r="A1230" s="9" t="n">
        <v>46161</v>
      </c>
      <c r="B1230" s="1" t="n">
        <v>2026</v>
      </c>
      <c r="C1230" s="8" t="inlineStr">
        <is>
          <t>Continuum</t>
        </is>
      </c>
      <c r="D1230" s="11" t="inlineStr">
        <is>
          <t>Utility and C&amp;I</t>
        </is>
      </c>
      <c r="E1230" s="1" t="n"/>
      <c r="F1230" s="1" t="inlineStr">
        <is>
          <t>Closed</t>
        </is>
      </c>
      <c r="G1230" s="50" t="inlineStr">
        <is>
          <t>Mr. Harendresinh Jadeja</t>
        </is>
      </c>
      <c r="H1230" s="8" t="n">
        <v>9825182102</v>
      </c>
      <c r="I1230" s="10" t="inlineStr">
        <is>
          <t>PE19052601</t>
        </is>
      </c>
      <c r="J1230" s="8" t="inlineStr">
        <is>
          <t xml:space="preserve">Diode failure </t>
        </is>
      </c>
      <c r="K1230" s="8" t="inlineStr">
        <is>
          <t>Nakhatrana</t>
        </is>
      </c>
      <c r="L1230" s="8" t="inlineStr">
        <is>
          <t>Gujarat</t>
        </is>
      </c>
      <c r="M1230" s="2" t="inlineStr">
        <is>
          <t>PS</t>
        </is>
      </c>
      <c r="N1230" s="1" t="inlineStr">
        <is>
          <t>Cold Soldering</t>
        </is>
      </c>
      <c r="O1230" s="51" t="n">
        <v>580</v>
      </c>
      <c r="P1230" s="2" t="inlineStr">
        <is>
          <t>NSMI25040054184</t>
        </is>
      </c>
      <c r="Q1230" s="29">
        <f>MID(P1230,5,2)</f>
        <v/>
      </c>
      <c r="R1230" s="14">
        <f>MID(P1230,7,2)</f>
        <v/>
      </c>
      <c r="S1230" s="1" t="inlineStr">
        <is>
          <t>G2G</t>
        </is>
      </c>
      <c r="T1230" s="1" t="inlineStr">
        <is>
          <t>P4 - PEIPL</t>
        </is>
      </c>
      <c r="U1230" s="1" t="inlineStr">
        <is>
          <t>P JB Cold Soldering</t>
        </is>
      </c>
      <c r="V1230" s="1" t="inlineStr">
        <is>
          <t>Inspection</t>
        </is>
      </c>
      <c r="W1230" s="1" t="inlineStr">
        <is>
          <t>Repair</t>
        </is>
      </c>
      <c r="X1230" s="5" t="n">
        <v>46188</v>
      </c>
      <c r="Y1230" s="1">
        <f>IF(X1230="","",X1230-A1230)</f>
        <v/>
      </c>
      <c r="Z1230" s="5" t="n">
        <v>46188</v>
      </c>
      <c r="AA1230" s="3" t="n"/>
      <c r="AB1230" s="3" t="n"/>
      <c r="AE1230" s="146">
        <f>IF(AND(F1230="Closed",X1230&gt;=DATE(2026,6,1),X1230&lt;=DATE(2026,6,30)),"Closed in June","other")</f>
        <v/>
      </c>
    </row>
    <row r="1231" hidden="1">
      <c r="A1231" s="9" t="n">
        <v>46161</v>
      </c>
      <c r="B1231" s="1" t="n">
        <v>2026</v>
      </c>
      <c r="C1231" s="8" t="inlineStr">
        <is>
          <t>Continuum</t>
        </is>
      </c>
      <c r="D1231" s="11" t="inlineStr">
        <is>
          <t>Utility and C&amp;I</t>
        </is>
      </c>
      <c r="E1231" s="1" t="n"/>
      <c r="F1231" s="1" t="inlineStr">
        <is>
          <t>Closed</t>
        </is>
      </c>
      <c r="G1231" s="50" t="inlineStr">
        <is>
          <t>Mr. Harendresinh Jadeja</t>
        </is>
      </c>
      <c r="H1231" s="8" t="n">
        <v>9825182102</v>
      </c>
      <c r="I1231" s="10" t="inlineStr">
        <is>
          <t>PE19052601</t>
        </is>
      </c>
      <c r="J1231" s="8" t="inlineStr">
        <is>
          <t xml:space="preserve">Diode failure </t>
        </is>
      </c>
      <c r="K1231" s="8" t="inlineStr">
        <is>
          <t>Nakhatrana</t>
        </is>
      </c>
      <c r="L1231" s="8" t="inlineStr">
        <is>
          <t>Gujarat</t>
        </is>
      </c>
      <c r="M1231" s="2" t="inlineStr">
        <is>
          <t>PR</t>
        </is>
      </c>
      <c r="N1231" s="1" t="inlineStr">
        <is>
          <t>JB Issue</t>
        </is>
      </c>
      <c r="O1231" s="51" t="n">
        <v>580</v>
      </c>
      <c r="P1231" s="2" t="inlineStr">
        <is>
          <t>NSMI25011277387</t>
        </is>
      </c>
      <c r="Q1231" s="29">
        <f>MID(P1231,5,2)</f>
        <v/>
      </c>
      <c r="R1231" s="14">
        <f>MID(P1231,7,2)</f>
        <v/>
      </c>
      <c r="S1231" s="1" t="inlineStr">
        <is>
          <t>G2G</t>
        </is>
      </c>
      <c r="T1231" s="1" t="inlineStr">
        <is>
          <t>P4 - PEIPL</t>
        </is>
      </c>
      <c r="U1231" s="6" t="inlineStr">
        <is>
          <t>P JB Issue</t>
        </is>
      </c>
      <c r="V1231" s="1" t="inlineStr">
        <is>
          <t>Inspection</t>
        </is>
      </c>
      <c r="W1231" s="1" t="inlineStr">
        <is>
          <t>Repair</t>
        </is>
      </c>
      <c r="X1231" s="5" t="n">
        <v>46188</v>
      </c>
      <c r="Y1231" s="1">
        <f>IF(X1231="","",X1231-A1231)</f>
        <v/>
      </c>
      <c r="Z1231" s="5" t="n">
        <v>46188</v>
      </c>
      <c r="AA1231" s="3" t="n"/>
      <c r="AB1231" s="3" t="n"/>
      <c r="AE1231" s="146">
        <f>IF(AND(F1231="Closed",X1231&gt;=DATE(2026,6,1),X1231&lt;=DATE(2026,6,30)),"Closed in June","other")</f>
        <v/>
      </c>
    </row>
    <row r="1232" hidden="1">
      <c r="A1232" s="9" t="n">
        <v>46161</v>
      </c>
      <c r="B1232" s="1" t="n">
        <v>2026</v>
      </c>
      <c r="C1232" s="8" t="inlineStr">
        <is>
          <t>Continuum</t>
        </is>
      </c>
      <c r="D1232" s="11" t="inlineStr">
        <is>
          <t>Utility and C&amp;I</t>
        </is>
      </c>
      <c r="E1232" s="1" t="n"/>
      <c r="F1232" s="1" t="inlineStr">
        <is>
          <t>Closed</t>
        </is>
      </c>
      <c r="G1232" s="50" t="inlineStr">
        <is>
          <t>Mr. Harendresinh Jadeja</t>
        </is>
      </c>
      <c r="H1232" s="8" t="n">
        <v>9825182102</v>
      </c>
      <c r="I1232" s="10" t="inlineStr">
        <is>
          <t>PE19052601</t>
        </is>
      </c>
      <c r="J1232" s="8" t="inlineStr">
        <is>
          <t xml:space="preserve">Diode failure </t>
        </is>
      </c>
      <c r="K1232" s="8" t="inlineStr">
        <is>
          <t>Nakhatrana</t>
        </is>
      </c>
      <c r="L1232" s="8" t="inlineStr">
        <is>
          <t>Gujarat</t>
        </is>
      </c>
      <c r="M1232" s="2" t="inlineStr">
        <is>
          <t>NS</t>
        </is>
      </c>
      <c r="N1232" s="8" t="inlineStr">
        <is>
          <t>Cold Soldering</t>
        </is>
      </c>
      <c r="O1232" s="51" t="n">
        <v>580</v>
      </c>
      <c r="P1232" s="2" t="inlineStr">
        <is>
          <t>NSMI25011289843</t>
        </is>
      </c>
      <c r="Q1232" s="29">
        <f>MID(P1232,5,2)</f>
        <v/>
      </c>
      <c r="R1232" s="14">
        <f>MID(P1232,7,2)</f>
        <v/>
      </c>
      <c r="S1232" s="1" t="inlineStr">
        <is>
          <t>G2G</t>
        </is>
      </c>
      <c r="T1232" s="1" t="inlineStr">
        <is>
          <t>P4 - PEIPL</t>
        </is>
      </c>
      <c r="U1232" s="6" t="inlineStr">
        <is>
          <t>N JB Cold Soldering</t>
        </is>
      </c>
      <c r="V1232" s="1" t="inlineStr">
        <is>
          <t>Inspection</t>
        </is>
      </c>
      <c r="W1232" s="1" t="inlineStr">
        <is>
          <t>Repair</t>
        </is>
      </c>
      <c r="X1232" s="5" t="n">
        <v>46188</v>
      </c>
      <c r="Y1232" s="1">
        <f>IF(X1232="","",X1232-A1232)</f>
        <v/>
      </c>
      <c r="Z1232" s="5" t="n">
        <v>46188</v>
      </c>
      <c r="AA1232" s="3" t="n"/>
      <c r="AB1232" s="3" t="n"/>
      <c r="AE1232" s="146">
        <f>IF(AND(F1232="Closed",X1232&gt;=DATE(2026,6,1),X1232&lt;=DATE(2026,6,30)),"Closed in June","other")</f>
        <v/>
      </c>
    </row>
    <row r="1233" hidden="1">
      <c r="A1233" s="9" t="n">
        <v>46161</v>
      </c>
      <c r="B1233" s="1" t="n">
        <v>2026</v>
      </c>
      <c r="C1233" s="8" t="inlineStr">
        <is>
          <t>Continuum</t>
        </is>
      </c>
      <c r="D1233" s="11" t="inlineStr">
        <is>
          <t>Utility and C&amp;I</t>
        </is>
      </c>
      <c r="E1233" s="1" t="n"/>
      <c r="F1233" s="1" t="inlineStr">
        <is>
          <t>Closed</t>
        </is>
      </c>
      <c r="G1233" s="50" t="inlineStr">
        <is>
          <t>Mr. Harendresinh Jadeja</t>
        </is>
      </c>
      <c r="H1233" s="8" t="n">
        <v>9825182102</v>
      </c>
      <c r="I1233" s="10" t="inlineStr">
        <is>
          <t>PE19052601</t>
        </is>
      </c>
      <c r="J1233" s="8" t="inlineStr">
        <is>
          <t xml:space="preserve">Diode failure </t>
        </is>
      </c>
      <c r="K1233" s="8" t="inlineStr">
        <is>
          <t>Nakhatrana</t>
        </is>
      </c>
      <c r="L1233" s="8" t="inlineStr">
        <is>
          <t>Gujarat</t>
        </is>
      </c>
      <c r="M1233" s="2" t="inlineStr">
        <is>
          <t>OK</t>
        </is>
      </c>
      <c r="N1233" s="2" t="inlineStr">
        <is>
          <t>No Issue Found</t>
        </is>
      </c>
      <c r="O1233" s="51" t="n">
        <v>580</v>
      </c>
      <c r="P1233" s="2" t="inlineStr">
        <is>
          <t>NSMI25011277157</t>
        </is>
      </c>
      <c r="Q1233" s="29">
        <f>MID(P1233,5,2)</f>
        <v/>
      </c>
      <c r="R1233" s="14">
        <f>MID(P1233,7,2)</f>
        <v/>
      </c>
      <c r="S1233" s="1" t="inlineStr">
        <is>
          <t>G2G</t>
        </is>
      </c>
      <c r="T1233" s="1" t="inlineStr">
        <is>
          <t>P4 - PEIPL</t>
        </is>
      </c>
      <c r="U1233" s="6" t="inlineStr">
        <is>
          <t>No Issue Found</t>
        </is>
      </c>
      <c r="V1233" s="1" t="inlineStr">
        <is>
          <t>Inspection</t>
        </is>
      </c>
      <c r="W1233" s="1" t="inlineStr">
        <is>
          <t>Rejected</t>
        </is>
      </c>
      <c r="X1233" s="5" t="n">
        <v>46188</v>
      </c>
      <c r="Y1233" s="1">
        <f>IF(X1233="","",X1233-A1233)</f>
        <v/>
      </c>
      <c r="Z1233" s="5" t="n">
        <v>46188</v>
      </c>
      <c r="AA1233" s="3" t="n"/>
      <c r="AB1233" s="3" t="n"/>
      <c r="AE1233" s="146">
        <f>IF(AND(F1233="Closed",X1233&gt;=DATE(2026,6,1),X1233&lt;=DATE(2026,6,30)),"Closed in June","other")</f>
        <v/>
      </c>
    </row>
    <row r="1234" hidden="1">
      <c r="A1234" s="9" t="n">
        <v>46161</v>
      </c>
      <c r="B1234" s="1" t="n">
        <v>2026</v>
      </c>
      <c r="C1234" s="8" t="inlineStr">
        <is>
          <t>Continuum</t>
        </is>
      </c>
      <c r="D1234" s="11" t="inlineStr">
        <is>
          <t>Utility and C&amp;I</t>
        </is>
      </c>
      <c r="E1234" s="1" t="n"/>
      <c r="F1234" s="1" t="inlineStr">
        <is>
          <t>Closed</t>
        </is>
      </c>
      <c r="G1234" s="50" t="inlineStr">
        <is>
          <t>Mr. Harendresinh Jadeja</t>
        </is>
      </c>
      <c r="H1234" s="8" t="n">
        <v>9825182102</v>
      </c>
      <c r="I1234" s="10" t="inlineStr">
        <is>
          <t>PE19052601</t>
        </is>
      </c>
      <c r="J1234" s="8" t="inlineStr">
        <is>
          <t xml:space="preserve">Diode failure </t>
        </is>
      </c>
      <c r="K1234" s="8" t="inlineStr">
        <is>
          <t>Nakhatrana</t>
        </is>
      </c>
      <c r="L1234" s="8" t="inlineStr">
        <is>
          <t>Gujarat</t>
        </is>
      </c>
      <c r="M1234" s="2" t="inlineStr">
        <is>
          <t>PS</t>
        </is>
      </c>
      <c r="N1234" s="1" t="inlineStr">
        <is>
          <t>Cold Soldering</t>
        </is>
      </c>
      <c r="O1234" s="51" t="n">
        <v>580</v>
      </c>
      <c r="P1234" s="2" t="inlineStr">
        <is>
          <t>NSMI25011238637</t>
        </is>
      </c>
      <c r="Q1234" s="29">
        <f>MID(P1234,5,2)</f>
        <v/>
      </c>
      <c r="R1234" s="14">
        <f>MID(P1234,7,2)</f>
        <v/>
      </c>
      <c r="S1234" s="1" t="inlineStr">
        <is>
          <t>G2G</t>
        </is>
      </c>
      <c r="T1234" s="1" t="inlineStr">
        <is>
          <t>P4 - PEIPL</t>
        </is>
      </c>
      <c r="U1234" s="1" t="inlineStr">
        <is>
          <t>P JB Cold Soldering</t>
        </is>
      </c>
      <c r="V1234" s="1" t="inlineStr">
        <is>
          <t>Inspection</t>
        </is>
      </c>
      <c r="W1234" s="1" t="inlineStr">
        <is>
          <t>Repair</t>
        </is>
      </c>
      <c r="X1234" s="5" t="n">
        <v>46188</v>
      </c>
      <c r="Y1234" s="1">
        <f>IF(X1234="","",X1234-A1234)</f>
        <v/>
      </c>
      <c r="Z1234" s="5" t="n">
        <v>46188</v>
      </c>
      <c r="AA1234" s="3" t="n"/>
      <c r="AB1234" s="3" t="n"/>
      <c r="AE1234" s="146">
        <f>IF(AND(F1234="Closed",X1234&gt;=DATE(2026,6,1),X1234&lt;=DATE(2026,6,30)),"Closed in June","other")</f>
        <v/>
      </c>
    </row>
    <row r="1235" hidden="1">
      <c r="A1235" s="9" t="n">
        <v>46161</v>
      </c>
      <c r="B1235" s="1" t="n">
        <v>2026</v>
      </c>
      <c r="C1235" s="8" t="inlineStr">
        <is>
          <t>Continuum</t>
        </is>
      </c>
      <c r="D1235" s="11" t="inlineStr">
        <is>
          <t>Utility and C&amp;I</t>
        </is>
      </c>
      <c r="E1235" s="1" t="n"/>
      <c r="F1235" s="1" t="inlineStr">
        <is>
          <t>Closed</t>
        </is>
      </c>
      <c r="G1235" s="50" t="inlineStr">
        <is>
          <t>Mr. Harendresinh Jadeja</t>
        </is>
      </c>
      <c r="H1235" s="8" t="n">
        <v>9825182102</v>
      </c>
      <c r="I1235" s="10" t="inlineStr">
        <is>
          <t>PE19052601</t>
        </is>
      </c>
      <c r="J1235" s="8" t="inlineStr">
        <is>
          <t xml:space="preserve">Diode failure </t>
        </is>
      </c>
      <c r="K1235" s="8" t="inlineStr">
        <is>
          <t>Nakhatrana</t>
        </is>
      </c>
      <c r="L1235" s="8" t="inlineStr">
        <is>
          <t>Gujarat</t>
        </is>
      </c>
      <c r="M1235" s="2" t="inlineStr">
        <is>
          <t>PS</t>
        </is>
      </c>
      <c r="N1235" s="1" t="inlineStr">
        <is>
          <t>Cold Soldering</t>
        </is>
      </c>
      <c r="O1235" s="51" t="n">
        <v>580</v>
      </c>
      <c r="P1235" s="2" t="inlineStr">
        <is>
          <t>NSMI25011232792</t>
        </is>
      </c>
      <c r="Q1235" s="29">
        <f>MID(P1235,5,2)</f>
        <v/>
      </c>
      <c r="R1235" s="14">
        <f>MID(P1235,7,2)</f>
        <v/>
      </c>
      <c r="S1235" s="1" t="inlineStr">
        <is>
          <t>G2G</t>
        </is>
      </c>
      <c r="T1235" s="1" t="inlineStr">
        <is>
          <t>P4 - PEIPL</t>
        </is>
      </c>
      <c r="U1235" s="1" t="inlineStr">
        <is>
          <t>P JB Cold Soldering</t>
        </is>
      </c>
      <c r="V1235" s="1" t="inlineStr">
        <is>
          <t>Inspection</t>
        </is>
      </c>
      <c r="W1235" s="1" t="inlineStr">
        <is>
          <t>Repair</t>
        </is>
      </c>
      <c r="X1235" s="5" t="n">
        <v>46188</v>
      </c>
      <c r="Y1235" s="1">
        <f>IF(X1235="","",X1235-A1235)</f>
        <v/>
      </c>
      <c r="Z1235" s="5" t="n">
        <v>46188</v>
      </c>
      <c r="AA1235" s="3" t="n"/>
      <c r="AB1235" s="3" t="n"/>
      <c r="AE1235" s="146">
        <f>IF(AND(F1235="Closed",X1235&gt;=DATE(2026,6,1),X1235&lt;=DATE(2026,6,30)),"Closed in June","other")</f>
        <v/>
      </c>
    </row>
    <row r="1236" hidden="1">
      <c r="A1236" s="9" t="n">
        <v>46161</v>
      </c>
      <c r="B1236" s="1" t="n">
        <v>2026</v>
      </c>
      <c r="C1236" s="8" t="inlineStr">
        <is>
          <t>Continuum</t>
        </is>
      </c>
      <c r="D1236" s="11" t="inlineStr">
        <is>
          <t>Utility and C&amp;I</t>
        </is>
      </c>
      <c r="E1236" s="1" t="n"/>
      <c r="F1236" s="1" t="inlineStr">
        <is>
          <t>Closed</t>
        </is>
      </c>
      <c r="G1236" s="50" t="inlineStr">
        <is>
          <t>Mr. Harendresinh Jadeja</t>
        </is>
      </c>
      <c r="H1236" s="8" t="n">
        <v>9825182102</v>
      </c>
      <c r="I1236" s="10" t="inlineStr">
        <is>
          <t>PE19052601</t>
        </is>
      </c>
      <c r="J1236" s="8" t="inlineStr">
        <is>
          <t xml:space="preserve">Diode failure </t>
        </is>
      </c>
      <c r="K1236" s="8" t="inlineStr">
        <is>
          <t>Nakhatrana</t>
        </is>
      </c>
      <c r="L1236" s="8" t="inlineStr">
        <is>
          <t>Gujarat</t>
        </is>
      </c>
      <c r="M1236" s="2" t="inlineStr">
        <is>
          <t>PS</t>
        </is>
      </c>
      <c r="N1236" s="1" t="inlineStr">
        <is>
          <t>Cold Soldering</t>
        </is>
      </c>
      <c r="O1236" s="51" t="n">
        <v>580</v>
      </c>
      <c r="P1236" s="2" t="inlineStr">
        <is>
          <t>NSMI25011256515</t>
        </is>
      </c>
      <c r="Q1236" s="29">
        <f>MID(P1236,5,2)</f>
        <v/>
      </c>
      <c r="R1236" s="14">
        <f>MID(P1236,7,2)</f>
        <v/>
      </c>
      <c r="S1236" s="1" t="inlineStr">
        <is>
          <t>G2G</t>
        </is>
      </c>
      <c r="T1236" s="1" t="inlineStr">
        <is>
          <t>P4 - PEIPL</t>
        </is>
      </c>
      <c r="U1236" s="1" t="inlineStr">
        <is>
          <t>P JB Cold Soldering</t>
        </is>
      </c>
      <c r="V1236" s="1" t="inlineStr">
        <is>
          <t>Inspection</t>
        </is>
      </c>
      <c r="W1236" s="1" t="inlineStr">
        <is>
          <t>Repair</t>
        </is>
      </c>
      <c r="X1236" s="5" t="n">
        <v>46188</v>
      </c>
      <c r="Y1236" s="1">
        <f>IF(X1236="","",X1236-A1236)</f>
        <v/>
      </c>
      <c r="Z1236" s="5" t="n">
        <v>46188</v>
      </c>
      <c r="AA1236" s="3" t="n"/>
      <c r="AB1236" s="3" t="n"/>
      <c r="AE1236" s="146">
        <f>IF(AND(F1236="Closed",X1236&gt;=DATE(2026,6,1),X1236&lt;=DATE(2026,6,30)),"Closed in June","other")</f>
        <v/>
      </c>
    </row>
    <row r="1237" hidden="1">
      <c r="A1237" s="9" t="n">
        <v>46161</v>
      </c>
      <c r="B1237" s="1" t="n">
        <v>2026</v>
      </c>
      <c r="C1237" s="8" t="inlineStr">
        <is>
          <t>Continuum</t>
        </is>
      </c>
      <c r="D1237" s="11" t="inlineStr">
        <is>
          <t>Utility and C&amp;I</t>
        </is>
      </c>
      <c r="E1237" s="1" t="n"/>
      <c r="F1237" s="1" t="inlineStr">
        <is>
          <t>Closed</t>
        </is>
      </c>
      <c r="G1237" s="50" t="inlineStr">
        <is>
          <t>Mr. Harendresinh Jadeja</t>
        </is>
      </c>
      <c r="H1237" s="8" t="n">
        <v>9825182102</v>
      </c>
      <c r="I1237" s="10" t="inlineStr">
        <is>
          <t>PE19052601</t>
        </is>
      </c>
      <c r="J1237" s="8" t="inlineStr">
        <is>
          <t xml:space="preserve">Diode failure </t>
        </is>
      </c>
      <c r="K1237" s="8" t="inlineStr">
        <is>
          <t>Nakhatrana</t>
        </is>
      </c>
      <c r="L1237" s="8" t="inlineStr">
        <is>
          <t>Gujarat</t>
        </is>
      </c>
      <c r="M1237" s="2" t="inlineStr">
        <is>
          <t>PS</t>
        </is>
      </c>
      <c r="N1237" s="1" t="inlineStr">
        <is>
          <t>Cold Soldering</t>
        </is>
      </c>
      <c r="O1237" s="51" t="n">
        <v>580</v>
      </c>
      <c r="P1237" s="2" t="inlineStr">
        <is>
          <t>NSMI25011256732</t>
        </is>
      </c>
      <c r="Q1237" s="29">
        <f>MID(P1237,5,2)</f>
        <v/>
      </c>
      <c r="R1237" s="14">
        <f>MID(P1237,7,2)</f>
        <v/>
      </c>
      <c r="S1237" s="1" t="inlineStr">
        <is>
          <t>G2G</t>
        </is>
      </c>
      <c r="T1237" s="1" t="inlineStr">
        <is>
          <t>P4 - PEIPL</t>
        </is>
      </c>
      <c r="U1237" s="1" t="inlineStr">
        <is>
          <t>P JB Cold Soldering</t>
        </is>
      </c>
      <c r="V1237" s="1" t="inlineStr">
        <is>
          <t>Inspection</t>
        </is>
      </c>
      <c r="W1237" s="1" t="inlineStr">
        <is>
          <t>Repair</t>
        </is>
      </c>
      <c r="X1237" s="5" t="n">
        <v>46188</v>
      </c>
      <c r="Y1237" s="1">
        <f>IF(X1237="","",X1237-A1237)</f>
        <v/>
      </c>
      <c r="Z1237" s="5" t="n">
        <v>46188</v>
      </c>
      <c r="AA1237" s="3" t="n"/>
      <c r="AB1237" s="3" t="n"/>
      <c r="AE1237" s="146">
        <f>IF(AND(F1237="Closed",X1237&gt;=DATE(2026,6,1),X1237&lt;=DATE(2026,6,30)),"Closed in June","other")</f>
        <v/>
      </c>
    </row>
    <row r="1238" hidden="1">
      <c r="A1238" s="9" t="n">
        <v>46161</v>
      </c>
      <c r="B1238" s="1" t="n">
        <v>2026</v>
      </c>
      <c r="C1238" s="8" t="inlineStr">
        <is>
          <t>Continuum</t>
        </is>
      </c>
      <c r="D1238" s="11" t="inlineStr">
        <is>
          <t>Utility and C&amp;I</t>
        </is>
      </c>
      <c r="E1238" s="1" t="n"/>
      <c r="F1238" s="1" t="inlineStr">
        <is>
          <t>Closed</t>
        </is>
      </c>
      <c r="G1238" s="50" t="inlineStr">
        <is>
          <t>Mr. Harendresinh Jadeja</t>
        </is>
      </c>
      <c r="H1238" s="8" t="n">
        <v>9825182102</v>
      </c>
      <c r="I1238" s="10" t="inlineStr">
        <is>
          <t>PE19052601</t>
        </is>
      </c>
      <c r="J1238" s="8" t="inlineStr">
        <is>
          <t xml:space="preserve">Diode failure </t>
        </is>
      </c>
      <c r="K1238" s="8" t="inlineStr">
        <is>
          <t>Nakhatrana</t>
        </is>
      </c>
      <c r="L1238" s="8" t="inlineStr">
        <is>
          <t>Gujarat</t>
        </is>
      </c>
      <c r="M1238" s="2" t="inlineStr">
        <is>
          <t>PS</t>
        </is>
      </c>
      <c r="N1238" s="1" t="inlineStr">
        <is>
          <t>Cold Soldering</t>
        </is>
      </c>
      <c r="O1238" s="51" t="n">
        <v>580</v>
      </c>
      <c r="P1238" s="2" t="inlineStr">
        <is>
          <t>NSMI25011256235</t>
        </is>
      </c>
      <c r="Q1238" s="29">
        <f>MID(P1238,5,2)</f>
        <v/>
      </c>
      <c r="R1238" s="14">
        <f>MID(P1238,7,2)</f>
        <v/>
      </c>
      <c r="S1238" s="1" t="inlineStr">
        <is>
          <t>G2G</t>
        </is>
      </c>
      <c r="T1238" s="1" t="inlineStr">
        <is>
          <t>P4 - PEIPL</t>
        </is>
      </c>
      <c r="U1238" s="1" t="inlineStr">
        <is>
          <t>P JB Cold Soldering</t>
        </is>
      </c>
      <c r="V1238" s="1" t="inlineStr">
        <is>
          <t>Inspection</t>
        </is>
      </c>
      <c r="W1238" s="1" t="inlineStr">
        <is>
          <t>Repair</t>
        </is>
      </c>
      <c r="X1238" s="5" t="n">
        <v>46188</v>
      </c>
      <c r="Y1238" s="1">
        <f>IF(X1238="","",X1238-A1238)</f>
        <v/>
      </c>
      <c r="Z1238" s="5" t="n">
        <v>46188</v>
      </c>
      <c r="AA1238" s="3" t="n"/>
      <c r="AB1238" s="3" t="n"/>
      <c r="AE1238" s="146">
        <f>IF(AND(F1238="Closed",X1238&gt;=DATE(2026,6,1),X1238&lt;=DATE(2026,6,30)),"Closed in June","other")</f>
        <v/>
      </c>
    </row>
    <row r="1239" hidden="1">
      <c r="A1239" s="9" t="n">
        <v>46161</v>
      </c>
      <c r="B1239" s="1" t="n">
        <v>2026</v>
      </c>
      <c r="C1239" s="8" t="inlineStr">
        <is>
          <t>Continuum</t>
        </is>
      </c>
      <c r="D1239" s="11" t="inlineStr">
        <is>
          <t>Utility and C&amp;I</t>
        </is>
      </c>
      <c r="E1239" s="1" t="n"/>
      <c r="F1239" s="1" t="inlineStr">
        <is>
          <t>Closed</t>
        </is>
      </c>
      <c r="G1239" s="50" t="inlineStr">
        <is>
          <t>Mr. Harendresinh Jadeja</t>
        </is>
      </c>
      <c r="H1239" s="8" t="n">
        <v>9825182102</v>
      </c>
      <c r="I1239" s="10" t="inlineStr">
        <is>
          <t>PE19052601</t>
        </is>
      </c>
      <c r="J1239" s="8" t="inlineStr">
        <is>
          <t xml:space="preserve">Diode failure </t>
        </is>
      </c>
      <c r="K1239" s="8" t="inlineStr">
        <is>
          <t>Nakhatrana</t>
        </is>
      </c>
      <c r="L1239" s="8" t="inlineStr">
        <is>
          <t>Gujarat</t>
        </is>
      </c>
      <c r="M1239" s="2" t="inlineStr">
        <is>
          <t>NS</t>
        </is>
      </c>
      <c r="N1239" s="8" t="inlineStr">
        <is>
          <t>Cold Soldering</t>
        </is>
      </c>
      <c r="O1239" s="51" t="n">
        <v>580</v>
      </c>
      <c r="P1239" s="2" t="inlineStr">
        <is>
          <t>NSMI25011255087</t>
        </is>
      </c>
      <c r="Q1239" s="29">
        <f>MID(P1239,5,2)</f>
        <v/>
      </c>
      <c r="R1239" s="14">
        <f>MID(P1239,7,2)</f>
        <v/>
      </c>
      <c r="S1239" s="1" t="inlineStr">
        <is>
          <t>G2G</t>
        </is>
      </c>
      <c r="T1239" s="1" t="inlineStr">
        <is>
          <t>P4 - PEIPL</t>
        </is>
      </c>
      <c r="U1239" s="6" t="inlineStr">
        <is>
          <t>N JB Cold Soldering</t>
        </is>
      </c>
      <c r="V1239" s="1" t="inlineStr">
        <is>
          <t>Inspection</t>
        </is>
      </c>
      <c r="W1239" s="1" t="inlineStr">
        <is>
          <t>Repair</t>
        </is>
      </c>
      <c r="X1239" s="5" t="n">
        <v>46188</v>
      </c>
      <c r="Y1239" s="1">
        <f>IF(X1239="","",X1239-A1239)</f>
        <v/>
      </c>
      <c r="Z1239" s="5" t="n">
        <v>46188</v>
      </c>
      <c r="AA1239" s="3" t="n"/>
      <c r="AB1239" s="3" t="n"/>
      <c r="AE1239" s="146">
        <f>IF(AND(F1239="Closed",X1239&gt;=DATE(2026,6,1),X1239&lt;=DATE(2026,6,30)),"Closed in June","other")</f>
        <v/>
      </c>
    </row>
    <row r="1240" hidden="1">
      <c r="A1240" s="9" t="n">
        <v>46161</v>
      </c>
      <c r="B1240" s="1" t="n">
        <v>2026</v>
      </c>
      <c r="C1240" s="8" t="inlineStr">
        <is>
          <t>Continuum</t>
        </is>
      </c>
      <c r="D1240" s="11" t="inlineStr">
        <is>
          <t>Utility and C&amp;I</t>
        </is>
      </c>
      <c r="E1240" s="1" t="n"/>
      <c r="F1240" s="1" t="inlineStr">
        <is>
          <t>Closed</t>
        </is>
      </c>
      <c r="G1240" s="50" t="inlineStr">
        <is>
          <t>Mr. Harendresinh Jadeja</t>
        </is>
      </c>
      <c r="H1240" s="8" t="n">
        <v>9825182102</v>
      </c>
      <c r="I1240" s="10" t="inlineStr">
        <is>
          <t>PE19052601</t>
        </is>
      </c>
      <c r="J1240" s="8" t="inlineStr">
        <is>
          <t xml:space="preserve">Diode failure </t>
        </is>
      </c>
      <c r="K1240" s="8" t="inlineStr">
        <is>
          <t>Nakhatrana</t>
        </is>
      </c>
      <c r="L1240" s="8" t="inlineStr">
        <is>
          <t>Gujarat</t>
        </is>
      </c>
      <c r="M1240" s="2" t="inlineStr">
        <is>
          <t>PS</t>
        </is>
      </c>
      <c r="N1240" s="1" t="inlineStr">
        <is>
          <t>Cold Soldering</t>
        </is>
      </c>
      <c r="O1240" s="51" t="n">
        <v>580</v>
      </c>
      <c r="P1240" s="2" t="inlineStr">
        <is>
          <t>NSMI25011236828</t>
        </is>
      </c>
      <c r="Q1240" s="29">
        <f>MID(P1240,5,2)</f>
        <v/>
      </c>
      <c r="R1240" s="14">
        <f>MID(P1240,7,2)</f>
        <v/>
      </c>
      <c r="S1240" s="1" t="inlineStr">
        <is>
          <t>G2G</t>
        </is>
      </c>
      <c r="T1240" s="1" t="inlineStr">
        <is>
          <t>P4 - PEIPL</t>
        </is>
      </c>
      <c r="U1240" s="1" t="inlineStr">
        <is>
          <t>P JB Cold Soldering</t>
        </is>
      </c>
      <c r="V1240" s="1" t="inlineStr">
        <is>
          <t>Inspection</t>
        </is>
      </c>
      <c r="W1240" s="1" t="inlineStr">
        <is>
          <t>Repair</t>
        </is>
      </c>
      <c r="X1240" s="5" t="n">
        <v>46188</v>
      </c>
      <c r="Y1240" s="1">
        <f>IF(X1240="","",X1240-A1240)</f>
        <v/>
      </c>
      <c r="Z1240" s="5" t="n">
        <v>46188</v>
      </c>
      <c r="AA1240" s="3" t="n"/>
      <c r="AB1240" s="3" t="n"/>
      <c r="AE1240" s="146">
        <f>IF(AND(F1240="Closed",X1240&gt;=DATE(2026,6,1),X1240&lt;=DATE(2026,6,30)),"Closed in June","other")</f>
        <v/>
      </c>
    </row>
    <row r="1241" hidden="1">
      <c r="A1241" s="9" t="n">
        <v>46161</v>
      </c>
      <c r="B1241" s="1" t="n">
        <v>2026</v>
      </c>
      <c r="C1241" s="8" t="inlineStr">
        <is>
          <t>Continuum</t>
        </is>
      </c>
      <c r="D1241" s="11" t="inlineStr">
        <is>
          <t>Utility and C&amp;I</t>
        </is>
      </c>
      <c r="E1241" s="1" t="n"/>
      <c r="F1241" s="1" t="inlineStr">
        <is>
          <t>Closed</t>
        </is>
      </c>
      <c r="G1241" s="50" t="inlineStr">
        <is>
          <t>Mr. Harendresinh Jadeja</t>
        </is>
      </c>
      <c r="H1241" s="8" t="n">
        <v>9825182102</v>
      </c>
      <c r="I1241" s="10" t="inlineStr">
        <is>
          <t>PE19052601</t>
        </is>
      </c>
      <c r="J1241" s="8" t="inlineStr">
        <is>
          <t xml:space="preserve">Diode failure </t>
        </is>
      </c>
      <c r="K1241" s="8" t="inlineStr">
        <is>
          <t>Nakhatrana</t>
        </is>
      </c>
      <c r="L1241" s="8" t="inlineStr">
        <is>
          <t>Gujarat</t>
        </is>
      </c>
      <c r="M1241" s="2" t="inlineStr">
        <is>
          <t>PS</t>
        </is>
      </c>
      <c r="N1241" s="1" t="inlineStr">
        <is>
          <t>Cold Soldering</t>
        </is>
      </c>
      <c r="O1241" s="51" t="n">
        <v>580</v>
      </c>
      <c r="P1241" s="2" t="inlineStr">
        <is>
          <t>NSMI25011231626</t>
        </is>
      </c>
      <c r="Q1241" s="29">
        <f>MID(P1241,5,2)</f>
        <v/>
      </c>
      <c r="R1241" s="14">
        <f>MID(P1241,7,2)</f>
        <v/>
      </c>
      <c r="S1241" s="1" t="inlineStr">
        <is>
          <t>G2G</t>
        </is>
      </c>
      <c r="T1241" s="1" t="inlineStr">
        <is>
          <t>P4 - PEIPL</t>
        </is>
      </c>
      <c r="U1241" s="1" t="inlineStr">
        <is>
          <t>P JB Cold Soldering</t>
        </is>
      </c>
      <c r="V1241" s="1" t="inlineStr">
        <is>
          <t>Inspection</t>
        </is>
      </c>
      <c r="W1241" s="1" t="inlineStr">
        <is>
          <t>Repair</t>
        </is>
      </c>
      <c r="X1241" s="5" t="n">
        <v>46188</v>
      </c>
      <c r="Y1241" s="1">
        <f>IF(X1241="","",X1241-A1241)</f>
        <v/>
      </c>
      <c r="Z1241" s="5" t="n">
        <v>46188</v>
      </c>
      <c r="AA1241" s="3" t="n"/>
      <c r="AB1241" s="3" t="n"/>
      <c r="AE1241" s="146">
        <f>IF(AND(F1241="Closed",X1241&gt;=DATE(2026,6,1),X1241&lt;=DATE(2026,6,30)),"Closed in June","other")</f>
        <v/>
      </c>
    </row>
    <row r="1242" hidden="1">
      <c r="A1242" s="9" t="n">
        <v>46161</v>
      </c>
      <c r="B1242" s="1" t="n">
        <v>2026</v>
      </c>
      <c r="C1242" s="8" t="inlineStr">
        <is>
          <t>Continuum</t>
        </is>
      </c>
      <c r="D1242" s="11" t="inlineStr">
        <is>
          <t>Utility and C&amp;I</t>
        </is>
      </c>
      <c r="E1242" s="1" t="n"/>
      <c r="F1242" s="1" t="inlineStr">
        <is>
          <t>Closed</t>
        </is>
      </c>
      <c r="G1242" s="50" t="inlineStr">
        <is>
          <t>Mr. Harendresinh Jadeja</t>
        </is>
      </c>
      <c r="H1242" s="8" t="n">
        <v>9825182102</v>
      </c>
      <c r="I1242" s="10" t="inlineStr">
        <is>
          <t>PE19052601</t>
        </is>
      </c>
      <c r="J1242" s="8" t="inlineStr">
        <is>
          <t xml:space="preserve">Diode failure </t>
        </is>
      </c>
      <c r="K1242" s="8" t="inlineStr">
        <is>
          <t>Nakhatrana</t>
        </is>
      </c>
      <c r="L1242" s="8" t="inlineStr">
        <is>
          <t>Gujarat</t>
        </is>
      </c>
      <c r="M1242" s="2" t="inlineStr">
        <is>
          <t>PS</t>
        </is>
      </c>
      <c r="N1242" s="1" t="inlineStr">
        <is>
          <t>Cold Soldering</t>
        </is>
      </c>
      <c r="O1242" s="51" t="n">
        <v>580</v>
      </c>
      <c r="P1242" s="2" t="inlineStr">
        <is>
          <t>NSMI25011232245</t>
        </is>
      </c>
      <c r="Q1242" s="29">
        <f>MID(P1242,5,2)</f>
        <v/>
      </c>
      <c r="R1242" s="14">
        <f>MID(P1242,7,2)</f>
        <v/>
      </c>
      <c r="S1242" s="1" t="inlineStr">
        <is>
          <t>G2G</t>
        </is>
      </c>
      <c r="T1242" s="1" t="inlineStr">
        <is>
          <t>P4 - PEIPL</t>
        </is>
      </c>
      <c r="U1242" s="1" t="inlineStr">
        <is>
          <t>P JB Cold Soldering</t>
        </is>
      </c>
      <c r="V1242" s="1" t="inlineStr">
        <is>
          <t>Inspection</t>
        </is>
      </c>
      <c r="W1242" s="1" t="inlineStr">
        <is>
          <t>Repair</t>
        </is>
      </c>
      <c r="X1242" s="5" t="n">
        <v>46188</v>
      </c>
      <c r="Y1242" s="1">
        <f>IF(X1242="","",X1242-A1242)</f>
        <v/>
      </c>
      <c r="Z1242" s="5" t="n">
        <v>46188</v>
      </c>
      <c r="AA1242" s="3" t="n"/>
      <c r="AB1242" s="3" t="n"/>
      <c r="AE1242" s="146">
        <f>IF(AND(F1242="Closed",X1242&gt;=DATE(2026,6,1),X1242&lt;=DATE(2026,6,30)),"Closed in June","other")</f>
        <v/>
      </c>
    </row>
    <row r="1243" hidden="1">
      <c r="A1243" s="9" t="n">
        <v>46161</v>
      </c>
      <c r="B1243" s="1" t="n">
        <v>2026</v>
      </c>
      <c r="C1243" s="8" t="inlineStr">
        <is>
          <t>Continuum</t>
        </is>
      </c>
      <c r="D1243" s="11" t="inlineStr">
        <is>
          <t>Utility and C&amp;I</t>
        </is>
      </c>
      <c r="E1243" s="1" t="n"/>
      <c r="F1243" s="1" t="inlineStr">
        <is>
          <t>Closed</t>
        </is>
      </c>
      <c r="G1243" s="50" t="inlineStr">
        <is>
          <t>Mr. Harendresinh Jadeja</t>
        </is>
      </c>
      <c r="H1243" s="8" t="n">
        <v>9825182102</v>
      </c>
      <c r="I1243" s="10" t="inlineStr">
        <is>
          <t>PE19052601</t>
        </is>
      </c>
      <c r="J1243" s="8" t="inlineStr">
        <is>
          <t xml:space="preserve">Diode failure </t>
        </is>
      </c>
      <c r="K1243" s="8" t="inlineStr">
        <is>
          <t>Nakhatrana</t>
        </is>
      </c>
      <c r="L1243" s="8" t="inlineStr">
        <is>
          <t>Gujarat</t>
        </is>
      </c>
      <c r="M1243" s="2" t="inlineStr">
        <is>
          <t>NR</t>
        </is>
      </c>
      <c r="N1243" s="8" t="inlineStr">
        <is>
          <t>JB Issue</t>
        </is>
      </c>
      <c r="O1243" s="51" t="n">
        <v>580</v>
      </c>
      <c r="P1243" s="2" t="inlineStr">
        <is>
          <t>NSMI25011277669</t>
        </is>
      </c>
      <c r="Q1243" s="29">
        <f>MID(P1243,5,2)</f>
        <v/>
      </c>
      <c r="R1243" s="14">
        <f>MID(P1243,7,2)</f>
        <v/>
      </c>
      <c r="S1243" s="1" t="inlineStr">
        <is>
          <t>G2G</t>
        </is>
      </c>
      <c r="T1243" s="1" t="inlineStr">
        <is>
          <t>P4 - PEIPL</t>
        </is>
      </c>
      <c r="U1243" s="6" t="inlineStr">
        <is>
          <t>N JB Issue</t>
        </is>
      </c>
      <c r="V1243" s="1" t="inlineStr">
        <is>
          <t>Inspection</t>
        </is>
      </c>
      <c r="W1243" s="1" t="inlineStr">
        <is>
          <t>Repair</t>
        </is>
      </c>
      <c r="X1243" s="5" t="n">
        <v>46188</v>
      </c>
      <c r="Y1243" s="1">
        <f>IF(X1243="","",X1243-A1243)</f>
        <v/>
      </c>
      <c r="Z1243" s="5" t="n">
        <v>46188</v>
      </c>
      <c r="AA1243" s="3" t="n"/>
      <c r="AB1243" s="3" t="n"/>
      <c r="AE1243" s="146">
        <f>IF(AND(F1243="Closed",X1243&gt;=DATE(2026,6,1),X1243&lt;=DATE(2026,6,30)),"Closed in June","other")</f>
        <v/>
      </c>
    </row>
    <row r="1244" hidden="1">
      <c r="A1244" s="9" t="n">
        <v>46161</v>
      </c>
      <c r="B1244" s="1" t="n">
        <v>2026</v>
      </c>
      <c r="C1244" s="8" t="inlineStr">
        <is>
          <t>Continuum</t>
        </is>
      </c>
      <c r="D1244" s="11" t="inlineStr">
        <is>
          <t>Utility and C&amp;I</t>
        </is>
      </c>
      <c r="E1244" s="1" t="n"/>
      <c r="F1244" s="1" t="inlineStr">
        <is>
          <t>Closed</t>
        </is>
      </c>
      <c r="G1244" s="50" t="inlineStr">
        <is>
          <t>Mr. Harendresinh Jadeja</t>
        </is>
      </c>
      <c r="H1244" s="8" t="n">
        <v>9825182102</v>
      </c>
      <c r="I1244" s="10" t="inlineStr">
        <is>
          <t>PE19052601</t>
        </is>
      </c>
      <c r="J1244" s="8" t="inlineStr">
        <is>
          <t xml:space="preserve">Diode failure </t>
        </is>
      </c>
      <c r="K1244" s="8" t="inlineStr">
        <is>
          <t>Nakhatrana</t>
        </is>
      </c>
      <c r="L1244" s="8" t="inlineStr">
        <is>
          <t>Gujarat</t>
        </is>
      </c>
      <c r="M1244" s="2" t="inlineStr">
        <is>
          <t>PS</t>
        </is>
      </c>
      <c r="N1244" s="1" t="inlineStr">
        <is>
          <t>Cold Soldering</t>
        </is>
      </c>
      <c r="O1244" s="51" t="n">
        <v>580</v>
      </c>
      <c r="P1244" s="2" t="inlineStr">
        <is>
          <t>NSMI25011255596</t>
        </is>
      </c>
      <c r="Q1244" s="29">
        <f>MID(P1244,5,2)</f>
        <v/>
      </c>
      <c r="R1244" s="14">
        <f>MID(P1244,7,2)</f>
        <v/>
      </c>
      <c r="S1244" s="1" t="inlineStr">
        <is>
          <t>G2G</t>
        </is>
      </c>
      <c r="T1244" s="1" t="inlineStr">
        <is>
          <t>P4 - PEIPL</t>
        </is>
      </c>
      <c r="U1244" s="1" t="inlineStr">
        <is>
          <t>P JB Cold Soldering</t>
        </is>
      </c>
      <c r="V1244" s="1" t="inlineStr">
        <is>
          <t>Inspection</t>
        </is>
      </c>
      <c r="W1244" s="1" t="inlineStr">
        <is>
          <t>Repair</t>
        </is>
      </c>
      <c r="X1244" s="5" t="n">
        <v>46188</v>
      </c>
      <c r="Y1244" s="1">
        <f>IF(X1244="","",X1244-A1244)</f>
        <v/>
      </c>
      <c r="Z1244" s="5" t="n">
        <v>46188</v>
      </c>
      <c r="AA1244" s="3" t="n"/>
      <c r="AB1244" s="3" t="n"/>
      <c r="AE1244" s="146">
        <f>IF(AND(F1244="Closed",X1244&gt;=DATE(2026,6,1),X1244&lt;=DATE(2026,6,30)),"Closed in June","other")</f>
        <v/>
      </c>
    </row>
    <row r="1245" hidden="1">
      <c r="A1245" s="9" t="n">
        <v>46161</v>
      </c>
      <c r="B1245" s="1" t="n">
        <v>2026</v>
      </c>
      <c r="C1245" s="8" t="inlineStr">
        <is>
          <t>Continuum</t>
        </is>
      </c>
      <c r="D1245" s="11" t="inlineStr">
        <is>
          <t>Utility and C&amp;I</t>
        </is>
      </c>
      <c r="E1245" s="1" t="n"/>
      <c r="F1245" s="1" t="inlineStr">
        <is>
          <t>Closed</t>
        </is>
      </c>
      <c r="G1245" s="50" t="inlineStr">
        <is>
          <t>Mr. Harendresinh Jadeja</t>
        </is>
      </c>
      <c r="H1245" s="8" t="n">
        <v>9825182102</v>
      </c>
      <c r="I1245" s="10" t="inlineStr">
        <is>
          <t>PE19052601</t>
        </is>
      </c>
      <c r="J1245" s="8" t="inlineStr">
        <is>
          <t xml:space="preserve">Diode failure </t>
        </is>
      </c>
      <c r="K1245" s="8" t="inlineStr">
        <is>
          <t>Nakhatrana</t>
        </is>
      </c>
      <c r="L1245" s="8" t="inlineStr">
        <is>
          <t>Gujarat</t>
        </is>
      </c>
      <c r="M1245" s="2" t="inlineStr">
        <is>
          <t>NS</t>
        </is>
      </c>
      <c r="N1245" s="8" t="inlineStr">
        <is>
          <t>Cold Soldering</t>
        </is>
      </c>
      <c r="O1245" s="51" t="n">
        <v>580</v>
      </c>
      <c r="P1245" s="2" t="inlineStr">
        <is>
          <t>NSMI25011261313</t>
        </is>
      </c>
      <c r="Q1245" s="29">
        <f>MID(P1245,5,2)</f>
        <v/>
      </c>
      <c r="R1245" s="14">
        <f>MID(P1245,7,2)</f>
        <v/>
      </c>
      <c r="S1245" s="1" t="inlineStr">
        <is>
          <t>G2G</t>
        </is>
      </c>
      <c r="T1245" s="1" t="inlineStr">
        <is>
          <t>P4 - PEIPL</t>
        </is>
      </c>
      <c r="U1245" s="6" t="inlineStr">
        <is>
          <t>N JB Cold Soldering</t>
        </is>
      </c>
      <c r="V1245" s="1" t="inlineStr">
        <is>
          <t>Inspection</t>
        </is>
      </c>
      <c r="W1245" s="1" t="inlineStr">
        <is>
          <t>Repair</t>
        </is>
      </c>
      <c r="X1245" s="5" t="n">
        <v>46188</v>
      </c>
      <c r="Y1245" s="1">
        <f>IF(X1245="","",X1245-A1245)</f>
        <v/>
      </c>
      <c r="Z1245" s="5" t="n">
        <v>46188</v>
      </c>
      <c r="AA1245" s="3" t="n"/>
      <c r="AB1245" s="3" t="n"/>
      <c r="AE1245" s="146">
        <f>IF(AND(F1245="Closed",X1245&gt;=DATE(2026,6,1),X1245&lt;=DATE(2026,6,30)),"Closed in June","other")</f>
        <v/>
      </c>
    </row>
    <row r="1246" hidden="1">
      <c r="A1246" s="9" t="n">
        <v>46161</v>
      </c>
      <c r="B1246" s="1" t="n">
        <v>2026</v>
      </c>
      <c r="C1246" s="8" t="inlineStr">
        <is>
          <t>Continuum</t>
        </is>
      </c>
      <c r="D1246" s="11" t="inlineStr">
        <is>
          <t>Utility and C&amp;I</t>
        </is>
      </c>
      <c r="E1246" s="1" t="n"/>
      <c r="F1246" s="1" t="inlineStr">
        <is>
          <t>Closed</t>
        </is>
      </c>
      <c r="G1246" s="50" t="inlineStr">
        <is>
          <t>Mr. Harendresinh Jadeja</t>
        </is>
      </c>
      <c r="H1246" s="8" t="n">
        <v>9825182102</v>
      </c>
      <c r="I1246" s="10" t="inlineStr">
        <is>
          <t>PE19052601</t>
        </is>
      </c>
      <c r="J1246" s="8" t="inlineStr">
        <is>
          <t xml:space="preserve">Diode failure </t>
        </is>
      </c>
      <c r="K1246" s="8" t="inlineStr">
        <is>
          <t>Nakhatrana</t>
        </is>
      </c>
      <c r="L1246" s="8" t="inlineStr">
        <is>
          <t>Gujarat</t>
        </is>
      </c>
      <c r="M1246" s="2" t="inlineStr">
        <is>
          <t>NR</t>
        </is>
      </c>
      <c r="N1246" s="8" t="inlineStr">
        <is>
          <t>JB Issue</t>
        </is>
      </c>
      <c r="O1246" s="51" t="n">
        <v>580</v>
      </c>
      <c r="P1246" s="2" t="inlineStr">
        <is>
          <t>NSMI25011273280</t>
        </is>
      </c>
      <c r="Q1246" s="29">
        <f>MID(P1246,5,2)</f>
        <v/>
      </c>
      <c r="R1246" s="14">
        <f>MID(P1246,7,2)</f>
        <v/>
      </c>
      <c r="S1246" s="1" t="inlineStr">
        <is>
          <t>G2G</t>
        </is>
      </c>
      <c r="T1246" s="1" t="inlineStr">
        <is>
          <t>P4 - PEIPL</t>
        </is>
      </c>
      <c r="U1246" s="6" t="inlineStr">
        <is>
          <t>N JB Issue</t>
        </is>
      </c>
      <c r="V1246" s="1" t="inlineStr">
        <is>
          <t>Inspection</t>
        </is>
      </c>
      <c r="W1246" s="1" t="inlineStr">
        <is>
          <t>Repair</t>
        </is>
      </c>
      <c r="X1246" s="5" t="n">
        <v>46188</v>
      </c>
      <c r="Y1246" s="1">
        <f>IF(X1246="","",X1246-A1246)</f>
        <v/>
      </c>
      <c r="Z1246" s="5" t="n">
        <v>46188</v>
      </c>
      <c r="AA1246" s="3" t="n"/>
      <c r="AB1246" s="3" t="n"/>
      <c r="AE1246" s="146">
        <f>IF(AND(F1246="Closed",X1246&gt;=DATE(2026,6,1),X1246&lt;=DATE(2026,6,30)),"Closed in June","other")</f>
        <v/>
      </c>
    </row>
    <row r="1247" hidden="1">
      <c r="A1247" s="9" t="n">
        <v>46161</v>
      </c>
      <c r="B1247" s="1" t="n">
        <v>2026</v>
      </c>
      <c r="C1247" s="8" t="inlineStr">
        <is>
          <t>Continuum</t>
        </is>
      </c>
      <c r="D1247" s="11" t="inlineStr">
        <is>
          <t>Utility and C&amp;I</t>
        </is>
      </c>
      <c r="E1247" s="1" t="n"/>
      <c r="F1247" s="1" t="inlineStr">
        <is>
          <t>Closed</t>
        </is>
      </c>
      <c r="G1247" s="50" t="inlineStr">
        <is>
          <t>Mr. Harendresinh Jadeja</t>
        </is>
      </c>
      <c r="H1247" s="8" t="n">
        <v>9825182102</v>
      </c>
      <c r="I1247" s="10" t="inlineStr">
        <is>
          <t>PE19052601</t>
        </is>
      </c>
      <c r="J1247" s="8" t="inlineStr">
        <is>
          <t xml:space="preserve">Diode failure </t>
        </is>
      </c>
      <c r="K1247" s="8" t="inlineStr">
        <is>
          <t>Nakhatrana</t>
        </is>
      </c>
      <c r="L1247" s="8" t="inlineStr">
        <is>
          <t>Gujarat</t>
        </is>
      </c>
      <c r="M1247" s="2" t="inlineStr">
        <is>
          <t>NS</t>
        </is>
      </c>
      <c r="N1247" s="8" t="inlineStr">
        <is>
          <t>Cold Soldering</t>
        </is>
      </c>
      <c r="O1247" s="51" t="n">
        <v>580</v>
      </c>
      <c r="P1247" s="2" t="inlineStr">
        <is>
          <t>NSMI25011273239</t>
        </is>
      </c>
      <c r="Q1247" s="29">
        <f>MID(P1247,5,2)</f>
        <v/>
      </c>
      <c r="R1247" s="14">
        <f>MID(P1247,7,2)</f>
        <v/>
      </c>
      <c r="S1247" s="1" t="inlineStr">
        <is>
          <t>G2G</t>
        </is>
      </c>
      <c r="T1247" s="1" t="inlineStr">
        <is>
          <t>P4 - PEIPL</t>
        </is>
      </c>
      <c r="U1247" s="6" t="inlineStr">
        <is>
          <t>N JB Cold Soldering</t>
        </is>
      </c>
      <c r="V1247" s="1" t="inlineStr">
        <is>
          <t>Inspection</t>
        </is>
      </c>
      <c r="W1247" s="1" t="inlineStr">
        <is>
          <t>Repair</t>
        </is>
      </c>
      <c r="X1247" s="5" t="n">
        <v>46188</v>
      </c>
      <c r="Y1247" s="1">
        <f>IF(X1247="","",X1247-A1247)</f>
        <v/>
      </c>
      <c r="Z1247" s="5" t="n">
        <v>46188</v>
      </c>
      <c r="AA1247" s="3" t="n"/>
      <c r="AB1247" s="3" t="n"/>
      <c r="AE1247" s="146">
        <f>IF(AND(F1247="Closed",X1247&gt;=DATE(2026,6,1),X1247&lt;=DATE(2026,6,30)),"Closed in June","other")</f>
        <v/>
      </c>
    </row>
    <row r="1248" hidden="1">
      <c r="A1248" s="9" t="n">
        <v>46161</v>
      </c>
      <c r="B1248" s="1" t="n">
        <v>2026</v>
      </c>
      <c r="C1248" s="8" t="inlineStr">
        <is>
          <t>Continuum</t>
        </is>
      </c>
      <c r="D1248" s="11" t="inlineStr">
        <is>
          <t>Utility and C&amp;I</t>
        </is>
      </c>
      <c r="E1248" s="1" t="n"/>
      <c r="F1248" s="1" t="inlineStr">
        <is>
          <t>Closed</t>
        </is>
      </c>
      <c r="G1248" s="50" t="inlineStr">
        <is>
          <t>Mr. Harendresinh Jadeja</t>
        </is>
      </c>
      <c r="H1248" s="8" t="n">
        <v>9825182102</v>
      </c>
      <c r="I1248" s="10" t="inlineStr">
        <is>
          <t>PE19052601</t>
        </is>
      </c>
      <c r="J1248" s="8" t="inlineStr">
        <is>
          <t xml:space="preserve">Diode failure </t>
        </is>
      </c>
      <c r="K1248" s="8" t="inlineStr">
        <is>
          <t>Nakhatrana</t>
        </is>
      </c>
      <c r="L1248" s="8" t="inlineStr">
        <is>
          <t>Gujarat</t>
        </is>
      </c>
      <c r="M1248" s="2" t="inlineStr">
        <is>
          <t>NR</t>
        </is>
      </c>
      <c r="N1248" s="8" t="inlineStr">
        <is>
          <t>JB Issue</t>
        </is>
      </c>
      <c r="O1248" s="51" t="n">
        <v>580</v>
      </c>
      <c r="P1248" s="2" t="inlineStr">
        <is>
          <t>NSMI25011273270</t>
        </is>
      </c>
      <c r="Q1248" s="29">
        <f>MID(P1248,5,2)</f>
        <v/>
      </c>
      <c r="R1248" s="14">
        <f>MID(P1248,7,2)</f>
        <v/>
      </c>
      <c r="S1248" s="1" t="inlineStr">
        <is>
          <t>G2G</t>
        </is>
      </c>
      <c r="T1248" s="1" t="inlineStr">
        <is>
          <t>P4 - PEIPL</t>
        </is>
      </c>
      <c r="U1248" s="6" t="inlineStr">
        <is>
          <t>N JB Issue</t>
        </is>
      </c>
      <c r="V1248" s="1" t="inlineStr">
        <is>
          <t>Inspection</t>
        </is>
      </c>
      <c r="W1248" s="1" t="inlineStr">
        <is>
          <t>Repair</t>
        </is>
      </c>
      <c r="X1248" s="5" t="n">
        <v>46188</v>
      </c>
      <c r="Y1248" s="1">
        <f>IF(X1248="","",X1248-A1248)</f>
        <v/>
      </c>
      <c r="Z1248" s="5" t="n">
        <v>46188</v>
      </c>
      <c r="AA1248" s="3" t="n"/>
      <c r="AB1248" s="3" t="n"/>
      <c r="AE1248" s="146">
        <f>IF(AND(F1248="Closed",X1248&gt;=DATE(2026,6,1),X1248&lt;=DATE(2026,6,30)),"Closed in June","other")</f>
        <v/>
      </c>
    </row>
    <row r="1249" hidden="1">
      <c r="A1249" s="9" t="n">
        <v>46161</v>
      </c>
      <c r="B1249" s="1" t="n">
        <v>2026</v>
      </c>
      <c r="C1249" s="8" t="inlineStr">
        <is>
          <t>Continuum</t>
        </is>
      </c>
      <c r="D1249" s="11" t="inlineStr">
        <is>
          <t>Utility and C&amp;I</t>
        </is>
      </c>
      <c r="E1249" s="1" t="n"/>
      <c r="F1249" s="1" t="inlineStr">
        <is>
          <t>Closed</t>
        </is>
      </c>
      <c r="G1249" s="50" t="inlineStr">
        <is>
          <t>Mr. Harendresinh Jadeja</t>
        </is>
      </c>
      <c r="H1249" s="8" t="n">
        <v>9825182102</v>
      </c>
      <c r="I1249" s="10" t="inlineStr">
        <is>
          <t>PE19052601</t>
        </is>
      </c>
      <c r="J1249" s="8" t="inlineStr">
        <is>
          <t xml:space="preserve">Diode failure </t>
        </is>
      </c>
      <c r="K1249" s="8" t="inlineStr">
        <is>
          <t>Nakhatrana</t>
        </is>
      </c>
      <c r="L1249" s="8" t="inlineStr">
        <is>
          <t>Gujarat</t>
        </is>
      </c>
      <c r="M1249" s="2" t="inlineStr">
        <is>
          <t>NS</t>
        </is>
      </c>
      <c r="N1249" s="8" t="inlineStr">
        <is>
          <t>Cold Soldering</t>
        </is>
      </c>
      <c r="O1249" s="51" t="n">
        <v>580</v>
      </c>
      <c r="P1249" s="2" t="inlineStr">
        <is>
          <t>NSMI25011265572</t>
        </is>
      </c>
      <c r="Q1249" s="29">
        <f>MID(P1249,5,2)</f>
        <v/>
      </c>
      <c r="R1249" s="14">
        <f>MID(P1249,7,2)</f>
        <v/>
      </c>
      <c r="S1249" s="1" t="inlineStr">
        <is>
          <t>G2G</t>
        </is>
      </c>
      <c r="T1249" s="1" t="inlineStr">
        <is>
          <t>P4 - PEIPL</t>
        </is>
      </c>
      <c r="U1249" s="6" t="inlineStr">
        <is>
          <t>N JB Cold Soldering</t>
        </is>
      </c>
      <c r="V1249" s="1" t="inlineStr">
        <is>
          <t>Inspection</t>
        </is>
      </c>
      <c r="W1249" s="1" t="inlineStr">
        <is>
          <t>Repair</t>
        </is>
      </c>
      <c r="X1249" s="5" t="n">
        <v>46188</v>
      </c>
      <c r="Y1249" s="1">
        <f>IF(X1249="","",X1249-A1249)</f>
        <v/>
      </c>
      <c r="Z1249" s="5" t="n">
        <v>46188</v>
      </c>
      <c r="AA1249" s="3" t="n"/>
      <c r="AB1249" s="3" t="n"/>
      <c r="AE1249" s="146">
        <f>IF(AND(F1249="Closed",X1249&gt;=DATE(2026,6,1),X1249&lt;=DATE(2026,6,30)),"Closed in June","other")</f>
        <v/>
      </c>
    </row>
    <row r="1250" hidden="1">
      <c r="A1250" s="9" t="n">
        <v>46161</v>
      </c>
      <c r="B1250" s="1" t="n">
        <v>2026</v>
      </c>
      <c r="C1250" s="8" t="inlineStr">
        <is>
          <t>Continuum</t>
        </is>
      </c>
      <c r="D1250" s="11" t="inlineStr">
        <is>
          <t>Utility and C&amp;I</t>
        </is>
      </c>
      <c r="E1250" s="1" t="n"/>
      <c r="F1250" s="1" t="inlineStr">
        <is>
          <t>Closed</t>
        </is>
      </c>
      <c r="G1250" s="50" t="inlineStr">
        <is>
          <t>Mr. Harendresinh Jadeja</t>
        </is>
      </c>
      <c r="H1250" s="8" t="n">
        <v>9825182102</v>
      </c>
      <c r="I1250" s="10" t="inlineStr">
        <is>
          <t>PE19052601</t>
        </is>
      </c>
      <c r="J1250" s="8" t="inlineStr">
        <is>
          <t xml:space="preserve">Diode failure </t>
        </is>
      </c>
      <c r="K1250" s="8" t="inlineStr">
        <is>
          <t>Nakhatrana</t>
        </is>
      </c>
      <c r="L1250" s="8" t="inlineStr">
        <is>
          <t>Gujarat</t>
        </is>
      </c>
      <c r="M1250" s="2" t="inlineStr">
        <is>
          <t>PS</t>
        </is>
      </c>
      <c r="N1250" s="1" t="inlineStr">
        <is>
          <t>Cold Soldering</t>
        </is>
      </c>
      <c r="O1250" s="51" t="n">
        <v>580</v>
      </c>
      <c r="P1250" s="2" t="inlineStr">
        <is>
          <t>NSMI25011239516</t>
        </is>
      </c>
      <c r="Q1250" s="29">
        <f>MID(P1250,5,2)</f>
        <v/>
      </c>
      <c r="R1250" s="14">
        <f>MID(P1250,7,2)</f>
        <v/>
      </c>
      <c r="S1250" s="1" t="inlineStr">
        <is>
          <t>G2G</t>
        </is>
      </c>
      <c r="T1250" s="1" t="inlineStr">
        <is>
          <t>P4 - PEIPL</t>
        </is>
      </c>
      <c r="U1250" s="1" t="inlineStr">
        <is>
          <t>P JB Cold Soldering</t>
        </is>
      </c>
      <c r="V1250" s="1" t="inlineStr">
        <is>
          <t>Inspection</t>
        </is>
      </c>
      <c r="W1250" s="1" t="inlineStr">
        <is>
          <t>Repair</t>
        </is>
      </c>
      <c r="X1250" s="5" t="n">
        <v>46188</v>
      </c>
      <c r="Y1250" s="1">
        <f>IF(X1250="","",X1250-A1250)</f>
        <v/>
      </c>
      <c r="Z1250" s="5" t="n">
        <v>46188</v>
      </c>
      <c r="AA1250" s="3" t="n"/>
      <c r="AB1250" s="3" t="n"/>
      <c r="AE1250" s="146">
        <f>IF(AND(F1250="Closed",X1250&gt;=DATE(2026,6,1),X1250&lt;=DATE(2026,6,30)),"Closed in June","other")</f>
        <v/>
      </c>
    </row>
    <row r="1251" hidden="1">
      <c r="A1251" s="9" t="n">
        <v>46161</v>
      </c>
      <c r="B1251" s="1" t="n">
        <v>2026</v>
      </c>
      <c r="C1251" s="8" t="inlineStr">
        <is>
          <t>Continuum</t>
        </is>
      </c>
      <c r="D1251" s="11" t="inlineStr">
        <is>
          <t>Utility and C&amp;I</t>
        </is>
      </c>
      <c r="E1251" s="1" t="n"/>
      <c r="F1251" s="1" t="inlineStr">
        <is>
          <t>Closed</t>
        </is>
      </c>
      <c r="G1251" s="50" t="inlineStr">
        <is>
          <t>Mr. Harendresinh Jadeja</t>
        </is>
      </c>
      <c r="H1251" s="8" t="n">
        <v>9825182102</v>
      </c>
      <c r="I1251" s="10" t="inlineStr">
        <is>
          <t>PE19052601</t>
        </is>
      </c>
      <c r="J1251" s="8" t="inlineStr">
        <is>
          <t xml:space="preserve">Diode failure </t>
        </is>
      </c>
      <c r="K1251" s="8" t="inlineStr">
        <is>
          <t>Nakhatrana</t>
        </is>
      </c>
      <c r="L1251" s="8" t="inlineStr">
        <is>
          <t>Gujarat</t>
        </is>
      </c>
      <c r="M1251" s="2" t="inlineStr">
        <is>
          <t>PS</t>
        </is>
      </c>
      <c r="N1251" s="1" t="inlineStr">
        <is>
          <t>Cold Soldering</t>
        </is>
      </c>
      <c r="O1251" s="51" t="n">
        <v>580</v>
      </c>
      <c r="P1251" s="2" t="inlineStr">
        <is>
          <t>NSMI25011252145</t>
        </is>
      </c>
      <c r="Q1251" s="29">
        <f>MID(P1251,5,2)</f>
        <v/>
      </c>
      <c r="R1251" s="14">
        <f>MID(P1251,7,2)</f>
        <v/>
      </c>
      <c r="S1251" s="1" t="inlineStr">
        <is>
          <t>G2G</t>
        </is>
      </c>
      <c r="T1251" s="1" t="inlineStr">
        <is>
          <t>P4 - PEIPL</t>
        </is>
      </c>
      <c r="U1251" s="1" t="inlineStr">
        <is>
          <t>P JB Cold Soldering</t>
        </is>
      </c>
      <c r="V1251" s="1" t="inlineStr">
        <is>
          <t>Inspection</t>
        </is>
      </c>
      <c r="W1251" s="1" t="inlineStr">
        <is>
          <t>Repair</t>
        </is>
      </c>
      <c r="X1251" s="5" t="n">
        <v>46188</v>
      </c>
      <c r="Y1251" s="1">
        <f>IF(X1251="","",X1251-A1251)</f>
        <v/>
      </c>
      <c r="Z1251" s="5" t="n">
        <v>46188</v>
      </c>
      <c r="AA1251" s="3" t="n"/>
      <c r="AB1251" s="3" t="n"/>
      <c r="AE1251" s="146">
        <f>IF(AND(F1251="Closed",X1251&gt;=DATE(2026,6,1),X1251&lt;=DATE(2026,6,30)),"Closed in June","other")</f>
        <v/>
      </c>
    </row>
    <row r="1252" hidden="1">
      <c r="A1252" s="9" t="n">
        <v>46161</v>
      </c>
      <c r="B1252" s="1" t="n">
        <v>2026</v>
      </c>
      <c r="C1252" s="8" t="inlineStr">
        <is>
          <t>Continuum</t>
        </is>
      </c>
      <c r="D1252" s="11" t="inlineStr">
        <is>
          <t>Utility and C&amp;I</t>
        </is>
      </c>
      <c r="E1252" s="1" t="n"/>
      <c r="F1252" s="1" t="inlineStr">
        <is>
          <t>Closed</t>
        </is>
      </c>
      <c r="G1252" s="50" t="inlineStr">
        <is>
          <t>Mr. Harendresinh Jadeja</t>
        </is>
      </c>
      <c r="H1252" s="8" t="n">
        <v>9825182102</v>
      </c>
      <c r="I1252" s="10" t="inlineStr">
        <is>
          <t>PE19052601</t>
        </is>
      </c>
      <c r="J1252" s="8" t="inlineStr">
        <is>
          <t xml:space="preserve">Diode failure </t>
        </is>
      </c>
      <c r="K1252" s="8" t="inlineStr">
        <is>
          <t>Nakhatrana</t>
        </is>
      </c>
      <c r="L1252" s="8" t="inlineStr">
        <is>
          <t>Gujarat</t>
        </is>
      </c>
      <c r="M1252" s="2" t="inlineStr">
        <is>
          <t>PS</t>
        </is>
      </c>
      <c r="N1252" s="1" t="inlineStr">
        <is>
          <t>Cold Soldering</t>
        </is>
      </c>
      <c r="O1252" s="51" t="n">
        <v>580</v>
      </c>
      <c r="P1252" s="2" t="inlineStr">
        <is>
          <t>NSMI25011264213</t>
        </is>
      </c>
      <c r="Q1252" s="29">
        <f>MID(P1252,5,2)</f>
        <v/>
      </c>
      <c r="R1252" s="14">
        <f>MID(P1252,7,2)</f>
        <v/>
      </c>
      <c r="S1252" s="1" t="inlineStr">
        <is>
          <t>G2G</t>
        </is>
      </c>
      <c r="T1252" s="1" t="inlineStr">
        <is>
          <t>P4 - PEIPL</t>
        </is>
      </c>
      <c r="U1252" s="1" t="inlineStr">
        <is>
          <t>P JB Cold Soldering</t>
        </is>
      </c>
      <c r="V1252" s="1" t="inlineStr">
        <is>
          <t>Inspection</t>
        </is>
      </c>
      <c r="W1252" s="1" t="inlineStr">
        <is>
          <t>Repair</t>
        </is>
      </c>
      <c r="X1252" s="5" t="n">
        <v>46188</v>
      </c>
      <c r="Y1252" s="1">
        <f>IF(X1252="","",X1252-A1252)</f>
        <v/>
      </c>
      <c r="Z1252" s="5" t="n">
        <v>46188</v>
      </c>
      <c r="AA1252" s="3" t="n"/>
      <c r="AB1252" s="3" t="n"/>
      <c r="AE1252" s="146">
        <f>IF(AND(F1252="Closed",X1252&gt;=DATE(2026,6,1),X1252&lt;=DATE(2026,6,30)),"Closed in June","other")</f>
        <v/>
      </c>
    </row>
    <row r="1253" hidden="1">
      <c r="A1253" s="9" t="n">
        <v>46161</v>
      </c>
      <c r="B1253" s="1" t="n">
        <v>2026</v>
      </c>
      <c r="C1253" s="8" t="inlineStr">
        <is>
          <t>Continuum</t>
        </is>
      </c>
      <c r="D1253" s="11" t="inlineStr">
        <is>
          <t>Utility and C&amp;I</t>
        </is>
      </c>
      <c r="E1253" s="1" t="n"/>
      <c r="F1253" s="1" t="inlineStr">
        <is>
          <t>Closed</t>
        </is>
      </c>
      <c r="G1253" s="50" t="inlineStr">
        <is>
          <t>Mr. Harendresinh Jadeja</t>
        </is>
      </c>
      <c r="H1253" s="8" t="n">
        <v>9825182102</v>
      </c>
      <c r="I1253" s="10" t="inlineStr">
        <is>
          <t>PE19052601</t>
        </is>
      </c>
      <c r="J1253" s="8" t="inlineStr">
        <is>
          <t xml:space="preserve">Diode failure </t>
        </is>
      </c>
      <c r="K1253" s="8" t="inlineStr">
        <is>
          <t>Nakhatrana</t>
        </is>
      </c>
      <c r="L1253" s="8" t="inlineStr">
        <is>
          <t>Gujarat</t>
        </is>
      </c>
      <c r="M1253" s="2" t="inlineStr">
        <is>
          <t>PS</t>
        </is>
      </c>
      <c r="N1253" s="1" t="inlineStr">
        <is>
          <t>Cold Soldering</t>
        </is>
      </c>
      <c r="O1253" s="51" t="n">
        <v>580</v>
      </c>
      <c r="P1253" s="2" t="inlineStr">
        <is>
          <t>NSMI25011264196</t>
        </is>
      </c>
      <c r="Q1253" s="29">
        <f>MID(P1253,5,2)</f>
        <v/>
      </c>
      <c r="R1253" s="14">
        <f>MID(P1253,7,2)</f>
        <v/>
      </c>
      <c r="S1253" s="1" t="inlineStr">
        <is>
          <t>G2G</t>
        </is>
      </c>
      <c r="T1253" s="1" t="inlineStr">
        <is>
          <t>P4 - PEIPL</t>
        </is>
      </c>
      <c r="U1253" s="1" t="inlineStr">
        <is>
          <t>P JB Cold Soldering</t>
        </is>
      </c>
      <c r="V1253" s="1" t="inlineStr">
        <is>
          <t>Inspection</t>
        </is>
      </c>
      <c r="W1253" s="1" t="inlineStr">
        <is>
          <t>Repair</t>
        </is>
      </c>
      <c r="X1253" s="5" t="n">
        <v>46188</v>
      </c>
      <c r="Y1253" s="1">
        <f>IF(X1253="","",X1253-A1253)</f>
        <v/>
      </c>
      <c r="Z1253" s="5" t="n">
        <v>46188</v>
      </c>
      <c r="AA1253" s="3" t="n"/>
      <c r="AB1253" s="3" t="n"/>
      <c r="AE1253" s="146">
        <f>IF(AND(F1253="Closed",X1253&gt;=DATE(2026,6,1),X1253&lt;=DATE(2026,6,30)),"Closed in June","other")</f>
        <v/>
      </c>
    </row>
    <row r="1254" hidden="1">
      <c r="A1254" s="9" t="n">
        <v>46161</v>
      </c>
      <c r="B1254" s="1" t="n">
        <v>2026</v>
      </c>
      <c r="C1254" s="8" t="inlineStr">
        <is>
          <t>Continuum</t>
        </is>
      </c>
      <c r="D1254" s="11" t="inlineStr">
        <is>
          <t>Utility and C&amp;I</t>
        </is>
      </c>
      <c r="E1254" s="1" t="n"/>
      <c r="F1254" s="1" t="inlineStr">
        <is>
          <t>Closed</t>
        </is>
      </c>
      <c r="G1254" s="50" t="inlineStr">
        <is>
          <t>Mr. Harendresinh Jadeja</t>
        </is>
      </c>
      <c r="H1254" s="8" t="n">
        <v>9825182102</v>
      </c>
      <c r="I1254" s="10" t="inlineStr">
        <is>
          <t>PE19052601</t>
        </is>
      </c>
      <c r="J1254" s="8" t="inlineStr">
        <is>
          <t xml:space="preserve">Diode failure </t>
        </is>
      </c>
      <c r="K1254" s="8" t="inlineStr">
        <is>
          <t>Nakhatrana</t>
        </is>
      </c>
      <c r="L1254" s="8" t="inlineStr">
        <is>
          <t>Gujarat</t>
        </is>
      </c>
      <c r="M1254" s="2" t="inlineStr">
        <is>
          <t>PS</t>
        </is>
      </c>
      <c r="N1254" s="1" t="inlineStr">
        <is>
          <t>Cold Soldering</t>
        </is>
      </c>
      <c r="O1254" s="51" t="n">
        <v>580</v>
      </c>
      <c r="P1254" s="2" t="inlineStr">
        <is>
          <t>NSMI25011261531</t>
        </is>
      </c>
      <c r="Q1254" s="29">
        <f>MID(P1254,5,2)</f>
        <v/>
      </c>
      <c r="R1254" s="14">
        <f>MID(P1254,7,2)</f>
        <v/>
      </c>
      <c r="S1254" s="1" t="inlineStr">
        <is>
          <t>G2G</t>
        </is>
      </c>
      <c r="T1254" s="1" t="inlineStr">
        <is>
          <t>P4 - PEIPL</t>
        </is>
      </c>
      <c r="U1254" s="1" t="inlineStr">
        <is>
          <t>P JB Cold Soldering</t>
        </is>
      </c>
      <c r="V1254" s="1" t="inlineStr">
        <is>
          <t>Inspection</t>
        </is>
      </c>
      <c r="W1254" s="1" t="inlineStr">
        <is>
          <t>Repair</t>
        </is>
      </c>
      <c r="X1254" s="5" t="n">
        <v>46188</v>
      </c>
      <c r="Y1254" s="1">
        <f>IF(X1254="","",X1254-A1254)</f>
        <v/>
      </c>
      <c r="Z1254" s="5" t="n">
        <v>46188</v>
      </c>
      <c r="AA1254" s="3" t="n"/>
      <c r="AB1254" s="3" t="n"/>
      <c r="AE1254" s="146">
        <f>IF(AND(F1254="Closed",X1254&gt;=DATE(2026,6,1),X1254&lt;=DATE(2026,6,30)),"Closed in June","other")</f>
        <v/>
      </c>
    </row>
    <row r="1255" hidden="1">
      <c r="A1255" s="9" t="n">
        <v>46161</v>
      </c>
      <c r="B1255" s="1" t="n">
        <v>2026</v>
      </c>
      <c r="C1255" s="8" t="inlineStr">
        <is>
          <t>Continuum</t>
        </is>
      </c>
      <c r="D1255" s="11" t="inlineStr">
        <is>
          <t>Utility and C&amp;I</t>
        </is>
      </c>
      <c r="E1255" s="1" t="n"/>
      <c r="F1255" s="1" t="inlineStr">
        <is>
          <t>Closed</t>
        </is>
      </c>
      <c r="G1255" s="50" t="inlineStr">
        <is>
          <t>Mr. Harendresinh Jadeja</t>
        </is>
      </c>
      <c r="H1255" s="8" t="n">
        <v>9825182102</v>
      </c>
      <c r="I1255" s="10" t="inlineStr">
        <is>
          <t>PE19052601</t>
        </is>
      </c>
      <c r="J1255" s="8" t="inlineStr">
        <is>
          <t xml:space="preserve">Diode failure </t>
        </is>
      </c>
      <c r="K1255" s="8" t="inlineStr">
        <is>
          <t>Nakhatrana</t>
        </is>
      </c>
      <c r="L1255" s="8" t="inlineStr">
        <is>
          <t>Gujarat</t>
        </is>
      </c>
      <c r="M1255" s="2" t="inlineStr">
        <is>
          <t>PS</t>
        </is>
      </c>
      <c r="N1255" s="1" t="inlineStr">
        <is>
          <t>Cold Soldering</t>
        </is>
      </c>
      <c r="O1255" s="51" t="n">
        <v>580</v>
      </c>
      <c r="P1255" s="2" t="inlineStr">
        <is>
          <t>NSMI25011255173</t>
        </is>
      </c>
      <c r="Q1255" s="29">
        <f>MID(P1255,5,2)</f>
        <v/>
      </c>
      <c r="R1255" s="14">
        <f>MID(P1255,7,2)</f>
        <v/>
      </c>
      <c r="S1255" s="1" t="inlineStr">
        <is>
          <t>G2G</t>
        </is>
      </c>
      <c r="T1255" s="1" t="inlineStr">
        <is>
          <t>P4 - PEIPL</t>
        </is>
      </c>
      <c r="U1255" s="1" t="inlineStr">
        <is>
          <t>P JB Cold Soldering</t>
        </is>
      </c>
      <c r="V1255" s="1" t="inlineStr">
        <is>
          <t>Inspection</t>
        </is>
      </c>
      <c r="W1255" s="1" t="inlineStr">
        <is>
          <t>Repair</t>
        </is>
      </c>
      <c r="X1255" s="5" t="n">
        <v>46188</v>
      </c>
      <c r="Y1255" s="1">
        <f>IF(X1255="","",X1255-A1255)</f>
        <v/>
      </c>
      <c r="Z1255" s="5" t="n">
        <v>46188</v>
      </c>
      <c r="AA1255" s="3" t="n"/>
      <c r="AB1255" s="3" t="n"/>
      <c r="AE1255" s="146">
        <f>IF(AND(F1255="Closed",X1255&gt;=DATE(2026,6,1),X1255&lt;=DATE(2026,6,30)),"Closed in June","other")</f>
        <v/>
      </c>
    </row>
    <row r="1256" hidden="1">
      <c r="A1256" s="9" t="n">
        <v>46161</v>
      </c>
      <c r="B1256" s="1" t="n">
        <v>2026</v>
      </c>
      <c r="C1256" s="8" t="inlineStr">
        <is>
          <t>Continuum</t>
        </is>
      </c>
      <c r="D1256" s="11" t="inlineStr">
        <is>
          <t>Utility and C&amp;I</t>
        </is>
      </c>
      <c r="E1256" s="1" t="n"/>
      <c r="F1256" s="1" t="inlineStr">
        <is>
          <t>Closed</t>
        </is>
      </c>
      <c r="G1256" s="50" t="inlineStr">
        <is>
          <t>Mr. Harendresinh Jadeja</t>
        </is>
      </c>
      <c r="H1256" s="8" t="n">
        <v>9825182102</v>
      </c>
      <c r="I1256" s="10" t="inlineStr">
        <is>
          <t>PE19052601</t>
        </is>
      </c>
      <c r="J1256" s="8" t="inlineStr">
        <is>
          <t xml:space="preserve">Diode failure </t>
        </is>
      </c>
      <c r="K1256" s="8" t="inlineStr">
        <is>
          <t>Nakhatrana</t>
        </is>
      </c>
      <c r="L1256" s="8" t="inlineStr">
        <is>
          <t>Gujarat</t>
        </is>
      </c>
      <c r="M1256" s="2" t="inlineStr">
        <is>
          <t>PR</t>
        </is>
      </c>
      <c r="N1256" s="1" t="inlineStr">
        <is>
          <t>JB Issue</t>
        </is>
      </c>
      <c r="O1256" s="51" t="n">
        <v>580</v>
      </c>
      <c r="P1256" s="2" t="inlineStr">
        <is>
          <t>NSMI25011277808</t>
        </is>
      </c>
      <c r="Q1256" s="29">
        <f>MID(P1256,5,2)</f>
        <v/>
      </c>
      <c r="R1256" s="14">
        <f>MID(P1256,7,2)</f>
        <v/>
      </c>
      <c r="S1256" s="1" t="inlineStr">
        <is>
          <t>G2G</t>
        </is>
      </c>
      <c r="T1256" s="1" t="inlineStr">
        <is>
          <t>P4 - PEIPL</t>
        </is>
      </c>
      <c r="U1256" s="6" t="inlineStr">
        <is>
          <t>P JB Issue</t>
        </is>
      </c>
      <c r="V1256" s="1" t="inlineStr">
        <is>
          <t>Inspection</t>
        </is>
      </c>
      <c r="W1256" s="1" t="inlineStr">
        <is>
          <t>Repair</t>
        </is>
      </c>
      <c r="X1256" s="5" t="n">
        <v>46188</v>
      </c>
      <c r="Y1256" s="1">
        <f>IF(X1256="","",X1256-A1256)</f>
        <v/>
      </c>
      <c r="Z1256" s="5" t="n">
        <v>46188</v>
      </c>
      <c r="AA1256" s="3" t="n"/>
      <c r="AB1256" s="3" t="n"/>
      <c r="AE1256" s="146">
        <f>IF(AND(F1256="Closed",X1256&gt;=DATE(2026,6,1),X1256&lt;=DATE(2026,6,30)),"Closed in June","other")</f>
        <v/>
      </c>
    </row>
    <row r="1257" hidden="1">
      <c r="A1257" s="49" t="n">
        <v>46177</v>
      </c>
      <c r="B1257" s="1" t="n">
        <v>2026</v>
      </c>
      <c r="C1257" s="11" t="inlineStr">
        <is>
          <t>Ayana</t>
        </is>
      </c>
      <c r="D1257" s="11" t="inlineStr">
        <is>
          <t>Utility and C&amp;I</t>
        </is>
      </c>
      <c r="E1257" s="1" t="n"/>
      <c r="F1257" s="1" t="inlineStr">
        <is>
          <t>WIP</t>
        </is>
      </c>
      <c r="G1257" s="11" t="inlineStr">
        <is>
          <t>Vasu.N</t>
        </is>
      </c>
      <c r="H1257" s="8" t="n">
        <v>9578099893</v>
      </c>
      <c r="I1257" s="10" t="inlineStr">
        <is>
          <t>PE04062601</t>
        </is>
      </c>
      <c r="J1257" s="28" t="inlineStr">
        <is>
          <t>Module burnt</t>
        </is>
      </c>
      <c r="K1257" s="8" t="inlineStr">
        <is>
          <t>Jatavira</t>
        </is>
      </c>
      <c r="L1257" s="39" t="inlineStr">
        <is>
          <t>Gujarat</t>
        </is>
      </c>
      <c r="M1257" s="2" t="inlineStr">
        <is>
          <t xml:space="preserve">Both glass broken with burn spot </t>
        </is>
      </c>
      <c r="N1257" s="6" t="inlineStr">
        <is>
          <t>Glass Breakage with Burn Spot</t>
        </is>
      </c>
      <c r="O1257" s="32" t="n">
        <v>585</v>
      </c>
      <c r="P1257" s="2" t="inlineStr">
        <is>
          <t>NSMI24090504679</t>
        </is>
      </c>
      <c r="Q1257" s="29">
        <f>MID(P1257,5,2)</f>
        <v/>
      </c>
      <c r="R1257" s="14">
        <f>MID(P1257,7,2)</f>
        <v/>
      </c>
      <c r="S1257" s="6" t="inlineStr">
        <is>
          <t>G2G</t>
        </is>
      </c>
      <c r="T1257" s="1" t="inlineStr">
        <is>
          <t>P4 - PEIPL</t>
        </is>
      </c>
      <c r="U1257" s="6" t="inlineStr">
        <is>
          <t>Glass Breakage with Burn Spot</t>
        </is>
      </c>
      <c r="V1257" s="1" t="inlineStr">
        <is>
          <t>Inspection</t>
        </is>
      </c>
      <c r="W1257" s="1" t="inlineStr">
        <is>
          <t>WIP</t>
        </is>
      </c>
      <c r="X1257" s="12" t="n"/>
      <c r="Y1257" s="1">
        <f>IF(X1257="","",X1257-A1257)</f>
        <v/>
      </c>
      <c r="Z1257" s="5" t="n">
        <v>46188</v>
      </c>
      <c r="AA1257" s="3" t="n"/>
      <c r="AB1257" s="3" t="n"/>
      <c r="AE1257" s="146">
        <f>IF(AND(F1257="Closed",X1257&gt;=DATE(2026,6,1),X1257&lt;=DATE(2026,6,30)),"Closed in June","other")</f>
        <v/>
      </c>
    </row>
    <row r="1258" hidden="1">
      <c r="A1258" s="49" t="n">
        <v>46177</v>
      </c>
      <c r="B1258" s="1" t="n">
        <v>2026</v>
      </c>
      <c r="C1258" s="11" t="inlineStr">
        <is>
          <t>Ayana</t>
        </is>
      </c>
      <c r="D1258" s="11" t="inlineStr">
        <is>
          <t>Utility and C&amp;I</t>
        </is>
      </c>
      <c r="E1258" s="1" t="n"/>
      <c r="F1258" s="1" t="inlineStr">
        <is>
          <t>WIP</t>
        </is>
      </c>
      <c r="G1258" s="11" t="inlineStr">
        <is>
          <t>Vasu.N</t>
        </is>
      </c>
      <c r="H1258" s="8" t="n">
        <v>9578099893</v>
      </c>
      <c r="I1258" s="10" t="inlineStr">
        <is>
          <t>PE04062601</t>
        </is>
      </c>
      <c r="J1258" s="28" t="inlineStr">
        <is>
          <t>Module burnt</t>
        </is>
      </c>
      <c r="K1258" s="8" t="inlineStr">
        <is>
          <t>Jatavira</t>
        </is>
      </c>
      <c r="L1258" s="39" t="inlineStr">
        <is>
          <t>Gujarat</t>
        </is>
      </c>
      <c r="M1258" s="2" t="inlineStr">
        <is>
          <t xml:space="preserve">Both glass broken with burn spot </t>
        </is>
      </c>
      <c r="N1258" s="6" t="inlineStr">
        <is>
          <t>Glass Breakage with Burn Spot</t>
        </is>
      </c>
      <c r="O1258" s="32" t="n">
        <v>585</v>
      </c>
      <c r="P1258" s="2" t="inlineStr">
        <is>
          <t>NSMI24090453176</t>
        </is>
      </c>
      <c r="Q1258" s="29">
        <f>MID(P1258,5,2)</f>
        <v/>
      </c>
      <c r="R1258" s="14">
        <f>MID(P1258,7,2)</f>
        <v/>
      </c>
      <c r="S1258" s="6" t="inlineStr">
        <is>
          <t>G2G</t>
        </is>
      </c>
      <c r="T1258" s="1" t="inlineStr">
        <is>
          <t>P4 - PEIPL</t>
        </is>
      </c>
      <c r="U1258" s="6" t="inlineStr">
        <is>
          <t>Glass Breakage with Burn Spot</t>
        </is>
      </c>
      <c r="V1258" s="1" t="inlineStr">
        <is>
          <t>Inspection</t>
        </is>
      </c>
      <c r="W1258" s="1" t="inlineStr">
        <is>
          <t>WIP</t>
        </is>
      </c>
      <c r="X1258" s="12" t="n"/>
      <c r="Y1258" s="1">
        <f>IF(X1258="","",X1258-A1258)</f>
        <v/>
      </c>
      <c r="Z1258" s="5" t="n">
        <v>46188</v>
      </c>
      <c r="AA1258" s="3" t="n"/>
      <c r="AB1258" s="3" t="n"/>
      <c r="AE1258" s="146">
        <f>IF(AND(F1258="Closed",X1258&gt;=DATE(2026,6,1),X1258&lt;=DATE(2026,6,30)),"Closed in June","other")</f>
        <v/>
      </c>
    </row>
    <row r="1259" hidden="1">
      <c r="A1259" s="49" t="n">
        <v>46177</v>
      </c>
      <c r="B1259" s="1" t="n">
        <v>2026</v>
      </c>
      <c r="C1259" s="11" t="inlineStr">
        <is>
          <t>Ayana</t>
        </is>
      </c>
      <c r="D1259" s="11" t="inlineStr">
        <is>
          <t>Utility and C&amp;I</t>
        </is>
      </c>
      <c r="E1259" s="1" t="n"/>
      <c r="F1259" s="1" t="inlineStr">
        <is>
          <t>WIP</t>
        </is>
      </c>
      <c r="G1259" s="11" t="inlineStr">
        <is>
          <t>Vasu.N</t>
        </is>
      </c>
      <c r="H1259" s="8" t="n">
        <v>9578099893</v>
      </c>
      <c r="I1259" s="10" t="inlineStr">
        <is>
          <t>PE04062601</t>
        </is>
      </c>
      <c r="J1259" s="28" t="inlineStr">
        <is>
          <t>Module burnt</t>
        </is>
      </c>
      <c r="K1259" s="8" t="inlineStr">
        <is>
          <t>Jatavira</t>
        </is>
      </c>
      <c r="L1259" s="39" t="inlineStr">
        <is>
          <t>Gujarat</t>
        </is>
      </c>
      <c r="M1259" s="2" t="inlineStr">
        <is>
          <t xml:space="preserve">Front glass broken with burn spot </t>
        </is>
      </c>
      <c r="N1259" s="6" t="inlineStr">
        <is>
          <t>Glass Breakage with Burn Spot</t>
        </is>
      </c>
      <c r="O1259" s="32" t="n">
        <v>585</v>
      </c>
      <c r="P1259" s="2" t="inlineStr">
        <is>
          <t>NSMI24090483837</t>
        </is>
      </c>
      <c r="Q1259" s="29">
        <f>MID(P1259,5,2)</f>
        <v/>
      </c>
      <c r="R1259" s="14">
        <f>MID(P1259,7,2)</f>
        <v/>
      </c>
      <c r="S1259" s="6" t="inlineStr">
        <is>
          <t>G2G</t>
        </is>
      </c>
      <c r="T1259" s="1" t="inlineStr">
        <is>
          <t>P4 - PEIPL</t>
        </is>
      </c>
      <c r="U1259" s="6" t="inlineStr">
        <is>
          <t>Glass Breakage with Burn Spot</t>
        </is>
      </c>
      <c r="V1259" s="1" t="inlineStr">
        <is>
          <t>Inspection</t>
        </is>
      </c>
      <c r="W1259" s="1" t="inlineStr">
        <is>
          <t>WIP</t>
        </is>
      </c>
      <c r="X1259" s="12" t="n"/>
      <c r="Y1259" s="1">
        <f>IF(X1259="","",X1259-A1259)</f>
        <v/>
      </c>
      <c r="Z1259" s="5" t="n">
        <v>46188</v>
      </c>
      <c r="AA1259" s="3" t="n"/>
      <c r="AB1259" s="3" t="n"/>
      <c r="AE1259" s="146">
        <f>IF(AND(F1259="Closed",X1259&gt;=DATE(2026,6,1),X1259&lt;=DATE(2026,6,30)),"Closed in June","other")</f>
        <v/>
      </c>
    </row>
    <row r="1260" hidden="1">
      <c r="A1260" s="49" t="n">
        <v>46177</v>
      </c>
      <c r="B1260" s="1" t="n">
        <v>2026</v>
      </c>
      <c r="C1260" s="11" t="inlineStr">
        <is>
          <t>Ayana</t>
        </is>
      </c>
      <c r="D1260" s="11" t="inlineStr">
        <is>
          <t>Utility and C&amp;I</t>
        </is>
      </c>
      <c r="E1260" s="1" t="n"/>
      <c r="F1260" s="1" t="inlineStr">
        <is>
          <t>WIP</t>
        </is>
      </c>
      <c r="G1260" s="11" t="inlineStr">
        <is>
          <t>Vasu.N</t>
        </is>
      </c>
      <c r="H1260" s="8" t="n">
        <v>9578099893</v>
      </c>
      <c r="I1260" s="10" t="inlineStr">
        <is>
          <t>PE04062601</t>
        </is>
      </c>
      <c r="J1260" s="28" t="inlineStr">
        <is>
          <t>Module burnt</t>
        </is>
      </c>
      <c r="K1260" s="8" t="inlineStr">
        <is>
          <t>Jatavira</t>
        </is>
      </c>
      <c r="L1260" s="39" t="inlineStr">
        <is>
          <t>Gujarat</t>
        </is>
      </c>
      <c r="M1260" s="2" t="inlineStr">
        <is>
          <t xml:space="preserve">Front glass broken with burn spot </t>
        </is>
      </c>
      <c r="N1260" s="6" t="inlineStr">
        <is>
          <t>Glass Breakage with Burn Spot</t>
        </is>
      </c>
      <c r="O1260" s="32" t="n">
        <v>585</v>
      </c>
      <c r="P1260" s="2" t="inlineStr">
        <is>
          <t>NSMI24090541817</t>
        </is>
      </c>
      <c r="Q1260" s="29">
        <f>MID(P1260,5,2)</f>
        <v/>
      </c>
      <c r="R1260" s="14">
        <f>MID(P1260,7,2)</f>
        <v/>
      </c>
      <c r="S1260" s="6" t="inlineStr">
        <is>
          <t>G2G</t>
        </is>
      </c>
      <c r="T1260" s="1" t="inlineStr">
        <is>
          <t>P4 - PEIPL</t>
        </is>
      </c>
      <c r="U1260" s="6" t="inlineStr">
        <is>
          <t>Glass Breakage with Burn Spot</t>
        </is>
      </c>
      <c r="V1260" s="1" t="inlineStr">
        <is>
          <t>Inspection</t>
        </is>
      </c>
      <c r="W1260" s="1" t="inlineStr">
        <is>
          <t>WIP</t>
        </is>
      </c>
      <c r="X1260" s="12" t="n"/>
      <c r="Y1260" s="1">
        <f>IF(X1260="","",X1260-A1260)</f>
        <v/>
      </c>
      <c r="Z1260" s="5" t="n">
        <v>46188</v>
      </c>
      <c r="AA1260" s="3" t="n"/>
      <c r="AB1260" s="3" t="n"/>
      <c r="AE1260" s="146">
        <f>IF(AND(F1260="Closed",X1260&gt;=DATE(2026,6,1),X1260&lt;=DATE(2026,6,30)),"Closed in June","other")</f>
        <v/>
      </c>
    </row>
    <row r="1261" hidden="1">
      <c r="A1261" s="49" t="n">
        <v>46177</v>
      </c>
      <c r="B1261" s="1" t="n">
        <v>2026</v>
      </c>
      <c r="C1261" s="11" t="inlineStr">
        <is>
          <t>Ayana</t>
        </is>
      </c>
      <c r="D1261" s="11" t="inlineStr">
        <is>
          <t>Utility and C&amp;I</t>
        </is>
      </c>
      <c r="E1261" s="1" t="n"/>
      <c r="F1261" s="1" t="inlineStr">
        <is>
          <t>WIP</t>
        </is>
      </c>
      <c r="G1261" s="11" t="inlineStr">
        <is>
          <t>Vasu.N</t>
        </is>
      </c>
      <c r="H1261" s="8" t="n">
        <v>9578099893</v>
      </c>
      <c r="I1261" s="10" t="inlineStr">
        <is>
          <t>PE04062601</t>
        </is>
      </c>
      <c r="J1261" s="28" t="inlineStr">
        <is>
          <t>Module burnt</t>
        </is>
      </c>
      <c r="K1261" s="8" t="inlineStr">
        <is>
          <t>Jatavira</t>
        </is>
      </c>
      <c r="L1261" s="39" t="inlineStr">
        <is>
          <t>Gujarat</t>
        </is>
      </c>
      <c r="M1261" s="2" t="inlineStr">
        <is>
          <t xml:space="preserve">Both glass broken with burn spot </t>
        </is>
      </c>
      <c r="N1261" s="6" t="inlineStr">
        <is>
          <t>Glass Breakage with Burn Spot</t>
        </is>
      </c>
      <c r="O1261" s="32" t="n">
        <v>585</v>
      </c>
      <c r="P1261" s="2" t="inlineStr">
        <is>
          <t>NSMI24090466028</t>
        </is>
      </c>
      <c r="Q1261" s="29">
        <f>MID(P1261,5,2)</f>
        <v/>
      </c>
      <c r="R1261" s="14">
        <f>MID(P1261,7,2)</f>
        <v/>
      </c>
      <c r="S1261" s="6" t="inlineStr">
        <is>
          <t>G2G</t>
        </is>
      </c>
      <c r="T1261" s="1" t="inlineStr">
        <is>
          <t>P4 - PEIPL</t>
        </is>
      </c>
      <c r="U1261" s="6" t="inlineStr">
        <is>
          <t>Glass Breakage with Burn Spot</t>
        </is>
      </c>
      <c r="V1261" s="1" t="inlineStr">
        <is>
          <t>Inspection</t>
        </is>
      </c>
      <c r="W1261" s="1" t="inlineStr">
        <is>
          <t>WIP</t>
        </is>
      </c>
      <c r="X1261" s="12" t="n"/>
      <c r="Y1261" s="1">
        <f>IF(X1261="","",X1261-A1261)</f>
        <v/>
      </c>
      <c r="Z1261" s="5" t="n">
        <v>46188</v>
      </c>
      <c r="AA1261" s="3" t="n"/>
      <c r="AB1261" s="3" t="n"/>
      <c r="AE1261" s="146">
        <f>IF(AND(F1261="Closed",X1261&gt;=DATE(2026,6,1),X1261&lt;=DATE(2026,6,30)),"Closed in June","other")</f>
        <v/>
      </c>
    </row>
    <row r="1262" hidden="1">
      <c r="A1262" s="49" t="n">
        <v>46177</v>
      </c>
      <c r="B1262" s="1" t="n">
        <v>2026</v>
      </c>
      <c r="C1262" s="11" t="inlineStr">
        <is>
          <t>Ayana</t>
        </is>
      </c>
      <c r="D1262" s="11" t="inlineStr">
        <is>
          <t>Utility and C&amp;I</t>
        </is>
      </c>
      <c r="E1262" s="1" t="n"/>
      <c r="F1262" s="1" t="inlineStr">
        <is>
          <t>WIP</t>
        </is>
      </c>
      <c r="G1262" s="11" t="inlineStr">
        <is>
          <t>Vasu.N</t>
        </is>
      </c>
      <c r="H1262" s="8" t="n">
        <v>9578099893</v>
      </c>
      <c r="I1262" s="10" t="inlineStr">
        <is>
          <t>PE04062601</t>
        </is>
      </c>
      <c r="J1262" s="28" t="inlineStr">
        <is>
          <t>Module burnt</t>
        </is>
      </c>
      <c r="K1262" s="8" t="inlineStr">
        <is>
          <t>Jatavira</t>
        </is>
      </c>
      <c r="L1262" s="39" t="inlineStr">
        <is>
          <t>Gujarat</t>
        </is>
      </c>
      <c r="M1262" s="2" t="inlineStr">
        <is>
          <t xml:space="preserve">Both glass broken with burn spot </t>
        </is>
      </c>
      <c r="N1262" s="6" t="inlineStr">
        <is>
          <t>Glass Breakage with Burn Spot</t>
        </is>
      </c>
      <c r="O1262" s="32" t="n">
        <v>585</v>
      </c>
      <c r="P1262" s="2" t="inlineStr">
        <is>
          <t>NSMI24090466440</t>
        </is>
      </c>
      <c r="Q1262" s="29">
        <f>MID(P1262,5,2)</f>
        <v/>
      </c>
      <c r="R1262" s="14">
        <f>MID(P1262,7,2)</f>
        <v/>
      </c>
      <c r="S1262" s="6" t="inlineStr">
        <is>
          <t>G2G</t>
        </is>
      </c>
      <c r="T1262" s="1" t="inlineStr">
        <is>
          <t>P4 - PEIPL</t>
        </is>
      </c>
      <c r="U1262" s="6" t="inlineStr">
        <is>
          <t>Glass Breakage with Burn Spot</t>
        </is>
      </c>
      <c r="V1262" s="1" t="inlineStr">
        <is>
          <t>Inspection</t>
        </is>
      </c>
      <c r="W1262" s="1" t="inlineStr">
        <is>
          <t>WIP</t>
        </is>
      </c>
      <c r="X1262" s="12" t="n"/>
      <c r="Y1262" s="1">
        <f>IF(X1262="","",X1262-A1262)</f>
        <v/>
      </c>
      <c r="Z1262" s="5" t="n">
        <v>46188</v>
      </c>
      <c r="AA1262" s="3" t="n"/>
      <c r="AB1262" s="3" t="n"/>
      <c r="AE1262" s="146">
        <f>IF(AND(F1262="Closed",X1262&gt;=DATE(2026,6,1),X1262&lt;=DATE(2026,6,30)),"Closed in June","other")</f>
        <v/>
      </c>
    </row>
    <row r="1263" hidden="1">
      <c r="A1263" s="49" t="n">
        <v>46177</v>
      </c>
      <c r="B1263" s="1" t="n">
        <v>2026</v>
      </c>
      <c r="C1263" s="11" t="inlineStr">
        <is>
          <t>Ayana</t>
        </is>
      </c>
      <c r="D1263" s="11" t="inlineStr">
        <is>
          <t>Utility and C&amp;I</t>
        </is>
      </c>
      <c r="E1263" s="1" t="n"/>
      <c r="F1263" s="1" t="inlineStr">
        <is>
          <t>WIP</t>
        </is>
      </c>
      <c r="G1263" s="11" t="inlineStr">
        <is>
          <t>Vasu.N</t>
        </is>
      </c>
      <c r="H1263" s="8" t="n">
        <v>9578099893</v>
      </c>
      <c r="I1263" s="10" t="inlineStr">
        <is>
          <t>PE04062601</t>
        </is>
      </c>
      <c r="J1263" s="28" t="inlineStr">
        <is>
          <t>Module burnt</t>
        </is>
      </c>
      <c r="K1263" s="8" t="inlineStr">
        <is>
          <t>Jatavira</t>
        </is>
      </c>
      <c r="L1263" s="39" t="inlineStr">
        <is>
          <t>Gujarat</t>
        </is>
      </c>
      <c r="M1263" s="2" t="inlineStr">
        <is>
          <t xml:space="preserve">Burning </t>
        </is>
      </c>
      <c r="N1263" s="6" t="inlineStr">
        <is>
          <t>Module Burn</t>
        </is>
      </c>
      <c r="O1263" s="32" t="n">
        <v>585</v>
      </c>
      <c r="P1263" s="2" t="inlineStr">
        <is>
          <t>NSMI24090456910</t>
        </is>
      </c>
      <c r="Q1263" s="29">
        <f>MID(P1263,5,2)</f>
        <v/>
      </c>
      <c r="R1263" s="14">
        <f>MID(P1263,7,2)</f>
        <v/>
      </c>
      <c r="S1263" s="6" t="inlineStr">
        <is>
          <t>G2G</t>
        </is>
      </c>
      <c r="T1263" s="1" t="inlineStr">
        <is>
          <t>P4 - PEIPL</t>
        </is>
      </c>
      <c r="U1263" s="6" t="inlineStr">
        <is>
          <t>Module Burn</t>
        </is>
      </c>
      <c r="V1263" s="1" t="inlineStr">
        <is>
          <t>Inspection</t>
        </is>
      </c>
      <c r="W1263" s="1" t="inlineStr">
        <is>
          <t>WIP</t>
        </is>
      </c>
      <c r="X1263" s="12" t="n"/>
      <c r="Y1263" s="1">
        <f>IF(X1263="","",X1263-A1263)</f>
        <v/>
      </c>
      <c r="Z1263" s="5" t="n">
        <v>46188</v>
      </c>
      <c r="AA1263" s="3" t="n"/>
      <c r="AB1263" s="3" t="n"/>
      <c r="AE1263" s="146">
        <f>IF(AND(F1263="Closed",X1263&gt;=DATE(2026,6,1),X1263&lt;=DATE(2026,6,30)),"Closed in June","other")</f>
        <v/>
      </c>
    </row>
    <row r="1264" hidden="1">
      <c r="A1264" s="49" t="n">
        <v>46177</v>
      </c>
      <c r="B1264" s="1" t="n">
        <v>2026</v>
      </c>
      <c r="C1264" s="11" t="inlineStr">
        <is>
          <t>Ayana</t>
        </is>
      </c>
      <c r="D1264" s="11" t="inlineStr">
        <is>
          <t>Utility and C&amp;I</t>
        </is>
      </c>
      <c r="E1264" s="1" t="n"/>
      <c r="F1264" s="1" t="inlineStr">
        <is>
          <t>WIP</t>
        </is>
      </c>
      <c r="G1264" s="11" t="inlineStr">
        <is>
          <t>Vasu.N</t>
        </is>
      </c>
      <c r="H1264" s="8" t="n">
        <v>9578099893</v>
      </c>
      <c r="I1264" s="10" t="inlineStr">
        <is>
          <t>PE04062601</t>
        </is>
      </c>
      <c r="J1264" s="28" t="inlineStr">
        <is>
          <t>Module burnt</t>
        </is>
      </c>
      <c r="K1264" s="8" t="inlineStr">
        <is>
          <t>Jatavira</t>
        </is>
      </c>
      <c r="L1264" s="39" t="inlineStr">
        <is>
          <t>Gujarat</t>
        </is>
      </c>
      <c r="M1264" s="2" t="inlineStr">
        <is>
          <t xml:space="preserve">Burning </t>
        </is>
      </c>
      <c r="N1264" s="6" t="inlineStr">
        <is>
          <t>Module Burn</t>
        </is>
      </c>
      <c r="O1264" s="32" t="n">
        <v>585</v>
      </c>
      <c r="P1264" s="2" t="inlineStr">
        <is>
          <t>NSMI24100571761</t>
        </is>
      </c>
      <c r="Q1264" s="29">
        <f>MID(P1264,5,2)</f>
        <v/>
      </c>
      <c r="R1264" s="14">
        <f>MID(P1264,7,2)</f>
        <v/>
      </c>
      <c r="S1264" s="6" t="inlineStr">
        <is>
          <t>G2G</t>
        </is>
      </c>
      <c r="T1264" s="1" t="inlineStr">
        <is>
          <t>P4 - PEIPL</t>
        </is>
      </c>
      <c r="U1264" s="6" t="inlineStr">
        <is>
          <t>Module Burn</t>
        </is>
      </c>
      <c r="V1264" s="1" t="inlineStr">
        <is>
          <t>Inspection</t>
        </is>
      </c>
      <c r="W1264" s="1" t="inlineStr">
        <is>
          <t>WIP</t>
        </is>
      </c>
      <c r="X1264" s="12" t="n"/>
      <c r="Y1264" s="1">
        <f>IF(X1264="","",X1264-A1264)</f>
        <v/>
      </c>
      <c r="Z1264" s="5" t="n">
        <v>46188</v>
      </c>
      <c r="AA1264" s="3" t="n"/>
      <c r="AB1264" s="3" t="n"/>
      <c r="AE1264" s="146">
        <f>IF(AND(F1264="Closed",X1264&gt;=DATE(2026,6,1),X1264&lt;=DATE(2026,6,30)),"Closed in June","other")</f>
        <v/>
      </c>
    </row>
    <row r="1265" hidden="1">
      <c r="A1265" s="49" t="n">
        <v>46177</v>
      </c>
      <c r="B1265" s="1" t="n">
        <v>2026</v>
      </c>
      <c r="C1265" s="11" t="inlineStr">
        <is>
          <t>Ayana</t>
        </is>
      </c>
      <c r="D1265" s="11" t="inlineStr">
        <is>
          <t>Utility and C&amp;I</t>
        </is>
      </c>
      <c r="E1265" s="1" t="n"/>
      <c r="F1265" s="1" t="inlineStr">
        <is>
          <t>WIP</t>
        </is>
      </c>
      <c r="G1265" s="11" t="inlineStr">
        <is>
          <t>Vasu.N</t>
        </is>
      </c>
      <c r="H1265" s="8" t="n">
        <v>9578099893</v>
      </c>
      <c r="I1265" s="10" t="inlineStr">
        <is>
          <t>PE04062601</t>
        </is>
      </c>
      <c r="J1265" s="28" t="inlineStr">
        <is>
          <t>Module burnt</t>
        </is>
      </c>
      <c r="K1265" s="8" t="inlineStr">
        <is>
          <t>Jatavira</t>
        </is>
      </c>
      <c r="L1265" s="39" t="inlineStr">
        <is>
          <t>Gujarat</t>
        </is>
      </c>
      <c r="M1265" s="2" t="inlineStr">
        <is>
          <t xml:space="preserve">Both glass broken with burn spot </t>
        </is>
      </c>
      <c r="N1265" s="6" t="inlineStr">
        <is>
          <t>Glass Breakage with Burn Spot</t>
        </is>
      </c>
      <c r="O1265" s="32" t="n">
        <v>585</v>
      </c>
      <c r="P1265" s="2" t="inlineStr">
        <is>
          <t>NSMI24090455889</t>
        </is>
      </c>
      <c r="Q1265" s="29">
        <f>MID(P1265,5,2)</f>
        <v/>
      </c>
      <c r="R1265" s="14">
        <f>MID(P1265,7,2)</f>
        <v/>
      </c>
      <c r="S1265" s="6" t="inlineStr">
        <is>
          <t>G2G</t>
        </is>
      </c>
      <c r="T1265" s="1" t="inlineStr">
        <is>
          <t>P4 - PEIPL</t>
        </is>
      </c>
      <c r="U1265" s="6" t="inlineStr">
        <is>
          <t>Glass Breakage with Burn Spot</t>
        </is>
      </c>
      <c r="V1265" s="1" t="inlineStr">
        <is>
          <t>Inspection</t>
        </is>
      </c>
      <c r="W1265" s="1" t="inlineStr">
        <is>
          <t>WIP</t>
        </is>
      </c>
      <c r="X1265" s="12" t="n"/>
      <c r="Y1265" s="1">
        <f>IF(X1265="","",X1265-A1265)</f>
        <v/>
      </c>
      <c r="Z1265" s="5" t="n">
        <v>46188</v>
      </c>
      <c r="AA1265" s="3" t="n"/>
      <c r="AB1265" s="3" t="n"/>
      <c r="AE1265" s="146">
        <f>IF(AND(F1265="Closed",X1265&gt;=DATE(2026,6,1),X1265&lt;=DATE(2026,6,30)),"Closed in June","other")</f>
        <v/>
      </c>
    </row>
    <row r="1266" hidden="1">
      <c r="A1266" s="49" t="n">
        <v>46177</v>
      </c>
      <c r="B1266" s="1" t="n">
        <v>2026</v>
      </c>
      <c r="C1266" s="11" t="inlineStr">
        <is>
          <t>Ayana</t>
        </is>
      </c>
      <c r="D1266" s="11" t="inlineStr">
        <is>
          <t>Utility and C&amp;I</t>
        </is>
      </c>
      <c r="E1266" s="1" t="n"/>
      <c r="F1266" s="1" t="inlineStr">
        <is>
          <t>WIP</t>
        </is>
      </c>
      <c r="G1266" s="11" t="inlineStr">
        <is>
          <t>Vasu.N</t>
        </is>
      </c>
      <c r="H1266" s="8" t="n">
        <v>9578099893</v>
      </c>
      <c r="I1266" s="10" t="inlineStr">
        <is>
          <t>PE04062601</t>
        </is>
      </c>
      <c r="J1266" s="28" t="inlineStr">
        <is>
          <t>Module burnt</t>
        </is>
      </c>
      <c r="K1266" s="8" t="inlineStr">
        <is>
          <t>Jatavira</t>
        </is>
      </c>
      <c r="L1266" s="39" t="inlineStr">
        <is>
          <t>Gujarat</t>
        </is>
      </c>
      <c r="M1266" s="2" t="inlineStr">
        <is>
          <t xml:space="preserve">Both glass broken with burn spot </t>
        </is>
      </c>
      <c r="N1266" s="6" t="inlineStr">
        <is>
          <t>Glass Breakage with Burn Spot</t>
        </is>
      </c>
      <c r="O1266" s="32" t="n">
        <v>585</v>
      </c>
      <c r="P1266" s="2" t="inlineStr">
        <is>
          <t>NSMI24090503879</t>
        </is>
      </c>
      <c r="Q1266" s="29">
        <f>MID(P1266,5,2)</f>
        <v/>
      </c>
      <c r="R1266" s="14">
        <f>MID(P1266,7,2)</f>
        <v/>
      </c>
      <c r="S1266" s="6" t="inlineStr">
        <is>
          <t>G2G</t>
        </is>
      </c>
      <c r="T1266" s="1" t="inlineStr">
        <is>
          <t>P4 - PEIPL</t>
        </is>
      </c>
      <c r="U1266" s="6" t="inlineStr">
        <is>
          <t>Glass Breakage with Burn Spot</t>
        </is>
      </c>
      <c r="V1266" s="1" t="inlineStr">
        <is>
          <t>Inspection</t>
        </is>
      </c>
      <c r="W1266" s="1" t="inlineStr">
        <is>
          <t>WIP</t>
        </is>
      </c>
      <c r="X1266" s="12" t="n"/>
      <c r="Y1266" s="1">
        <f>IF(X1266="","",X1266-A1266)</f>
        <v/>
      </c>
      <c r="Z1266" s="5" t="n">
        <v>46188</v>
      </c>
      <c r="AA1266" s="3" t="n"/>
      <c r="AB1266" s="3" t="n"/>
      <c r="AE1266" s="146">
        <f>IF(AND(F1266="Closed",X1266&gt;=DATE(2026,6,1),X1266&lt;=DATE(2026,6,30)),"Closed in June","other")</f>
        <v/>
      </c>
    </row>
    <row r="1267" hidden="1">
      <c r="A1267" s="49" t="n">
        <v>46177</v>
      </c>
      <c r="B1267" s="1" t="n">
        <v>2026</v>
      </c>
      <c r="C1267" s="11" t="inlineStr">
        <is>
          <t>Ayana</t>
        </is>
      </c>
      <c r="D1267" s="11" t="inlineStr">
        <is>
          <t>Utility and C&amp;I</t>
        </is>
      </c>
      <c r="E1267" s="1" t="n"/>
      <c r="F1267" s="1" t="inlineStr">
        <is>
          <t>WIP</t>
        </is>
      </c>
      <c r="G1267" s="11" t="inlineStr">
        <is>
          <t>Vasu.N</t>
        </is>
      </c>
      <c r="H1267" s="8" t="n">
        <v>9578099893</v>
      </c>
      <c r="I1267" s="10" t="inlineStr">
        <is>
          <t>PE04062601</t>
        </is>
      </c>
      <c r="J1267" s="28" t="inlineStr">
        <is>
          <t>Module burnt</t>
        </is>
      </c>
      <c r="K1267" s="8" t="inlineStr">
        <is>
          <t>Jatavira</t>
        </is>
      </c>
      <c r="L1267" s="39" t="inlineStr">
        <is>
          <t>Gujarat</t>
        </is>
      </c>
      <c r="M1267" s="2" t="inlineStr">
        <is>
          <t xml:space="preserve">Both glass broken with burn spot </t>
        </is>
      </c>
      <c r="N1267" s="6" t="inlineStr">
        <is>
          <t>Glass Breakage with Burn Spot</t>
        </is>
      </c>
      <c r="O1267" s="32" t="n">
        <v>585</v>
      </c>
      <c r="P1267" s="2" t="inlineStr">
        <is>
          <t>NSMI24090467913</t>
        </is>
      </c>
      <c r="Q1267" s="29">
        <f>MID(P1267,5,2)</f>
        <v/>
      </c>
      <c r="R1267" s="14">
        <f>MID(P1267,7,2)</f>
        <v/>
      </c>
      <c r="S1267" s="6" t="inlineStr">
        <is>
          <t>G2G</t>
        </is>
      </c>
      <c r="T1267" s="1" t="inlineStr">
        <is>
          <t>P4 - PEIPL</t>
        </is>
      </c>
      <c r="U1267" s="6" t="inlineStr">
        <is>
          <t>Glass Breakage with Burn Spot</t>
        </is>
      </c>
      <c r="V1267" s="1" t="inlineStr">
        <is>
          <t>Inspection</t>
        </is>
      </c>
      <c r="W1267" s="1" t="inlineStr">
        <is>
          <t>WIP</t>
        </is>
      </c>
      <c r="X1267" s="12" t="n"/>
      <c r="Y1267" s="1">
        <f>IF(X1267="","",X1267-A1267)</f>
        <v/>
      </c>
      <c r="Z1267" s="5" t="n">
        <v>46188</v>
      </c>
      <c r="AA1267" s="3" t="n"/>
      <c r="AB1267" s="3" t="n"/>
      <c r="AE1267" s="146">
        <f>IF(AND(F1267="Closed",X1267&gt;=DATE(2026,6,1),X1267&lt;=DATE(2026,6,30)),"Closed in June","other")</f>
        <v/>
      </c>
    </row>
    <row r="1268" hidden="1">
      <c r="A1268" s="49" t="n">
        <v>46177</v>
      </c>
      <c r="B1268" s="1" t="n">
        <v>2026</v>
      </c>
      <c r="C1268" s="11" t="inlineStr">
        <is>
          <t>Ayana</t>
        </is>
      </c>
      <c r="D1268" s="11" t="inlineStr">
        <is>
          <t>Utility and C&amp;I</t>
        </is>
      </c>
      <c r="E1268" s="1" t="n"/>
      <c r="F1268" s="1" t="inlineStr">
        <is>
          <t>WIP</t>
        </is>
      </c>
      <c r="G1268" s="11" t="inlineStr">
        <is>
          <t>Vasu.N</t>
        </is>
      </c>
      <c r="H1268" s="8" t="n">
        <v>9578099893</v>
      </c>
      <c r="I1268" s="10" t="inlineStr">
        <is>
          <t>PE04062601</t>
        </is>
      </c>
      <c r="J1268" s="28" t="inlineStr">
        <is>
          <t>Module burnt</t>
        </is>
      </c>
      <c r="K1268" s="8" t="inlineStr">
        <is>
          <t>Jatavira</t>
        </is>
      </c>
      <c r="L1268" s="39" t="inlineStr">
        <is>
          <t>Gujarat</t>
        </is>
      </c>
      <c r="M1268" s="2" t="inlineStr">
        <is>
          <t xml:space="preserve">Front glass broken with burn spot </t>
        </is>
      </c>
      <c r="N1268" s="6" t="inlineStr">
        <is>
          <t>Glass Breakage with Burn Spot</t>
        </is>
      </c>
      <c r="O1268" s="32" t="n">
        <v>585</v>
      </c>
      <c r="P1268" s="2" t="inlineStr">
        <is>
          <t>NSMI24090500667</t>
        </is>
      </c>
      <c r="Q1268" s="29">
        <f>MID(P1268,5,2)</f>
        <v/>
      </c>
      <c r="R1268" s="14">
        <f>MID(P1268,7,2)</f>
        <v/>
      </c>
      <c r="S1268" s="6" t="inlineStr">
        <is>
          <t>G2G</t>
        </is>
      </c>
      <c r="T1268" s="1" t="inlineStr">
        <is>
          <t>P4 - PEIPL</t>
        </is>
      </c>
      <c r="U1268" s="6" t="inlineStr">
        <is>
          <t>Glass Breakage with Burn Spot</t>
        </is>
      </c>
      <c r="V1268" s="1" t="inlineStr">
        <is>
          <t>Inspection</t>
        </is>
      </c>
      <c r="W1268" s="1" t="inlineStr">
        <is>
          <t>WIP</t>
        </is>
      </c>
      <c r="X1268" s="12" t="n"/>
      <c r="Y1268" s="1">
        <f>IF(X1268="","",X1268-A1268)</f>
        <v/>
      </c>
      <c r="Z1268" s="5" t="n">
        <v>46188</v>
      </c>
      <c r="AA1268" s="3" t="n"/>
      <c r="AB1268" s="3" t="n"/>
      <c r="AE1268" s="146">
        <f>IF(AND(F1268="Closed",X1268&gt;=DATE(2026,6,1),X1268&lt;=DATE(2026,6,30)),"Closed in June","other")</f>
        <v/>
      </c>
    </row>
    <row r="1269" hidden="1">
      <c r="A1269" s="49" t="n">
        <v>46177</v>
      </c>
      <c r="B1269" s="1" t="n">
        <v>2026</v>
      </c>
      <c r="C1269" s="11" t="inlineStr">
        <is>
          <t>Ayana</t>
        </is>
      </c>
      <c r="D1269" s="11" t="inlineStr">
        <is>
          <t>Utility and C&amp;I</t>
        </is>
      </c>
      <c r="E1269" s="1" t="n"/>
      <c r="F1269" s="1" t="inlineStr">
        <is>
          <t>WIP</t>
        </is>
      </c>
      <c r="G1269" s="11" t="inlineStr">
        <is>
          <t>Vasu.N</t>
        </is>
      </c>
      <c r="H1269" s="8" t="n">
        <v>9578099893</v>
      </c>
      <c r="I1269" s="10" t="inlineStr">
        <is>
          <t>PE04062601</t>
        </is>
      </c>
      <c r="J1269" s="28" t="inlineStr">
        <is>
          <t>Module burnt</t>
        </is>
      </c>
      <c r="K1269" s="8" t="inlineStr">
        <is>
          <t>Jatavira</t>
        </is>
      </c>
      <c r="L1269" s="39" t="inlineStr">
        <is>
          <t>Gujarat</t>
        </is>
      </c>
      <c r="M1269" s="2" t="inlineStr">
        <is>
          <t xml:space="preserve">Both glass broken with burn spot </t>
        </is>
      </c>
      <c r="N1269" s="6" t="inlineStr">
        <is>
          <t>Glass Breakage with Burn Spot</t>
        </is>
      </c>
      <c r="O1269" s="32" t="n">
        <v>585</v>
      </c>
      <c r="P1269" s="2" t="inlineStr">
        <is>
          <t>NSMI24090543570</t>
        </is>
      </c>
      <c r="Q1269" s="29">
        <f>MID(P1269,5,2)</f>
        <v/>
      </c>
      <c r="R1269" s="14">
        <f>MID(P1269,7,2)</f>
        <v/>
      </c>
      <c r="S1269" s="6" t="inlineStr">
        <is>
          <t>G2G</t>
        </is>
      </c>
      <c r="T1269" s="1" t="inlineStr">
        <is>
          <t>P4 - PEIPL</t>
        </is>
      </c>
      <c r="U1269" s="6" t="inlineStr">
        <is>
          <t>Glass Breakage with Burn Spot</t>
        </is>
      </c>
      <c r="V1269" s="1" t="inlineStr">
        <is>
          <t>Inspection</t>
        </is>
      </c>
      <c r="W1269" s="1" t="inlineStr">
        <is>
          <t>WIP</t>
        </is>
      </c>
      <c r="X1269" s="12" t="n"/>
      <c r="Y1269" s="1">
        <f>IF(X1269="","",X1269-A1269)</f>
        <v/>
      </c>
      <c r="Z1269" s="5" t="n">
        <v>46188</v>
      </c>
      <c r="AA1269" s="3" t="n"/>
      <c r="AB1269" s="3" t="n"/>
      <c r="AE1269" s="146">
        <f>IF(AND(F1269="Closed",X1269&gt;=DATE(2026,6,1),X1269&lt;=DATE(2026,6,30)),"Closed in June","other")</f>
        <v/>
      </c>
    </row>
    <row r="1270" hidden="1">
      <c r="A1270" s="49" t="n">
        <v>46177</v>
      </c>
      <c r="B1270" s="1" t="n">
        <v>2026</v>
      </c>
      <c r="C1270" s="11" t="inlineStr">
        <is>
          <t>Ayana</t>
        </is>
      </c>
      <c r="D1270" s="11" t="inlineStr">
        <is>
          <t>Utility and C&amp;I</t>
        </is>
      </c>
      <c r="E1270" s="1" t="n"/>
      <c r="F1270" s="1" t="inlineStr">
        <is>
          <t>WIP</t>
        </is>
      </c>
      <c r="G1270" s="11" t="inlineStr">
        <is>
          <t>Vasu.N</t>
        </is>
      </c>
      <c r="H1270" s="8" t="n">
        <v>9578099893</v>
      </c>
      <c r="I1270" s="10" t="inlineStr">
        <is>
          <t>PE04062601</t>
        </is>
      </c>
      <c r="J1270" s="28" t="inlineStr">
        <is>
          <t>Module burnt</t>
        </is>
      </c>
      <c r="K1270" s="8" t="inlineStr">
        <is>
          <t>Jatavira</t>
        </is>
      </c>
      <c r="L1270" s="39" t="inlineStr">
        <is>
          <t>Gujarat</t>
        </is>
      </c>
      <c r="M1270" s="2" t="inlineStr">
        <is>
          <t>Both glass broken</t>
        </is>
      </c>
      <c r="N1270" s="6" t="inlineStr">
        <is>
          <t>Module Breakage</t>
        </is>
      </c>
      <c r="O1270" s="32" t="n">
        <v>585</v>
      </c>
      <c r="P1270" s="2" t="inlineStr">
        <is>
          <t>NSMI24090455656</t>
        </is>
      </c>
      <c r="Q1270" s="29">
        <f>MID(P1270,5,2)</f>
        <v/>
      </c>
      <c r="R1270" s="14">
        <f>MID(P1270,7,2)</f>
        <v/>
      </c>
      <c r="S1270" s="6" t="inlineStr">
        <is>
          <t>G2G</t>
        </is>
      </c>
      <c r="T1270" s="1" t="inlineStr">
        <is>
          <t>P4 - PEIPL</t>
        </is>
      </c>
      <c r="U1270" s="6" t="inlineStr">
        <is>
          <t>Glass Breakage</t>
        </is>
      </c>
      <c r="V1270" s="1" t="inlineStr">
        <is>
          <t>Inspection</t>
        </is>
      </c>
      <c r="W1270" s="1" t="inlineStr">
        <is>
          <t>WIP</t>
        </is>
      </c>
      <c r="X1270" s="12" t="n"/>
      <c r="Y1270" s="1">
        <f>IF(X1270="","",X1270-A1270)</f>
        <v/>
      </c>
      <c r="Z1270" s="5" t="n">
        <v>46188</v>
      </c>
      <c r="AA1270" s="3" t="n"/>
      <c r="AB1270" s="3" t="n"/>
      <c r="AE1270" s="146">
        <f>IF(AND(F1270="Closed",X1270&gt;=DATE(2026,6,1),X1270&lt;=DATE(2026,6,30)),"Closed in June","other")</f>
        <v/>
      </c>
    </row>
    <row r="1271" hidden="1">
      <c r="A1271" s="49" t="n">
        <v>46177</v>
      </c>
      <c r="B1271" s="1" t="n">
        <v>2026</v>
      </c>
      <c r="C1271" s="11" t="inlineStr">
        <is>
          <t>Ayana</t>
        </is>
      </c>
      <c r="D1271" s="11" t="inlineStr">
        <is>
          <t>Utility and C&amp;I</t>
        </is>
      </c>
      <c r="E1271" s="1" t="n"/>
      <c r="F1271" s="1" t="inlineStr">
        <is>
          <t>WIP</t>
        </is>
      </c>
      <c r="G1271" s="11" t="inlineStr">
        <is>
          <t>Vasu.N</t>
        </is>
      </c>
      <c r="H1271" s="8" t="n">
        <v>9578099893</v>
      </c>
      <c r="I1271" s="10" t="inlineStr">
        <is>
          <t>PE04062601</t>
        </is>
      </c>
      <c r="J1271" s="28" t="inlineStr">
        <is>
          <t>Module burnt</t>
        </is>
      </c>
      <c r="K1271" s="8" t="inlineStr">
        <is>
          <t>Jatavira</t>
        </is>
      </c>
      <c r="L1271" s="39" t="inlineStr">
        <is>
          <t>Gujarat</t>
        </is>
      </c>
      <c r="M1271" s="2" t="inlineStr">
        <is>
          <t xml:space="preserve">Both glass broken with burn spot </t>
        </is>
      </c>
      <c r="N1271" s="6" t="inlineStr">
        <is>
          <t>Glass Breakage with Burn Spot</t>
        </is>
      </c>
      <c r="O1271" s="32" t="n">
        <v>585</v>
      </c>
      <c r="P1271" s="2" t="inlineStr">
        <is>
          <t>NSMI24090519563</t>
        </is>
      </c>
      <c r="Q1271" s="29">
        <f>MID(P1271,5,2)</f>
        <v/>
      </c>
      <c r="R1271" s="14">
        <f>MID(P1271,7,2)</f>
        <v/>
      </c>
      <c r="S1271" s="6" t="inlineStr">
        <is>
          <t>G2G</t>
        </is>
      </c>
      <c r="T1271" s="1" t="inlineStr">
        <is>
          <t>P4 - PEIPL</t>
        </is>
      </c>
      <c r="U1271" s="6" t="inlineStr">
        <is>
          <t>Glass Breakage with Burn Spot</t>
        </is>
      </c>
      <c r="V1271" s="1" t="inlineStr">
        <is>
          <t>Inspection</t>
        </is>
      </c>
      <c r="W1271" s="1" t="inlineStr">
        <is>
          <t>WIP</t>
        </is>
      </c>
      <c r="X1271" s="12" t="n"/>
      <c r="Y1271" s="1">
        <f>IF(X1271="","",X1271-A1271)</f>
        <v/>
      </c>
      <c r="Z1271" s="5" t="n">
        <v>46188</v>
      </c>
      <c r="AA1271" s="3" t="n"/>
      <c r="AB1271" s="3" t="n"/>
      <c r="AE1271" s="146">
        <f>IF(AND(F1271="Closed",X1271&gt;=DATE(2026,6,1),X1271&lt;=DATE(2026,6,30)),"Closed in June","other")</f>
        <v/>
      </c>
    </row>
    <row r="1272" hidden="1">
      <c r="A1272" s="49" t="n">
        <v>46177</v>
      </c>
      <c r="B1272" s="1" t="n">
        <v>2026</v>
      </c>
      <c r="C1272" s="11" t="inlineStr">
        <is>
          <t>Ayana</t>
        </is>
      </c>
      <c r="D1272" s="11" t="inlineStr">
        <is>
          <t>Utility and C&amp;I</t>
        </is>
      </c>
      <c r="E1272" s="1" t="n"/>
      <c r="F1272" s="1" t="inlineStr">
        <is>
          <t>WIP</t>
        </is>
      </c>
      <c r="G1272" s="11" t="inlineStr">
        <is>
          <t>Vasu.N</t>
        </is>
      </c>
      <c r="H1272" s="8" t="n">
        <v>9578099893</v>
      </c>
      <c r="I1272" s="10" t="inlineStr">
        <is>
          <t>PE04062601</t>
        </is>
      </c>
      <c r="J1272" s="28" t="inlineStr">
        <is>
          <t>Module burnt</t>
        </is>
      </c>
      <c r="K1272" s="8" t="inlineStr">
        <is>
          <t>Jatavira</t>
        </is>
      </c>
      <c r="L1272" s="39" t="inlineStr">
        <is>
          <t>Gujarat</t>
        </is>
      </c>
      <c r="M1272" s="2" t="inlineStr">
        <is>
          <t xml:space="preserve">Back glass broken </t>
        </is>
      </c>
      <c r="N1272" s="6" t="inlineStr">
        <is>
          <t>Module Breakage</t>
        </is>
      </c>
      <c r="O1272" s="32" t="n">
        <v>585</v>
      </c>
      <c r="P1272" s="2" t="inlineStr">
        <is>
          <t>NSMI24090431197</t>
        </is>
      </c>
      <c r="Q1272" s="29">
        <f>MID(P1272,5,2)</f>
        <v/>
      </c>
      <c r="R1272" s="14">
        <f>MID(P1272,7,2)</f>
        <v/>
      </c>
      <c r="S1272" s="6" t="inlineStr">
        <is>
          <t>G2G</t>
        </is>
      </c>
      <c r="T1272" s="1" t="inlineStr">
        <is>
          <t>P4 - PEIPL</t>
        </is>
      </c>
      <c r="U1272" s="6" t="inlineStr">
        <is>
          <t>Glass Breakage</t>
        </is>
      </c>
      <c r="V1272" s="1" t="inlineStr">
        <is>
          <t>Inspection</t>
        </is>
      </c>
      <c r="W1272" s="1" t="inlineStr">
        <is>
          <t>WIP</t>
        </is>
      </c>
      <c r="X1272" s="12" t="n"/>
      <c r="Y1272" s="1">
        <f>IF(X1272="","",X1272-A1272)</f>
        <v/>
      </c>
      <c r="Z1272" s="5" t="n">
        <v>46188</v>
      </c>
      <c r="AA1272" s="3" t="n"/>
      <c r="AB1272" s="3" t="n"/>
      <c r="AE1272" s="146">
        <f>IF(AND(F1272="Closed",X1272&gt;=DATE(2026,6,1),X1272&lt;=DATE(2026,6,30)),"Closed in June","other")</f>
        <v/>
      </c>
    </row>
    <row r="1273" hidden="1">
      <c r="A1273" s="49" t="n">
        <v>46177</v>
      </c>
      <c r="B1273" s="1" t="n">
        <v>2026</v>
      </c>
      <c r="C1273" s="11" t="inlineStr">
        <is>
          <t>Ayana</t>
        </is>
      </c>
      <c r="D1273" s="11" t="inlineStr">
        <is>
          <t>Utility and C&amp;I</t>
        </is>
      </c>
      <c r="E1273" s="1" t="n"/>
      <c r="F1273" s="1" t="inlineStr">
        <is>
          <t>WIP</t>
        </is>
      </c>
      <c r="G1273" s="11" t="inlineStr">
        <is>
          <t>Vasu.N</t>
        </is>
      </c>
      <c r="H1273" s="8" t="n">
        <v>9578099893</v>
      </c>
      <c r="I1273" s="10" t="inlineStr">
        <is>
          <t>PE04062601</t>
        </is>
      </c>
      <c r="J1273" s="28" t="inlineStr">
        <is>
          <t>Module burnt</t>
        </is>
      </c>
      <c r="K1273" s="8" t="inlineStr">
        <is>
          <t>Jatavira</t>
        </is>
      </c>
      <c r="L1273" s="39" t="inlineStr">
        <is>
          <t>Gujarat</t>
        </is>
      </c>
      <c r="M1273" s="2" t="inlineStr">
        <is>
          <t xml:space="preserve">Both glass broken with burn spot </t>
        </is>
      </c>
      <c r="N1273" s="6" t="inlineStr">
        <is>
          <t>Glass Breakage with Burn Spot</t>
        </is>
      </c>
      <c r="O1273" s="32" t="n">
        <v>585</v>
      </c>
      <c r="P1273" s="2" t="inlineStr">
        <is>
          <t>NSMI24100556282</t>
        </is>
      </c>
      <c r="Q1273" s="29">
        <f>MID(P1273,5,2)</f>
        <v/>
      </c>
      <c r="R1273" s="14">
        <f>MID(P1273,7,2)</f>
        <v/>
      </c>
      <c r="S1273" s="6" t="inlineStr">
        <is>
          <t>G2G</t>
        </is>
      </c>
      <c r="T1273" s="1" t="inlineStr">
        <is>
          <t>P4 - PEIPL</t>
        </is>
      </c>
      <c r="U1273" s="6" t="inlineStr">
        <is>
          <t>Glass Breakage with Burn Spot</t>
        </is>
      </c>
      <c r="V1273" s="1" t="inlineStr">
        <is>
          <t>Inspection</t>
        </is>
      </c>
      <c r="W1273" s="1" t="inlineStr">
        <is>
          <t>WIP</t>
        </is>
      </c>
      <c r="X1273" s="12" t="n"/>
      <c r="Y1273" s="1">
        <f>IF(X1273="","",X1273-A1273)</f>
        <v/>
      </c>
      <c r="Z1273" s="5" t="n">
        <v>46188</v>
      </c>
      <c r="AA1273" s="3" t="n"/>
      <c r="AB1273" s="3" t="n"/>
      <c r="AE1273" s="146">
        <f>IF(AND(F1273="Closed",X1273&gt;=DATE(2026,6,1),X1273&lt;=DATE(2026,6,30)),"Closed in June","other")</f>
        <v/>
      </c>
    </row>
    <row r="1274" hidden="1">
      <c r="A1274" s="49" t="n">
        <v>46177</v>
      </c>
      <c r="B1274" s="1" t="n">
        <v>2026</v>
      </c>
      <c r="C1274" s="11" t="inlineStr">
        <is>
          <t>Ayana</t>
        </is>
      </c>
      <c r="D1274" s="11" t="inlineStr">
        <is>
          <t>Utility and C&amp;I</t>
        </is>
      </c>
      <c r="E1274" s="1" t="n"/>
      <c r="F1274" s="1" t="inlineStr">
        <is>
          <t>WIP</t>
        </is>
      </c>
      <c r="G1274" s="11" t="inlineStr">
        <is>
          <t>Vasu.N</t>
        </is>
      </c>
      <c r="H1274" s="8" t="n">
        <v>9578099893</v>
      </c>
      <c r="I1274" s="10" t="inlineStr">
        <is>
          <t>PE04062601</t>
        </is>
      </c>
      <c r="J1274" s="28" t="inlineStr">
        <is>
          <t>Module burnt</t>
        </is>
      </c>
      <c r="K1274" s="8" t="inlineStr">
        <is>
          <t>Jatavira</t>
        </is>
      </c>
      <c r="L1274" s="39" t="inlineStr">
        <is>
          <t>Gujarat</t>
        </is>
      </c>
      <c r="M1274" s="2" t="inlineStr">
        <is>
          <t xml:space="preserve">Back glass broken </t>
        </is>
      </c>
      <c r="N1274" s="6" t="inlineStr">
        <is>
          <t>Module Breakage</t>
        </is>
      </c>
      <c r="O1274" s="32" t="n">
        <v>585</v>
      </c>
      <c r="P1274" s="2" t="inlineStr">
        <is>
          <t>NSMI24100545263</t>
        </is>
      </c>
      <c r="Q1274" s="29">
        <f>MID(P1274,5,2)</f>
        <v/>
      </c>
      <c r="R1274" s="14">
        <f>MID(P1274,7,2)</f>
        <v/>
      </c>
      <c r="S1274" s="6" t="inlineStr">
        <is>
          <t>G2G</t>
        </is>
      </c>
      <c r="T1274" s="1" t="inlineStr">
        <is>
          <t>P4 - PEIPL</t>
        </is>
      </c>
      <c r="U1274" s="6" t="inlineStr">
        <is>
          <t>Glass Breakage</t>
        </is>
      </c>
      <c r="V1274" s="1" t="inlineStr">
        <is>
          <t>Inspection</t>
        </is>
      </c>
      <c r="W1274" s="1" t="inlineStr">
        <is>
          <t>WIP</t>
        </is>
      </c>
      <c r="X1274" s="12" t="n"/>
      <c r="Y1274" s="1">
        <f>IF(X1274="","",X1274-A1274)</f>
        <v/>
      </c>
      <c r="Z1274" s="5" t="n">
        <v>46188</v>
      </c>
      <c r="AA1274" s="3" t="n"/>
      <c r="AB1274" s="3" t="n"/>
      <c r="AE1274" s="146">
        <f>IF(AND(F1274="Closed",X1274&gt;=DATE(2026,6,1),X1274&lt;=DATE(2026,6,30)),"Closed in June","other")</f>
        <v/>
      </c>
    </row>
    <row r="1275" hidden="1">
      <c r="A1275" s="49" t="n">
        <v>46177</v>
      </c>
      <c r="B1275" s="1" t="n">
        <v>2026</v>
      </c>
      <c r="C1275" s="11" t="inlineStr">
        <is>
          <t>Ayana</t>
        </is>
      </c>
      <c r="D1275" s="11" t="inlineStr">
        <is>
          <t>Utility and C&amp;I</t>
        </is>
      </c>
      <c r="E1275" s="1" t="n"/>
      <c r="F1275" s="1" t="inlineStr">
        <is>
          <t>WIP</t>
        </is>
      </c>
      <c r="G1275" s="11" t="inlineStr">
        <is>
          <t>Vasu.N</t>
        </is>
      </c>
      <c r="H1275" s="8" t="n">
        <v>9578099893</v>
      </c>
      <c r="I1275" s="10" t="inlineStr">
        <is>
          <t>PE04062601</t>
        </is>
      </c>
      <c r="J1275" s="28" t="inlineStr">
        <is>
          <t>Module burnt</t>
        </is>
      </c>
      <c r="K1275" s="8" t="inlineStr">
        <is>
          <t>Jatavira</t>
        </is>
      </c>
      <c r="L1275" s="39" t="inlineStr">
        <is>
          <t>Gujarat</t>
        </is>
      </c>
      <c r="M1275" s="2" t="inlineStr">
        <is>
          <t xml:space="preserve">Back glass broken </t>
        </is>
      </c>
      <c r="N1275" s="6" t="inlineStr">
        <is>
          <t>Module Breakage</t>
        </is>
      </c>
      <c r="O1275" s="32" t="n">
        <v>585</v>
      </c>
      <c r="P1275" s="2" t="inlineStr">
        <is>
          <t>NSMI24090486563</t>
        </is>
      </c>
      <c r="Q1275" s="29">
        <f>MID(P1275,5,2)</f>
        <v/>
      </c>
      <c r="R1275" s="14">
        <f>MID(P1275,7,2)</f>
        <v/>
      </c>
      <c r="S1275" s="6" t="inlineStr">
        <is>
          <t>G2G</t>
        </is>
      </c>
      <c r="T1275" s="1" t="inlineStr">
        <is>
          <t>P4 - PEIPL</t>
        </is>
      </c>
      <c r="U1275" s="6" t="inlineStr">
        <is>
          <t>Glass Breakage</t>
        </is>
      </c>
      <c r="V1275" s="1" t="inlineStr">
        <is>
          <t>Inspection</t>
        </is>
      </c>
      <c r="W1275" s="1" t="inlineStr">
        <is>
          <t>WIP</t>
        </is>
      </c>
      <c r="X1275" s="12" t="n"/>
      <c r="Y1275" s="1">
        <f>IF(X1275="","",X1275-A1275)</f>
        <v/>
      </c>
      <c r="Z1275" s="5" t="n">
        <v>46188</v>
      </c>
      <c r="AA1275" s="3" t="n"/>
      <c r="AB1275" s="3" t="n"/>
      <c r="AE1275" s="146">
        <f>IF(AND(F1275="Closed",X1275&gt;=DATE(2026,6,1),X1275&lt;=DATE(2026,6,30)),"Closed in June","other")</f>
        <v/>
      </c>
    </row>
    <row r="1276" hidden="1">
      <c r="A1276" s="49" t="n">
        <v>46177</v>
      </c>
      <c r="B1276" s="1" t="n">
        <v>2026</v>
      </c>
      <c r="C1276" s="11" t="inlineStr">
        <is>
          <t>Ayana</t>
        </is>
      </c>
      <c r="D1276" s="11" t="inlineStr">
        <is>
          <t>Utility and C&amp;I</t>
        </is>
      </c>
      <c r="E1276" s="1" t="n"/>
      <c r="F1276" s="1" t="inlineStr">
        <is>
          <t>WIP</t>
        </is>
      </c>
      <c r="G1276" s="11" t="inlineStr">
        <is>
          <t>Vasu.N</t>
        </is>
      </c>
      <c r="H1276" s="8" t="n">
        <v>9578099893</v>
      </c>
      <c r="I1276" s="10" t="inlineStr">
        <is>
          <t>PE04062601</t>
        </is>
      </c>
      <c r="J1276" s="28" t="inlineStr">
        <is>
          <t>Module burnt</t>
        </is>
      </c>
      <c r="K1276" s="8" t="inlineStr">
        <is>
          <t>Jatavira</t>
        </is>
      </c>
      <c r="L1276" s="39" t="inlineStr">
        <is>
          <t>Gujarat</t>
        </is>
      </c>
      <c r="M1276" s="2" t="inlineStr">
        <is>
          <t>Both glass broken</t>
        </is>
      </c>
      <c r="N1276" s="6" t="inlineStr">
        <is>
          <t>Module Breakage</t>
        </is>
      </c>
      <c r="O1276" s="32" t="n">
        <v>585</v>
      </c>
      <c r="P1276" s="2" t="inlineStr">
        <is>
          <t>NSMI24090539568</t>
        </is>
      </c>
      <c r="Q1276" s="29">
        <f>MID(P1276,5,2)</f>
        <v/>
      </c>
      <c r="R1276" s="14">
        <f>MID(P1276,7,2)</f>
        <v/>
      </c>
      <c r="S1276" s="6" t="inlineStr">
        <is>
          <t>G2G</t>
        </is>
      </c>
      <c r="T1276" s="1" t="inlineStr">
        <is>
          <t>P4 - PEIPL</t>
        </is>
      </c>
      <c r="U1276" s="6" t="inlineStr">
        <is>
          <t>Glass Breakage</t>
        </is>
      </c>
      <c r="V1276" s="1" t="inlineStr">
        <is>
          <t>Inspection</t>
        </is>
      </c>
      <c r="W1276" s="1" t="inlineStr">
        <is>
          <t>WIP</t>
        </is>
      </c>
      <c r="X1276" s="12" t="n"/>
      <c r="Y1276" s="1">
        <f>IF(X1276="","",X1276-A1276)</f>
        <v/>
      </c>
      <c r="Z1276" s="5" t="n">
        <v>46188</v>
      </c>
      <c r="AA1276" s="3" t="n"/>
      <c r="AB1276" s="3" t="n"/>
      <c r="AE1276" s="146">
        <f>IF(AND(F1276="Closed",X1276&gt;=DATE(2026,6,1),X1276&lt;=DATE(2026,6,30)),"Closed in June","other")</f>
        <v/>
      </c>
    </row>
    <row r="1277" hidden="1">
      <c r="A1277" s="49" t="n">
        <v>46177</v>
      </c>
      <c r="B1277" s="1" t="n">
        <v>2026</v>
      </c>
      <c r="C1277" s="11" t="inlineStr">
        <is>
          <t>Ayana</t>
        </is>
      </c>
      <c r="D1277" s="11" t="inlineStr">
        <is>
          <t>Utility and C&amp;I</t>
        </is>
      </c>
      <c r="E1277" s="1" t="n"/>
      <c r="F1277" s="1" t="inlineStr">
        <is>
          <t>WIP</t>
        </is>
      </c>
      <c r="G1277" s="11" t="inlineStr">
        <is>
          <t>Vasu.N</t>
        </is>
      </c>
      <c r="H1277" s="8" t="n">
        <v>9578099893</v>
      </c>
      <c r="I1277" s="10" t="inlineStr">
        <is>
          <t>PE04062601</t>
        </is>
      </c>
      <c r="J1277" s="28" t="inlineStr">
        <is>
          <t>Module burnt</t>
        </is>
      </c>
      <c r="K1277" s="8" t="inlineStr">
        <is>
          <t>Jatavira</t>
        </is>
      </c>
      <c r="L1277" s="39" t="inlineStr">
        <is>
          <t>Gujarat</t>
        </is>
      </c>
      <c r="M1277" s="2" t="inlineStr">
        <is>
          <t xml:space="preserve">Both glass broken with burn spot </t>
        </is>
      </c>
      <c r="N1277" s="6" t="inlineStr">
        <is>
          <t>Glass Breakage with Burn Spot</t>
        </is>
      </c>
      <c r="O1277" s="32" t="n">
        <v>585</v>
      </c>
      <c r="P1277" s="2" t="inlineStr">
        <is>
          <t>NSMI24090539298</t>
        </is>
      </c>
      <c r="Q1277" s="29">
        <f>MID(P1277,5,2)</f>
        <v/>
      </c>
      <c r="R1277" s="14">
        <f>MID(P1277,7,2)</f>
        <v/>
      </c>
      <c r="S1277" s="6" t="inlineStr">
        <is>
          <t>G2G</t>
        </is>
      </c>
      <c r="T1277" s="1" t="inlineStr">
        <is>
          <t>P4 - PEIPL</t>
        </is>
      </c>
      <c r="U1277" s="6" t="inlineStr">
        <is>
          <t>Glass Breakage with Burn Spot</t>
        </is>
      </c>
      <c r="V1277" s="1" t="inlineStr">
        <is>
          <t>Inspection</t>
        </is>
      </c>
      <c r="W1277" s="1" t="inlineStr">
        <is>
          <t>WIP</t>
        </is>
      </c>
      <c r="X1277" s="12" t="n"/>
      <c r="Y1277" s="1">
        <f>IF(X1277="","",X1277-A1277)</f>
        <v/>
      </c>
      <c r="Z1277" s="5" t="n">
        <v>46188</v>
      </c>
      <c r="AA1277" s="3" t="n"/>
      <c r="AB1277" s="3" t="n"/>
      <c r="AE1277" s="146">
        <f>IF(AND(F1277="Closed",X1277&gt;=DATE(2026,6,1),X1277&lt;=DATE(2026,6,30)),"Closed in June","other")</f>
        <v/>
      </c>
    </row>
    <row r="1278" hidden="1">
      <c r="A1278" s="49" t="n">
        <v>46177</v>
      </c>
      <c r="B1278" s="1" t="n">
        <v>2026</v>
      </c>
      <c r="C1278" s="11" t="inlineStr">
        <is>
          <t>Ayana</t>
        </is>
      </c>
      <c r="D1278" s="11" t="inlineStr">
        <is>
          <t>Utility and C&amp;I</t>
        </is>
      </c>
      <c r="E1278" s="1" t="n"/>
      <c r="F1278" s="1" t="inlineStr">
        <is>
          <t>WIP</t>
        </is>
      </c>
      <c r="G1278" s="11" t="inlineStr">
        <is>
          <t>Vasu.N</t>
        </is>
      </c>
      <c r="H1278" s="8" t="n">
        <v>9578099893</v>
      </c>
      <c r="I1278" s="10" t="inlineStr">
        <is>
          <t>PE04062601</t>
        </is>
      </c>
      <c r="J1278" s="28" t="inlineStr">
        <is>
          <t>Module burnt</t>
        </is>
      </c>
      <c r="K1278" s="8" t="inlineStr">
        <is>
          <t>Jatavira</t>
        </is>
      </c>
      <c r="L1278" s="39" t="inlineStr">
        <is>
          <t>Gujarat</t>
        </is>
      </c>
      <c r="M1278" s="2" t="inlineStr">
        <is>
          <t xml:space="preserve">Both glass broken with burn spot </t>
        </is>
      </c>
      <c r="N1278" s="6" t="inlineStr">
        <is>
          <t>Glass Breakage with Burn Spot</t>
        </is>
      </c>
      <c r="O1278" s="32" t="n">
        <v>585</v>
      </c>
      <c r="P1278" s="2" t="inlineStr">
        <is>
          <t>NSMI24090538357</t>
        </is>
      </c>
      <c r="Q1278" s="29">
        <f>MID(P1278,5,2)</f>
        <v/>
      </c>
      <c r="R1278" s="14">
        <f>MID(P1278,7,2)</f>
        <v/>
      </c>
      <c r="S1278" s="6" t="inlineStr">
        <is>
          <t>G2G</t>
        </is>
      </c>
      <c r="T1278" s="1" t="inlineStr">
        <is>
          <t>P4 - PEIPL</t>
        </is>
      </c>
      <c r="U1278" s="6" t="inlineStr">
        <is>
          <t>Glass Breakage with Burn Spot</t>
        </is>
      </c>
      <c r="V1278" s="1" t="inlineStr">
        <is>
          <t>Inspection</t>
        </is>
      </c>
      <c r="W1278" s="1" t="inlineStr">
        <is>
          <t>WIP</t>
        </is>
      </c>
      <c r="X1278" s="12" t="n"/>
      <c r="Y1278" s="1">
        <f>IF(X1278="","",X1278-A1278)</f>
        <v/>
      </c>
      <c r="Z1278" s="5" t="n">
        <v>46188</v>
      </c>
      <c r="AA1278" s="3" t="n"/>
      <c r="AB1278" s="3" t="n"/>
      <c r="AE1278" s="146">
        <f>IF(AND(F1278="Closed",X1278&gt;=DATE(2026,6,1),X1278&lt;=DATE(2026,6,30)),"Closed in June","other")</f>
        <v/>
      </c>
    </row>
    <row r="1279" hidden="1">
      <c r="A1279" s="49" t="n">
        <v>46177</v>
      </c>
      <c r="B1279" s="1" t="n">
        <v>2026</v>
      </c>
      <c r="C1279" s="11" t="inlineStr">
        <is>
          <t>Ayana</t>
        </is>
      </c>
      <c r="D1279" s="11" t="inlineStr">
        <is>
          <t>Utility and C&amp;I</t>
        </is>
      </c>
      <c r="E1279" s="1" t="n"/>
      <c r="F1279" s="1" t="inlineStr">
        <is>
          <t>WIP</t>
        </is>
      </c>
      <c r="G1279" s="11" t="inlineStr">
        <is>
          <t>Vasu.N</t>
        </is>
      </c>
      <c r="H1279" s="8" t="n">
        <v>9578099893</v>
      </c>
      <c r="I1279" s="10" t="inlineStr">
        <is>
          <t>PE04062601</t>
        </is>
      </c>
      <c r="J1279" s="28" t="inlineStr">
        <is>
          <t>Module burnt</t>
        </is>
      </c>
      <c r="K1279" s="8" t="inlineStr">
        <is>
          <t>Jatavira</t>
        </is>
      </c>
      <c r="L1279" s="39" t="inlineStr">
        <is>
          <t>Gujarat</t>
        </is>
      </c>
      <c r="M1279" s="2" t="inlineStr">
        <is>
          <t xml:space="preserve">Burning </t>
        </is>
      </c>
      <c r="N1279" s="6" t="inlineStr">
        <is>
          <t>Module Burn</t>
        </is>
      </c>
      <c r="O1279" s="32" t="n">
        <v>585</v>
      </c>
      <c r="P1279" s="2" t="inlineStr">
        <is>
          <t>NSMI24090500502</t>
        </is>
      </c>
      <c r="Q1279" s="29">
        <f>MID(P1279,5,2)</f>
        <v/>
      </c>
      <c r="R1279" s="14">
        <f>MID(P1279,7,2)</f>
        <v/>
      </c>
      <c r="S1279" s="6" t="inlineStr">
        <is>
          <t>G2G</t>
        </is>
      </c>
      <c r="T1279" s="1" t="inlineStr">
        <is>
          <t>P4 - PEIPL</t>
        </is>
      </c>
      <c r="U1279" s="6" t="inlineStr">
        <is>
          <t>Module Burn</t>
        </is>
      </c>
      <c r="V1279" s="1" t="inlineStr">
        <is>
          <t>Inspection</t>
        </is>
      </c>
      <c r="W1279" s="1" t="inlineStr">
        <is>
          <t>WIP</t>
        </is>
      </c>
      <c r="X1279" s="12" t="n"/>
      <c r="Y1279" s="1">
        <f>IF(X1279="","",X1279-A1279)</f>
        <v/>
      </c>
      <c r="Z1279" s="5" t="n">
        <v>46188</v>
      </c>
      <c r="AA1279" s="3" t="n"/>
      <c r="AB1279" s="3" t="n"/>
      <c r="AE1279" s="146">
        <f>IF(AND(F1279="Closed",X1279&gt;=DATE(2026,6,1),X1279&lt;=DATE(2026,6,30)),"Closed in June","other")</f>
        <v/>
      </c>
    </row>
    <row r="1280" hidden="1">
      <c r="A1280" s="49" t="n">
        <v>46177</v>
      </c>
      <c r="B1280" s="1" t="n">
        <v>2026</v>
      </c>
      <c r="C1280" s="11" t="inlineStr">
        <is>
          <t>Ayana</t>
        </is>
      </c>
      <c r="D1280" s="11" t="inlineStr">
        <is>
          <t>Utility and C&amp;I</t>
        </is>
      </c>
      <c r="E1280" s="1" t="n"/>
      <c r="F1280" s="1" t="inlineStr">
        <is>
          <t>WIP</t>
        </is>
      </c>
      <c r="G1280" s="11" t="inlineStr">
        <is>
          <t>Vasu.N</t>
        </is>
      </c>
      <c r="H1280" s="8" t="n">
        <v>9578099893</v>
      </c>
      <c r="I1280" s="10" t="inlineStr">
        <is>
          <t>PE04062601</t>
        </is>
      </c>
      <c r="J1280" s="28" t="inlineStr">
        <is>
          <t>Module burnt</t>
        </is>
      </c>
      <c r="K1280" s="8" t="inlineStr">
        <is>
          <t>Jatavira</t>
        </is>
      </c>
      <c r="L1280" s="39" t="inlineStr">
        <is>
          <t>Gujarat</t>
        </is>
      </c>
      <c r="M1280" s="2" t="inlineStr">
        <is>
          <t>Both glass broken</t>
        </is>
      </c>
      <c r="N1280" s="6" t="inlineStr">
        <is>
          <t>Module Breakage</t>
        </is>
      </c>
      <c r="O1280" s="32" t="n">
        <v>585</v>
      </c>
      <c r="P1280" s="2" t="inlineStr">
        <is>
          <t>NSMI24090500097</t>
        </is>
      </c>
      <c r="Q1280" s="29">
        <f>MID(P1280,5,2)</f>
        <v/>
      </c>
      <c r="R1280" s="14">
        <f>MID(P1280,7,2)</f>
        <v/>
      </c>
      <c r="S1280" s="6" t="inlineStr">
        <is>
          <t>G2G</t>
        </is>
      </c>
      <c r="T1280" s="1" t="inlineStr">
        <is>
          <t>P4 - PEIPL</t>
        </is>
      </c>
      <c r="U1280" s="6" t="inlineStr">
        <is>
          <t>Glass Breakage</t>
        </is>
      </c>
      <c r="V1280" s="1" t="inlineStr">
        <is>
          <t>Inspection</t>
        </is>
      </c>
      <c r="W1280" s="1" t="inlineStr">
        <is>
          <t>WIP</t>
        </is>
      </c>
      <c r="X1280" s="12" t="n"/>
      <c r="Y1280" s="1">
        <f>IF(X1280="","",X1280-A1280)</f>
        <v/>
      </c>
      <c r="Z1280" s="5" t="n">
        <v>46188</v>
      </c>
      <c r="AA1280" s="3" t="n"/>
      <c r="AB1280" s="3" t="n"/>
      <c r="AE1280" s="146">
        <f>IF(AND(F1280="Closed",X1280&gt;=DATE(2026,6,1),X1280&lt;=DATE(2026,6,30)),"Closed in June","other")</f>
        <v/>
      </c>
    </row>
    <row r="1281" hidden="1">
      <c r="A1281" s="49" t="n">
        <v>46177</v>
      </c>
      <c r="B1281" s="1" t="n">
        <v>2026</v>
      </c>
      <c r="C1281" s="11" t="inlineStr">
        <is>
          <t>Ayana</t>
        </is>
      </c>
      <c r="D1281" s="11" t="inlineStr">
        <is>
          <t>Utility and C&amp;I</t>
        </is>
      </c>
      <c r="E1281" s="1" t="n"/>
      <c r="F1281" s="1" t="inlineStr">
        <is>
          <t>WIP</t>
        </is>
      </c>
      <c r="G1281" s="11" t="inlineStr">
        <is>
          <t>Vasu.N</t>
        </is>
      </c>
      <c r="H1281" s="8" t="n">
        <v>9578099893</v>
      </c>
      <c r="I1281" s="10" t="inlineStr">
        <is>
          <t>PE04062601</t>
        </is>
      </c>
      <c r="J1281" s="28" t="inlineStr">
        <is>
          <t>Module burnt</t>
        </is>
      </c>
      <c r="K1281" s="8" t="inlineStr">
        <is>
          <t>Jatavira</t>
        </is>
      </c>
      <c r="L1281" s="39" t="inlineStr">
        <is>
          <t>Gujarat</t>
        </is>
      </c>
      <c r="M1281" s="2" t="inlineStr">
        <is>
          <t xml:space="preserve">Both glass broken with burn spot </t>
        </is>
      </c>
      <c r="N1281" s="6" t="inlineStr">
        <is>
          <t>Glass Breakage with Burn Spot</t>
        </is>
      </c>
      <c r="O1281" s="32" t="n">
        <v>585</v>
      </c>
      <c r="P1281" s="2" t="inlineStr">
        <is>
          <t>NSMI24090500510</t>
        </is>
      </c>
      <c r="Q1281" s="29">
        <f>MID(P1281,5,2)</f>
        <v/>
      </c>
      <c r="R1281" s="14">
        <f>MID(P1281,7,2)</f>
        <v/>
      </c>
      <c r="S1281" s="6" t="inlineStr">
        <is>
          <t>G2G</t>
        </is>
      </c>
      <c r="T1281" s="1" t="inlineStr">
        <is>
          <t>P4 - PEIPL</t>
        </is>
      </c>
      <c r="U1281" s="6" t="inlineStr">
        <is>
          <t>Glass Breakage with Burn Spot</t>
        </is>
      </c>
      <c r="V1281" s="1" t="inlineStr">
        <is>
          <t>Inspection</t>
        </is>
      </c>
      <c r="W1281" s="1" t="inlineStr">
        <is>
          <t>WIP</t>
        </is>
      </c>
      <c r="X1281" s="12" t="n"/>
      <c r="Y1281" s="1">
        <f>IF(X1281="","",X1281-A1281)</f>
        <v/>
      </c>
      <c r="Z1281" s="5" t="n">
        <v>46188</v>
      </c>
      <c r="AA1281" s="3" t="n"/>
      <c r="AB1281" s="3" t="n"/>
      <c r="AE1281" s="146">
        <f>IF(AND(F1281="Closed",X1281&gt;=DATE(2026,6,1),X1281&lt;=DATE(2026,6,30)),"Closed in June","other")</f>
        <v/>
      </c>
    </row>
    <row r="1282" hidden="1">
      <c r="A1282" s="49" t="n">
        <v>46177</v>
      </c>
      <c r="B1282" s="1" t="n">
        <v>2026</v>
      </c>
      <c r="C1282" s="11" t="inlineStr">
        <is>
          <t>Ayana</t>
        </is>
      </c>
      <c r="D1282" s="11" t="inlineStr">
        <is>
          <t>Utility and C&amp;I</t>
        </is>
      </c>
      <c r="E1282" s="1" t="n"/>
      <c r="F1282" s="1" t="inlineStr">
        <is>
          <t>WIP</t>
        </is>
      </c>
      <c r="G1282" s="11" t="inlineStr">
        <is>
          <t>Vasu.N</t>
        </is>
      </c>
      <c r="H1282" s="8" t="n">
        <v>9578099893</v>
      </c>
      <c r="I1282" s="10" t="inlineStr">
        <is>
          <t>PE04062601</t>
        </is>
      </c>
      <c r="J1282" s="28" t="inlineStr">
        <is>
          <t>Module burnt</t>
        </is>
      </c>
      <c r="K1282" s="8" t="inlineStr">
        <is>
          <t>Jatavira</t>
        </is>
      </c>
      <c r="L1282" s="39" t="inlineStr">
        <is>
          <t>Gujarat</t>
        </is>
      </c>
      <c r="M1282" s="2" t="inlineStr">
        <is>
          <t>Both glass broken</t>
        </is>
      </c>
      <c r="N1282" s="6" t="inlineStr">
        <is>
          <t>Module Breakage</t>
        </is>
      </c>
      <c r="O1282" s="32" t="n">
        <v>585</v>
      </c>
      <c r="P1282" s="2" t="inlineStr">
        <is>
          <t>NSMI24090431206</t>
        </is>
      </c>
      <c r="Q1282" s="29">
        <f>MID(P1282,5,2)</f>
        <v/>
      </c>
      <c r="R1282" s="14">
        <f>MID(P1282,7,2)</f>
        <v/>
      </c>
      <c r="S1282" s="6" t="inlineStr">
        <is>
          <t>G2G</t>
        </is>
      </c>
      <c r="T1282" s="1" t="inlineStr">
        <is>
          <t>P4 - PEIPL</t>
        </is>
      </c>
      <c r="U1282" s="6" t="inlineStr">
        <is>
          <t>Glass Breakage</t>
        </is>
      </c>
      <c r="V1282" s="1" t="inlineStr">
        <is>
          <t>Inspection</t>
        </is>
      </c>
      <c r="W1282" s="1" t="inlineStr">
        <is>
          <t>WIP</t>
        </is>
      </c>
      <c r="X1282" s="12" t="n"/>
      <c r="Y1282" s="1">
        <f>IF(X1282="","",X1282-A1282)</f>
        <v/>
      </c>
      <c r="Z1282" s="5" t="n">
        <v>46188</v>
      </c>
      <c r="AA1282" s="3" t="n"/>
      <c r="AB1282" s="3" t="n"/>
      <c r="AE1282" s="146">
        <f>IF(AND(F1282="Closed",X1282&gt;=DATE(2026,6,1),X1282&lt;=DATE(2026,6,30)),"Closed in June","other")</f>
        <v/>
      </c>
    </row>
    <row r="1283" hidden="1">
      <c r="A1283" s="49" t="n">
        <v>46177</v>
      </c>
      <c r="B1283" s="1" t="n">
        <v>2026</v>
      </c>
      <c r="C1283" s="11" t="inlineStr">
        <is>
          <t>Ayana</t>
        </is>
      </c>
      <c r="D1283" s="11" t="inlineStr">
        <is>
          <t>Utility and C&amp;I</t>
        </is>
      </c>
      <c r="E1283" s="1" t="n"/>
      <c r="F1283" s="1" t="inlineStr">
        <is>
          <t>WIP</t>
        </is>
      </c>
      <c r="G1283" s="11" t="inlineStr">
        <is>
          <t>Vasu.N</t>
        </is>
      </c>
      <c r="H1283" s="8" t="n">
        <v>9578099893</v>
      </c>
      <c r="I1283" s="10" t="inlineStr">
        <is>
          <t>PE04062601</t>
        </is>
      </c>
      <c r="J1283" s="28" t="inlineStr">
        <is>
          <t>Module burnt</t>
        </is>
      </c>
      <c r="K1283" s="8" t="inlineStr">
        <is>
          <t>Jatavira</t>
        </is>
      </c>
      <c r="L1283" s="39" t="inlineStr">
        <is>
          <t>Gujarat</t>
        </is>
      </c>
      <c r="M1283" s="2" t="inlineStr">
        <is>
          <t>Both glass broken</t>
        </is>
      </c>
      <c r="N1283" s="6" t="inlineStr">
        <is>
          <t>Module Breakage</t>
        </is>
      </c>
      <c r="O1283" s="32" t="n">
        <v>585</v>
      </c>
      <c r="P1283" s="2" t="inlineStr">
        <is>
          <t>NSMI24090500848</t>
        </is>
      </c>
      <c r="Q1283" s="29">
        <f>MID(P1283,5,2)</f>
        <v/>
      </c>
      <c r="R1283" s="14">
        <f>MID(P1283,7,2)</f>
        <v/>
      </c>
      <c r="S1283" s="6" t="inlineStr">
        <is>
          <t>G2G</t>
        </is>
      </c>
      <c r="T1283" s="1" t="inlineStr">
        <is>
          <t>P4 - PEIPL</t>
        </is>
      </c>
      <c r="U1283" s="6" t="inlineStr">
        <is>
          <t>Glass Breakage</t>
        </is>
      </c>
      <c r="V1283" s="1" t="inlineStr">
        <is>
          <t>Inspection</t>
        </is>
      </c>
      <c r="W1283" s="1" t="inlineStr">
        <is>
          <t>WIP</t>
        </is>
      </c>
      <c r="X1283" s="12" t="n"/>
      <c r="Y1283" s="1">
        <f>IF(X1283="","",X1283-A1283)</f>
        <v/>
      </c>
      <c r="Z1283" s="5" t="n">
        <v>46188</v>
      </c>
      <c r="AA1283" s="3" t="n"/>
      <c r="AB1283" s="3" t="n"/>
      <c r="AE1283" s="146">
        <f>IF(AND(F1283="Closed",X1283&gt;=DATE(2026,6,1),X1283&lt;=DATE(2026,6,30)),"Closed in June","other")</f>
        <v/>
      </c>
    </row>
    <row r="1284" hidden="1">
      <c r="A1284" s="49" t="n">
        <v>46177</v>
      </c>
      <c r="B1284" s="1" t="n">
        <v>2026</v>
      </c>
      <c r="C1284" s="11" t="inlineStr">
        <is>
          <t>Ayana</t>
        </is>
      </c>
      <c r="D1284" s="11" t="inlineStr">
        <is>
          <t>Utility and C&amp;I</t>
        </is>
      </c>
      <c r="E1284" s="1" t="n"/>
      <c r="F1284" s="1" t="inlineStr">
        <is>
          <t>WIP</t>
        </is>
      </c>
      <c r="G1284" s="11" t="inlineStr">
        <is>
          <t>Vasu.N</t>
        </is>
      </c>
      <c r="H1284" s="8" t="n">
        <v>9578099893</v>
      </c>
      <c r="I1284" s="10" t="inlineStr">
        <is>
          <t>PE04062601</t>
        </is>
      </c>
      <c r="J1284" s="28" t="inlineStr">
        <is>
          <t>Module burnt</t>
        </is>
      </c>
      <c r="K1284" s="8" t="inlineStr">
        <is>
          <t>Jatavira</t>
        </is>
      </c>
      <c r="L1284" s="39" t="inlineStr">
        <is>
          <t>Gujarat</t>
        </is>
      </c>
      <c r="M1284" s="2" t="inlineStr">
        <is>
          <t xml:space="preserve">Both glass broken with burn spot </t>
        </is>
      </c>
      <c r="N1284" s="6" t="inlineStr">
        <is>
          <t>Glass Breakage with Burn Spot</t>
        </is>
      </c>
      <c r="O1284" s="32" t="n">
        <v>585</v>
      </c>
      <c r="P1284" s="2" t="inlineStr">
        <is>
          <t>NSMI24100553088</t>
        </is>
      </c>
      <c r="Q1284" s="29">
        <f>MID(P1284,5,2)</f>
        <v/>
      </c>
      <c r="R1284" s="14">
        <f>MID(P1284,7,2)</f>
        <v/>
      </c>
      <c r="S1284" s="6" t="inlineStr">
        <is>
          <t>G2G</t>
        </is>
      </c>
      <c r="T1284" s="1" t="inlineStr">
        <is>
          <t>P4 - PEIPL</t>
        </is>
      </c>
      <c r="U1284" s="6" t="inlineStr">
        <is>
          <t>Glass Breakage with Burn Spot</t>
        </is>
      </c>
      <c r="V1284" s="1" t="inlineStr">
        <is>
          <t>Inspection</t>
        </is>
      </c>
      <c r="W1284" s="1" t="inlineStr">
        <is>
          <t>WIP</t>
        </is>
      </c>
      <c r="X1284" s="12" t="n"/>
      <c r="Y1284" s="1">
        <f>IF(X1284="","",X1284-A1284)</f>
        <v/>
      </c>
      <c r="Z1284" s="5" t="n">
        <v>46188</v>
      </c>
      <c r="AA1284" s="3" t="n"/>
      <c r="AB1284" s="3" t="n"/>
      <c r="AE1284" s="146">
        <f>IF(AND(F1284="Closed",X1284&gt;=DATE(2026,6,1),X1284&lt;=DATE(2026,6,30)),"Closed in June","other")</f>
        <v/>
      </c>
    </row>
    <row r="1285" hidden="1">
      <c r="A1285" s="49" t="n">
        <v>46177</v>
      </c>
      <c r="B1285" s="1" t="n">
        <v>2026</v>
      </c>
      <c r="C1285" s="11" t="inlineStr">
        <is>
          <t>Ayana</t>
        </is>
      </c>
      <c r="D1285" s="11" t="inlineStr">
        <is>
          <t>Utility and C&amp;I</t>
        </is>
      </c>
      <c r="E1285" s="1" t="n"/>
      <c r="F1285" s="1" t="inlineStr">
        <is>
          <t>WIP</t>
        </is>
      </c>
      <c r="G1285" s="11" t="inlineStr">
        <is>
          <t>Vasu.N</t>
        </is>
      </c>
      <c r="H1285" s="8" t="n">
        <v>9578099893</v>
      </c>
      <c r="I1285" s="10" t="inlineStr">
        <is>
          <t>PE04062601</t>
        </is>
      </c>
      <c r="J1285" s="28" t="inlineStr">
        <is>
          <t>Module burnt</t>
        </is>
      </c>
      <c r="K1285" s="8" t="inlineStr">
        <is>
          <t>Jatavira</t>
        </is>
      </c>
      <c r="L1285" s="39" t="inlineStr">
        <is>
          <t>Gujarat</t>
        </is>
      </c>
      <c r="M1285" s="2" t="inlineStr">
        <is>
          <t>Both glass broken</t>
        </is>
      </c>
      <c r="N1285" s="6" t="inlineStr">
        <is>
          <t>Module Breakage</t>
        </is>
      </c>
      <c r="O1285" s="32" t="n">
        <v>585</v>
      </c>
      <c r="P1285" s="2" t="inlineStr">
        <is>
          <t>NSMI24090468198</t>
        </is>
      </c>
      <c r="Q1285" s="29">
        <f>MID(P1285,5,2)</f>
        <v/>
      </c>
      <c r="R1285" s="14">
        <f>MID(P1285,7,2)</f>
        <v/>
      </c>
      <c r="S1285" s="6" t="inlineStr">
        <is>
          <t>G2G</t>
        </is>
      </c>
      <c r="T1285" s="1" t="inlineStr">
        <is>
          <t>P4 - PEIPL</t>
        </is>
      </c>
      <c r="U1285" s="6" t="inlineStr">
        <is>
          <t>Glass Breakage</t>
        </is>
      </c>
      <c r="V1285" s="1" t="inlineStr">
        <is>
          <t>Inspection</t>
        </is>
      </c>
      <c r="W1285" s="1" t="inlineStr">
        <is>
          <t>WIP</t>
        </is>
      </c>
      <c r="X1285" s="12" t="n"/>
      <c r="Y1285" s="1">
        <f>IF(X1285="","",X1285-A1285)</f>
        <v/>
      </c>
      <c r="Z1285" s="5" t="n">
        <v>46188</v>
      </c>
      <c r="AA1285" s="3" t="n"/>
      <c r="AB1285" s="3" t="n"/>
      <c r="AE1285" s="146">
        <f>IF(AND(F1285="Closed",X1285&gt;=DATE(2026,6,1),X1285&lt;=DATE(2026,6,30)),"Closed in June","other")</f>
        <v/>
      </c>
    </row>
    <row r="1286" hidden="1">
      <c r="A1286" s="49" t="n">
        <v>46177</v>
      </c>
      <c r="B1286" s="1" t="n">
        <v>2026</v>
      </c>
      <c r="C1286" s="11" t="inlineStr">
        <is>
          <t>Ayana</t>
        </is>
      </c>
      <c r="D1286" s="11" t="inlineStr">
        <is>
          <t>Utility and C&amp;I</t>
        </is>
      </c>
      <c r="E1286" s="1" t="n"/>
      <c r="F1286" s="1" t="inlineStr">
        <is>
          <t>WIP</t>
        </is>
      </c>
      <c r="G1286" s="11" t="inlineStr">
        <is>
          <t>Vasu.N</t>
        </is>
      </c>
      <c r="H1286" s="8" t="n">
        <v>9578099893</v>
      </c>
      <c r="I1286" s="10" t="inlineStr">
        <is>
          <t>PE04062601</t>
        </is>
      </c>
      <c r="J1286" s="28" t="inlineStr">
        <is>
          <t>Module burnt</t>
        </is>
      </c>
      <c r="K1286" s="8" t="inlineStr">
        <is>
          <t>Jatavira</t>
        </is>
      </c>
      <c r="L1286" s="39" t="inlineStr">
        <is>
          <t>Gujarat</t>
        </is>
      </c>
      <c r="M1286" s="2" t="inlineStr">
        <is>
          <t>Both glass broken</t>
        </is>
      </c>
      <c r="N1286" s="6" t="inlineStr">
        <is>
          <t>Module Breakage</t>
        </is>
      </c>
      <c r="O1286" s="32" t="n">
        <v>585</v>
      </c>
      <c r="P1286" s="2" t="inlineStr">
        <is>
          <t>NSMI24090430539</t>
        </is>
      </c>
      <c r="Q1286" s="29">
        <f>MID(P1286,5,2)</f>
        <v/>
      </c>
      <c r="R1286" s="14">
        <f>MID(P1286,7,2)</f>
        <v/>
      </c>
      <c r="S1286" s="6" t="inlineStr">
        <is>
          <t>G2G</t>
        </is>
      </c>
      <c r="T1286" s="1" t="inlineStr">
        <is>
          <t>P4 - PEIPL</t>
        </is>
      </c>
      <c r="U1286" s="6" t="inlineStr">
        <is>
          <t>Glass Breakage</t>
        </is>
      </c>
      <c r="V1286" s="1" t="inlineStr">
        <is>
          <t>Inspection</t>
        </is>
      </c>
      <c r="W1286" s="1" t="inlineStr">
        <is>
          <t>WIP</t>
        </is>
      </c>
      <c r="X1286" s="12" t="n"/>
      <c r="Y1286" s="1">
        <f>IF(X1286="","",X1286-A1286)</f>
        <v/>
      </c>
      <c r="Z1286" s="5" t="n">
        <v>46188</v>
      </c>
      <c r="AA1286" s="3" t="n"/>
      <c r="AB1286" s="3" t="n"/>
      <c r="AE1286" s="146">
        <f>IF(AND(F1286="Closed",X1286&gt;=DATE(2026,6,1),X1286&lt;=DATE(2026,6,30)),"Closed in June","other")</f>
        <v/>
      </c>
    </row>
    <row r="1287" hidden="1">
      <c r="A1287" s="49" t="n">
        <v>46177</v>
      </c>
      <c r="B1287" s="1" t="n">
        <v>2026</v>
      </c>
      <c r="C1287" s="11" t="inlineStr">
        <is>
          <t>Ayana</t>
        </is>
      </c>
      <c r="D1287" s="11" t="inlineStr">
        <is>
          <t>Utility and C&amp;I</t>
        </is>
      </c>
      <c r="E1287" s="1" t="n"/>
      <c r="F1287" s="1" t="inlineStr">
        <is>
          <t>WIP</t>
        </is>
      </c>
      <c r="G1287" s="11" t="inlineStr">
        <is>
          <t>Vasu.N</t>
        </is>
      </c>
      <c r="H1287" s="8" t="n">
        <v>9578099893</v>
      </c>
      <c r="I1287" s="10" t="inlineStr">
        <is>
          <t>PE04062601</t>
        </is>
      </c>
      <c r="J1287" s="28" t="inlineStr">
        <is>
          <t>Module burnt</t>
        </is>
      </c>
      <c r="K1287" s="8" t="inlineStr">
        <is>
          <t>Jatavira</t>
        </is>
      </c>
      <c r="L1287" s="39" t="inlineStr">
        <is>
          <t>Gujarat</t>
        </is>
      </c>
      <c r="M1287" s="2" t="inlineStr">
        <is>
          <t xml:space="preserve">Back glass broken </t>
        </is>
      </c>
      <c r="N1287" s="6" t="inlineStr">
        <is>
          <t>Module Breakage</t>
        </is>
      </c>
      <c r="O1287" s="32" t="n">
        <v>585</v>
      </c>
      <c r="P1287" s="2" t="inlineStr">
        <is>
          <t>NSMI24090503451</t>
        </is>
      </c>
      <c r="Q1287" s="29">
        <f>MID(P1287,5,2)</f>
        <v/>
      </c>
      <c r="R1287" s="14">
        <f>MID(P1287,7,2)</f>
        <v/>
      </c>
      <c r="S1287" s="6" t="inlineStr">
        <is>
          <t>G2G</t>
        </is>
      </c>
      <c r="T1287" s="1" t="inlineStr">
        <is>
          <t>P4 - PEIPL</t>
        </is>
      </c>
      <c r="U1287" s="6" t="inlineStr">
        <is>
          <t>Glass Breakage</t>
        </is>
      </c>
      <c r="V1287" s="1" t="inlineStr">
        <is>
          <t>Inspection</t>
        </is>
      </c>
      <c r="W1287" s="1" t="inlineStr">
        <is>
          <t>WIP</t>
        </is>
      </c>
      <c r="X1287" s="12" t="n"/>
      <c r="Y1287" s="1">
        <f>IF(X1287="","",X1287-A1287)</f>
        <v/>
      </c>
      <c r="Z1287" s="5" t="n">
        <v>46188</v>
      </c>
      <c r="AA1287" s="3" t="n"/>
      <c r="AB1287" s="3" t="n"/>
      <c r="AE1287" s="146">
        <f>IF(AND(F1287="Closed",X1287&gt;=DATE(2026,6,1),X1287&lt;=DATE(2026,6,30)),"Closed in June","other")</f>
        <v/>
      </c>
    </row>
    <row r="1288" hidden="1">
      <c r="A1288" s="9" t="n">
        <v>46106</v>
      </c>
      <c r="B1288" s="1" t="n">
        <v>2026</v>
      </c>
      <c r="C1288" s="8" t="inlineStr">
        <is>
          <t>Asian Fab Tec Ltd</t>
        </is>
      </c>
      <c r="D1288" s="8" t="inlineStr">
        <is>
          <t>Utility and C&amp;I</t>
        </is>
      </c>
      <c r="E1288" s="1" t="n"/>
      <c r="F1288" s="1" t="inlineStr">
        <is>
          <t>Closed</t>
        </is>
      </c>
      <c r="G1288" s="8" t="inlineStr">
        <is>
          <t>Prakash Reddy</t>
        </is>
      </c>
      <c r="H1288" s="8" t="n">
        <v>9945239707</v>
      </c>
      <c r="I1288" s="26" t="inlineStr">
        <is>
          <t>PE25032602</t>
        </is>
      </c>
      <c r="J1288" s="42" t="inlineStr">
        <is>
          <t xml:space="preserve">Junction Box burnt </t>
        </is>
      </c>
      <c r="K1288" s="8" t="inlineStr">
        <is>
          <t>Bangalore</t>
        </is>
      </c>
      <c r="L1288" s="39" t="inlineStr">
        <is>
          <t>Karnataka</t>
        </is>
      </c>
      <c r="M1288" s="34" t="inlineStr">
        <is>
          <t>JB Replaced</t>
        </is>
      </c>
      <c r="N1288" s="6" t="inlineStr">
        <is>
          <t>JB Issue</t>
        </is>
      </c>
      <c r="O1288" s="8" t="inlineStr">
        <is>
          <t>NA</t>
        </is>
      </c>
      <c r="P1288" s="34" t="inlineStr">
        <is>
          <t>NSM191206187</t>
        </is>
      </c>
      <c r="Q1288" s="29">
        <f>MID(P1288,4,2)</f>
        <v/>
      </c>
      <c r="R1288" s="14">
        <f>MID(P1288,6,2)</f>
        <v/>
      </c>
      <c r="S1288" s="6" t="inlineStr">
        <is>
          <t>G2B</t>
        </is>
      </c>
      <c r="T1288" s="6" t="inlineStr">
        <is>
          <t>NA</t>
        </is>
      </c>
      <c r="U1288" s="6" t="inlineStr">
        <is>
          <t>JB Issue</t>
        </is>
      </c>
      <c r="V1288" s="1" t="inlineStr">
        <is>
          <t>Inspection</t>
        </is>
      </c>
      <c r="W1288" s="1" t="inlineStr">
        <is>
          <t>Repair</t>
        </is>
      </c>
      <c r="X1288" s="5" t="n">
        <v>46188</v>
      </c>
      <c r="Y1288" s="1">
        <f>IF(X1288="","",X1288-A1288)</f>
        <v/>
      </c>
      <c r="Z1288" s="5" t="n">
        <v>46188</v>
      </c>
      <c r="AA1288" s="3" t="n"/>
      <c r="AB1288" s="3" t="n"/>
      <c r="AE1288" s="146">
        <f>IF(AND(F1288="Closed",X1288&gt;=DATE(2026,6,1),X1288&lt;=DATE(2026,6,30)),"Closed in June","other")</f>
        <v/>
      </c>
    </row>
    <row r="1289" hidden="1">
      <c r="A1289" s="9" t="n">
        <v>46106</v>
      </c>
      <c r="B1289" s="1" t="n">
        <v>2026</v>
      </c>
      <c r="C1289" s="8" t="inlineStr">
        <is>
          <t>Asian Fab Tec Ltd</t>
        </is>
      </c>
      <c r="D1289" s="8" t="inlineStr">
        <is>
          <t>Utility and C&amp;I</t>
        </is>
      </c>
      <c r="E1289" s="1" t="n"/>
      <c r="F1289" s="1" t="inlineStr">
        <is>
          <t>Closed</t>
        </is>
      </c>
      <c r="G1289" s="8" t="inlineStr">
        <is>
          <t>Prakash Reddy</t>
        </is>
      </c>
      <c r="H1289" s="8" t="n">
        <v>9945239707</v>
      </c>
      <c r="I1289" s="26" t="inlineStr">
        <is>
          <t>PE25032602</t>
        </is>
      </c>
      <c r="J1289" s="42" t="inlineStr">
        <is>
          <t xml:space="preserve">Junction Box burnt </t>
        </is>
      </c>
      <c r="K1289" s="8" t="inlineStr">
        <is>
          <t>Bangalore</t>
        </is>
      </c>
      <c r="L1289" s="39" t="inlineStr">
        <is>
          <t>Karnataka</t>
        </is>
      </c>
      <c r="M1289" s="34" t="inlineStr">
        <is>
          <t>JB Replaced</t>
        </is>
      </c>
      <c r="N1289" s="6" t="inlineStr">
        <is>
          <t>JB Issue</t>
        </is>
      </c>
      <c r="O1289" s="8" t="inlineStr">
        <is>
          <t>NA</t>
        </is>
      </c>
      <c r="P1289" s="34" t="inlineStr">
        <is>
          <t>NSM191206358</t>
        </is>
      </c>
      <c r="Q1289" s="29">
        <f>MID(P1289,4,2)</f>
        <v/>
      </c>
      <c r="R1289" s="14">
        <f>MID(P1289,6,2)</f>
        <v/>
      </c>
      <c r="S1289" s="6" t="inlineStr">
        <is>
          <t>G2B</t>
        </is>
      </c>
      <c r="T1289" s="6" t="inlineStr">
        <is>
          <t>NA</t>
        </is>
      </c>
      <c r="U1289" s="6" t="inlineStr">
        <is>
          <t>JB Issue</t>
        </is>
      </c>
      <c r="V1289" s="1" t="inlineStr">
        <is>
          <t>Inspection</t>
        </is>
      </c>
      <c r="W1289" s="1" t="inlineStr">
        <is>
          <t>Repair</t>
        </is>
      </c>
      <c r="X1289" s="5" t="n">
        <v>46188</v>
      </c>
      <c r="Y1289" s="1">
        <f>IF(X1289="","",X1289-A1289)</f>
        <v/>
      </c>
      <c r="Z1289" s="5" t="n">
        <v>46188</v>
      </c>
      <c r="AA1289" s="3" t="n"/>
      <c r="AB1289" s="3" t="n"/>
      <c r="AE1289" s="146">
        <f>IF(AND(F1289="Closed",X1289&gt;=DATE(2026,6,1),X1289&lt;=DATE(2026,6,30)),"Closed in June","other")</f>
        <v/>
      </c>
    </row>
    <row r="1290" hidden="1">
      <c r="A1290" s="9" t="n">
        <v>46106</v>
      </c>
      <c r="B1290" s="1" t="n">
        <v>2026</v>
      </c>
      <c r="C1290" s="8" t="inlineStr">
        <is>
          <t>Asian Fab Tec Ltd</t>
        </is>
      </c>
      <c r="D1290" s="8" t="inlineStr">
        <is>
          <t>Utility and C&amp;I</t>
        </is>
      </c>
      <c r="E1290" s="1" t="n"/>
      <c r="F1290" s="1" t="inlineStr">
        <is>
          <t>Closed</t>
        </is>
      </c>
      <c r="G1290" s="8" t="inlineStr">
        <is>
          <t>Prakash Reddy</t>
        </is>
      </c>
      <c r="H1290" s="8" t="n">
        <v>9945239707</v>
      </c>
      <c r="I1290" s="26" t="inlineStr">
        <is>
          <t>PE25032602</t>
        </is>
      </c>
      <c r="J1290" s="42" t="inlineStr">
        <is>
          <t xml:space="preserve">Junction Box burnt </t>
        </is>
      </c>
      <c r="K1290" s="8" t="inlineStr">
        <is>
          <t>Bangalore</t>
        </is>
      </c>
      <c r="L1290" s="39" t="inlineStr">
        <is>
          <t>Karnataka</t>
        </is>
      </c>
      <c r="M1290" s="34" t="inlineStr">
        <is>
          <t>JB Replaced</t>
        </is>
      </c>
      <c r="N1290" s="6" t="inlineStr">
        <is>
          <t>JB Issue</t>
        </is>
      </c>
      <c r="O1290" s="8" t="inlineStr">
        <is>
          <t>NA</t>
        </is>
      </c>
      <c r="P1290" s="34" t="inlineStr">
        <is>
          <t>NSM191206541</t>
        </is>
      </c>
      <c r="Q1290" s="29">
        <f>MID(P1290,4,2)</f>
        <v/>
      </c>
      <c r="R1290" s="14">
        <f>MID(P1290,6,2)</f>
        <v/>
      </c>
      <c r="S1290" s="6" t="inlineStr">
        <is>
          <t>G2B</t>
        </is>
      </c>
      <c r="T1290" s="6" t="inlineStr">
        <is>
          <t>NA</t>
        </is>
      </c>
      <c r="U1290" s="6" t="inlineStr">
        <is>
          <t>JB Issue</t>
        </is>
      </c>
      <c r="V1290" s="1" t="inlineStr">
        <is>
          <t>Inspection</t>
        </is>
      </c>
      <c r="W1290" s="1" t="inlineStr">
        <is>
          <t>Repair</t>
        </is>
      </c>
      <c r="X1290" s="5" t="n">
        <v>46188</v>
      </c>
      <c r="Y1290" s="1">
        <f>IF(X1290="","",X1290-A1290)</f>
        <v/>
      </c>
      <c r="Z1290" s="5" t="n">
        <v>46188</v>
      </c>
      <c r="AA1290" s="3" t="n"/>
      <c r="AB1290" s="3" t="n"/>
      <c r="AE1290" s="146">
        <f>IF(AND(F1290="Closed",X1290&gt;=DATE(2026,6,1),X1290&lt;=DATE(2026,6,30)),"Closed in June","other")</f>
        <v/>
      </c>
    </row>
    <row r="1291" hidden="1">
      <c r="A1291" s="9" t="n">
        <v>46106</v>
      </c>
      <c r="B1291" s="1" t="n">
        <v>2026</v>
      </c>
      <c r="C1291" s="8" t="inlineStr">
        <is>
          <t>Asian Fab Tec Ltd</t>
        </is>
      </c>
      <c r="D1291" s="8" t="inlineStr">
        <is>
          <t>Utility and C&amp;I</t>
        </is>
      </c>
      <c r="E1291" s="1" t="n"/>
      <c r="F1291" s="1" t="inlineStr">
        <is>
          <t>Closed</t>
        </is>
      </c>
      <c r="G1291" s="8" t="inlineStr">
        <is>
          <t>Prakash Reddy</t>
        </is>
      </c>
      <c r="H1291" s="8" t="n">
        <v>9945239707</v>
      </c>
      <c r="I1291" s="26" t="inlineStr">
        <is>
          <t>PE25032602</t>
        </is>
      </c>
      <c r="J1291" s="42" t="inlineStr">
        <is>
          <t xml:space="preserve">Junction Box burnt </t>
        </is>
      </c>
      <c r="K1291" s="8" t="inlineStr">
        <is>
          <t>Bangalore</t>
        </is>
      </c>
      <c r="L1291" s="39" t="inlineStr">
        <is>
          <t>Karnataka</t>
        </is>
      </c>
      <c r="M1291" s="34" t="inlineStr">
        <is>
          <t>JB Replaced</t>
        </is>
      </c>
      <c r="N1291" s="6" t="inlineStr">
        <is>
          <t>JB Issue</t>
        </is>
      </c>
      <c r="O1291" s="8" t="inlineStr">
        <is>
          <t>NA</t>
        </is>
      </c>
      <c r="P1291" s="34" t="inlineStr">
        <is>
          <t>NSM191206529</t>
        </is>
      </c>
      <c r="Q1291" s="29">
        <f>MID(P1291,4,2)</f>
        <v/>
      </c>
      <c r="R1291" s="14">
        <f>MID(P1291,6,2)</f>
        <v/>
      </c>
      <c r="S1291" s="6" t="inlineStr">
        <is>
          <t>G2B</t>
        </is>
      </c>
      <c r="T1291" s="6" t="inlineStr">
        <is>
          <t>NA</t>
        </is>
      </c>
      <c r="U1291" s="6" t="inlineStr">
        <is>
          <t>JB Issue</t>
        </is>
      </c>
      <c r="V1291" s="1" t="inlineStr">
        <is>
          <t>Inspection</t>
        </is>
      </c>
      <c r="W1291" s="1" t="inlineStr">
        <is>
          <t>Repair</t>
        </is>
      </c>
      <c r="X1291" s="5" t="n">
        <v>46188</v>
      </c>
      <c r="Y1291" s="1">
        <f>IF(X1291="","",X1291-A1291)</f>
        <v/>
      </c>
      <c r="Z1291" s="5" t="n">
        <v>46188</v>
      </c>
      <c r="AA1291" s="3" t="n"/>
      <c r="AB1291" s="3" t="n"/>
      <c r="AE1291" s="146">
        <f>IF(AND(F1291="Closed",X1291&gt;=DATE(2026,6,1),X1291&lt;=DATE(2026,6,30)),"Closed in June","other")</f>
        <v/>
      </c>
    </row>
    <row r="1292" hidden="1">
      <c r="A1292" s="9" t="n">
        <v>46106</v>
      </c>
      <c r="B1292" s="1" t="n">
        <v>2026</v>
      </c>
      <c r="C1292" s="8" t="inlineStr">
        <is>
          <t>Asian Fab Tec Ltd</t>
        </is>
      </c>
      <c r="D1292" s="8" t="inlineStr">
        <is>
          <t>Utility and C&amp;I</t>
        </is>
      </c>
      <c r="E1292" s="1" t="n"/>
      <c r="F1292" s="1" t="inlineStr">
        <is>
          <t>Closed</t>
        </is>
      </c>
      <c r="G1292" s="8" t="inlineStr">
        <is>
          <t>Prakash Reddy</t>
        </is>
      </c>
      <c r="H1292" s="8" t="n">
        <v>9945239707</v>
      </c>
      <c r="I1292" s="26" t="inlineStr">
        <is>
          <t>PE25032602</t>
        </is>
      </c>
      <c r="J1292" s="42" t="inlineStr">
        <is>
          <t xml:space="preserve">Junction Box burnt </t>
        </is>
      </c>
      <c r="K1292" s="8" t="inlineStr">
        <is>
          <t>Bangalore</t>
        </is>
      </c>
      <c r="L1292" s="39" t="inlineStr">
        <is>
          <t>Karnataka</t>
        </is>
      </c>
      <c r="M1292" s="34" t="inlineStr">
        <is>
          <t>JB Replaced</t>
        </is>
      </c>
      <c r="N1292" s="6" t="inlineStr">
        <is>
          <t>JB Issue</t>
        </is>
      </c>
      <c r="O1292" s="8" t="inlineStr">
        <is>
          <t>NA</t>
        </is>
      </c>
      <c r="P1292" s="34" t="inlineStr">
        <is>
          <t>NSM191206508</t>
        </is>
      </c>
      <c r="Q1292" s="29">
        <f>MID(P1292,4,2)</f>
        <v/>
      </c>
      <c r="R1292" s="14">
        <f>MID(P1292,6,2)</f>
        <v/>
      </c>
      <c r="S1292" s="6" t="inlineStr">
        <is>
          <t>G2B</t>
        </is>
      </c>
      <c r="T1292" s="6" t="inlineStr">
        <is>
          <t>NA</t>
        </is>
      </c>
      <c r="U1292" s="6" t="inlineStr">
        <is>
          <t>JB Issue</t>
        </is>
      </c>
      <c r="V1292" s="1" t="inlineStr">
        <is>
          <t>Inspection</t>
        </is>
      </c>
      <c r="W1292" s="1" t="inlineStr">
        <is>
          <t>Repair</t>
        </is>
      </c>
      <c r="X1292" s="5" t="n">
        <v>46188</v>
      </c>
      <c r="Y1292" s="1">
        <f>IF(X1292="","",X1292-A1292)</f>
        <v/>
      </c>
      <c r="Z1292" s="5" t="n">
        <v>46188</v>
      </c>
      <c r="AA1292" s="3" t="n"/>
      <c r="AB1292" s="3" t="n"/>
      <c r="AE1292" s="146">
        <f>IF(AND(F1292="Closed",X1292&gt;=DATE(2026,6,1),X1292&lt;=DATE(2026,6,30)),"Closed in June","other")</f>
        <v/>
      </c>
    </row>
    <row r="1293" hidden="1">
      <c r="A1293" s="9" t="n">
        <v>46106</v>
      </c>
      <c r="B1293" s="1" t="n">
        <v>2026</v>
      </c>
      <c r="C1293" s="8" t="inlineStr">
        <is>
          <t>Asian Fab Tec Ltd</t>
        </is>
      </c>
      <c r="D1293" s="8" t="inlineStr">
        <is>
          <t>Utility and C&amp;I</t>
        </is>
      </c>
      <c r="E1293" s="1" t="n"/>
      <c r="F1293" s="1" t="inlineStr">
        <is>
          <t>Closed</t>
        </is>
      </c>
      <c r="G1293" s="8" t="inlineStr">
        <is>
          <t>Prakash Reddy</t>
        </is>
      </c>
      <c r="H1293" s="8" t="n">
        <v>9945239707</v>
      </c>
      <c r="I1293" s="26" t="inlineStr">
        <is>
          <t>PE25032602</t>
        </is>
      </c>
      <c r="J1293" s="42" t="inlineStr">
        <is>
          <t xml:space="preserve">Junction Box burnt </t>
        </is>
      </c>
      <c r="K1293" s="8" t="inlineStr">
        <is>
          <t>Bangalore</t>
        </is>
      </c>
      <c r="L1293" s="39" t="inlineStr">
        <is>
          <t>Karnataka</t>
        </is>
      </c>
      <c r="M1293" s="34" t="inlineStr">
        <is>
          <t>JB Replaced</t>
        </is>
      </c>
      <c r="N1293" s="6" t="inlineStr">
        <is>
          <t>JB Issue</t>
        </is>
      </c>
      <c r="O1293" s="8" t="inlineStr">
        <is>
          <t>NA</t>
        </is>
      </c>
      <c r="P1293" s="34" t="inlineStr">
        <is>
          <t>NSM191206512</t>
        </is>
      </c>
      <c r="Q1293" s="29">
        <f>MID(P1293,4,2)</f>
        <v/>
      </c>
      <c r="R1293" s="14">
        <f>MID(P1293,6,2)</f>
        <v/>
      </c>
      <c r="S1293" s="6" t="inlineStr">
        <is>
          <t>G2B</t>
        </is>
      </c>
      <c r="T1293" s="6" t="inlineStr">
        <is>
          <t>NA</t>
        </is>
      </c>
      <c r="U1293" s="6" t="inlineStr">
        <is>
          <t>JB Issue</t>
        </is>
      </c>
      <c r="V1293" s="1" t="inlineStr">
        <is>
          <t>Inspection</t>
        </is>
      </c>
      <c r="W1293" s="1" t="inlineStr">
        <is>
          <t>Repair</t>
        </is>
      </c>
      <c r="X1293" s="5" t="n">
        <v>46188</v>
      </c>
      <c r="Y1293" s="1">
        <f>IF(X1293="","",X1293-A1293)</f>
        <v/>
      </c>
      <c r="Z1293" s="5" t="n">
        <v>46188</v>
      </c>
      <c r="AA1293" s="3" t="n"/>
      <c r="AB1293" s="3" t="n"/>
      <c r="AE1293" s="146">
        <f>IF(AND(F1293="Closed",X1293&gt;=DATE(2026,6,1),X1293&lt;=DATE(2026,6,30)),"Closed in June","other")</f>
        <v/>
      </c>
    </row>
    <row r="1294" hidden="1">
      <c r="A1294" s="9" t="n">
        <v>46106</v>
      </c>
      <c r="B1294" s="1" t="n">
        <v>2026</v>
      </c>
      <c r="C1294" s="8" t="inlineStr">
        <is>
          <t>Asian Fab Tec Ltd</t>
        </is>
      </c>
      <c r="D1294" s="8" t="inlineStr">
        <is>
          <t>Utility and C&amp;I</t>
        </is>
      </c>
      <c r="E1294" s="1" t="n"/>
      <c r="F1294" s="1" t="inlineStr">
        <is>
          <t>Closed</t>
        </is>
      </c>
      <c r="G1294" s="8" t="inlineStr">
        <is>
          <t>Prakash Reddy</t>
        </is>
      </c>
      <c r="H1294" s="8" t="n">
        <v>9945239707</v>
      </c>
      <c r="I1294" s="26" t="inlineStr">
        <is>
          <t>PE25032602</t>
        </is>
      </c>
      <c r="J1294" s="42" t="inlineStr">
        <is>
          <t xml:space="preserve">Junction Box burnt </t>
        </is>
      </c>
      <c r="K1294" s="8" t="inlineStr">
        <is>
          <t>Bangalore</t>
        </is>
      </c>
      <c r="L1294" s="39" t="inlineStr">
        <is>
          <t>Karnataka</t>
        </is>
      </c>
      <c r="M1294" s="34" t="inlineStr">
        <is>
          <t>JB Replaced</t>
        </is>
      </c>
      <c r="N1294" s="6" t="inlineStr">
        <is>
          <t>JB Issue</t>
        </is>
      </c>
      <c r="O1294" s="8" t="inlineStr">
        <is>
          <t>NA</t>
        </is>
      </c>
      <c r="P1294" s="34" t="inlineStr">
        <is>
          <t>NSM191206527</t>
        </is>
      </c>
      <c r="Q1294" s="29">
        <f>MID(P1294,4,2)</f>
        <v/>
      </c>
      <c r="R1294" s="14">
        <f>MID(P1294,6,2)</f>
        <v/>
      </c>
      <c r="S1294" s="6" t="inlineStr">
        <is>
          <t>G2B</t>
        </is>
      </c>
      <c r="T1294" s="6" t="inlineStr">
        <is>
          <t>NA</t>
        </is>
      </c>
      <c r="U1294" s="6" t="inlineStr">
        <is>
          <t>JB Issue</t>
        </is>
      </c>
      <c r="V1294" s="1" t="inlineStr">
        <is>
          <t>Inspection</t>
        </is>
      </c>
      <c r="W1294" s="1" t="inlineStr">
        <is>
          <t>Repair</t>
        </is>
      </c>
      <c r="X1294" s="5" t="n">
        <v>46188</v>
      </c>
      <c r="Y1294" s="1">
        <f>IF(X1294="","",X1294-A1294)</f>
        <v/>
      </c>
      <c r="Z1294" s="5" t="n">
        <v>46188</v>
      </c>
      <c r="AA1294" s="3" t="n"/>
      <c r="AB1294" s="3" t="n"/>
      <c r="AE1294" s="146">
        <f>IF(AND(F1294="Closed",X1294&gt;=DATE(2026,6,1),X1294&lt;=DATE(2026,6,30)),"Closed in June","other")</f>
        <v/>
      </c>
    </row>
    <row r="1295" hidden="1">
      <c r="A1295" s="9" t="n">
        <v>46106</v>
      </c>
      <c r="B1295" s="1" t="n">
        <v>2026</v>
      </c>
      <c r="C1295" s="8" t="inlineStr">
        <is>
          <t>Asian Fab Tec Ltd</t>
        </is>
      </c>
      <c r="D1295" s="8" t="inlineStr">
        <is>
          <t>Utility and C&amp;I</t>
        </is>
      </c>
      <c r="E1295" s="1" t="n"/>
      <c r="F1295" s="1" t="inlineStr">
        <is>
          <t>Closed</t>
        </is>
      </c>
      <c r="G1295" s="8" t="inlineStr">
        <is>
          <t>Prakash Reddy</t>
        </is>
      </c>
      <c r="H1295" s="8" t="n">
        <v>9945239707</v>
      </c>
      <c r="I1295" s="26" t="inlineStr">
        <is>
          <t>PE25032602</t>
        </is>
      </c>
      <c r="J1295" s="42" t="inlineStr">
        <is>
          <t xml:space="preserve">Junction Box burnt </t>
        </is>
      </c>
      <c r="K1295" s="8" t="inlineStr">
        <is>
          <t>Bangalore</t>
        </is>
      </c>
      <c r="L1295" s="39" t="inlineStr">
        <is>
          <t>Karnataka</t>
        </is>
      </c>
      <c r="M1295" s="34" t="inlineStr">
        <is>
          <t>JB Replaced</t>
        </is>
      </c>
      <c r="N1295" s="6" t="inlineStr">
        <is>
          <t>JB Issue</t>
        </is>
      </c>
      <c r="O1295" s="8" t="inlineStr">
        <is>
          <t>NA</t>
        </is>
      </c>
      <c r="P1295" s="34" t="inlineStr">
        <is>
          <t>NSM191206349</t>
        </is>
      </c>
      <c r="Q1295" s="29">
        <f>MID(P1295,4,2)</f>
        <v/>
      </c>
      <c r="R1295" s="14">
        <f>MID(P1295,6,2)</f>
        <v/>
      </c>
      <c r="S1295" s="6" t="inlineStr">
        <is>
          <t>G2B</t>
        </is>
      </c>
      <c r="T1295" s="6" t="inlineStr">
        <is>
          <t>NA</t>
        </is>
      </c>
      <c r="U1295" s="6" t="inlineStr">
        <is>
          <t>JB Issue</t>
        </is>
      </c>
      <c r="V1295" s="1" t="inlineStr">
        <is>
          <t>Inspection</t>
        </is>
      </c>
      <c r="W1295" s="1" t="inlineStr">
        <is>
          <t>Repair</t>
        </is>
      </c>
      <c r="X1295" s="5" t="n">
        <v>46188</v>
      </c>
      <c r="Y1295" s="1">
        <f>IF(X1295="","",X1295-A1295)</f>
        <v/>
      </c>
      <c r="Z1295" s="5" t="n">
        <v>46188</v>
      </c>
      <c r="AA1295" s="3" t="n"/>
      <c r="AB1295" s="3" t="n"/>
      <c r="AE1295" s="146">
        <f>IF(AND(F1295="Closed",X1295&gt;=DATE(2026,6,1),X1295&lt;=DATE(2026,6,30)),"Closed in June","other")</f>
        <v/>
      </c>
    </row>
    <row r="1296" hidden="1">
      <c r="A1296" s="9" t="n">
        <v>46106</v>
      </c>
      <c r="B1296" s="1" t="n">
        <v>2026</v>
      </c>
      <c r="C1296" s="8" t="inlineStr">
        <is>
          <t>Asian Fab Tec Ltd</t>
        </is>
      </c>
      <c r="D1296" s="8" t="inlineStr">
        <is>
          <t>Utility and C&amp;I</t>
        </is>
      </c>
      <c r="E1296" s="1" t="n"/>
      <c r="F1296" s="1" t="inlineStr">
        <is>
          <t>Closed</t>
        </is>
      </c>
      <c r="G1296" s="8" t="inlineStr">
        <is>
          <t>Prakash Reddy</t>
        </is>
      </c>
      <c r="H1296" s="8" t="n">
        <v>9945239707</v>
      </c>
      <c r="I1296" s="26" t="inlineStr">
        <is>
          <t>PE25032602</t>
        </is>
      </c>
      <c r="J1296" s="42" t="inlineStr">
        <is>
          <t xml:space="preserve">Junction Box burnt </t>
        </is>
      </c>
      <c r="K1296" s="8" t="inlineStr">
        <is>
          <t>Bangalore</t>
        </is>
      </c>
      <c r="L1296" s="39" t="inlineStr">
        <is>
          <t>Karnataka</t>
        </is>
      </c>
      <c r="M1296" s="34" t="inlineStr">
        <is>
          <t>JB Replaced</t>
        </is>
      </c>
      <c r="N1296" s="6" t="inlineStr">
        <is>
          <t>JB Issue</t>
        </is>
      </c>
      <c r="O1296" s="8" t="inlineStr">
        <is>
          <t>NA</t>
        </is>
      </c>
      <c r="P1296" s="34" t="inlineStr">
        <is>
          <t>NSM191206533</t>
        </is>
      </c>
      <c r="Q1296" s="29">
        <f>MID(P1296,4,2)</f>
        <v/>
      </c>
      <c r="R1296" s="14">
        <f>MID(P1296,6,2)</f>
        <v/>
      </c>
      <c r="S1296" s="6" t="inlineStr">
        <is>
          <t>G2B</t>
        </is>
      </c>
      <c r="T1296" s="6" t="inlineStr">
        <is>
          <t>NA</t>
        </is>
      </c>
      <c r="U1296" s="6" t="inlineStr">
        <is>
          <t>JB Issue</t>
        </is>
      </c>
      <c r="V1296" s="1" t="inlineStr">
        <is>
          <t>Inspection</t>
        </is>
      </c>
      <c r="W1296" s="1" t="inlineStr">
        <is>
          <t>Repair</t>
        </is>
      </c>
      <c r="X1296" s="5" t="n">
        <v>46188</v>
      </c>
      <c r="Y1296" s="1">
        <f>IF(X1296="","",X1296-A1296)</f>
        <v/>
      </c>
      <c r="Z1296" s="5" t="n">
        <v>46188</v>
      </c>
      <c r="AA1296" s="3" t="n"/>
      <c r="AB1296" s="3" t="n"/>
      <c r="AE1296" s="146">
        <f>IF(AND(F1296="Closed",X1296&gt;=DATE(2026,6,1),X1296&lt;=DATE(2026,6,30)),"Closed in June","other")</f>
        <v/>
      </c>
    </row>
    <row r="1297" hidden="1">
      <c r="A1297" s="9" t="n">
        <v>46106</v>
      </c>
      <c r="B1297" s="1" t="n">
        <v>2026</v>
      </c>
      <c r="C1297" s="8" t="inlineStr">
        <is>
          <t>Asian Fab Tec Ltd</t>
        </is>
      </c>
      <c r="D1297" s="8" t="inlineStr">
        <is>
          <t>Utility and C&amp;I</t>
        </is>
      </c>
      <c r="E1297" s="1" t="n"/>
      <c r="F1297" s="1" t="inlineStr">
        <is>
          <t>Closed</t>
        </is>
      </c>
      <c r="G1297" s="8" t="inlineStr">
        <is>
          <t>Prakash Reddy</t>
        </is>
      </c>
      <c r="H1297" s="8" t="n">
        <v>9945239707</v>
      </c>
      <c r="I1297" s="26" t="inlineStr">
        <is>
          <t>PE25032602</t>
        </is>
      </c>
      <c r="J1297" s="42" t="inlineStr">
        <is>
          <t xml:space="preserve">Junction Box burnt </t>
        </is>
      </c>
      <c r="K1297" s="8" t="inlineStr">
        <is>
          <t>Bangalore</t>
        </is>
      </c>
      <c r="L1297" s="39" t="inlineStr">
        <is>
          <t>Karnataka</t>
        </is>
      </c>
      <c r="M1297" s="34" t="inlineStr">
        <is>
          <t>JB Replaced</t>
        </is>
      </c>
      <c r="N1297" s="6" t="inlineStr">
        <is>
          <t>JB Issue</t>
        </is>
      </c>
      <c r="O1297" s="8" t="inlineStr">
        <is>
          <t>NA</t>
        </is>
      </c>
      <c r="P1297" s="34" t="inlineStr">
        <is>
          <t>NSM191206363</t>
        </is>
      </c>
      <c r="Q1297" s="29">
        <f>MID(P1297,4,2)</f>
        <v/>
      </c>
      <c r="R1297" s="14">
        <f>MID(P1297,6,2)</f>
        <v/>
      </c>
      <c r="S1297" s="6" t="inlineStr">
        <is>
          <t>G2B</t>
        </is>
      </c>
      <c r="T1297" s="6" t="inlineStr">
        <is>
          <t>NA</t>
        </is>
      </c>
      <c r="U1297" s="6" t="inlineStr">
        <is>
          <t>JB Issue</t>
        </is>
      </c>
      <c r="V1297" s="1" t="inlineStr">
        <is>
          <t>Inspection</t>
        </is>
      </c>
      <c r="W1297" s="1" t="inlineStr">
        <is>
          <t>Repair</t>
        </is>
      </c>
      <c r="X1297" s="5" t="n">
        <v>46188</v>
      </c>
      <c r="Y1297" s="1">
        <f>IF(X1297="","",X1297-A1297)</f>
        <v/>
      </c>
      <c r="Z1297" s="5" t="n">
        <v>46188</v>
      </c>
      <c r="AA1297" s="3" t="n"/>
      <c r="AB1297" s="3" t="n"/>
      <c r="AE1297" s="146">
        <f>IF(AND(F1297="Closed",X1297&gt;=DATE(2026,6,1),X1297&lt;=DATE(2026,6,30)),"Closed in June","other")</f>
        <v/>
      </c>
    </row>
    <row r="1298" hidden="1">
      <c r="A1298" s="9" t="n">
        <v>46106</v>
      </c>
      <c r="B1298" s="1" t="n">
        <v>2026</v>
      </c>
      <c r="C1298" s="8" t="inlineStr">
        <is>
          <t>Asian Fab Tec Ltd</t>
        </is>
      </c>
      <c r="D1298" s="8" t="inlineStr">
        <is>
          <t>Utility and C&amp;I</t>
        </is>
      </c>
      <c r="E1298" s="1" t="n"/>
      <c r="F1298" s="1" t="inlineStr">
        <is>
          <t>Closed</t>
        </is>
      </c>
      <c r="G1298" s="8" t="inlineStr">
        <is>
          <t>Prakash Reddy</t>
        </is>
      </c>
      <c r="H1298" s="8" t="n">
        <v>9945239707</v>
      </c>
      <c r="I1298" s="26" t="inlineStr">
        <is>
          <t>PE25032602</t>
        </is>
      </c>
      <c r="J1298" s="42" t="inlineStr">
        <is>
          <t xml:space="preserve">Junction Box burnt </t>
        </is>
      </c>
      <c r="K1298" s="8" t="inlineStr">
        <is>
          <t>Bangalore</t>
        </is>
      </c>
      <c r="L1298" s="39" t="inlineStr">
        <is>
          <t>Karnataka</t>
        </is>
      </c>
      <c r="M1298" s="34" t="inlineStr">
        <is>
          <t>JB Replaced</t>
        </is>
      </c>
      <c r="N1298" s="6" t="inlineStr">
        <is>
          <t>JB Issue</t>
        </is>
      </c>
      <c r="O1298" s="8" t="inlineStr">
        <is>
          <t>NA</t>
        </is>
      </c>
      <c r="P1298" s="34" t="inlineStr">
        <is>
          <t>NSM191206530</t>
        </is>
      </c>
      <c r="Q1298" s="29">
        <f>MID(P1298,4,2)</f>
        <v/>
      </c>
      <c r="R1298" s="14">
        <f>MID(P1298,6,2)</f>
        <v/>
      </c>
      <c r="S1298" s="6" t="inlineStr">
        <is>
          <t>G2B</t>
        </is>
      </c>
      <c r="T1298" s="6" t="inlineStr">
        <is>
          <t>NA</t>
        </is>
      </c>
      <c r="U1298" s="6" t="inlineStr">
        <is>
          <t>JB Issue</t>
        </is>
      </c>
      <c r="V1298" s="1" t="inlineStr">
        <is>
          <t>Inspection</t>
        </is>
      </c>
      <c r="W1298" s="1" t="inlineStr">
        <is>
          <t>Repair</t>
        </is>
      </c>
      <c r="X1298" s="5" t="n">
        <v>46188</v>
      </c>
      <c r="Y1298" s="1">
        <f>IF(X1298="","",X1298-A1298)</f>
        <v/>
      </c>
      <c r="Z1298" s="5" t="n">
        <v>46188</v>
      </c>
      <c r="AA1298" s="3" t="n"/>
      <c r="AB1298" s="3" t="n"/>
      <c r="AE1298" s="146">
        <f>IF(AND(F1298="Closed",X1298&gt;=DATE(2026,6,1),X1298&lt;=DATE(2026,6,30)),"Closed in June","other")</f>
        <v/>
      </c>
    </row>
    <row r="1299" hidden="1">
      <c r="A1299" s="9" t="n">
        <v>46106</v>
      </c>
      <c r="B1299" s="1" t="n">
        <v>2026</v>
      </c>
      <c r="C1299" s="8" t="inlineStr">
        <is>
          <t>Asian Fab Tec Ltd</t>
        </is>
      </c>
      <c r="D1299" s="8" t="inlineStr">
        <is>
          <t>Utility and C&amp;I</t>
        </is>
      </c>
      <c r="E1299" s="1" t="n"/>
      <c r="F1299" s="1" t="inlineStr">
        <is>
          <t>Closed</t>
        </is>
      </c>
      <c r="G1299" s="8" t="inlineStr">
        <is>
          <t>Prakash Reddy</t>
        </is>
      </c>
      <c r="H1299" s="8" t="n">
        <v>9945239707</v>
      </c>
      <c r="I1299" s="26" t="inlineStr">
        <is>
          <t>PE25032602</t>
        </is>
      </c>
      <c r="J1299" s="42" t="inlineStr">
        <is>
          <t xml:space="preserve">Junction Box burnt </t>
        </is>
      </c>
      <c r="K1299" s="8" t="inlineStr">
        <is>
          <t>Bangalore</t>
        </is>
      </c>
      <c r="L1299" s="39" t="inlineStr">
        <is>
          <t>Karnataka</t>
        </is>
      </c>
      <c r="M1299" s="34" t="inlineStr">
        <is>
          <t>JB Replaced</t>
        </is>
      </c>
      <c r="N1299" s="6" t="inlineStr">
        <is>
          <t>JB Issue</t>
        </is>
      </c>
      <c r="O1299" s="8" t="inlineStr">
        <is>
          <t>NA</t>
        </is>
      </c>
      <c r="P1299" s="34" t="inlineStr">
        <is>
          <t>NSM191206467</t>
        </is>
      </c>
      <c r="Q1299" s="29">
        <f>MID(P1299,4,2)</f>
        <v/>
      </c>
      <c r="R1299" s="14">
        <f>MID(P1299,6,2)</f>
        <v/>
      </c>
      <c r="S1299" s="6" t="inlineStr">
        <is>
          <t>G2B</t>
        </is>
      </c>
      <c r="T1299" s="6" t="inlineStr">
        <is>
          <t>NA</t>
        </is>
      </c>
      <c r="U1299" s="6" t="inlineStr">
        <is>
          <t>JB Issue</t>
        </is>
      </c>
      <c r="V1299" s="1" t="inlineStr">
        <is>
          <t>Inspection</t>
        </is>
      </c>
      <c r="W1299" s="1" t="inlineStr">
        <is>
          <t>Repair</t>
        </is>
      </c>
      <c r="X1299" s="5" t="n">
        <v>46188</v>
      </c>
      <c r="Y1299" s="1">
        <f>IF(X1299="","",X1299-A1299)</f>
        <v/>
      </c>
      <c r="Z1299" s="5" t="n">
        <v>46188</v>
      </c>
      <c r="AA1299" s="3" t="n"/>
      <c r="AB1299" s="3" t="n"/>
      <c r="AE1299" s="146">
        <f>IF(AND(F1299="Closed",X1299&gt;=DATE(2026,6,1),X1299&lt;=DATE(2026,6,30)),"Closed in June","other")</f>
        <v/>
      </c>
    </row>
    <row r="1300" hidden="1">
      <c r="A1300" s="9" t="n">
        <v>46106</v>
      </c>
      <c r="B1300" s="1" t="n">
        <v>2026</v>
      </c>
      <c r="C1300" s="8" t="inlineStr">
        <is>
          <t>Asian Fab Tec Ltd</t>
        </is>
      </c>
      <c r="D1300" s="8" t="inlineStr">
        <is>
          <t>Utility and C&amp;I</t>
        </is>
      </c>
      <c r="E1300" s="1" t="n"/>
      <c r="F1300" s="1" t="inlineStr">
        <is>
          <t>Closed</t>
        </is>
      </c>
      <c r="G1300" s="8" t="inlineStr">
        <is>
          <t>Prakash Reddy</t>
        </is>
      </c>
      <c r="H1300" s="8" t="n">
        <v>9945239707</v>
      </c>
      <c r="I1300" s="26" t="inlineStr">
        <is>
          <t>PE25032602</t>
        </is>
      </c>
      <c r="J1300" s="42" t="inlineStr">
        <is>
          <t xml:space="preserve">Junction Box burnt </t>
        </is>
      </c>
      <c r="K1300" s="8" t="inlineStr">
        <is>
          <t>Bangalore</t>
        </is>
      </c>
      <c r="L1300" s="39" t="inlineStr">
        <is>
          <t>Karnataka</t>
        </is>
      </c>
      <c r="M1300" s="34" t="inlineStr">
        <is>
          <t>JB Replaced</t>
        </is>
      </c>
      <c r="N1300" s="6" t="inlineStr">
        <is>
          <t>JB Issue</t>
        </is>
      </c>
      <c r="O1300" s="8" t="inlineStr">
        <is>
          <t>NA</t>
        </is>
      </c>
      <c r="P1300" s="34" t="inlineStr">
        <is>
          <t>NSM191206494</t>
        </is>
      </c>
      <c r="Q1300" s="29">
        <f>MID(P1300,4,2)</f>
        <v/>
      </c>
      <c r="R1300" s="14">
        <f>MID(P1300,6,2)</f>
        <v/>
      </c>
      <c r="S1300" s="6" t="inlineStr">
        <is>
          <t>G2B</t>
        </is>
      </c>
      <c r="T1300" s="6" t="inlineStr">
        <is>
          <t>NA</t>
        </is>
      </c>
      <c r="U1300" s="6" t="inlineStr">
        <is>
          <t>JB Issue</t>
        </is>
      </c>
      <c r="V1300" s="1" t="inlineStr">
        <is>
          <t>Inspection</t>
        </is>
      </c>
      <c r="W1300" s="1" t="inlineStr">
        <is>
          <t>Repair</t>
        </is>
      </c>
      <c r="X1300" s="5" t="n">
        <v>46188</v>
      </c>
      <c r="Y1300" s="1">
        <f>IF(X1300="","",X1300-A1300)</f>
        <v/>
      </c>
      <c r="Z1300" s="5" t="n">
        <v>46188</v>
      </c>
      <c r="AA1300" s="3" t="n"/>
      <c r="AB1300" s="3" t="n"/>
      <c r="AE1300" s="146">
        <f>IF(AND(F1300="Closed",X1300&gt;=DATE(2026,6,1),X1300&lt;=DATE(2026,6,30)),"Closed in June","other")</f>
        <v/>
      </c>
    </row>
    <row r="1301" hidden="1">
      <c r="A1301" s="9" t="n">
        <v>46106</v>
      </c>
      <c r="B1301" s="1" t="n">
        <v>2026</v>
      </c>
      <c r="C1301" s="8" t="inlineStr">
        <is>
          <t>Asian Fab Tec Ltd</t>
        </is>
      </c>
      <c r="D1301" s="8" t="inlineStr">
        <is>
          <t>Utility and C&amp;I</t>
        </is>
      </c>
      <c r="E1301" s="1" t="n"/>
      <c r="F1301" s="1" t="inlineStr">
        <is>
          <t>Closed</t>
        </is>
      </c>
      <c r="G1301" s="8" t="inlineStr">
        <is>
          <t>Prakash Reddy</t>
        </is>
      </c>
      <c r="H1301" s="8" t="n">
        <v>9945239707</v>
      </c>
      <c r="I1301" s="26" t="inlineStr">
        <is>
          <t>PE25032602</t>
        </is>
      </c>
      <c r="J1301" s="42" t="inlineStr">
        <is>
          <t xml:space="preserve">Junction Box burnt </t>
        </is>
      </c>
      <c r="K1301" s="8" t="inlineStr">
        <is>
          <t>Bangalore</t>
        </is>
      </c>
      <c r="L1301" s="39" t="inlineStr">
        <is>
          <t>Karnataka</t>
        </is>
      </c>
      <c r="M1301" s="34" t="inlineStr">
        <is>
          <t>JB Replaced</t>
        </is>
      </c>
      <c r="N1301" s="6" t="inlineStr">
        <is>
          <t>JB Issue</t>
        </is>
      </c>
      <c r="O1301" s="8" t="inlineStr">
        <is>
          <t>NA</t>
        </is>
      </c>
      <c r="P1301" s="34" t="inlineStr">
        <is>
          <t>NSM191206524</t>
        </is>
      </c>
      <c r="Q1301" s="29">
        <f>MID(P1301,4,2)</f>
        <v/>
      </c>
      <c r="R1301" s="14">
        <f>MID(P1301,6,2)</f>
        <v/>
      </c>
      <c r="S1301" s="6" t="inlineStr">
        <is>
          <t>G2B</t>
        </is>
      </c>
      <c r="T1301" s="6" t="inlineStr">
        <is>
          <t>NA</t>
        </is>
      </c>
      <c r="U1301" s="6" t="inlineStr">
        <is>
          <t>JB Issue</t>
        </is>
      </c>
      <c r="V1301" s="1" t="inlineStr">
        <is>
          <t>Inspection</t>
        </is>
      </c>
      <c r="W1301" s="1" t="inlineStr">
        <is>
          <t>Repair</t>
        </is>
      </c>
      <c r="X1301" s="5" t="n">
        <v>46188</v>
      </c>
      <c r="Y1301" s="1">
        <f>IF(X1301="","",X1301-A1301)</f>
        <v/>
      </c>
      <c r="Z1301" s="5" t="n">
        <v>46188</v>
      </c>
      <c r="AA1301" s="3" t="n"/>
      <c r="AB1301" s="3" t="n"/>
      <c r="AE1301" s="146">
        <f>IF(AND(F1301="Closed",X1301&gt;=DATE(2026,6,1),X1301&lt;=DATE(2026,6,30)),"Closed in June","other")</f>
        <v/>
      </c>
    </row>
    <row r="1302" hidden="1">
      <c r="A1302" s="9" t="n">
        <v>46106</v>
      </c>
      <c r="B1302" s="1" t="n">
        <v>2026</v>
      </c>
      <c r="C1302" s="8" t="inlineStr">
        <is>
          <t>Asian Fab Tec Ltd</t>
        </is>
      </c>
      <c r="D1302" s="8" t="inlineStr">
        <is>
          <t>Utility and C&amp;I</t>
        </is>
      </c>
      <c r="E1302" s="1" t="n"/>
      <c r="F1302" s="1" t="inlineStr">
        <is>
          <t>Closed</t>
        </is>
      </c>
      <c r="G1302" s="8" t="inlineStr">
        <is>
          <t>Prakash Reddy</t>
        </is>
      </c>
      <c r="H1302" s="8" t="n">
        <v>9945239707</v>
      </c>
      <c r="I1302" s="26" t="inlineStr">
        <is>
          <t>PE25032602</t>
        </is>
      </c>
      <c r="J1302" s="42" t="inlineStr">
        <is>
          <t xml:space="preserve">Junction Box burnt </t>
        </is>
      </c>
      <c r="K1302" s="8" t="inlineStr">
        <is>
          <t>Bangalore</t>
        </is>
      </c>
      <c r="L1302" s="39" t="inlineStr">
        <is>
          <t>Karnataka</t>
        </is>
      </c>
      <c r="M1302" s="34" t="inlineStr">
        <is>
          <t>JB Replaced</t>
        </is>
      </c>
      <c r="N1302" s="6" t="inlineStr">
        <is>
          <t>JB Issue</t>
        </is>
      </c>
      <c r="O1302" s="8" t="inlineStr">
        <is>
          <t>NA</t>
        </is>
      </c>
      <c r="P1302" s="34" t="inlineStr">
        <is>
          <t>NSM191207580</t>
        </is>
      </c>
      <c r="Q1302" s="29">
        <f>MID(P1302,4,2)</f>
        <v/>
      </c>
      <c r="R1302" s="14">
        <f>MID(P1302,6,2)</f>
        <v/>
      </c>
      <c r="S1302" s="6" t="inlineStr">
        <is>
          <t>G2B</t>
        </is>
      </c>
      <c r="T1302" s="6" t="inlineStr">
        <is>
          <t>NA</t>
        </is>
      </c>
      <c r="U1302" s="6" t="inlineStr">
        <is>
          <t>JB Issue</t>
        </is>
      </c>
      <c r="V1302" s="1" t="inlineStr">
        <is>
          <t>Inspection</t>
        </is>
      </c>
      <c r="W1302" s="1" t="inlineStr">
        <is>
          <t>Repair</t>
        </is>
      </c>
      <c r="X1302" s="5" t="n">
        <v>46188</v>
      </c>
      <c r="Y1302" s="1">
        <f>IF(X1302="","",X1302-A1302)</f>
        <v/>
      </c>
      <c r="Z1302" s="5" t="n">
        <v>46188</v>
      </c>
      <c r="AA1302" s="3" t="n"/>
      <c r="AB1302" s="3" t="n"/>
      <c r="AE1302" s="146">
        <f>IF(AND(F1302="Closed",X1302&gt;=DATE(2026,6,1),X1302&lt;=DATE(2026,6,30)),"Closed in June","other")</f>
        <v/>
      </c>
    </row>
    <row r="1303" hidden="1">
      <c r="A1303" s="9" t="n">
        <v>46106</v>
      </c>
      <c r="B1303" s="1" t="n">
        <v>2026</v>
      </c>
      <c r="C1303" s="8" t="inlineStr">
        <is>
          <t>Asian Fab Tec Ltd</t>
        </is>
      </c>
      <c r="D1303" s="8" t="inlineStr">
        <is>
          <t>Utility and C&amp;I</t>
        </is>
      </c>
      <c r="E1303" s="1" t="n"/>
      <c r="F1303" s="1" t="inlineStr">
        <is>
          <t>Closed</t>
        </is>
      </c>
      <c r="G1303" s="8" t="inlineStr">
        <is>
          <t>Prakash Reddy</t>
        </is>
      </c>
      <c r="H1303" s="8" t="n">
        <v>9945239707</v>
      </c>
      <c r="I1303" s="26" t="inlineStr">
        <is>
          <t>PE25032602</t>
        </is>
      </c>
      <c r="J1303" s="42" t="inlineStr">
        <is>
          <t xml:space="preserve">Junction Box burnt </t>
        </is>
      </c>
      <c r="K1303" s="8" t="inlineStr">
        <is>
          <t>Bangalore</t>
        </is>
      </c>
      <c r="L1303" s="39" t="inlineStr">
        <is>
          <t>Karnataka</t>
        </is>
      </c>
      <c r="M1303" s="34" t="inlineStr">
        <is>
          <t>JB Replaced</t>
        </is>
      </c>
      <c r="N1303" s="6" t="inlineStr">
        <is>
          <t>JB Issue</t>
        </is>
      </c>
      <c r="O1303" s="8" t="inlineStr">
        <is>
          <t>NA</t>
        </is>
      </c>
      <c r="P1303" s="34" t="inlineStr">
        <is>
          <t>NSM191207578</t>
        </is>
      </c>
      <c r="Q1303" s="29">
        <f>MID(P1303,4,2)</f>
        <v/>
      </c>
      <c r="R1303" s="14">
        <f>MID(P1303,6,2)</f>
        <v/>
      </c>
      <c r="S1303" s="6" t="inlineStr">
        <is>
          <t>G2B</t>
        </is>
      </c>
      <c r="T1303" s="6" t="inlineStr">
        <is>
          <t>NA</t>
        </is>
      </c>
      <c r="U1303" s="6" t="inlineStr">
        <is>
          <t>JB Issue</t>
        </is>
      </c>
      <c r="V1303" s="1" t="inlineStr">
        <is>
          <t>Inspection</t>
        </is>
      </c>
      <c r="W1303" s="1" t="inlineStr">
        <is>
          <t>Repair</t>
        </is>
      </c>
      <c r="X1303" s="5" t="n">
        <v>46188</v>
      </c>
      <c r="Y1303" s="1">
        <f>IF(X1303="","",X1303-A1303)</f>
        <v/>
      </c>
      <c r="Z1303" s="5" t="n">
        <v>46188</v>
      </c>
      <c r="AA1303" s="3" t="n"/>
      <c r="AB1303" s="3" t="n"/>
      <c r="AE1303" s="146">
        <f>IF(AND(F1303="Closed",X1303&gt;=DATE(2026,6,1),X1303&lt;=DATE(2026,6,30)),"Closed in June","other")</f>
        <v/>
      </c>
    </row>
    <row r="1304" hidden="1">
      <c r="A1304" s="9" t="n">
        <v>46106</v>
      </c>
      <c r="B1304" s="1" t="n">
        <v>2026</v>
      </c>
      <c r="C1304" s="8" t="inlineStr">
        <is>
          <t>Asian Fab Tec Ltd</t>
        </is>
      </c>
      <c r="D1304" s="8" t="inlineStr">
        <is>
          <t>Utility and C&amp;I</t>
        </is>
      </c>
      <c r="E1304" s="1" t="n"/>
      <c r="F1304" s="1" t="inlineStr">
        <is>
          <t>Closed</t>
        </is>
      </c>
      <c r="G1304" s="8" t="inlineStr">
        <is>
          <t>Prakash Reddy</t>
        </is>
      </c>
      <c r="H1304" s="8" t="n">
        <v>9945239707</v>
      </c>
      <c r="I1304" s="26" t="inlineStr">
        <is>
          <t>PE25032602</t>
        </is>
      </c>
      <c r="J1304" s="42" t="inlineStr">
        <is>
          <t xml:space="preserve">Junction Box burnt </t>
        </is>
      </c>
      <c r="K1304" s="8" t="inlineStr">
        <is>
          <t>Bangalore</t>
        </is>
      </c>
      <c r="L1304" s="39" t="inlineStr">
        <is>
          <t>Karnataka</t>
        </is>
      </c>
      <c r="M1304" s="34" t="inlineStr">
        <is>
          <t>JB Replaced</t>
        </is>
      </c>
      <c r="N1304" s="6" t="inlineStr">
        <is>
          <t>JB Issue</t>
        </is>
      </c>
      <c r="O1304" s="8" t="inlineStr">
        <is>
          <t>NA</t>
        </is>
      </c>
      <c r="P1304" s="34" t="inlineStr">
        <is>
          <t>NSM191207576</t>
        </is>
      </c>
      <c r="Q1304" s="29">
        <f>MID(P1304,4,2)</f>
        <v/>
      </c>
      <c r="R1304" s="14">
        <f>MID(P1304,6,2)</f>
        <v/>
      </c>
      <c r="S1304" s="6" t="inlineStr">
        <is>
          <t>G2B</t>
        </is>
      </c>
      <c r="T1304" s="6" t="inlineStr">
        <is>
          <t>NA</t>
        </is>
      </c>
      <c r="U1304" s="6" t="inlineStr">
        <is>
          <t>JB Issue</t>
        </is>
      </c>
      <c r="V1304" s="1" t="inlineStr">
        <is>
          <t>Inspection</t>
        </is>
      </c>
      <c r="W1304" s="1" t="inlineStr">
        <is>
          <t>Repair</t>
        </is>
      </c>
      <c r="X1304" s="5" t="n">
        <v>46188</v>
      </c>
      <c r="Y1304" s="1">
        <f>IF(X1304="","",X1304-A1304)</f>
        <v/>
      </c>
      <c r="Z1304" s="5" t="n">
        <v>46188</v>
      </c>
      <c r="AA1304" s="3" t="n"/>
      <c r="AB1304" s="3" t="n"/>
      <c r="AE1304" s="146">
        <f>IF(AND(F1304="Closed",X1304&gt;=DATE(2026,6,1),X1304&lt;=DATE(2026,6,30)),"Closed in June","other")</f>
        <v/>
      </c>
    </row>
    <row r="1305" hidden="1">
      <c r="A1305" s="9" t="n">
        <v>46106</v>
      </c>
      <c r="B1305" s="1" t="n">
        <v>2026</v>
      </c>
      <c r="C1305" s="8" t="inlineStr">
        <is>
          <t>Asian Fab Tec Ltd</t>
        </is>
      </c>
      <c r="D1305" s="8" t="inlineStr">
        <is>
          <t>Utility and C&amp;I</t>
        </is>
      </c>
      <c r="E1305" s="1" t="n"/>
      <c r="F1305" s="1" t="inlineStr">
        <is>
          <t>Closed</t>
        </is>
      </c>
      <c r="G1305" s="8" t="inlineStr">
        <is>
          <t>Prakash Reddy</t>
        </is>
      </c>
      <c r="H1305" s="8" t="n">
        <v>9945239707</v>
      </c>
      <c r="I1305" s="26" t="inlineStr">
        <is>
          <t>PE25032602</t>
        </is>
      </c>
      <c r="J1305" s="42" t="inlineStr">
        <is>
          <t xml:space="preserve">Junction Box burnt </t>
        </is>
      </c>
      <c r="K1305" s="8" t="inlineStr">
        <is>
          <t>Bangalore</t>
        </is>
      </c>
      <c r="L1305" s="39" t="inlineStr">
        <is>
          <t>Karnataka</t>
        </is>
      </c>
      <c r="M1305" s="34" t="inlineStr">
        <is>
          <t>JB Replaced</t>
        </is>
      </c>
      <c r="N1305" s="6" t="inlineStr">
        <is>
          <t>JB Issue</t>
        </is>
      </c>
      <c r="O1305" s="8" t="inlineStr">
        <is>
          <t>NA</t>
        </is>
      </c>
      <c r="P1305" s="34" t="inlineStr">
        <is>
          <t>NSM191206347</t>
        </is>
      </c>
      <c r="Q1305" s="29">
        <f>MID(P1305,4,2)</f>
        <v/>
      </c>
      <c r="R1305" s="14">
        <f>MID(P1305,6,2)</f>
        <v/>
      </c>
      <c r="S1305" s="6" t="inlineStr">
        <is>
          <t>G2B</t>
        </is>
      </c>
      <c r="T1305" s="6" t="inlineStr">
        <is>
          <t>NA</t>
        </is>
      </c>
      <c r="U1305" s="6" t="inlineStr">
        <is>
          <t>JB Issue</t>
        </is>
      </c>
      <c r="V1305" s="1" t="inlineStr">
        <is>
          <t>Inspection</t>
        </is>
      </c>
      <c r="W1305" s="1" t="inlineStr">
        <is>
          <t>Repair</t>
        </is>
      </c>
      <c r="X1305" s="5" t="n">
        <v>46188</v>
      </c>
      <c r="Y1305" s="1">
        <f>IF(X1305="","",X1305-A1305)</f>
        <v/>
      </c>
      <c r="Z1305" s="5" t="n">
        <v>46188</v>
      </c>
      <c r="AA1305" s="3" t="n"/>
      <c r="AB1305" s="3" t="n"/>
      <c r="AE1305" s="146">
        <f>IF(AND(F1305="Closed",X1305&gt;=DATE(2026,6,1),X1305&lt;=DATE(2026,6,30)),"Closed in June","other")</f>
        <v/>
      </c>
    </row>
    <row r="1306" hidden="1">
      <c r="A1306" s="9" t="n">
        <v>46106</v>
      </c>
      <c r="B1306" s="1" t="n">
        <v>2026</v>
      </c>
      <c r="C1306" s="8" t="inlineStr">
        <is>
          <t>Asian Fab Tec Ltd</t>
        </is>
      </c>
      <c r="D1306" s="8" t="inlineStr">
        <is>
          <t>Utility and C&amp;I</t>
        </is>
      </c>
      <c r="E1306" s="1" t="n"/>
      <c r="F1306" s="1" t="inlineStr">
        <is>
          <t>Closed</t>
        </is>
      </c>
      <c r="G1306" s="8" t="inlineStr">
        <is>
          <t>Prakash Reddy</t>
        </is>
      </c>
      <c r="H1306" s="8" t="n">
        <v>9945239707</v>
      </c>
      <c r="I1306" s="26" t="inlineStr">
        <is>
          <t>PE25032602</t>
        </is>
      </c>
      <c r="J1306" s="42" t="inlineStr">
        <is>
          <t xml:space="preserve">Junction Box burnt </t>
        </is>
      </c>
      <c r="K1306" s="8" t="inlineStr">
        <is>
          <t>Bangalore</t>
        </is>
      </c>
      <c r="L1306" s="39" t="inlineStr">
        <is>
          <t>Karnataka</t>
        </is>
      </c>
      <c r="M1306" s="34" t="inlineStr">
        <is>
          <t>JB Replaced</t>
        </is>
      </c>
      <c r="N1306" s="6" t="inlineStr">
        <is>
          <t>JB Issue</t>
        </is>
      </c>
      <c r="O1306" s="8" t="inlineStr">
        <is>
          <t>NA</t>
        </is>
      </c>
      <c r="P1306" s="34" t="inlineStr">
        <is>
          <t>NSM191206454</t>
        </is>
      </c>
      <c r="Q1306" s="29">
        <f>MID(P1306,4,2)</f>
        <v/>
      </c>
      <c r="R1306" s="14">
        <f>MID(P1306,6,2)</f>
        <v/>
      </c>
      <c r="S1306" s="6" t="inlineStr">
        <is>
          <t>G2B</t>
        </is>
      </c>
      <c r="T1306" s="6" t="inlineStr">
        <is>
          <t>NA</t>
        </is>
      </c>
      <c r="U1306" s="6" t="inlineStr">
        <is>
          <t>JB Issue</t>
        </is>
      </c>
      <c r="V1306" s="1" t="inlineStr">
        <is>
          <t>Inspection</t>
        </is>
      </c>
      <c r="W1306" s="1" t="inlineStr">
        <is>
          <t>Repair</t>
        </is>
      </c>
      <c r="X1306" s="5" t="n">
        <v>46188</v>
      </c>
      <c r="Y1306" s="1">
        <f>IF(X1306="","",X1306-A1306)</f>
        <v/>
      </c>
      <c r="Z1306" s="5" t="n">
        <v>46188</v>
      </c>
      <c r="AA1306" s="3" t="n"/>
      <c r="AB1306" s="3" t="n"/>
      <c r="AE1306" s="146">
        <f>IF(AND(F1306="Closed",X1306&gt;=DATE(2026,6,1),X1306&lt;=DATE(2026,6,30)),"Closed in June","other")</f>
        <v/>
      </c>
    </row>
    <row r="1307" hidden="1">
      <c r="A1307" s="9" t="n">
        <v>46106</v>
      </c>
      <c r="B1307" s="1" t="n">
        <v>2026</v>
      </c>
      <c r="C1307" s="8" t="inlineStr">
        <is>
          <t>Asian Fab Tec Ltd</t>
        </is>
      </c>
      <c r="D1307" s="8" t="inlineStr">
        <is>
          <t>Utility and C&amp;I</t>
        </is>
      </c>
      <c r="E1307" s="1" t="n"/>
      <c r="F1307" s="1" t="inlineStr">
        <is>
          <t>Closed</t>
        </is>
      </c>
      <c r="G1307" s="8" t="inlineStr">
        <is>
          <t>Prakash Reddy</t>
        </is>
      </c>
      <c r="H1307" s="8" t="n">
        <v>9945239707</v>
      </c>
      <c r="I1307" s="26" t="inlineStr">
        <is>
          <t>PE25032602</t>
        </is>
      </c>
      <c r="J1307" s="42" t="inlineStr">
        <is>
          <t xml:space="preserve">Junction Box burnt </t>
        </is>
      </c>
      <c r="K1307" s="8" t="inlineStr">
        <is>
          <t>Bangalore</t>
        </is>
      </c>
      <c r="L1307" s="39" t="inlineStr">
        <is>
          <t>Karnataka</t>
        </is>
      </c>
      <c r="M1307" s="34" t="inlineStr">
        <is>
          <t>JB Replaced</t>
        </is>
      </c>
      <c r="N1307" s="6" t="inlineStr">
        <is>
          <t>JB Issue</t>
        </is>
      </c>
      <c r="O1307" s="8" t="inlineStr">
        <is>
          <t>NA</t>
        </is>
      </c>
      <c r="P1307" s="34" t="inlineStr">
        <is>
          <t>NSM191207778</t>
        </is>
      </c>
      <c r="Q1307" s="29">
        <f>MID(P1307,4,2)</f>
        <v/>
      </c>
      <c r="R1307" s="14">
        <f>MID(P1307,6,2)</f>
        <v/>
      </c>
      <c r="S1307" s="6" t="inlineStr">
        <is>
          <t>G2B</t>
        </is>
      </c>
      <c r="T1307" s="6" t="inlineStr">
        <is>
          <t>NA</t>
        </is>
      </c>
      <c r="U1307" s="6" t="inlineStr">
        <is>
          <t>JB Issue</t>
        </is>
      </c>
      <c r="V1307" s="1" t="inlineStr">
        <is>
          <t>Inspection</t>
        </is>
      </c>
      <c r="W1307" s="1" t="inlineStr">
        <is>
          <t>Repair</t>
        </is>
      </c>
      <c r="X1307" s="5" t="n">
        <v>46188</v>
      </c>
      <c r="Y1307" s="1">
        <f>IF(X1307="","",X1307-A1307)</f>
        <v/>
      </c>
      <c r="Z1307" s="5" t="n">
        <v>46188</v>
      </c>
      <c r="AA1307" s="3" t="n"/>
      <c r="AB1307" s="3" t="n"/>
      <c r="AE1307" s="146">
        <f>IF(AND(F1307="Closed",X1307&gt;=DATE(2026,6,1),X1307&lt;=DATE(2026,6,30)),"Closed in June","other")</f>
        <v/>
      </c>
    </row>
    <row r="1308" hidden="1">
      <c r="A1308" s="9" t="n">
        <v>46106</v>
      </c>
      <c r="B1308" s="1" t="n">
        <v>2026</v>
      </c>
      <c r="C1308" s="8" t="inlineStr">
        <is>
          <t>Asian Fab Tec Ltd</t>
        </is>
      </c>
      <c r="D1308" s="8" t="inlineStr">
        <is>
          <t>Utility and C&amp;I</t>
        </is>
      </c>
      <c r="E1308" s="1" t="n"/>
      <c r="F1308" s="1" t="inlineStr">
        <is>
          <t>Closed</t>
        </is>
      </c>
      <c r="G1308" s="8" t="inlineStr">
        <is>
          <t>Prakash Reddy</t>
        </is>
      </c>
      <c r="H1308" s="8" t="n">
        <v>9945239707</v>
      </c>
      <c r="I1308" s="26" t="inlineStr">
        <is>
          <t>PE25032602</t>
        </is>
      </c>
      <c r="J1308" s="42" t="inlineStr">
        <is>
          <t xml:space="preserve">Junction Box burnt </t>
        </is>
      </c>
      <c r="K1308" s="8" t="inlineStr">
        <is>
          <t>Bangalore</t>
        </is>
      </c>
      <c r="L1308" s="39" t="inlineStr">
        <is>
          <t>Karnataka</t>
        </is>
      </c>
      <c r="M1308" s="34" t="inlineStr">
        <is>
          <t>JB Replaced</t>
        </is>
      </c>
      <c r="N1308" s="6" t="inlineStr">
        <is>
          <t>JB Issue</t>
        </is>
      </c>
      <c r="O1308" s="8" t="inlineStr">
        <is>
          <t>NA</t>
        </is>
      </c>
      <c r="P1308" s="34" t="inlineStr">
        <is>
          <t>NSM191207640</t>
        </is>
      </c>
      <c r="Q1308" s="29">
        <f>MID(P1308,4,2)</f>
        <v/>
      </c>
      <c r="R1308" s="14">
        <f>MID(P1308,6,2)</f>
        <v/>
      </c>
      <c r="S1308" s="6" t="inlineStr">
        <is>
          <t>G2B</t>
        </is>
      </c>
      <c r="T1308" s="6" t="inlineStr">
        <is>
          <t>NA</t>
        </is>
      </c>
      <c r="U1308" s="6" t="inlineStr">
        <is>
          <t>JB Issue</t>
        </is>
      </c>
      <c r="V1308" s="1" t="inlineStr">
        <is>
          <t>Inspection</t>
        </is>
      </c>
      <c r="W1308" s="1" t="inlineStr">
        <is>
          <t>Repair</t>
        </is>
      </c>
      <c r="X1308" s="5" t="n">
        <v>46188</v>
      </c>
      <c r="Y1308" s="1">
        <f>IF(X1308="","",X1308-A1308)</f>
        <v/>
      </c>
      <c r="Z1308" s="5" t="n">
        <v>46188</v>
      </c>
      <c r="AA1308" s="3" t="n"/>
      <c r="AB1308" s="3" t="n"/>
      <c r="AE1308" s="146">
        <f>IF(AND(F1308="Closed",X1308&gt;=DATE(2026,6,1),X1308&lt;=DATE(2026,6,30)),"Closed in June","other")</f>
        <v/>
      </c>
    </row>
    <row r="1309" hidden="1">
      <c r="A1309" s="9" t="n">
        <v>46106</v>
      </c>
      <c r="B1309" s="1" t="n">
        <v>2026</v>
      </c>
      <c r="C1309" s="8" t="inlineStr">
        <is>
          <t>Asian Fab Tec Ltd</t>
        </is>
      </c>
      <c r="D1309" s="8" t="inlineStr">
        <is>
          <t>Utility and C&amp;I</t>
        </is>
      </c>
      <c r="E1309" s="1" t="n"/>
      <c r="F1309" s="1" t="inlineStr">
        <is>
          <t>Closed</t>
        </is>
      </c>
      <c r="G1309" s="8" t="inlineStr">
        <is>
          <t>Prakash Reddy</t>
        </is>
      </c>
      <c r="H1309" s="8" t="n">
        <v>9945239707</v>
      </c>
      <c r="I1309" s="26" t="inlineStr">
        <is>
          <t>PE25032602</t>
        </is>
      </c>
      <c r="J1309" s="42" t="inlineStr">
        <is>
          <t xml:space="preserve">Junction Box burnt </t>
        </is>
      </c>
      <c r="K1309" s="8" t="inlineStr">
        <is>
          <t>Bangalore</t>
        </is>
      </c>
      <c r="L1309" s="39" t="inlineStr">
        <is>
          <t>Karnataka</t>
        </is>
      </c>
      <c r="M1309" s="34" t="inlineStr">
        <is>
          <t>JB Replaced</t>
        </is>
      </c>
      <c r="N1309" s="6" t="inlineStr">
        <is>
          <t>JB Issue</t>
        </is>
      </c>
      <c r="O1309" s="8" t="inlineStr">
        <is>
          <t>NA</t>
        </is>
      </c>
      <c r="P1309" s="34" t="inlineStr">
        <is>
          <t>NSM191207587</t>
        </is>
      </c>
      <c r="Q1309" s="29">
        <f>MID(P1309,4,2)</f>
        <v/>
      </c>
      <c r="R1309" s="14">
        <f>MID(P1309,6,2)</f>
        <v/>
      </c>
      <c r="S1309" s="6" t="inlineStr">
        <is>
          <t>G2B</t>
        </is>
      </c>
      <c r="T1309" s="6" t="inlineStr">
        <is>
          <t>NA</t>
        </is>
      </c>
      <c r="U1309" s="6" t="inlineStr">
        <is>
          <t>JB Issue</t>
        </is>
      </c>
      <c r="V1309" s="1" t="inlineStr">
        <is>
          <t>Inspection</t>
        </is>
      </c>
      <c r="W1309" s="1" t="inlineStr">
        <is>
          <t>Repair</t>
        </is>
      </c>
      <c r="X1309" s="5" t="n">
        <v>46188</v>
      </c>
      <c r="Y1309" s="1">
        <f>IF(X1309="","",X1309-A1309)</f>
        <v/>
      </c>
      <c r="Z1309" s="5" t="n">
        <v>46188</v>
      </c>
      <c r="AA1309" s="3" t="n"/>
      <c r="AB1309" s="3" t="n"/>
      <c r="AE1309" s="146">
        <f>IF(AND(F1309="Closed",X1309&gt;=DATE(2026,6,1),X1309&lt;=DATE(2026,6,30)),"Closed in June","other")</f>
        <v/>
      </c>
    </row>
    <row r="1310" hidden="1">
      <c r="A1310" s="9" t="n">
        <v>46106</v>
      </c>
      <c r="B1310" s="1" t="n">
        <v>2026</v>
      </c>
      <c r="C1310" s="8" t="inlineStr">
        <is>
          <t>Asian Fab Tec Ltd</t>
        </is>
      </c>
      <c r="D1310" s="8" t="inlineStr">
        <is>
          <t>Utility and C&amp;I</t>
        </is>
      </c>
      <c r="E1310" s="1" t="n"/>
      <c r="F1310" s="1" t="inlineStr">
        <is>
          <t>Closed</t>
        </is>
      </c>
      <c r="G1310" s="8" t="inlineStr">
        <is>
          <t>Prakash Reddy</t>
        </is>
      </c>
      <c r="H1310" s="8" t="n">
        <v>9945239707</v>
      </c>
      <c r="I1310" s="26" t="inlineStr">
        <is>
          <t>PE25032602</t>
        </is>
      </c>
      <c r="J1310" s="42" t="inlineStr">
        <is>
          <t xml:space="preserve">Junction Box burnt </t>
        </is>
      </c>
      <c r="K1310" s="8" t="inlineStr">
        <is>
          <t>Bangalore</t>
        </is>
      </c>
      <c r="L1310" s="39" t="inlineStr">
        <is>
          <t>Karnataka</t>
        </is>
      </c>
      <c r="M1310" s="34" t="inlineStr">
        <is>
          <t>JB Replaced</t>
        </is>
      </c>
      <c r="N1310" s="6" t="inlineStr">
        <is>
          <t>JB Issue</t>
        </is>
      </c>
      <c r="O1310" s="8" t="inlineStr">
        <is>
          <t>NA</t>
        </is>
      </c>
      <c r="P1310" s="34" t="inlineStr">
        <is>
          <t>NSM191207573</t>
        </is>
      </c>
      <c r="Q1310" s="29">
        <f>MID(P1310,4,2)</f>
        <v/>
      </c>
      <c r="R1310" s="14">
        <f>MID(P1310,6,2)</f>
        <v/>
      </c>
      <c r="S1310" s="6" t="inlineStr">
        <is>
          <t>G2B</t>
        </is>
      </c>
      <c r="T1310" s="6" t="inlineStr">
        <is>
          <t>NA</t>
        </is>
      </c>
      <c r="U1310" s="6" t="inlineStr">
        <is>
          <t>JB Issue</t>
        </is>
      </c>
      <c r="V1310" s="1" t="inlineStr">
        <is>
          <t>Inspection</t>
        </is>
      </c>
      <c r="W1310" s="1" t="inlineStr">
        <is>
          <t>Repair</t>
        </is>
      </c>
      <c r="X1310" s="5" t="n">
        <v>46188</v>
      </c>
      <c r="Y1310" s="1">
        <f>IF(X1310="","",X1310-A1310)</f>
        <v/>
      </c>
      <c r="Z1310" s="5" t="n">
        <v>46188</v>
      </c>
      <c r="AA1310" s="3" t="n"/>
      <c r="AB1310" s="3" t="n"/>
      <c r="AE1310" s="146">
        <f>IF(AND(F1310="Closed",X1310&gt;=DATE(2026,6,1),X1310&lt;=DATE(2026,6,30)),"Closed in June","other")</f>
        <v/>
      </c>
    </row>
    <row r="1311" hidden="1">
      <c r="A1311" s="9" t="n">
        <v>46106</v>
      </c>
      <c r="B1311" s="1" t="n">
        <v>2026</v>
      </c>
      <c r="C1311" s="8" t="inlineStr">
        <is>
          <t>Asian Fab Tec Ltd</t>
        </is>
      </c>
      <c r="D1311" s="8" t="inlineStr">
        <is>
          <t>Utility and C&amp;I</t>
        </is>
      </c>
      <c r="E1311" s="1" t="n"/>
      <c r="F1311" s="1" t="inlineStr">
        <is>
          <t>Closed</t>
        </is>
      </c>
      <c r="G1311" s="8" t="inlineStr">
        <is>
          <t>Prakash Reddy</t>
        </is>
      </c>
      <c r="H1311" s="8" t="n">
        <v>9945239707</v>
      </c>
      <c r="I1311" s="26" t="inlineStr">
        <is>
          <t>PE25032602</t>
        </is>
      </c>
      <c r="J1311" s="42" t="inlineStr">
        <is>
          <t xml:space="preserve">Junction Box burnt </t>
        </is>
      </c>
      <c r="K1311" s="8" t="inlineStr">
        <is>
          <t>Bangalore</t>
        </is>
      </c>
      <c r="L1311" s="39" t="inlineStr">
        <is>
          <t>Karnataka</t>
        </is>
      </c>
      <c r="M1311" s="34" t="inlineStr">
        <is>
          <t>JB Replaced</t>
        </is>
      </c>
      <c r="N1311" s="6" t="inlineStr">
        <is>
          <t>JB Issue</t>
        </is>
      </c>
      <c r="O1311" s="8" t="inlineStr">
        <is>
          <t>NA</t>
        </is>
      </c>
      <c r="P1311" s="34" t="inlineStr">
        <is>
          <t>NSM191207716</t>
        </is>
      </c>
      <c r="Q1311" s="29">
        <f>MID(P1311,4,2)</f>
        <v/>
      </c>
      <c r="R1311" s="14">
        <f>MID(P1311,6,2)</f>
        <v/>
      </c>
      <c r="S1311" s="6" t="inlineStr">
        <is>
          <t>G2B</t>
        </is>
      </c>
      <c r="T1311" s="6" t="inlineStr">
        <is>
          <t>NA</t>
        </is>
      </c>
      <c r="U1311" s="6" t="inlineStr">
        <is>
          <t>JB Issue</t>
        </is>
      </c>
      <c r="V1311" s="1" t="inlineStr">
        <is>
          <t>Inspection</t>
        </is>
      </c>
      <c r="W1311" s="1" t="inlineStr">
        <is>
          <t>Repair</t>
        </is>
      </c>
      <c r="X1311" s="5" t="n">
        <v>46188</v>
      </c>
      <c r="Y1311" s="1">
        <f>IF(X1311="","",X1311-A1311)</f>
        <v/>
      </c>
      <c r="Z1311" s="5" t="n">
        <v>46188</v>
      </c>
      <c r="AA1311" s="3" t="n"/>
      <c r="AB1311" s="3" t="n"/>
      <c r="AE1311" s="146">
        <f>IF(AND(F1311="Closed",X1311&gt;=DATE(2026,6,1),X1311&lt;=DATE(2026,6,30)),"Closed in June","other")</f>
        <v/>
      </c>
    </row>
    <row r="1312" hidden="1">
      <c r="A1312" s="9" t="n">
        <v>46106</v>
      </c>
      <c r="B1312" s="1" t="n">
        <v>2026</v>
      </c>
      <c r="C1312" s="8" t="inlineStr">
        <is>
          <t>Asian Fab Tec Ltd</t>
        </is>
      </c>
      <c r="D1312" s="8" t="inlineStr">
        <is>
          <t>Utility and C&amp;I</t>
        </is>
      </c>
      <c r="E1312" s="1" t="n"/>
      <c r="F1312" s="1" t="inlineStr">
        <is>
          <t>Closed</t>
        </is>
      </c>
      <c r="G1312" s="8" t="inlineStr">
        <is>
          <t>Prakash Reddy</t>
        </is>
      </c>
      <c r="H1312" s="8" t="n">
        <v>9945239707</v>
      </c>
      <c r="I1312" s="26" t="inlineStr">
        <is>
          <t>PE25032602</t>
        </is>
      </c>
      <c r="J1312" s="42" t="inlineStr">
        <is>
          <t xml:space="preserve">Junction Box burnt </t>
        </is>
      </c>
      <c r="K1312" s="8" t="inlineStr">
        <is>
          <t>Bangalore</t>
        </is>
      </c>
      <c r="L1312" s="39" t="inlineStr">
        <is>
          <t>Karnataka</t>
        </is>
      </c>
      <c r="M1312" s="34" t="inlineStr">
        <is>
          <t>JB Replaced</t>
        </is>
      </c>
      <c r="N1312" s="6" t="inlineStr">
        <is>
          <t>JB Issue</t>
        </is>
      </c>
      <c r="O1312" s="8" t="inlineStr">
        <is>
          <t>NA</t>
        </is>
      </c>
      <c r="P1312" s="34" t="inlineStr">
        <is>
          <t>NSM191207777</t>
        </is>
      </c>
      <c r="Q1312" s="29">
        <f>MID(P1312,4,2)</f>
        <v/>
      </c>
      <c r="R1312" s="14">
        <f>MID(P1312,6,2)</f>
        <v/>
      </c>
      <c r="S1312" s="6" t="inlineStr">
        <is>
          <t>G2B</t>
        </is>
      </c>
      <c r="T1312" s="6" t="inlineStr">
        <is>
          <t>NA</t>
        </is>
      </c>
      <c r="U1312" s="6" t="inlineStr">
        <is>
          <t>JB Issue</t>
        </is>
      </c>
      <c r="V1312" s="1" t="inlineStr">
        <is>
          <t>Inspection</t>
        </is>
      </c>
      <c r="W1312" s="1" t="inlineStr">
        <is>
          <t>Repair</t>
        </is>
      </c>
      <c r="X1312" s="5" t="n">
        <v>46188</v>
      </c>
      <c r="Y1312" s="1">
        <f>IF(X1312="","",X1312-A1312)</f>
        <v/>
      </c>
      <c r="Z1312" s="5" t="n">
        <v>46188</v>
      </c>
      <c r="AA1312" s="3" t="n"/>
      <c r="AB1312" s="3" t="n"/>
      <c r="AE1312" s="146">
        <f>IF(AND(F1312="Closed",X1312&gt;=DATE(2026,6,1),X1312&lt;=DATE(2026,6,30)),"Closed in June","other")</f>
        <v/>
      </c>
    </row>
    <row r="1313" hidden="1">
      <c r="A1313" s="9" t="n">
        <v>46106</v>
      </c>
      <c r="B1313" s="1" t="n">
        <v>2026</v>
      </c>
      <c r="C1313" s="8" t="inlineStr">
        <is>
          <t>Asian Fab Tec Ltd</t>
        </is>
      </c>
      <c r="D1313" s="8" t="inlineStr">
        <is>
          <t>Utility and C&amp;I</t>
        </is>
      </c>
      <c r="E1313" s="1" t="n"/>
      <c r="F1313" s="1" t="inlineStr">
        <is>
          <t>Closed</t>
        </is>
      </c>
      <c r="G1313" s="8" t="inlineStr">
        <is>
          <t>Prakash Reddy</t>
        </is>
      </c>
      <c r="H1313" s="8" t="n">
        <v>9945239707</v>
      </c>
      <c r="I1313" s="26" t="inlineStr">
        <is>
          <t>PE25032602</t>
        </is>
      </c>
      <c r="J1313" s="42" t="inlineStr">
        <is>
          <t xml:space="preserve">Junction Box burnt </t>
        </is>
      </c>
      <c r="K1313" s="8" t="inlineStr">
        <is>
          <t>Bangalore</t>
        </is>
      </c>
      <c r="L1313" s="39" t="inlineStr">
        <is>
          <t>Karnataka</t>
        </is>
      </c>
      <c r="M1313" s="34" t="inlineStr">
        <is>
          <t>JB Replaced</t>
        </is>
      </c>
      <c r="N1313" s="6" t="inlineStr">
        <is>
          <t>JB Issue</t>
        </is>
      </c>
      <c r="O1313" s="8" t="inlineStr">
        <is>
          <t>NA</t>
        </is>
      </c>
      <c r="P1313" s="34" t="inlineStr">
        <is>
          <t>NSM191207605</t>
        </is>
      </c>
      <c r="Q1313" s="29">
        <f>MID(P1313,4,2)</f>
        <v/>
      </c>
      <c r="R1313" s="14">
        <f>MID(P1313,6,2)</f>
        <v/>
      </c>
      <c r="S1313" s="6" t="inlineStr">
        <is>
          <t>G2B</t>
        </is>
      </c>
      <c r="T1313" s="6" t="inlineStr">
        <is>
          <t>NA</t>
        </is>
      </c>
      <c r="U1313" s="6" t="inlineStr">
        <is>
          <t>JB Issue</t>
        </is>
      </c>
      <c r="V1313" s="1" t="inlineStr">
        <is>
          <t>Inspection</t>
        </is>
      </c>
      <c r="W1313" s="1" t="inlineStr">
        <is>
          <t>Repair</t>
        </is>
      </c>
      <c r="X1313" s="5" t="n">
        <v>46188</v>
      </c>
      <c r="Y1313" s="1">
        <f>IF(X1313="","",X1313-A1313)</f>
        <v/>
      </c>
      <c r="Z1313" s="5" t="n">
        <v>46188</v>
      </c>
      <c r="AA1313" s="3" t="n"/>
      <c r="AB1313" s="3" t="n"/>
      <c r="AE1313" s="146">
        <f>IF(AND(F1313="Closed",X1313&gt;=DATE(2026,6,1),X1313&lt;=DATE(2026,6,30)),"Closed in June","other")</f>
        <v/>
      </c>
    </row>
    <row r="1314" hidden="1">
      <c r="A1314" s="9" t="n">
        <v>46106</v>
      </c>
      <c r="B1314" s="1" t="n">
        <v>2026</v>
      </c>
      <c r="C1314" s="8" t="inlineStr">
        <is>
          <t>Asian Fab Tec Ltd</t>
        </is>
      </c>
      <c r="D1314" s="8" t="inlineStr">
        <is>
          <t>Utility and C&amp;I</t>
        </is>
      </c>
      <c r="E1314" s="1" t="n"/>
      <c r="F1314" s="1" t="inlineStr">
        <is>
          <t>Closed</t>
        </is>
      </c>
      <c r="G1314" s="8" t="inlineStr">
        <is>
          <t>Prakash Reddy</t>
        </is>
      </c>
      <c r="H1314" s="8" t="n">
        <v>9945239707</v>
      </c>
      <c r="I1314" s="26" t="inlineStr">
        <is>
          <t>PE25032602</t>
        </is>
      </c>
      <c r="J1314" s="42" t="inlineStr">
        <is>
          <t xml:space="preserve">Junction Box burnt </t>
        </is>
      </c>
      <c r="K1314" s="8" t="inlineStr">
        <is>
          <t>Bangalore</t>
        </is>
      </c>
      <c r="L1314" s="39" t="inlineStr">
        <is>
          <t>Karnataka</t>
        </is>
      </c>
      <c r="M1314" s="34" t="inlineStr">
        <is>
          <t>JB Replaced</t>
        </is>
      </c>
      <c r="N1314" s="6" t="inlineStr">
        <is>
          <t>JB Issue</t>
        </is>
      </c>
      <c r="O1314" s="8" t="inlineStr">
        <is>
          <t>NA</t>
        </is>
      </c>
      <c r="P1314" s="34" t="inlineStr">
        <is>
          <t>NSM191206509</t>
        </is>
      </c>
      <c r="Q1314" s="29">
        <f>MID(P1314,4,2)</f>
        <v/>
      </c>
      <c r="R1314" s="14">
        <f>MID(P1314,6,2)</f>
        <v/>
      </c>
      <c r="S1314" s="6" t="inlineStr">
        <is>
          <t>G2B</t>
        </is>
      </c>
      <c r="T1314" s="6" t="inlineStr">
        <is>
          <t>NA</t>
        </is>
      </c>
      <c r="U1314" s="6" t="inlineStr">
        <is>
          <t>JB Issue</t>
        </is>
      </c>
      <c r="V1314" s="1" t="inlineStr">
        <is>
          <t>Inspection</t>
        </is>
      </c>
      <c r="W1314" s="1" t="inlineStr">
        <is>
          <t>Repair</t>
        </is>
      </c>
      <c r="X1314" s="5" t="n">
        <v>46188</v>
      </c>
      <c r="Y1314" s="1">
        <f>IF(X1314="","",X1314-A1314)</f>
        <v/>
      </c>
      <c r="Z1314" s="5" t="n">
        <v>46188</v>
      </c>
      <c r="AA1314" s="3" t="n"/>
      <c r="AB1314" s="3" t="n"/>
      <c r="AE1314" s="146">
        <f>IF(AND(F1314="Closed",X1314&gt;=DATE(2026,6,1),X1314&lt;=DATE(2026,6,30)),"Closed in June","other")</f>
        <v/>
      </c>
    </row>
    <row r="1315" hidden="1">
      <c r="A1315" s="9" t="n">
        <v>46106</v>
      </c>
      <c r="B1315" s="1" t="n">
        <v>2026</v>
      </c>
      <c r="C1315" s="8" t="inlineStr">
        <is>
          <t>Asian Fab Tec Ltd</t>
        </is>
      </c>
      <c r="D1315" s="8" t="inlineStr">
        <is>
          <t>Utility and C&amp;I</t>
        </is>
      </c>
      <c r="E1315" s="1" t="n"/>
      <c r="F1315" s="1" t="inlineStr">
        <is>
          <t>Closed</t>
        </is>
      </c>
      <c r="G1315" s="8" t="inlineStr">
        <is>
          <t>Prakash Reddy</t>
        </is>
      </c>
      <c r="H1315" s="8" t="n">
        <v>9945239707</v>
      </c>
      <c r="I1315" s="26" t="inlineStr">
        <is>
          <t>PE25032602</t>
        </is>
      </c>
      <c r="J1315" s="42" t="inlineStr">
        <is>
          <t xml:space="preserve">Junction Box burnt </t>
        </is>
      </c>
      <c r="K1315" s="8" t="inlineStr">
        <is>
          <t>Bangalore</t>
        </is>
      </c>
      <c r="L1315" s="39" t="inlineStr">
        <is>
          <t>Karnataka</t>
        </is>
      </c>
      <c r="M1315" s="34" t="inlineStr">
        <is>
          <t>JB Replaced</t>
        </is>
      </c>
      <c r="N1315" s="6" t="inlineStr">
        <is>
          <t>JB Issue</t>
        </is>
      </c>
      <c r="O1315" s="8" t="inlineStr">
        <is>
          <t>NA</t>
        </is>
      </c>
      <c r="P1315" s="34" t="inlineStr">
        <is>
          <t>NSM191206449</t>
        </is>
      </c>
      <c r="Q1315" s="29">
        <f>MID(P1315,4,2)</f>
        <v/>
      </c>
      <c r="R1315" s="14">
        <f>MID(P1315,6,2)</f>
        <v/>
      </c>
      <c r="S1315" s="6" t="inlineStr">
        <is>
          <t>G2B</t>
        </is>
      </c>
      <c r="T1315" s="6" t="inlineStr">
        <is>
          <t>NA</t>
        </is>
      </c>
      <c r="U1315" s="6" t="inlineStr">
        <is>
          <t>JB Issue</t>
        </is>
      </c>
      <c r="V1315" s="1" t="inlineStr">
        <is>
          <t>Inspection</t>
        </is>
      </c>
      <c r="W1315" s="1" t="inlineStr">
        <is>
          <t>Repair</t>
        </is>
      </c>
      <c r="X1315" s="5" t="n">
        <v>46188</v>
      </c>
      <c r="Y1315" s="1">
        <f>IF(X1315="","",X1315-A1315)</f>
        <v/>
      </c>
      <c r="Z1315" s="5" t="n">
        <v>46188</v>
      </c>
      <c r="AA1315" s="3" t="n"/>
      <c r="AB1315" s="3" t="n"/>
      <c r="AE1315" s="146">
        <f>IF(AND(F1315="Closed",X1315&gt;=DATE(2026,6,1),X1315&lt;=DATE(2026,6,30)),"Closed in June","other")</f>
        <v/>
      </c>
    </row>
    <row r="1316" hidden="1">
      <c r="A1316" s="9" t="n">
        <v>46106</v>
      </c>
      <c r="B1316" s="1" t="n">
        <v>2026</v>
      </c>
      <c r="C1316" s="8" t="inlineStr">
        <is>
          <t>Asian Fab Tec Ltd</t>
        </is>
      </c>
      <c r="D1316" s="8" t="inlineStr">
        <is>
          <t>Utility and C&amp;I</t>
        </is>
      </c>
      <c r="E1316" s="1" t="n"/>
      <c r="F1316" s="1" t="inlineStr">
        <is>
          <t>Closed</t>
        </is>
      </c>
      <c r="G1316" s="8" t="inlineStr">
        <is>
          <t>Prakash Reddy</t>
        </is>
      </c>
      <c r="H1316" s="8" t="n">
        <v>9945239707</v>
      </c>
      <c r="I1316" s="26" t="inlineStr">
        <is>
          <t>PE25032602</t>
        </is>
      </c>
      <c r="J1316" s="42" t="inlineStr">
        <is>
          <t xml:space="preserve">Junction Box burnt </t>
        </is>
      </c>
      <c r="K1316" s="8" t="inlineStr">
        <is>
          <t>Bangalore</t>
        </is>
      </c>
      <c r="L1316" s="39" t="inlineStr">
        <is>
          <t>Karnataka</t>
        </is>
      </c>
      <c r="M1316" s="34" t="inlineStr">
        <is>
          <t>JB Replaced</t>
        </is>
      </c>
      <c r="N1316" s="6" t="inlineStr">
        <is>
          <t>JB Issue</t>
        </is>
      </c>
      <c r="O1316" s="8" t="inlineStr">
        <is>
          <t>NA</t>
        </is>
      </c>
      <c r="P1316" s="34" t="inlineStr">
        <is>
          <t>NSM191206219</t>
        </is>
      </c>
      <c r="Q1316" s="29">
        <f>MID(P1316,4,2)</f>
        <v/>
      </c>
      <c r="R1316" s="14">
        <f>MID(P1316,6,2)</f>
        <v/>
      </c>
      <c r="S1316" s="6" t="inlineStr">
        <is>
          <t>G2B</t>
        </is>
      </c>
      <c r="T1316" s="6" t="inlineStr">
        <is>
          <t>NA</t>
        </is>
      </c>
      <c r="U1316" s="6" t="inlineStr">
        <is>
          <t>JB Issue</t>
        </is>
      </c>
      <c r="V1316" s="1" t="inlineStr">
        <is>
          <t>Inspection</t>
        </is>
      </c>
      <c r="W1316" s="1" t="inlineStr">
        <is>
          <t>Repair</t>
        </is>
      </c>
      <c r="X1316" s="5" t="n">
        <v>46188</v>
      </c>
      <c r="Y1316" s="1">
        <f>IF(X1316="","",X1316-A1316)</f>
        <v/>
      </c>
      <c r="Z1316" s="5" t="n">
        <v>46188</v>
      </c>
      <c r="AA1316" s="3" t="n"/>
      <c r="AB1316" s="3" t="n"/>
      <c r="AE1316" s="146">
        <f>IF(AND(F1316="Closed",X1316&gt;=DATE(2026,6,1),X1316&lt;=DATE(2026,6,30)),"Closed in June","other")</f>
        <v/>
      </c>
    </row>
    <row r="1317" hidden="1">
      <c r="A1317" s="9" t="n">
        <v>46106</v>
      </c>
      <c r="B1317" s="1" t="n">
        <v>2026</v>
      </c>
      <c r="C1317" s="8" t="inlineStr">
        <is>
          <t>Asian Fab Tec Ltd</t>
        </is>
      </c>
      <c r="D1317" s="8" t="inlineStr">
        <is>
          <t>Utility and C&amp;I</t>
        </is>
      </c>
      <c r="E1317" s="1" t="n"/>
      <c r="F1317" s="1" t="inlineStr">
        <is>
          <t>Closed</t>
        </is>
      </c>
      <c r="G1317" s="8" t="inlineStr">
        <is>
          <t>Prakash Reddy</t>
        </is>
      </c>
      <c r="H1317" s="8" t="n">
        <v>9945239707</v>
      </c>
      <c r="I1317" s="26" t="inlineStr">
        <is>
          <t>PE25032602</t>
        </is>
      </c>
      <c r="J1317" s="42" t="inlineStr">
        <is>
          <t xml:space="preserve">Junction Box burnt </t>
        </is>
      </c>
      <c r="K1317" s="8" t="inlineStr">
        <is>
          <t>Bangalore</t>
        </is>
      </c>
      <c r="L1317" s="39" t="inlineStr">
        <is>
          <t>Karnataka</t>
        </is>
      </c>
      <c r="M1317" s="34" t="inlineStr">
        <is>
          <t>JB Replaced</t>
        </is>
      </c>
      <c r="N1317" s="6" t="inlineStr">
        <is>
          <t>JB Issue</t>
        </is>
      </c>
      <c r="O1317" s="8" t="inlineStr">
        <is>
          <t>NA</t>
        </is>
      </c>
      <c r="P1317" s="34" t="inlineStr">
        <is>
          <t>NSM191207650</t>
        </is>
      </c>
      <c r="Q1317" s="29">
        <f>MID(P1317,4,2)</f>
        <v/>
      </c>
      <c r="R1317" s="14">
        <f>MID(P1317,6,2)</f>
        <v/>
      </c>
      <c r="S1317" s="6" t="inlineStr">
        <is>
          <t>G2B</t>
        </is>
      </c>
      <c r="T1317" s="6" t="inlineStr">
        <is>
          <t>NA</t>
        </is>
      </c>
      <c r="U1317" s="6" t="inlineStr">
        <is>
          <t>JB Issue</t>
        </is>
      </c>
      <c r="V1317" s="1" t="inlineStr">
        <is>
          <t>Inspection</t>
        </is>
      </c>
      <c r="W1317" s="1" t="inlineStr">
        <is>
          <t>Repair</t>
        </is>
      </c>
      <c r="X1317" s="5" t="n">
        <v>46188</v>
      </c>
      <c r="Y1317" s="1">
        <f>IF(X1317="","",X1317-A1317)</f>
        <v/>
      </c>
      <c r="Z1317" s="5" t="n">
        <v>46188</v>
      </c>
      <c r="AA1317" s="3" t="n"/>
      <c r="AB1317" s="3" t="n"/>
      <c r="AE1317" s="146">
        <f>IF(AND(F1317="Closed",X1317&gt;=DATE(2026,6,1),X1317&lt;=DATE(2026,6,30)),"Closed in June","other")</f>
        <v/>
      </c>
    </row>
    <row r="1318" hidden="1">
      <c r="A1318" s="9" t="n">
        <v>46106</v>
      </c>
      <c r="B1318" s="1" t="n">
        <v>2026</v>
      </c>
      <c r="C1318" s="8" t="inlineStr">
        <is>
          <t>Asian Fab Tec Ltd</t>
        </is>
      </c>
      <c r="D1318" s="8" t="inlineStr">
        <is>
          <t>Utility and C&amp;I</t>
        </is>
      </c>
      <c r="E1318" s="1" t="n"/>
      <c r="F1318" s="1" t="inlineStr">
        <is>
          <t>Closed</t>
        </is>
      </c>
      <c r="G1318" s="8" t="inlineStr">
        <is>
          <t>Prakash Reddy</t>
        </is>
      </c>
      <c r="H1318" s="8" t="n">
        <v>9945239707</v>
      </c>
      <c r="I1318" s="26" t="inlineStr">
        <is>
          <t>PE25032602</t>
        </is>
      </c>
      <c r="J1318" s="42" t="inlineStr">
        <is>
          <t xml:space="preserve">Junction Box burnt </t>
        </is>
      </c>
      <c r="K1318" s="8" t="inlineStr">
        <is>
          <t>Bangalore</t>
        </is>
      </c>
      <c r="L1318" s="39" t="inlineStr">
        <is>
          <t>Karnataka</t>
        </is>
      </c>
      <c r="M1318" s="34" t="inlineStr">
        <is>
          <t>JB Replaced</t>
        </is>
      </c>
      <c r="N1318" s="6" t="inlineStr">
        <is>
          <t>JB Issue</t>
        </is>
      </c>
      <c r="O1318" s="8" t="inlineStr">
        <is>
          <t>NA</t>
        </is>
      </c>
      <c r="P1318" s="34" t="inlineStr">
        <is>
          <t>NSM191207692</t>
        </is>
      </c>
      <c r="Q1318" s="29">
        <f>MID(P1318,4,2)</f>
        <v/>
      </c>
      <c r="R1318" s="14">
        <f>MID(P1318,6,2)</f>
        <v/>
      </c>
      <c r="S1318" s="6" t="inlineStr">
        <is>
          <t>G2B</t>
        </is>
      </c>
      <c r="T1318" s="6" t="inlineStr">
        <is>
          <t>NA</t>
        </is>
      </c>
      <c r="U1318" s="6" t="inlineStr">
        <is>
          <t>JB Issue</t>
        </is>
      </c>
      <c r="V1318" s="1" t="inlineStr">
        <is>
          <t>Inspection</t>
        </is>
      </c>
      <c r="W1318" s="1" t="inlineStr">
        <is>
          <t>Repair</t>
        </is>
      </c>
      <c r="X1318" s="5" t="n">
        <v>46188</v>
      </c>
      <c r="Y1318" s="1">
        <f>IF(X1318="","",X1318-A1318)</f>
        <v/>
      </c>
      <c r="Z1318" s="5" t="n">
        <v>46188</v>
      </c>
      <c r="AA1318" s="3" t="n"/>
      <c r="AB1318" s="3" t="n"/>
      <c r="AE1318" s="146">
        <f>IF(AND(F1318="Closed",X1318&gt;=DATE(2026,6,1),X1318&lt;=DATE(2026,6,30)),"Closed in June","other")</f>
        <v/>
      </c>
    </row>
    <row r="1319" hidden="1">
      <c r="A1319" s="9" t="n">
        <v>46106</v>
      </c>
      <c r="B1319" s="1" t="n">
        <v>2026</v>
      </c>
      <c r="C1319" s="8" t="inlineStr">
        <is>
          <t>Asian Fab Tec Ltd</t>
        </is>
      </c>
      <c r="D1319" s="8" t="inlineStr">
        <is>
          <t>Utility and C&amp;I</t>
        </is>
      </c>
      <c r="E1319" s="1" t="n"/>
      <c r="F1319" s="1" t="inlineStr">
        <is>
          <t>Closed</t>
        </is>
      </c>
      <c r="G1319" s="8" t="inlineStr">
        <is>
          <t>Prakash Reddy</t>
        </is>
      </c>
      <c r="H1319" s="8" t="n">
        <v>9945239707</v>
      </c>
      <c r="I1319" s="26" t="inlineStr">
        <is>
          <t>PE25032602</t>
        </is>
      </c>
      <c r="J1319" s="42" t="inlineStr">
        <is>
          <t xml:space="preserve">Junction Box burnt </t>
        </is>
      </c>
      <c r="K1319" s="8" t="inlineStr">
        <is>
          <t>Bangalore</t>
        </is>
      </c>
      <c r="L1319" s="39" t="inlineStr">
        <is>
          <t>Karnataka</t>
        </is>
      </c>
      <c r="M1319" s="34" t="inlineStr">
        <is>
          <t>JB Replaced</t>
        </is>
      </c>
      <c r="N1319" s="6" t="inlineStr">
        <is>
          <t>JB Issue</t>
        </is>
      </c>
      <c r="O1319" s="8" t="inlineStr">
        <is>
          <t>NA</t>
        </is>
      </c>
      <c r="P1319" s="34" t="inlineStr">
        <is>
          <t>NSM191207485</t>
        </is>
      </c>
      <c r="Q1319" s="29">
        <f>MID(P1319,4,2)</f>
        <v/>
      </c>
      <c r="R1319" s="14">
        <f>MID(P1319,6,2)</f>
        <v/>
      </c>
      <c r="S1319" s="6" t="inlineStr">
        <is>
          <t>G2B</t>
        </is>
      </c>
      <c r="T1319" s="6" t="inlineStr">
        <is>
          <t>NA</t>
        </is>
      </c>
      <c r="U1319" s="6" t="inlineStr">
        <is>
          <t>JB Issue</t>
        </is>
      </c>
      <c r="V1319" s="1" t="inlineStr">
        <is>
          <t>Inspection</t>
        </is>
      </c>
      <c r="W1319" s="1" t="inlineStr">
        <is>
          <t>Repair</t>
        </is>
      </c>
      <c r="X1319" s="5" t="n">
        <v>46188</v>
      </c>
      <c r="Y1319" s="1">
        <f>IF(X1319="","",X1319-A1319)</f>
        <v/>
      </c>
      <c r="Z1319" s="5" t="n">
        <v>46188</v>
      </c>
      <c r="AA1319" s="3" t="n"/>
      <c r="AB1319" s="3" t="n"/>
      <c r="AE1319" s="146">
        <f>IF(AND(F1319="Closed",X1319&gt;=DATE(2026,6,1),X1319&lt;=DATE(2026,6,30)),"Closed in June","other")</f>
        <v/>
      </c>
    </row>
    <row r="1320" hidden="1">
      <c r="A1320" s="9" t="n">
        <v>46161</v>
      </c>
      <c r="B1320" s="1" t="n">
        <v>2026</v>
      </c>
      <c r="C1320" s="8" t="inlineStr">
        <is>
          <t>Continuum</t>
        </is>
      </c>
      <c r="D1320" s="11" t="inlineStr">
        <is>
          <t>Utility and C&amp;I</t>
        </is>
      </c>
      <c r="E1320" s="1" t="n"/>
      <c r="F1320" s="1" t="inlineStr">
        <is>
          <t>Closed</t>
        </is>
      </c>
      <c r="G1320" s="50" t="inlineStr">
        <is>
          <t>Mr. Harendresinh Jadeja</t>
        </is>
      </c>
      <c r="H1320" s="8" t="n">
        <v>9825182102</v>
      </c>
      <c r="I1320" s="10" t="inlineStr">
        <is>
          <t>PE19052601</t>
        </is>
      </c>
      <c r="J1320" s="8" t="inlineStr">
        <is>
          <t xml:space="preserve">Diode failure </t>
        </is>
      </c>
      <c r="K1320" s="8" t="inlineStr">
        <is>
          <t>Nakhatrana</t>
        </is>
      </c>
      <c r="L1320" s="8" t="inlineStr">
        <is>
          <t>Gujarat</t>
        </is>
      </c>
      <c r="M1320" s="2" t="inlineStr">
        <is>
          <t>NS</t>
        </is>
      </c>
      <c r="N1320" s="8" t="inlineStr">
        <is>
          <t>Cold Soldering</t>
        </is>
      </c>
      <c r="O1320" s="51" t="n">
        <v>580</v>
      </c>
      <c r="P1320" s="2" t="inlineStr">
        <is>
          <t>NSMI25011265145</t>
        </is>
      </c>
      <c r="Q1320" s="29">
        <f>MID(P1320,5,2)</f>
        <v/>
      </c>
      <c r="R1320" s="14">
        <f>MID(P1320,7,2)</f>
        <v/>
      </c>
      <c r="S1320" s="1" t="inlineStr">
        <is>
          <t>G2G</t>
        </is>
      </c>
      <c r="T1320" s="1" t="inlineStr">
        <is>
          <t>P4 - PEIPL</t>
        </is>
      </c>
      <c r="U1320" s="6" t="inlineStr">
        <is>
          <t>N JB Cold Soldering</t>
        </is>
      </c>
      <c r="V1320" s="1" t="inlineStr">
        <is>
          <t>Inspection</t>
        </is>
      </c>
      <c r="W1320" s="1" t="inlineStr">
        <is>
          <t>Repair</t>
        </is>
      </c>
      <c r="X1320" s="5" t="n">
        <v>46189</v>
      </c>
      <c r="Y1320" s="1">
        <f>IF(X1320="","",X1320-A1320)</f>
        <v/>
      </c>
      <c r="Z1320" s="5" t="n">
        <v>46189</v>
      </c>
      <c r="AA1320" s="3" t="n"/>
      <c r="AB1320" s="3" t="n"/>
      <c r="AE1320" s="146">
        <f>IF(AND(F1320="Closed",X1320&gt;=DATE(2026,6,1),X1320&lt;=DATE(2026,6,30)),"Closed in June","other")</f>
        <v/>
      </c>
    </row>
    <row r="1321" hidden="1">
      <c r="A1321" s="9" t="n">
        <v>46161</v>
      </c>
      <c r="B1321" s="1" t="n">
        <v>2026</v>
      </c>
      <c r="C1321" s="8" t="inlineStr">
        <is>
          <t>Continuum</t>
        </is>
      </c>
      <c r="D1321" s="11" t="inlineStr">
        <is>
          <t>Utility and C&amp;I</t>
        </is>
      </c>
      <c r="E1321" s="1" t="n"/>
      <c r="F1321" s="1" t="inlineStr">
        <is>
          <t>Closed</t>
        </is>
      </c>
      <c r="G1321" s="50" t="inlineStr">
        <is>
          <t>Mr. Harendresinh Jadeja</t>
        </is>
      </c>
      <c r="H1321" s="8" t="n">
        <v>9825182102</v>
      </c>
      <c r="I1321" s="10" t="inlineStr">
        <is>
          <t>PE19052601</t>
        </is>
      </c>
      <c r="J1321" s="8" t="inlineStr">
        <is>
          <t xml:space="preserve">Diode failure </t>
        </is>
      </c>
      <c r="K1321" s="8" t="inlineStr">
        <is>
          <t>Nakhatrana</t>
        </is>
      </c>
      <c r="L1321" s="8" t="inlineStr">
        <is>
          <t>Gujarat</t>
        </is>
      </c>
      <c r="M1321" s="2" t="inlineStr">
        <is>
          <t>NS</t>
        </is>
      </c>
      <c r="N1321" s="8" t="inlineStr">
        <is>
          <t>Cold Soldering</t>
        </is>
      </c>
      <c r="O1321" s="51" t="n">
        <v>580</v>
      </c>
      <c r="P1321" s="2" t="inlineStr">
        <is>
          <t>NSMI25011275994</t>
        </is>
      </c>
      <c r="Q1321" s="29">
        <f>MID(P1321,5,2)</f>
        <v/>
      </c>
      <c r="R1321" s="14">
        <f>MID(P1321,7,2)</f>
        <v/>
      </c>
      <c r="S1321" s="1" t="inlineStr">
        <is>
          <t>G2G</t>
        </is>
      </c>
      <c r="T1321" s="1" t="inlineStr">
        <is>
          <t>P4 - PEIPL</t>
        </is>
      </c>
      <c r="U1321" s="6" t="inlineStr">
        <is>
          <t>N JB Cold Soldering</t>
        </is>
      </c>
      <c r="V1321" s="1" t="inlineStr">
        <is>
          <t>Inspection</t>
        </is>
      </c>
      <c r="W1321" s="1" t="inlineStr">
        <is>
          <t>Repair</t>
        </is>
      </c>
      <c r="X1321" s="5" t="n">
        <v>46189</v>
      </c>
      <c r="Y1321" s="1">
        <f>IF(X1321="","",X1321-A1321)</f>
        <v/>
      </c>
      <c r="Z1321" s="5" t="n">
        <v>46189</v>
      </c>
      <c r="AA1321" s="3" t="n"/>
      <c r="AB1321" s="3" t="n"/>
      <c r="AE1321" s="146">
        <f>IF(AND(F1321="Closed",X1321&gt;=DATE(2026,6,1),X1321&lt;=DATE(2026,6,30)),"Closed in June","other")</f>
        <v/>
      </c>
    </row>
    <row r="1322" hidden="1">
      <c r="A1322" s="9" t="n">
        <v>46161</v>
      </c>
      <c r="B1322" s="1" t="n">
        <v>2026</v>
      </c>
      <c r="C1322" s="8" t="inlineStr">
        <is>
          <t>Continuum</t>
        </is>
      </c>
      <c r="D1322" s="11" t="inlineStr">
        <is>
          <t>Utility and C&amp;I</t>
        </is>
      </c>
      <c r="E1322" s="1" t="n"/>
      <c r="F1322" s="1" t="inlineStr">
        <is>
          <t>Closed</t>
        </is>
      </c>
      <c r="G1322" s="50" t="inlineStr">
        <is>
          <t>Mr. Harendresinh Jadeja</t>
        </is>
      </c>
      <c r="H1322" s="8" t="n">
        <v>9825182102</v>
      </c>
      <c r="I1322" s="10" t="inlineStr">
        <is>
          <t>PE19052601</t>
        </is>
      </c>
      <c r="J1322" s="8" t="inlineStr">
        <is>
          <t xml:space="preserve">Diode failure </t>
        </is>
      </c>
      <c r="K1322" s="8" t="inlineStr">
        <is>
          <t>Nakhatrana</t>
        </is>
      </c>
      <c r="L1322" s="8" t="inlineStr">
        <is>
          <t>Gujarat</t>
        </is>
      </c>
      <c r="M1322" s="2" t="inlineStr">
        <is>
          <t>PR</t>
        </is>
      </c>
      <c r="N1322" s="1" t="inlineStr">
        <is>
          <t>JB Issue</t>
        </is>
      </c>
      <c r="O1322" s="51" t="n">
        <v>580</v>
      </c>
      <c r="P1322" s="2" t="inlineStr">
        <is>
          <t>NSMI25011262203</t>
        </is>
      </c>
      <c r="Q1322" s="29">
        <f>MID(P1322,5,2)</f>
        <v/>
      </c>
      <c r="R1322" s="14">
        <f>MID(P1322,7,2)</f>
        <v/>
      </c>
      <c r="S1322" s="1" t="inlineStr">
        <is>
          <t>G2G</t>
        </is>
      </c>
      <c r="T1322" s="1" t="inlineStr">
        <is>
          <t>P4 - PEIPL</t>
        </is>
      </c>
      <c r="U1322" s="6" t="inlineStr">
        <is>
          <t>P JB Issue</t>
        </is>
      </c>
      <c r="V1322" s="1" t="inlineStr">
        <is>
          <t>Inspection</t>
        </is>
      </c>
      <c r="W1322" s="1" t="inlineStr">
        <is>
          <t>Repair</t>
        </is>
      </c>
      <c r="X1322" s="5" t="n">
        <v>46189</v>
      </c>
      <c r="Y1322" s="1">
        <f>IF(X1322="","",X1322-A1322)</f>
        <v/>
      </c>
      <c r="Z1322" s="5" t="n">
        <v>46189</v>
      </c>
      <c r="AA1322" s="3" t="n"/>
      <c r="AB1322" s="3" t="n"/>
      <c r="AE1322" s="146">
        <f>IF(AND(F1322="Closed",X1322&gt;=DATE(2026,6,1),X1322&lt;=DATE(2026,6,30)),"Closed in June","other")</f>
        <v/>
      </c>
    </row>
    <row r="1323" hidden="1">
      <c r="A1323" s="9" t="n">
        <v>46161</v>
      </c>
      <c r="B1323" s="1" t="n">
        <v>2026</v>
      </c>
      <c r="C1323" s="8" t="inlineStr">
        <is>
          <t>Continuum</t>
        </is>
      </c>
      <c r="D1323" s="11" t="inlineStr">
        <is>
          <t>Utility and C&amp;I</t>
        </is>
      </c>
      <c r="E1323" s="1" t="n"/>
      <c r="F1323" s="1" t="inlineStr">
        <is>
          <t>Closed</t>
        </is>
      </c>
      <c r="G1323" s="50" t="inlineStr">
        <is>
          <t>Mr. Harendresinh Jadeja</t>
        </is>
      </c>
      <c r="H1323" s="8" t="n">
        <v>9825182102</v>
      </c>
      <c r="I1323" s="10" t="inlineStr">
        <is>
          <t>PE19052601</t>
        </is>
      </c>
      <c r="J1323" s="8" t="inlineStr">
        <is>
          <t xml:space="preserve">Diode failure </t>
        </is>
      </c>
      <c r="K1323" s="8" t="inlineStr">
        <is>
          <t>Nakhatrana</t>
        </is>
      </c>
      <c r="L1323" s="8" t="inlineStr">
        <is>
          <t>Gujarat</t>
        </is>
      </c>
      <c r="M1323" s="2" t="inlineStr">
        <is>
          <t>PS</t>
        </is>
      </c>
      <c r="N1323" s="1" t="inlineStr">
        <is>
          <t>Cold Soldering</t>
        </is>
      </c>
      <c r="O1323" s="51" t="n">
        <v>580</v>
      </c>
      <c r="P1323" s="2" t="inlineStr">
        <is>
          <t>NSMI25011292531</t>
        </is>
      </c>
      <c r="Q1323" s="29">
        <f>MID(P1323,5,2)</f>
        <v/>
      </c>
      <c r="R1323" s="14">
        <f>MID(P1323,7,2)</f>
        <v/>
      </c>
      <c r="S1323" s="1" t="inlineStr">
        <is>
          <t>G2G</t>
        </is>
      </c>
      <c r="T1323" s="1" t="inlineStr">
        <is>
          <t>P4 - PEIPL</t>
        </is>
      </c>
      <c r="U1323" s="1" t="inlineStr">
        <is>
          <t>P JB Cold Soldering</t>
        </is>
      </c>
      <c r="V1323" s="1" t="inlineStr">
        <is>
          <t>Inspection</t>
        </is>
      </c>
      <c r="W1323" s="1" t="inlineStr">
        <is>
          <t>Repair</t>
        </is>
      </c>
      <c r="X1323" s="5" t="n">
        <v>46189</v>
      </c>
      <c r="Y1323" s="1">
        <f>IF(X1323="","",X1323-A1323)</f>
        <v/>
      </c>
      <c r="Z1323" s="5" t="n">
        <v>46189</v>
      </c>
      <c r="AA1323" s="3" t="n"/>
      <c r="AB1323" s="3" t="n"/>
      <c r="AE1323" s="146">
        <f>IF(AND(F1323="Closed",X1323&gt;=DATE(2026,6,1),X1323&lt;=DATE(2026,6,30)),"Closed in June","other")</f>
        <v/>
      </c>
    </row>
    <row r="1324" hidden="1">
      <c r="A1324" s="9" t="n">
        <v>46161</v>
      </c>
      <c r="B1324" s="1" t="n">
        <v>2026</v>
      </c>
      <c r="C1324" s="8" t="inlineStr">
        <is>
          <t>Continuum</t>
        </is>
      </c>
      <c r="D1324" s="11" t="inlineStr">
        <is>
          <t>Utility and C&amp;I</t>
        </is>
      </c>
      <c r="E1324" s="1" t="n"/>
      <c r="F1324" s="1" t="inlineStr">
        <is>
          <t>Closed</t>
        </is>
      </c>
      <c r="G1324" s="50" t="inlineStr">
        <is>
          <t>Mr. Harendresinh Jadeja</t>
        </is>
      </c>
      <c r="H1324" s="8" t="n">
        <v>9825182102</v>
      </c>
      <c r="I1324" s="10" t="inlineStr">
        <is>
          <t>PE19052601</t>
        </is>
      </c>
      <c r="J1324" s="8" t="inlineStr">
        <is>
          <t xml:space="preserve">Diode failure </t>
        </is>
      </c>
      <c r="K1324" s="8" t="inlineStr">
        <is>
          <t>Nakhatrana</t>
        </is>
      </c>
      <c r="L1324" s="8" t="inlineStr">
        <is>
          <t>Gujarat</t>
        </is>
      </c>
      <c r="M1324" s="2" t="inlineStr">
        <is>
          <t>PS</t>
        </is>
      </c>
      <c r="N1324" s="1" t="inlineStr">
        <is>
          <t>Cold Soldering</t>
        </is>
      </c>
      <c r="O1324" s="51" t="n">
        <v>580</v>
      </c>
      <c r="P1324" s="2" t="inlineStr">
        <is>
          <t>NSMI25011292228</t>
        </is>
      </c>
      <c r="Q1324" s="29">
        <f>MID(P1324,5,2)</f>
        <v/>
      </c>
      <c r="R1324" s="14">
        <f>MID(P1324,7,2)</f>
        <v/>
      </c>
      <c r="S1324" s="1" t="inlineStr">
        <is>
          <t>G2G</t>
        </is>
      </c>
      <c r="T1324" s="1" t="inlineStr">
        <is>
          <t>P4 - PEIPL</t>
        </is>
      </c>
      <c r="U1324" s="1" t="inlineStr">
        <is>
          <t>P JB Cold Soldering</t>
        </is>
      </c>
      <c r="V1324" s="1" t="inlineStr">
        <is>
          <t>Inspection</t>
        </is>
      </c>
      <c r="W1324" s="1" t="inlineStr">
        <is>
          <t>Repair</t>
        </is>
      </c>
      <c r="X1324" s="5" t="n">
        <v>46189</v>
      </c>
      <c r="Y1324" s="1">
        <f>IF(X1324="","",X1324-A1324)</f>
        <v/>
      </c>
      <c r="Z1324" s="5" t="n">
        <v>46189</v>
      </c>
      <c r="AA1324" s="3" t="n"/>
      <c r="AB1324" s="3" t="n"/>
      <c r="AE1324" s="146">
        <f>IF(AND(F1324="Closed",X1324&gt;=DATE(2026,6,1),X1324&lt;=DATE(2026,6,30)),"Closed in June","other")</f>
        <v/>
      </c>
    </row>
    <row r="1325" hidden="1">
      <c r="A1325" s="9" t="n">
        <v>46161</v>
      </c>
      <c r="B1325" s="1" t="n">
        <v>2026</v>
      </c>
      <c r="C1325" s="8" t="inlineStr">
        <is>
          <t>Continuum</t>
        </is>
      </c>
      <c r="D1325" s="11" t="inlineStr">
        <is>
          <t>Utility and C&amp;I</t>
        </is>
      </c>
      <c r="E1325" s="1" t="n"/>
      <c r="F1325" s="1" t="inlineStr">
        <is>
          <t>Closed</t>
        </is>
      </c>
      <c r="G1325" s="50" t="inlineStr">
        <is>
          <t>Mr. Harendresinh Jadeja</t>
        </is>
      </c>
      <c r="H1325" s="8" t="n">
        <v>9825182102</v>
      </c>
      <c r="I1325" s="10" t="inlineStr">
        <is>
          <t>PE19052601</t>
        </is>
      </c>
      <c r="J1325" s="8" t="inlineStr">
        <is>
          <t xml:space="preserve">Diode failure </t>
        </is>
      </c>
      <c r="K1325" s="8" t="inlineStr">
        <is>
          <t>Nakhatrana</t>
        </is>
      </c>
      <c r="L1325" s="8" t="inlineStr">
        <is>
          <t>Gujarat</t>
        </is>
      </c>
      <c r="M1325" s="2" t="inlineStr">
        <is>
          <t>NS</t>
        </is>
      </c>
      <c r="N1325" s="8" t="inlineStr">
        <is>
          <t>Cold Soldering</t>
        </is>
      </c>
      <c r="O1325" s="51" t="n">
        <v>580</v>
      </c>
      <c r="P1325" s="2" t="inlineStr">
        <is>
          <t>NSMI25011273158</t>
        </is>
      </c>
      <c r="Q1325" s="29">
        <f>MID(P1325,5,2)</f>
        <v/>
      </c>
      <c r="R1325" s="14">
        <f>MID(P1325,7,2)</f>
        <v/>
      </c>
      <c r="S1325" s="1" t="inlineStr">
        <is>
          <t>G2G</t>
        </is>
      </c>
      <c r="T1325" s="1" t="inlineStr">
        <is>
          <t>P4 - PEIPL</t>
        </is>
      </c>
      <c r="U1325" s="6" t="inlineStr">
        <is>
          <t>N JB Cold Soldering</t>
        </is>
      </c>
      <c r="V1325" s="1" t="inlineStr">
        <is>
          <t>Inspection</t>
        </is>
      </c>
      <c r="W1325" s="1" t="inlineStr">
        <is>
          <t>Repair</t>
        </is>
      </c>
      <c r="X1325" s="5" t="n">
        <v>46189</v>
      </c>
      <c r="Y1325" s="1">
        <f>IF(X1325="","",X1325-A1325)</f>
        <v/>
      </c>
      <c r="Z1325" s="5" t="n">
        <v>46189</v>
      </c>
      <c r="AA1325" s="3" t="n"/>
      <c r="AB1325" s="3" t="n"/>
      <c r="AE1325" s="146">
        <f>IF(AND(F1325="Closed",X1325&gt;=DATE(2026,6,1),X1325&lt;=DATE(2026,6,30)),"Closed in June","other")</f>
        <v/>
      </c>
    </row>
    <row r="1326" hidden="1">
      <c r="A1326" s="9" t="n">
        <v>46161</v>
      </c>
      <c r="B1326" s="1" t="n">
        <v>2026</v>
      </c>
      <c r="C1326" s="8" t="inlineStr">
        <is>
          <t>Continuum</t>
        </is>
      </c>
      <c r="D1326" s="11" t="inlineStr">
        <is>
          <t>Utility and C&amp;I</t>
        </is>
      </c>
      <c r="E1326" s="1" t="n"/>
      <c r="F1326" s="1" t="inlineStr">
        <is>
          <t>Closed</t>
        </is>
      </c>
      <c r="G1326" s="50" t="inlineStr">
        <is>
          <t>Mr. Harendresinh Jadeja</t>
        </is>
      </c>
      <c r="H1326" s="8" t="n">
        <v>9825182102</v>
      </c>
      <c r="I1326" s="10" t="inlineStr">
        <is>
          <t>PE19052601</t>
        </is>
      </c>
      <c r="J1326" s="8" t="inlineStr">
        <is>
          <t xml:space="preserve">Diode failure </t>
        </is>
      </c>
      <c r="K1326" s="8" t="inlineStr">
        <is>
          <t>Nakhatrana</t>
        </is>
      </c>
      <c r="L1326" s="8" t="inlineStr">
        <is>
          <t>Gujarat</t>
        </is>
      </c>
      <c r="M1326" s="2" t="inlineStr">
        <is>
          <t>NS</t>
        </is>
      </c>
      <c r="N1326" s="8" t="inlineStr">
        <is>
          <t>Cold Soldering</t>
        </is>
      </c>
      <c r="O1326" s="51" t="n">
        <v>580</v>
      </c>
      <c r="P1326" s="2" t="inlineStr">
        <is>
          <t>NSMI25011272913</t>
        </is>
      </c>
      <c r="Q1326" s="29">
        <f>MID(P1326,5,2)</f>
        <v/>
      </c>
      <c r="R1326" s="14">
        <f>MID(P1326,7,2)</f>
        <v/>
      </c>
      <c r="S1326" s="1" t="inlineStr">
        <is>
          <t>G2G</t>
        </is>
      </c>
      <c r="T1326" s="1" t="inlineStr">
        <is>
          <t>P4 - PEIPL</t>
        </is>
      </c>
      <c r="U1326" s="6" t="inlineStr">
        <is>
          <t>N JB Cold Soldering</t>
        </is>
      </c>
      <c r="V1326" s="1" t="inlineStr">
        <is>
          <t>Inspection</t>
        </is>
      </c>
      <c r="W1326" s="1" t="inlineStr">
        <is>
          <t>Repair</t>
        </is>
      </c>
      <c r="X1326" s="5" t="n">
        <v>46189</v>
      </c>
      <c r="Y1326" s="1">
        <f>IF(X1326="","",X1326-A1326)</f>
        <v/>
      </c>
      <c r="Z1326" s="5" t="n">
        <v>46189</v>
      </c>
      <c r="AA1326" s="3" t="n"/>
      <c r="AB1326" s="3" t="n"/>
      <c r="AE1326" s="146">
        <f>IF(AND(F1326="Closed",X1326&gt;=DATE(2026,6,1),X1326&lt;=DATE(2026,6,30)),"Closed in June","other")</f>
        <v/>
      </c>
    </row>
    <row r="1327" hidden="1">
      <c r="A1327" s="9" t="n">
        <v>46161</v>
      </c>
      <c r="B1327" s="1" t="n">
        <v>2026</v>
      </c>
      <c r="C1327" s="8" t="inlineStr">
        <is>
          <t>Continuum</t>
        </is>
      </c>
      <c r="D1327" s="11" t="inlineStr">
        <is>
          <t>Utility and C&amp;I</t>
        </is>
      </c>
      <c r="E1327" s="1" t="n"/>
      <c r="F1327" s="1" t="inlineStr">
        <is>
          <t>Closed</t>
        </is>
      </c>
      <c r="G1327" s="50" t="inlineStr">
        <is>
          <t>Mr. Harendresinh Jadeja</t>
        </is>
      </c>
      <c r="H1327" s="8" t="n">
        <v>9825182102</v>
      </c>
      <c r="I1327" s="10" t="inlineStr">
        <is>
          <t>PE19052601</t>
        </is>
      </c>
      <c r="J1327" s="8" t="inlineStr">
        <is>
          <t xml:space="preserve">Diode failure </t>
        </is>
      </c>
      <c r="K1327" s="8" t="inlineStr">
        <is>
          <t>Nakhatrana</t>
        </is>
      </c>
      <c r="L1327" s="8" t="inlineStr">
        <is>
          <t>Gujarat</t>
        </is>
      </c>
      <c r="M1327" s="2" t="inlineStr">
        <is>
          <t>NS</t>
        </is>
      </c>
      <c r="N1327" s="8" t="inlineStr">
        <is>
          <t>Cold Soldering</t>
        </is>
      </c>
      <c r="O1327" s="51" t="n">
        <v>580</v>
      </c>
      <c r="P1327" s="2" t="inlineStr">
        <is>
          <t>NSMI25011265833</t>
        </is>
      </c>
      <c r="Q1327" s="29">
        <f>MID(P1327,5,2)</f>
        <v/>
      </c>
      <c r="R1327" s="14">
        <f>MID(P1327,7,2)</f>
        <v/>
      </c>
      <c r="S1327" s="1" t="inlineStr">
        <is>
          <t>G2G</t>
        </is>
      </c>
      <c r="T1327" s="1" t="inlineStr">
        <is>
          <t>P4 - PEIPL</t>
        </is>
      </c>
      <c r="U1327" s="6" t="inlineStr">
        <is>
          <t>N JB Cold Soldering</t>
        </is>
      </c>
      <c r="V1327" s="1" t="inlineStr">
        <is>
          <t>Inspection</t>
        </is>
      </c>
      <c r="W1327" s="1" t="inlineStr">
        <is>
          <t>Repair</t>
        </is>
      </c>
      <c r="X1327" s="5" t="n">
        <v>46189</v>
      </c>
      <c r="Y1327" s="1">
        <f>IF(X1327="","",X1327-A1327)</f>
        <v/>
      </c>
      <c r="Z1327" s="5" t="n">
        <v>46189</v>
      </c>
      <c r="AA1327" s="3" t="n"/>
      <c r="AB1327" s="3" t="n"/>
      <c r="AE1327" s="146">
        <f>IF(AND(F1327="Closed",X1327&gt;=DATE(2026,6,1),X1327&lt;=DATE(2026,6,30)),"Closed in June","other")</f>
        <v/>
      </c>
    </row>
    <row r="1328" hidden="1">
      <c r="A1328" s="9" t="n">
        <v>46161</v>
      </c>
      <c r="B1328" s="1" t="n">
        <v>2026</v>
      </c>
      <c r="C1328" s="8" t="inlineStr">
        <is>
          <t>Continuum</t>
        </is>
      </c>
      <c r="D1328" s="11" t="inlineStr">
        <is>
          <t>Utility and C&amp;I</t>
        </is>
      </c>
      <c r="E1328" s="1" t="n"/>
      <c r="F1328" s="1" t="inlineStr">
        <is>
          <t>Closed</t>
        </is>
      </c>
      <c r="G1328" s="50" t="inlineStr">
        <is>
          <t>Mr. Harendresinh Jadeja</t>
        </is>
      </c>
      <c r="H1328" s="8" t="n">
        <v>9825182102</v>
      </c>
      <c r="I1328" s="10" t="inlineStr">
        <is>
          <t>PE19052601</t>
        </is>
      </c>
      <c r="J1328" s="8" t="inlineStr">
        <is>
          <t xml:space="preserve">Diode failure </t>
        </is>
      </c>
      <c r="K1328" s="8" t="inlineStr">
        <is>
          <t>Nakhatrana</t>
        </is>
      </c>
      <c r="L1328" s="8" t="inlineStr">
        <is>
          <t>Gujarat</t>
        </is>
      </c>
      <c r="M1328" s="2" t="inlineStr">
        <is>
          <t>NS</t>
        </is>
      </c>
      <c r="N1328" s="8" t="inlineStr">
        <is>
          <t>Cold Soldering</t>
        </is>
      </c>
      <c r="O1328" s="51" t="n">
        <v>580</v>
      </c>
      <c r="P1328" s="2" t="inlineStr">
        <is>
          <t>NSMI25011272491</t>
        </is>
      </c>
      <c r="Q1328" s="29">
        <f>MID(P1328,5,2)</f>
        <v/>
      </c>
      <c r="R1328" s="14">
        <f>MID(P1328,7,2)</f>
        <v/>
      </c>
      <c r="S1328" s="1" t="inlineStr">
        <is>
          <t>G2G</t>
        </is>
      </c>
      <c r="T1328" s="1" t="inlineStr">
        <is>
          <t>P4 - PEIPL</t>
        </is>
      </c>
      <c r="U1328" s="6" t="inlineStr">
        <is>
          <t>N JB Cold Soldering</t>
        </is>
      </c>
      <c r="V1328" s="1" t="inlineStr">
        <is>
          <t>Inspection</t>
        </is>
      </c>
      <c r="W1328" s="1" t="inlineStr">
        <is>
          <t>Repair</t>
        </is>
      </c>
      <c r="X1328" s="5" t="n">
        <v>46189</v>
      </c>
      <c r="Y1328" s="1">
        <f>IF(X1328="","",X1328-A1328)</f>
        <v/>
      </c>
      <c r="Z1328" s="5" t="n">
        <v>46189</v>
      </c>
      <c r="AA1328" s="3" t="n"/>
      <c r="AB1328" s="3" t="n"/>
      <c r="AE1328" s="146">
        <f>IF(AND(F1328="Closed",X1328&gt;=DATE(2026,6,1),X1328&lt;=DATE(2026,6,30)),"Closed in June","other")</f>
        <v/>
      </c>
    </row>
    <row r="1329" hidden="1">
      <c r="A1329" s="9" t="n">
        <v>46161</v>
      </c>
      <c r="B1329" s="1" t="n">
        <v>2026</v>
      </c>
      <c r="C1329" s="8" t="inlineStr">
        <is>
          <t>Continuum</t>
        </is>
      </c>
      <c r="D1329" s="11" t="inlineStr">
        <is>
          <t>Utility and C&amp;I</t>
        </is>
      </c>
      <c r="E1329" s="1" t="n"/>
      <c r="F1329" s="1" t="inlineStr">
        <is>
          <t>Closed</t>
        </is>
      </c>
      <c r="G1329" s="50" t="inlineStr">
        <is>
          <t>Mr. Harendresinh Jadeja</t>
        </is>
      </c>
      <c r="H1329" s="8" t="n">
        <v>9825182102</v>
      </c>
      <c r="I1329" s="10" t="inlineStr">
        <is>
          <t>PE19052601</t>
        </is>
      </c>
      <c r="J1329" s="8" t="inlineStr">
        <is>
          <t xml:space="preserve">Diode failure </t>
        </is>
      </c>
      <c r="K1329" s="8" t="inlineStr">
        <is>
          <t>Nakhatrana</t>
        </is>
      </c>
      <c r="L1329" s="8" t="inlineStr">
        <is>
          <t>Gujarat</t>
        </is>
      </c>
      <c r="M1329" s="2" t="inlineStr">
        <is>
          <t>PS</t>
        </is>
      </c>
      <c r="N1329" s="1" t="inlineStr">
        <is>
          <t>Cold Soldering</t>
        </is>
      </c>
      <c r="O1329" s="51" t="n">
        <v>580</v>
      </c>
      <c r="P1329" s="2" t="inlineStr">
        <is>
          <t>NSMI25011277473</t>
        </is>
      </c>
      <c r="Q1329" s="29">
        <f>MID(P1329,5,2)</f>
        <v/>
      </c>
      <c r="R1329" s="14">
        <f>MID(P1329,7,2)</f>
        <v/>
      </c>
      <c r="S1329" s="1" t="inlineStr">
        <is>
          <t>G2G</t>
        </is>
      </c>
      <c r="T1329" s="1" t="inlineStr">
        <is>
          <t>P4 - PEIPL</t>
        </is>
      </c>
      <c r="U1329" s="1" t="inlineStr">
        <is>
          <t>P JB Cold Soldering</t>
        </is>
      </c>
      <c r="V1329" s="1" t="inlineStr">
        <is>
          <t>Inspection</t>
        </is>
      </c>
      <c r="W1329" s="1" t="inlineStr">
        <is>
          <t>Repair</t>
        </is>
      </c>
      <c r="X1329" s="5" t="n">
        <v>46189</v>
      </c>
      <c r="Y1329" s="1">
        <f>IF(X1329="","",X1329-A1329)</f>
        <v/>
      </c>
      <c r="Z1329" s="5" t="n">
        <v>46189</v>
      </c>
      <c r="AA1329" s="3" t="n"/>
      <c r="AB1329" s="3" t="n"/>
      <c r="AE1329" s="146">
        <f>IF(AND(F1329="Closed",X1329&gt;=DATE(2026,6,1),X1329&lt;=DATE(2026,6,30)),"Closed in June","other")</f>
        <v/>
      </c>
    </row>
    <row r="1330" hidden="1">
      <c r="A1330" s="9" t="n">
        <v>46161</v>
      </c>
      <c r="B1330" s="1" t="n">
        <v>2026</v>
      </c>
      <c r="C1330" s="8" t="inlineStr">
        <is>
          <t>Continuum</t>
        </is>
      </c>
      <c r="D1330" s="11" t="inlineStr">
        <is>
          <t>Utility and C&amp;I</t>
        </is>
      </c>
      <c r="E1330" s="1" t="n"/>
      <c r="F1330" s="1" t="inlineStr">
        <is>
          <t>Closed</t>
        </is>
      </c>
      <c r="G1330" s="50" t="inlineStr">
        <is>
          <t>Mr. Harendresinh Jadeja</t>
        </is>
      </c>
      <c r="H1330" s="8" t="n">
        <v>9825182102</v>
      </c>
      <c r="I1330" s="10" t="inlineStr">
        <is>
          <t>PE19052601</t>
        </is>
      </c>
      <c r="J1330" s="8" t="inlineStr">
        <is>
          <t xml:space="preserve">Diode failure </t>
        </is>
      </c>
      <c r="K1330" s="8" t="inlineStr">
        <is>
          <t>Nakhatrana</t>
        </is>
      </c>
      <c r="L1330" s="8" t="inlineStr">
        <is>
          <t>Gujarat</t>
        </is>
      </c>
      <c r="M1330" s="2" t="inlineStr">
        <is>
          <t>NS</t>
        </is>
      </c>
      <c r="N1330" s="8" t="inlineStr">
        <is>
          <t>Cold Soldering</t>
        </is>
      </c>
      <c r="O1330" s="51" t="n">
        <v>580</v>
      </c>
      <c r="P1330" s="2" t="inlineStr">
        <is>
          <t>NSMI25011273929</t>
        </is>
      </c>
      <c r="Q1330" s="29">
        <f>MID(P1330,5,2)</f>
        <v/>
      </c>
      <c r="R1330" s="14">
        <f>MID(P1330,7,2)</f>
        <v/>
      </c>
      <c r="S1330" s="1" t="inlineStr">
        <is>
          <t>G2G</t>
        </is>
      </c>
      <c r="T1330" s="1" t="inlineStr">
        <is>
          <t>P4 - PEIPL</t>
        </is>
      </c>
      <c r="U1330" s="6" t="inlineStr">
        <is>
          <t>N JB Cold Soldering</t>
        </is>
      </c>
      <c r="V1330" s="1" t="inlineStr">
        <is>
          <t>Inspection</t>
        </is>
      </c>
      <c r="W1330" s="1" t="inlineStr">
        <is>
          <t>Repair</t>
        </is>
      </c>
      <c r="X1330" s="5" t="n">
        <v>46189</v>
      </c>
      <c r="Y1330" s="1">
        <f>IF(X1330="","",X1330-A1330)</f>
        <v/>
      </c>
      <c r="Z1330" s="5" t="n">
        <v>46189</v>
      </c>
      <c r="AA1330" s="3" t="n"/>
      <c r="AB1330" s="3" t="n"/>
      <c r="AE1330" s="146">
        <f>IF(AND(F1330="Closed",X1330&gt;=DATE(2026,6,1),X1330&lt;=DATE(2026,6,30)),"Closed in June","other")</f>
        <v/>
      </c>
    </row>
    <row r="1331" hidden="1">
      <c r="A1331" s="9" t="n">
        <v>46161</v>
      </c>
      <c r="B1331" s="1" t="n">
        <v>2026</v>
      </c>
      <c r="C1331" s="8" t="inlineStr">
        <is>
          <t>Continuum</t>
        </is>
      </c>
      <c r="D1331" s="11" t="inlineStr">
        <is>
          <t>Utility and C&amp;I</t>
        </is>
      </c>
      <c r="E1331" s="1" t="n"/>
      <c r="F1331" s="1" t="inlineStr">
        <is>
          <t>Closed</t>
        </is>
      </c>
      <c r="G1331" s="50" t="inlineStr">
        <is>
          <t>Mr. Harendresinh Jadeja</t>
        </is>
      </c>
      <c r="H1331" s="8" t="n">
        <v>9825182102</v>
      </c>
      <c r="I1331" s="10" t="inlineStr">
        <is>
          <t>PE19052601</t>
        </is>
      </c>
      <c r="J1331" s="8" t="inlineStr">
        <is>
          <t xml:space="preserve">Diode failure </t>
        </is>
      </c>
      <c r="K1331" s="8" t="inlineStr">
        <is>
          <t>Nakhatrana</t>
        </is>
      </c>
      <c r="L1331" s="8" t="inlineStr">
        <is>
          <t>Gujarat</t>
        </is>
      </c>
      <c r="M1331" s="2" t="inlineStr">
        <is>
          <t>PS</t>
        </is>
      </c>
      <c r="N1331" s="1" t="inlineStr">
        <is>
          <t>Cold Soldering</t>
        </is>
      </c>
      <c r="O1331" s="51" t="n">
        <v>580</v>
      </c>
      <c r="P1331" s="2" t="inlineStr">
        <is>
          <t>NSMI25011276325</t>
        </is>
      </c>
      <c r="Q1331" s="29">
        <f>MID(P1331,5,2)</f>
        <v/>
      </c>
      <c r="R1331" s="14">
        <f>MID(P1331,7,2)</f>
        <v/>
      </c>
      <c r="S1331" s="1" t="inlineStr">
        <is>
          <t>G2G</t>
        </is>
      </c>
      <c r="T1331" s="1" t="inlineStr">
        <is>
          <t>P4 - PEIPL</t>
        </is>
      </c>
      <c r="U1331" s="1" t="inlineStr">
        <is>
          <t>P JB Cold Soldering</t>
        </is>
      </c>
      <c r="V1331" s="1" t="inlineStr">
        <is>
          <t>Inspection</t>
        </is>
      </c>
      <c r="W1331" s="1" t="inlineStr">
        <is>
          <t>Repair</t>
        </is>
      </c>
      <c r="X1331" s="5" t="n">
        <v>46189</v>
      </c>
      <c r="Y1331" s="1">
        <f>IF(X1331="","",X1331-A1331)</f>
        <v/>
      </c>
      <c r="Z1331" s="5" t="n">
        <v>46189</v>
      </c>
      <c r="AA1331" s="3" t="n"/>
      <c r="AB1331" s="3" t="n"/>
      <c r="AE1331" s="146">
        <f>IF(AND(F1331="Closed",X1331&gt;=DATE(2026,6,1),X1331&lt;=DATE(2026,6,30)),"Closed in June","other")</f>
        <v/>
      </c>
    </row>
    <row r="1332" hidden="1">
      <c r="A1332" s="9" t="n">
        <v>46161</v>
      </c>
      <c r="B1332" s="1" t="n">
        <v>2026</v>
      </c>
      <c r="C1332" s="8" t="inlineStr">
        <is>
          <t>Continuum</t>
        </is>
      </c>
      <c r="D1332" s="11" t="inlineStr">
        <is>
          <t>Utility and C&amp;I</t>
        </is>
      </c>
      <c r="E1332" s="1" t="n"/>
      <c r="F1332" s="1" t="inlineStr">
        <is>
          <t>Closed</t>
        </is>
      </c>
      <c r="G1332" s="50" t="inlineStr">
        <is>
          <t>Mr. Harendresinh Jadeja</t>
        </is>
      </c>
      <c r="H1332" s="8" t="n">
        <v>9825182102</v>
      </c>
      <c r="I1332" s="10" t="inlineStr">
        <is>
          <t>PE19052601</t>
        </is>
      </c>
      <c r="J1332" s="8" t="inlineStr">
        <is>
          <t xml:space="preserve">Diode failure </t>
        </is>
      </c>
      <c r="K1332" s="8" t="inlineStr">
        <is>
          <t>Nakhatrana</t>
        </is>
      </c>
      <c r="L1332" s="8" t="inlineStr">
        <is>
          <t>Gujarat</t>
        </is>
      </c>
      <c r="M1332" s="2" t="inlineStr">
        <is>
          <t>PS</t>
        </is>
      </c>
      <c r="N1332" s="1" t="inlineStr">
        <is>
          <t>Cold Soldering</t>
        </is>
      </c>
      <c r="O1332" s="51" t="n">
        <v>580</v>
      </c>
      <c r="P1332" s="2" t="inlineStr">
        <is>
          <t>NSMI25011263094</t>
        </is>
      </c>
      <c r="Q1332" s="29">
        <f>MID(P1332,5,2)</f>
        <v/>
      </c>
      <c r="R1332" s="14">
        <f>MID(P1332,7,2)</f>
        <v/>
      </c>
      <c r="S1332" s="1" t="inlineStr">
        <is>
          <t>G2G</t>
        </is>
      </c>
      <c r="T1332" s="1" t="inlineStr">
        <is>
          <t>P4 - PEIPL</t>
        </is>
      </c>
      <c r="U1332" s="1" t="inlineStr">
        <is>
          <t>P JB Cold Soldering</t>
        </is>
      </c>
      <c r="V1332" s="1" t="inlineStr">
        <is>
          <t>Inspection</t>
        </is>
      </c>
      <c r="W1332" s="1" t="inlineStr">
        <is>
          <t>Repair</t>
        </is>
      </c>
      <c r="X1332" s="5" t="n">
        <v>46189</v>
      </c>
      <c r="Y1332" s="1">
        <f>IF(X1332="","",X1332-A1332)</f>
        <v/>
      </c>
      <c r="Z1332" s="5" t="n">
        <v>46189</v>
      </c>
      <c r="AA1332" s="3" t="n"/>
      <c r="AB1332" s="3" t="n"/>
      <c r="AE1332" s="146">
        <f>IF(AND(F1332="Closed",X1332&gt;=DATE(2026,6,1),X1332&lt;=DATE(2026,6,30)),"Closed in June","other")</f>
        <v/>
      </c>
    </row>
    <row r="1333" hidden="1">
      <c r="A1333" s="9" t="n">
        <v>46161</v>
      </c>
      <c r="B1333" s="1" t="n">
        <v>2026</v>
      </c>
      <c r="C1333" s="8" t="inlineStr">
        <is>
          <t>Continuum</t>
        </is>
      </c>
      <c r="D1333" s="11" t="inlineStr">
        <is>
          <t>Utility and C&amp;I</t>
        </is>
      </c>
      <c r="E1333" s="1" t="n"/>
      <c r="F1333" s="1" t="inlineStr">
        <is>
          <t>Closed</t>
        </is>
      </c>
      <c r="G1333" s="50" t="inlineStr">
        <is>
          <t>Mr. Harendresinh Jadeja</t>
        </is>
      </c>
      <c r="H1333" s="8" t="n">
        <v>9825182102</v>
      </c>
      <c r="I1333" s="10" t="inlineStr">
        <is>
          <t>PE19052601</t>
        </is>
      </c>
      <c r="J1333" s="8" t="inlineStr">
        <is>
          <t xml:space="preserve">Diode failure </t>
        </is>
      </c>
      <c r="K1333" s="8" t="inlineStr">
        <is>
          <t>Nakhatrana</t>
        </is>
      </c>
      <c r="L1333" s="8" t="inlineStr">
        <is>
          <t>Gujarat</t>
        </is>
      </c>
      <c r="M1333" s="2" t="inlineStr">
        <is>
          <t>PS</t>
        </is>
      </c>
      <c r="N1333" s="1" t="inlineStr">
        <is>
          <t>Cold Soldering</t>
        </is>
      </c>
      <c r="O1333" s="51" t="n">
        <v>580</v>
      </c>
      <c r="P1333" s="2" t="inlineStr">
        <is>
          <t>NSMI25011229842</t>
        </is>
      </c>
      <c r="Q1333" s="29">
        <f>MID(P1333,5,2)</f>
        <v/>
      </c>
      <c r="R1333" s="14">
        <f>MID(P1333,7,2)</f>
        <v/>
      </c>
      <c r="S1333" s="1" t="inlineStr">
        <is>
          <t>G2G</t>
        </is>
      </c>
      <c r="T1333" s="1" t="inlineStr">
        <is>
          <t>P4 - PEIPL</t>
        </is>
      </c>
      <c r="U1333" s="1" t="inlineStr">
        <is>
          <t>P JB Cold Soldering</t>
        </is>
      </c>
      <c r="V1333" s="1" t="inlineStr">
        <is>
          <t>Inspection</t>
        </is>
      </c>
      <c r="W1333" s="1" t="inlineStr">
        <is>
          <t>Repair</t>
        </is>
      </c>
      <c r="X1333" s="5" t="n">
        <v>46189</v>
      </c>
      <c r="Y1333" s="1">
        <f>IF(X1333="","",X1333-A1333)</f>
        <v/>
      </c>
      <c r="Z1333" s="5" t="n">
        <v>46189</v>
      </c>
      <c r="AA1333" s="3" t="n"/>
      <c r="AB1333" s="3" t="n"/>
      <c r="AE1333" s="146">
        <f>IF(AND(F1333="Closed",X1333&gt;=DATE(2026,6,1),X1333&lt;=DATE(2026,6,30)),"Closed in June","other")</f>
        <v/>
      </c>
    </row>
    <row r="1334" hidden="1">
      <c r="A1334" s="9" t="n">
        <v>46161</v>
      </c>
      <c r="B1334" s="1" t="n">
        <v>2026</v>
      </c>
      <c r="C1334" s="8" t="inlineStr">
        <is>
          <t>Continuum</t>
        </is>
      </c>
      <c r="D1334" s="11" t="inlineStr">
        <is>
          <t>Utility and C&amp;I</t>
        </is>
      </c>
      <c r="E1334" s="1" t="n"/>
      <c r="F1334" s="1" t="inlineStr">
        <is>
          <t>Closed</t>
        </is>
      </c>
      <c r="G1334" s="50" t="inlineStr">
        <is>
          <t>Mr. Harendresinh Jadeja</t>
        </is>
      </c>
      <c r="H1334" s="8" t="n">
        <v>9825182102</v>
      </c>
      <c r="I1334" s="10" t="inlineStr">
        <is>
          <t>PE19052601</t>
        </is>
      </c>
      <c r="J1334" s="8" t="inlineStr">
        <is>
          <t xml:space="preserve">Diode failure </t>
        </is>
      </c>
      <c r="K1334" s="8" t="inlineStr">
        <is>
          <t>Nakhatrana</t>
        </is>
      </c>
      <c r="L1334" s="8" t="inlineStr">
        <is>
          <t>Gujarat</t>
        </is>
      </c>
      <c r="M1334" s="2" t="inlineStr">
        <is>
          <t>PS</t>
        </is>
      </c>
      <c r="N1334" s="1" t="inlineStr">
        <is>
          <t>Cold Soldering</t>
        </is>
      </c>
      <c r="O1334" s="51" t="n">
        <v>580</v>
      </c>
      <c r="P1334" s="2" t="inlineStr">
        <is>
          <t>NSMI25011228121</t>
        </is>
      </c>
      <c r="Q1334" s="29">
        <f>MID(P1334,5,2)</f>
        <v/>
      </c>
      <c r="R1334" s="14">
        <f>MID(P1334,7,2)</f>
        <v/>
      </c>
      <c r="S1334" s="1" t="inlineStr">
        <is>
          <t>G2G</t>
        </is>
      </c>
      <c r="T1334" s="1" t="inlineStr">
        <is>
          <t>P4 - PEIPL</t>
        </is>
      </c>
      <c r="U1334" s="1" t="inlineStr">
        <is>
          <t>P JB Cold Soldering</t>
        </is>
      </c>
      <c r="V1334" s="1" t="inlineStr">
        <is>
          <t>Inspection</t>
        </is>
      </c>
      <c r="W1334" s="1" t="inlineStr">
        <is>
          <t>Repair</t>
        </is>
      </c>
      <c r="X1334" s="5" t="n">
        <v>46189</v>
      </c>
      <c r="Y1334" s="1">
        <f>IF(X1334="","",X1334-A1334)</f>
        <v/>
      </c>
      <c r="Z1334" s="5" t="n">
        <v>46189</v>
      </c>
      <c r="AA1334" s="3" t="n"/>
      <c r="AB1334" s="3" t="n"/>
      <c r="AE1334" s="146">
        <f>IF(AND(F1334="Closed",X1334&gt;=DATE(2026,6,1),X1334&lt;=DATE(2026,6,30)),"Closed in June","other")</f>
        <v/>
      </c>
    </row>
    <row r="1335" hidden="1">
      <c r="A1335" s="9" t="n">
        <v>46161</v>
      </c>
      <c r="B1335" s="1" t="n">
        <v>2026</v>
      </c>
      <c r="C1335" s="8" t="inlineStr">
        <is>
          <t>Continuum</t>
        </is>
      </c>
      <c r="D1335" s="11" t="inlineStr">
        <is>
          <t>Utility and C&amp;I</t>
        </is>
      </c>
      <c r="E1335" s="1" t="n"/>
      <c r="F1335" s="1" t="inlineStr">
        <is>
          <t>Closed</t>
        </is>
      </c>
      <c r="G1335" s="50" t="inlineStr">
        <is>
          <t>Mr. Harendresinh Jadeja</t>
        </is>
      </c>
      <c r="H1335" s="8" t="n">
        <v>9825182102</v>
      </c>
      <c r="I1335" s="10" t="inlineStr">
        <is>
          <t>PE19052601</t>
        </is>
      </c>
      <c r="J1335" s="8" t="inlineStr">
        <is>
          <t xml:space="preserve">Diode failure </t>
        </is>
      </c>
      <c r="K1335" s="8" t="inlineStr">
        <is>
          <t>Nakhatrana</t>
        </is>
      </c>
      <c r="L1335" s="8" t="inlineStr">
        <is>
          <t>Gujarat</t>
        </is>
      </c>
      <c r="M1335" s="2" t="inlineStr">
        <is>
          <t>NR</t>
        </is>
      </c>
      <c r="N1335" s="8" t="inlineStr">
        <is>
          <t>JB Issue</t>
        </is>
      </c>
      <c r="O1335" s="51" t="n">
        <v>580</v>
      </c>
      <c r="P1335" s="2" t="inlineStr">
        <is>
          <t>NSMI25011265548</t>
        </is>
      </c>
      <c r="Q1335" s="29">
        <f>MID(P1335,5,2)</f>
        <v/>
      </c>
      <c r="R1335" s="14">
        <f>MID(P1335,7,2)</f>
        <v/>
      </c>
      <c r="S1335" s="1" t="inlineStr">
        <is>
          <t>G2G</t>
        </is>
      </c>
      <c r="T1335" s="1" t="inlineStr">
        <is>
          <t>P4 - PEIPL</t>
        </is>
      </c>
      <c r="U1335" s="6" t="inlineStr">
        <is>
          <t>N JB Issue</t>
        </is>
      </c>
      <c r="V1335" s="1" t="inlineStr">
        <is>
          <t>Inspection</t>
        </is>
      </c>
      <c r="W1335" s="1" t="inlineStr">
        <is>
          <t>Repair</t>
        </is>
      </c>
      <c r="X1335" s="5" t="n">
        <v>46189</v>
      </c>
      <c r="Y1335" s="1">
        <f>IF(X1335="","",X1335-A1335)</f>
        <v/>
      </c>
      <c r="Z1335" s="5" t="n">
        <v>46189</v>
      </c>
      <c r="AA1335" s="3" t="n"/>
      <c r="AB1335" s="3" t="n"/>
      <c r="AE1335" s="146">
        <f>IF(AND(F1335="Closed",X1335&gt;=DATE(2026,6,1),X1335&lt;=DATE(2026,6,30)),"Closed in June","other")</f>
        <v/>
      </c>
    </row>
    <row r="1336" hidden="1">
      <c r="A1336" s="9" t="n">
        <v>46161</v>
      </c>
      <c r="B1336" s="1" t="n">
        <v>2026</v>
      </c>
      <c r="C1336" s="8" t="inlineStr">
        <is>
          <t>Continuum</t>
        </is>
      </c>
      <c r="D1336" s="11" t="inlineStr">
        <is>
          <t>Utility and C&amp;I</t>
        </is>
      </c>
      <c r="E1336" s="1" t="n"/>
      <c r="F1336" s="1" t="inlineStr">
        <is>
          <t>Closed</t>
        </is>
      </c>
      <c r="G1336" s="50" t="inlineStr">
        <is>
          <t>Mr. Harendresinh Jadeja</t>
        </is>
      </c>
      <c r="H1336" s="8" t="n">
        <v>9825182102</v>
      </c>
      <c r="I1336" s="10" t="inlineStr">
        <is>
          <t>PE19052601</t>
        </is>
      </c>
      <c r="J1336" s="8" t="inlineStr">
        <is>
          <t xml:space="preserve">Diode failure </t>
        </is>
      </c>
      <c r="K1336" s="8" t="inlineStr">
        <is>
          <t>Nakhatrana</t>
        </is>
      </c>
      <c r="L1336" s="8" t="inlineStr">
        <is>
          <t>Gujarat</t>
        </is>
      </c>
      <c r="M1336" s="2" t="inlineStr">
        <is>
          <t>OK</t>
        </is>
      </c>
      <c r="N1336" s="2" t="inlineStr">
        <is>
          <t>No Issue Found</t>
        </is>
      </c>
      <c r="O1336" s="51" t="n">
        <v>580</v>
      </c>
      <c r="P1336" s="2" t="inlineStr">
        <is>
          <t>NSMI25040196267</t>
        </is>
      </c>
      <c r="Q1336" s="29">
        <f>MID(P1336,5,2)</f>
        <v/>
      </c>
      <c r="R1336" s="14">
        <f>MID(P1336,7,2)</f>
        <v/>
      </c>
      <c r="S1336" s="1" t="inlineStr">
        <is>
          <t>G2G</t>
        </is>
      </c>
      <c r="T1336" s="1" t="inlineStr">
        <is>
          <t>P4 - PEIPL</t>
        </is>
      </c>
      <c r="U1336" s="6" t="inlineStr">
        <is>
          <t>No Issue Found</t>
        </is>
      </c>
      <c r="V1336" s="1" t="inlineStr">
        <is>
          <t>Inspection</t>
        </is>
      </c>
      <c r="W1336" s="1" t="inlineStr">
        <is>
          <t>Rejected</t>
        </is>
      </c>
      <c r="X1336" s="5" t="n">
        <v>46189</v>
      </c>
      <c r="Y1336" s="1">
        <f>IF(X1336="","",X1336-A1336)</f>
        <v/>
      </c>
      <c r="Z1336" s="5" t="n">
        <v>46189</v>
      </c>
      <c r="AA1336" s="3" t="n"/>
      <c r="AB1336" s="3" t="n"/>
      <c r="AE1336" s="146">
        <f>IF(AND(F1336="Closed",X1336&gt;=DATE(2026,6,1),X1336&lt;=DATE(2026,6,30)),"Closed in June","other")</f>
        <v/>
      </c>
    </row>
    <row r="1337" hidden="1">
      <c r="A1337" s="9" t="n">
        <v>46161</v>
      </c>
      <c r="B1337" s="1" t="n">
        <v>2026</v>
      </c>
      <c r="C1337" s="8" t="inlineStr">
        <is>
          <t>Continuum</t>
        </is>
      </c>
      <c r="D1337" s="11" t="inlineStr">
        <is>
          <t>Utility and C&amp;I</t>
        </is>
      </c>
      <c r="E1337" s="1" t="n"/>
      <c r="F1337" s="1" t="inlineStr">
        <is>
          <t>Closed</t>
        </is>
      </c>
      <c r="G1337" s="50" t="inlineStr">
        <is>
          <t>Mr. Harendresinh Jadeja</t>
        </is>
      </c>
      <c r="H1337" s="8" t="n">
        <v>9825182102</v>
      </c>
      <c r="I1337" s="10" t="inlineStr">
        <is>
          <t>PE19052601</t>
        </is>
      </c>
      <c r="J1337" s="8" t="inlineStr">
        <is>
          <t xml:space="preserve">Diode failure </t>
        </is>
      </c>
      <c r="K1337" s="8" t="inlineStr">
        <is>
          <t>Nakhatrana</t>
        </is>
      </c>
      <c r="L1337" s="8" t="inlineStr">
        <is>
          <t>Gujarat</t>
        </is>
      </c>
      <c r="M1337" s="2" t="inlineStr">
        <is>
          <t>NS</t>
        </is>
      </c>
      <c r="N1337" s="8" t="inlineStr">
        <is>
          <t>Cold Soldering</t>
        </is>
      </c>
      <c r="O1337" s="51" t="n">
        <v>580</v>
      </c>
      <c r="P1337" s="2" t="inlineStr">
        <is>
          <t>NSMI25050200600</t>
        </is>
      </c>
      <c r="Q1337" s="29">
        <f>MID(P1337,5,2)</f>
        <v/>
      </c>
      <c r="R1337" s="14">
        <f>MID(P1337,7,2)</f>
        <v/>
      </c>
      <c r="S1337" s="1" t="inlineStr">
        <is>
          <t>G2G</t>
        </is>
      </c>
      <c r="T1337" s="1" t="inlineStr">
        <is>
          <t>P4 - PEIPL</t>
        </is>
      </c>
      <c r="U1337" s="6" t="inlineStr">
        <is>
          <t>N JB Cold Soldering</t>
        </is>
      </c>
      <c r="V1337" s="1" t="inlineStr">
        <is>
          <t>Inspection</t>
        </is>
      </c>
      <c r="W1337" s="1" t="inlineStr">
        <is>
          <t>Repair</t>
        </is>
      </c>
      <c r="X1337" s="5" t="n">
        <v>46189</v>
      </c>
      <c r="Y1337" s="1">
        <f>IF(X1337="","",X1337-A1337)</f>
        <v/>
      </c>
      <c r="Z1337" s="5" t="n">
        <v>46189</v>
      </c>
      <c r="AA1337" s="3" t="n"/>
      <c r="AB1337" s="3" t="n"/>
      <c r="AE1337" s="146">
        <f>IF(AND(F1337="Closed",X1337&gt;=DATE(2026,6,1),X1337&lt;=DATE(2026,6,30)),"Closed in June","other")</f>
        <v/>
      </c>
    </row>
    <row r="1338" hidden="1">
      <c r="A1338" s="9" t="n">
        <v>46161</v>
      </c>
      <c r="B1338" s="1" t="n">
        <v>2026</v>
      </c>
      <c r="C1338" s="8" t="inlineStr">
        <is>
          <t>Continuum</t>
        </is>
      </c>
      <c r="D1338" s="11" t="inlineStr">
        <is>
          <t>Utility and C&amp;I</t>
        </is>
      </c>
      <c r="E1338" s="1" t="n"/>
      <c r="F1338" s="1" t="inlineStr">
        <is>
          <t>Closed</t>
        </is>
      </c>
      <c r="G1338" s="50" t="inlineStr">
        <is>
          <t>Mr. Harendresinh Jadeja</t>
        </is>
      </c>
      <c r="H1338" s="8" t="n">
        <v>9825182102</v>
      </c>
      <c r="I1338" s="10" t="inlineStr">
        <is>
          <t>PE19052601</t>
        </is>
      </c>
      <c r="J1338" s="8" t="inlineStr">
        <is>
          <t xml:space="preserve">Diode failure </t>
        </is>
      </c>
      <c r="K1338" s="8" t="inlineStr">
        <is>
          <t>Nakhatrana</t>
        </is>
      </c>
      <c r="L1338" s="8" t="inlineStr">
        <is>
          <t>Gujarat</t>
        </is>
      </c>
      <c r="M1338" s="2" t="inlineStr">
        <is>
          <t>PS</t>
        </is>
      </c>
      <c r="N1338" s="1" t="inlineStr">
        <is>
          <t>Cold Soldering</t>
        </is>
      </c>
      <c r="O1338" s="51" t="n">
        <v>580</v>
      </c>
      <c r="P1338" s="2" t="inlineStr">
        <is>
          <t>NSMI25011264181</t>
        </is>
      </c>
      <c r="Q1338" s="29">
        <f>MID(P1338,5,2)</f>
        <v/>
      </c>
      <c r="R1338" s="14">
        <f>MID(P1338,7,2)</f>
        <v/>
      </c>
      <c r="S1338" s="1" t="inlineStr">
        <is>
          <t>G2G</t>
        </is>
      </c>
      <c r="T1338" s="1" t="inlineStr">
        <is>
          <t>P4 - PEIPL</t>
        </is>
      </c>
      <c r="U1338" s="1" t="inlineStr">
        <is>
          <t>P JB Cold Soldering</t>
        </is>
      </c>
      <c r="V1338" s="1" t="inlineStr">
        <is>
          <t>Inspection</t>
        </is>
      </c>
      <c r="W1338" s="1" t="inlineStr">
        <is>
          <t>Repair</t>
        </is>
      </c>
      <c r="X1338" s="5" t="n">
        <v>46189</v>
      </c>
      <c r="Y1338" s="1">
        <f>IF(X1338="","",X1338-A1338)</f>
        <v/>
      </c>
      <c r="Z1338" s="5" t="n">
        <v>46189</v>
      </c>
      <c r="AA1338" s="3" t="n"/>
      <c r="AB1338" s="3" t="n"/>
      <c r="AE1338" s="146">
        <f>IF(AND(F1338="Closed",X1338&gt;=DATE(2026,6,1),X1338&lt;=DATE(2026,6,30)),"Closed in June","other")</f>
        <v/>
      </c>
    </row>
    <row r="1339" hidden="1">
      <c r="A1339" s="9" t="n">
        <v>46161</v>
      </c>
      <c r="B1339" s="1" t="n">
        <v>2026</v>
      </c>
      <c r="C1339" s="8" t="inlineStr">
        <is>
          <t>Continuum</t>
        </is>
      </c>
      <c r="D1339" s="11" t="inlineStr">
        <is>
          <t>Utility and C&amp;I</t>
        </is>
      </c>
      <c r="E1339" s="1" t="n"/>
      <c r="F1339" s="1" t="inlineStr">
        <is>
          <t>Closed</t>
        </is>
      </c>
      <c r="G1339" s="50" t="inlineStr">
        <is>
          <t>Mr. Harendresinh Jadeja</t>
        </is>
      </c>
      <c r="H1339" s="8" t="n">
        <v>9825182102</v>
      </c>
      <c r="I1339" s="10" t="inlineStr">
        <is>
          <t>PE19052601</t>
        </is>
      </c>
      <c r="J1339" s="8" t="inlineStr">
        <is>
          <t xml:space="preserve">Diode failure </t>
        </is>
      </c>
      <c r="K1339" s="8" t="inlineStr">
        <is>
          <t>Nakhatrana</t>
        </is>
      </c>
      <c r="L1339" s="8" t="inlineStr">
        <is>
          <t>Gujarat</t>
        </is>
      </c>
      <c r="M1339" s="2" t="inlineStr">
        <is>
          <t>PS</t>
        </is>
      </c>
      <c r="N1339" s="1" t="inlineStr">
        <is>
          <t>Cold Soldering</t>
        </is>
      </c>
      <c r="O1339" s="51" t="n">
        <v>580</v>
      </c>
      <c r="P1339" s="2" t="inlineStr">
        <is>
          <t>NSMI25011292547</t>
        </is>
      </c>
      <c r="Q1339" s="29">
        <f>MID(P1339,5,2)</f>
        <v/>
      </c>
      <c r="R1339" s="14">
        <f>MID(P1339,7,2)</f>
        <v/>
      </c>
      <c r="S1339" s="1" t="inlineStr">
        <is>
          <t>G2G</t>
        </is>
      </c>
      <c r="T1339" s="1" t="inlineStr">
        <is>
          <t>P4 - PEIPL</t>
        </is>
      </c>
      <c r="U1339" s="1" t="inlineStr">
        <is>
          <t>P JB Cold Soldering</t>
        </is>
      </c>
      <c r="V1339" s="1" t="inlineStr">
        <is>
          <t>Inspection</t>
        </is>
      </c>
      <c r="W1339" s="1" t="inlineStr">
        <is>
          <t>Repair</t>
        </is>
      </c>
      <c r="X1339" s="5" t="n">
        <v>46189</v>
      </c>
      <c r="Y1339" s="1">
        <f>IF(X1339="","",X1339-A1339)</f>
        <v/>
      </c>
      <c r="Z1339" s="5" t="n">
        <v>46189</v>
      </c>
      <c r="AA1339" s="3" t="n"/>
      <c r="AB1339" s="3" t="n"/>
      <c r="AE1339" s="146">
        <f>IF(AND(F1339="Closed",X1339&gt;=DATE(2026,6,1),X1339&lt;=DATE(2026,6,30)),"Closed in June","other")</f>
        <v/>
      </c>
    </row>
    <row r="1340" hidden="1">
      <c r="A1340" s="9" t="n">
        <v>46161</v>
      </c>
      <c r="B1340" s="1" t="n">
        <v>2026</v>
      </c>
      <c r="C1340" s="8" t="inlineStr">
        <is>
          <t>Continuum</t>
        </is>
      </c>
      <c r="D1340" s="11" t="inlineStr">
        <is>
          <t>Utility and C&amp;I</t>
        </is>
      </c>
      <c r="E1340" s="1" t="n"/>
      <c r="F1340" s="1" t="inlineStr">
        <is>
          <t>Closed</t>
        </is>
      </c>
      <c r="G1340" s="50" t="inlineStr">
        <is>
          <t>Mr. Harendresinh Jadeja</t>
        </is>
      </c>
      <c r="H1340" s="8" t="n">
        <v>9825182102</v>
      </c>
      <c r="I1340" s="10" t="inlineStr">
        <is>
          <t>PE19052601</t>
        </is>
      </c>
      <c r="J1340" s="8" t="inlineStr">
        <is>
          <t xml:space="preserve">Diode failure </t>
        </is>
      </c>
      <c r="K1340" s="8" t="inlineStr">
        <is>
          <t>Nakhatrana</t>
        </is>
      </c>
      <c r="L1340" s="8" t="inlineStr">
        <is>
          <t>Gujarat</t>
        </is>
      </c>
      <c r="M1340" s="2" t="inlineStr">
        <is>
          <t>PS</t>
        </is>
      </c>
      <c r="N1340" s="1" t="inlineStr">
        <is>
          <t>Cold Soldering</t>
        </is>
      </c>
      <c r="O1340" s="51" t="n">
        <v>580</v>
      </c>
      <c r="P1340" s="2" t="inlineStr">
        <is>
          <t>NSMI25011252085</t>
        </is>
      </c>
      <c r="Q1340" s="29">
        <f>MID(P1340,5,2)</f>
        <v/>
      </c>
      <c r="R1340" s="14">
        <f>MID(P1340,7,2)</f>
        <v/>
      </c>
      <c r="S1340" s="1" t="inlineStr">
        <is>
          <t>G2G</t>
        </is>
      </c>
      <c r="T1340" s="1" t="inlineStr">
        <is>
          <t>P4 - PEIPL</t>
        </is>
      </c>
      <c r="U1340" s="1" t="inlineStr">
        <is>
          <t>P JB Cold Soldering</t>
        </is>
      </c>
      <c r="V1340" s="1" t="inlineStr">
        <is>
          <t>Inspection</t>
        </is>
      </c>
      <c r="W1340" s="1" t="inlineStr">
        <is>
          <t>Repair</t>
        </is>
      </c>
      <c r="X1340" s="5" t="n">
        <v>46189</v>
      </c>
      <c r="Y1340" s="1">
        <f>IF(X1340="","",X1340-A1340)</f>
        <v/>
      </c>
      <c r="Z1340" s="5" t="n">
        <v>46189</v>
      </c>
      <c r="AA1340" s="3" t="n"/>
      <c r="AB1340" s="3" t="n"/>
      <c r="AE1340" s="146">
        <f>IF(AND(F1340="Closed",X1340&gt;=DATE(2026,6,1),X1340&lt;=DATE(2026,6,30)),"Closed in June","other")</f>
        <v/>
      </c>
    </row>
    <row r="1341" hidden="1">
      <c r="A1341" s="49" t="n">
        <v>46177</v>
      </c>
      <c r="B1341" s="1" t="n">
        <v>2026</v>
      </c>
      <c r="C1341" s="8" t="inlineStr">
        <is>
          <t>Ayana</t>
        </is>
      </c>
      <c r="D1341" s="11" t="inlineStr">
        <is>
          <t>Utility and C&amp;I</t>
        </is>
      </c>
      <c r="E1341" s="1" t="n"/>
      <c r="F1341" s="1" t="inlineStr">
        <is>
          <t>WIP</t>
        </is>
      </c>
      <c r="G1341" s="11" t="inlineStr">
        <is>
          <t>Vasu.N</t>
        </is>
      </c>
      <c r="H1341" s="8" t="n">
        <v>9578099893</v>
      </c>
      <c r="I1341" s="10" t="inlineStr">
        <is>
          <t>PE04062601</t>
        </is>
      </c>
      <c r="J1341" s="28" t="inlineStr">
        <is>
          <t>Module burnt</t>
        </is>
      </c>
      <c r="K1341" s="8" t="inlineStr">
        <is>
          <t>Jatavira</t>
        </is>
      </c>
      <c r="L1341" s="39" t="inlineStr">
        <is>
          <t>Gujarat</t>
        </is>
      </c>
      <c r="M1341" s="2" t="inlineStr">
        <is>
          <t xml:space="preserve">Burning </t>
        </is>
      </c>
      <c r="N1341" s="6" t="inlineStr">
        <is>
          <t>Module Burn</t>
        </is>
      </c>
      <c r="O1341" s="32" t="n">
        <v>585</v>
      </c>
      <c r="P1341" s="2" t="inlineStr">
        <is>
          <t>NSMI24100582589</t>
        </is>
      </c>
      <c r="Q1341" s="29">
        <f>MID(P1341,5,2)</f>
        <v/>
      </c>
      <c r="R1341" s="14">
        <f>MID(P1341,7,2)</f>
        <v/>
      </c>
      <c r="S1341" s="6" t="inlineStr">
        <is>
          <t>G2G</t>
        </is>
      </c>
      <c r="T1341" s="1" t="inlineStr">
        <is>
          <t>P4 - PEIPL</t>
        </is>
      </c>
      <c r="U1341" s="6" t="inlineStr">
        <is>
          <t>Module Burn</t>
        </is>
      </c>
      <c r="V1341" s="1" t="inlineStr">
        <is>
          <t>Inspection</t>
        </is>
      </c>
      <c r="W1341" s="1" t="inlineStr">
        <is>
          <t>WIP</t>
        </is>
      </c>
      <c r="X1341" s="12" t="n"/>
      <c r="Y1341" s="1">
        <f>IF(X1341="","",X1341-A1341)</f>
        <v/>
      </c>
      <c r="Z1341" s="5" t="n">
        <v>46189</v>
      </c>
      <c r="AA1341" s="3" t="n"/>
      <c r="AB1341" s="3" t="n"/>
      <c r="AE1341" s="146">
        <f>IF(AND(F1341="Closed",X1341&gt;=DATE(2026,6,1),X1341&lt;=DATE(2026,6,30)),"Closed in June","other")</f>
        <v/>
      </c>
    </row>
    <row r="1342" hidden="1">
      <c r="A1342" s="49" t="n">
        <v>46177</v>
      </c>
      <c r="B1342" s="1" t="n">
        <v>2026</v>
      </c>
      <c r="C1342" s="8" t="inlineStr">
        <is>
          <t>Ayana</t>
        </is>
      </c>
      <c r="D1342" s="11" t="inlineStr">
        <is>
          <t>Utility and C&amp;I</t>
        </is>
      </c>
      <c r="E1342" s="1" t="n"/>
      <c r="F1342" s="1" t="inlineStr">
        <is>
          <t>WIP</t>
        </is>
      </c>
      <c r="G1342" s="11" t="inlineStr">
        <is>
          <t>Vasu.N</t>
        </is>
      </c>
      <c r="H1342" s="8" t="n">
        <v>9578099893</v>
      </c>
      <c r="I1342" s="10" t="inlineStr">
        <is>
          <t>PE04062601</t>
        </is>
      </c>
      <c r="J1342" s="28" t="inlineStr">
        <is>
          <t>Module burnt</t>
        </is>
      </c>
      <c r="K1342" s="8" t="inlineStr">
        <is>
          <t>Jatavira</t>
        </is>
      </c>
      <c r="L1342" s="39" t="inlineStr">
        <is>
          <t>Gujarat</t>
        </is>
      </c>
      <c r="M1342" s="2" t="inlineStr">
        <is>
          <t xml:space="preserve">Both glass broken with burn spot </t>
        </is>
      </c>
      <c r="N1342" s="6" t="inlineStr">
        <is>
          <t>Glass Breakage with Burn Spot</t>
        </is>
      </c>
      <c r="O1342" s="32" t="n">
        <v>585</v>
      </c>
      <c r="P1342" s="2" t="inlineStr">
        <is>
          <t>NSMI24100570870</t>
        </is>
      </c>
      <c r="Q1342" s="29">
        <f>MID(P1342,5,2)</f>
        <v/>
      </c>
      <c r="R1342" s="14">
        <f>MID(P1342,7,2)</f>
        <v/>
      </c>
      <c r="S1342" s="6" t="inlineStr">
        <is>
          <t>G2G</t>
        </is>
      </c>
      <c r="T1342" s="1" t="inlineStr">
        <is>
          <t>P4 - PEIPL</t>
        </is>
      </c>
      <c r="U1342" s="6" t="inlineStr">
        <is>
          <t>Glass Breakage with Burn Spot</t>
        </is>
      </c>
      <c r="V1342" s="1" t="inlineStr">
        <is>
          <t>Inspection</t>
        </is>
      </c>
      <c r="W1342" s="1" t="inlineStr">
        <is>
          <t>WIP</t>
        </is>
      </c>
      <c r="X1342" s="12" t="n"/>
      <c r="Y1342" s="1">
        <f>IF(X1342="","",X1342-A1342)</f>
        <v/>
      </c>
      <c r="Z1342" s="5" t="n">
        <v>46189</v>
      </c>
      <c r="AA1342" s="3" t="n"/>
      <c r="AB1342" s="3" t="n"/>
      <c r="AE1342" s="146">
        <f>IF(AND(F1342="Closed",X1342&gt;=DATE(2026,6,1),X1342&lt;=DATE(2026,6,30)),"Closed in June","other")</f>
        <v/>
      </c>
    </row>
    <row r="1343" hidden="1">
      <c r="A1343" s="49" t="n">
        <v>46177</v>
      </c>
      <c r="B1343" s="1" t="n">
        <v>2026</v>
      </c>
      <c r="C1343" s="8" t="inlineStr">
        <is>
          <t>Ayana</t>
        </is>
      </c>
      <c r="D1343" s="11" t="inlineStr">
        <is>
          <t>Utility and C&amp;I</t>
        </is>
      </c>
      <c r="E1343" s="1" t="n"/>
      <c r="F1343" s="1" t="inlineStr">
        <is>
          <t>WIP</t>
        </is>
      </c>
      <c r="G1343" s="11" t="inlineStr">
        <is>
          <t>Vasu.N</t>
        </is>
      </c>
      <c r="H1343" s="8" t="n">
        <v>9578099893</v>
      </c>
      <c r="I1343" s="10" t="inlineStr">
        <is>
          <t>PE04062601</t>
        </is>
      </c>
      <c r="J1343" s="28" t="inlineStr">
        <is>
          <t>Module burnt</t>
        </is>
      </c>
      <c r="K1343" s="8" t="inlineStr">
        <is>
          <t>Jatavira</t>
        </is>
      </c>
      <c r="L1343" s="39" t="inlineStr">
        <is>
          <t>Gujarat</t>
        </is>
      </c>
      <c r="M1343" s="2" t="inlineStr">
        <is>
          <t>Both glass broken</t>
        </is>
      </c>
      <c r="N1343" s="6" t="inlineStr">
        <is>
          <t>Module Breakage</t>
        </is>
      </c>
      <c r="O1343" s="32" t="n">
        <v>585</v>
      </c>
      <c r="P1343" s="2" t="inlineStr">
        <is>
          <t>NSMI24100570889</t>
        </is>
      </c>
      <c r="Q1343" s="29">
        <f>MID(P1343,5,2)</f>
        <v/>
      </c>
      <c r="R1343" s="14">
        <f>MID(P1343,7,2)</f>
        <v/>
      </c>
      <c r="S1343" s="6" t="inlineStr">
        <is>
          <t>G2G</t>
        </is>
      </c>
      <c r="T1343" s="1" t="inlineStr">
        <is>
          <t>P4 - PEIPL</t>
        </is>
      </c>
      <c r="U1343" s="6" t="inlineStr">
        <is>
          <t>Glass Breakage</t>
        </is>
      </c>
      <c r="V1343" s="1" t="inlineStr">
        <is>
          <t>Inspection</t>
        </is>
      </c>
      <c r="W1343" s="1" t="inlineStr">
        <is>
          <t>WIP</t>
        </is>
      </c>
      <c r="X1343" s="12" t="n"/>
      <c r="Y1343" s="1">
        <f>IF(X1343="","",X1343-A1343)</f>
        <v/>
      </c>
      <c r="Z1343" s="5" t="n">
        <v>46189</v>
      </c>
      <c r="AA1343" s="3" t="n"/>
      <c r="AB1343" s="3" t="n"/>
      <c r="AE1343" s="146">
        <f>IF(AND(F1343="Closed",X1343&gt;=DATE(2026,6,1),X1343&lt;=DATE(2026,6,30)),"Closed in June","other")</f>
        <v/>
      </c>
    </row>
    <row r="1344" hidden="1">
      <c r="A1344" s="49" t="n">
        <v>46177</v>
      </c>
      <c r="B1344" s="1" t="n">
        <v>2026</v>
      </c>
      <c r="C1344" s="8" t="inlineStr">
        <is>
          <t>Ayana</t>
        </is>
      </c>
      <c r="D1344" s="11" t="inlineStr">
        <is>
          <t>Utility and C&amp;I</t>
        </is>
      </c>
      <c r="E1344" s="1" t="n"/>
      <c r="F1344" s="1" t="inlineStr">
        <is>
          <t>WIP</t>
        </is>
      </c>
      <c r="G1344" s="11" t="inlineStr">
        <is>
          <t>Vasu.N</t>
        </is>
      </c>
      <c r="H1344" s="8" t="n">
        <v>9578099893</v>
      </c>
      <c r="I1344" s="10" t="inlineStr">
        <is>
          <t>PE04062601</t>
        </is>
      </c>
      <c r="J1344" s="28" t="inlineStr">
        <is>
          <t>Module burnt</t>
        </is>
      </c>
      <c r="K1344" s="8" t="inlineStr">
        <is>
          <t>Jatavira</t>
        </is>
      </c>
      <c r="L1344" s="39" t="inlineStr">
        <is>
          <t>Gujarat</t>
        </is>
      </c>
      <c r="M1344" s="2" t="inlineStr">
        <is>
          <t xml:space="preserve">Burning </t>
        </is>
      </c>
      <c r="N1344" s="6" t="inlineStr">
        <is>
          <t>Module Burn</t>
        </is>
      </c>
      <c r="O1344" s="32" t="n">
        <v>585</v>
      </c>
      <c r="P1344" s="2" t="inlineStr">
        <is>
          <t>NSMI24100586254</t>
        </is>
      </c>
      <c r="Q1344" s="29">
        <f>MID(P1344,5,2)</f>
        <v/>
      </c>
      <c r="R1344" s="14">
        <f>MID(P1344,7,2)</f>
        <v/>
      </c>
      <c r="S1344" s="6" t="inlineStr">
        <is>
          <t>G2G</t>
        </is>
      </c>
      <c r="T1344" s="1" t="inlineStr">
        <is>
          <t>P4 - PEIPL</t>
        </is>
      </c>
      <c r="U1344" s="6" t="inlineStr">
        <is>
          <t>Module Burn</t>
        </is>
      </c>
      <c r="V1344" s="1" t="inlineStr">
        <is>
          <t>Inspection</t>
        </is>
      </c>
      <c r="W1344" s="1" t="inlineStr">
        <is>
          <t>WIP</t>
        </is>
      </c>
      <c r="X1344" s="12" t="n"/>
      <c r="Y1344" s="1">
        <f>IF(X1344="","",X1344-A1344)</f>
        <v/>
      </c>
      <c r="Z1344" s="5" t="n">
        <v>46189</v>
      </c>
      <c r="AA1344" s="3" t="n"/>
      <c r="AB1344" s="3" t="n"/>
      <c r="AE1344" s="146">
        <f>IF(AND(F1344="Closed",X1344&gt;=DATE(2026,6,1),X1344&lt;=DATE(2026,6,30)),"Closed in June","other")</f>
        <v/>
      </c>
    </row>
    <row r="1345" hidden="1">
      <c r="A1345" s="49" t="n">
        <v>46177</v>
      </c>
      <c r="B1345" s="1" t="n">
        <v>2026</v>
      </c>
      <c r="C1345" s="8" t="inlineStr">
        <is>
          <t>Ayana</t>
        </is>
      </c>
      <c r="D1345" s="11" t="inlineStr">
        <is>
          <t>Utility and C&amp;I</t>
        </is>
      </c>
      <c r="E1345" s="1" t="n"/>
      <c r="F1345" s="1" t="inlineStr">
        <is>
          <t>WIP</t>
        </is>
      </c>
      <c r="G1345" s="11" t="inlineStr">
        <is>
          <t>Vasu.N</t>
        </is>
      </c>
      <c r="H1345" s="8" t="n">
        <v>9578099893</v>
      </c>
      <c r="I1345" s="10" t="inlineStr">
        <is>
          <t>PE04062601</t>
        </is>
      </c>
      <c r="J1345" s="28" t="inlineStr">
        <is>
          <t>Module burnt</t>
        </is>
      </c>
      <c r="K1345" s="8" t="inlineStr">
        <is>
          <t>Jatavira</t>
        </is>
      </c>
      <c r="L1345" s="39" t="inlineStr">
        <is>
          <t>Gujarat</t>
        </is>
      </c>
      <c r="M1345" s="2" t="inlineStr">
        <is>
          <t>Both glass borking with burn spot</t>
        </is>
      </c>
      <c r="N1345" s="6" t="inlineStr">
        <is>
          <t>Glass Breakage with Burn Spot</t>
        </is>
      </c>
      <c r="O1345" s="32" t="n">
        <v>585</v>
      </c>
      <c r="P1345" s="2" t="inlineStr">
        <is>
          <t>NSMI24100568972</t>
        </is>
      </c>
      <c r="Q1345" s="29">
        <f>MID(P1345,5,2)</f>
        <v/>
      </c>
      <c r="R1345" s="14">
        <f>MID(P1345,7,2)</f>
        <v/>
      </c>
      <c r="S1345" s="6" t="inlineStr">
        <is>
          <t>G2G</t>
        </is>
      </c>
      <c r="T1345" s="1" t="inlineStr">
        <is>
          <t>P4 - PEIPL</t>
        </is>
      </c>
      <c r="U1345" s="6" t="inlineStr">
        <is>
          <t>Glass Breakage with Burn Spot</t>
        </is>
      </c>
      <c r="V1345" s="1" t="inlineStr">
        <is>
          <t>Inspection</t>
        </is>
      </c>
      <c r="W1345" s="1" t="inlineStr">
        <is>
          <t>WIP</t>
        </is>
      </c>
      <c r="X1345" s="12" t="n"/>
      <c r="Y1345" s="1">
        <f>IF(X1345="","",X1345-A1345)</f>
        <v/>
      </c>
      <c r="Z1345" s="5" t="n">
        <v>46189</v>
      </c>
      <c r="AA1345" s="3" t="n"/>
      <c r="AB1345" s="3" t="n"/>
      <c r="AE1345" s="146">
        <f>IF(AND(F1345="Closed",X1345&gt;=DATE(2026,6,1),X1345&lt;=DATE(2026,6,30)),"Closed in June","other")</f>
        <v/>
      </c>
    </row>
    <row r="1346" hidden="1">
      <c r="A1346" s="49" t="n">
        <v>46177</v>
      </c>
      <c r="B1346" s="1" t="n">
        <v>2026</v>
      </c>
      <c r="C1346" s="8" t="inlineStr">
        <is>
          <t>Ayana</t>
        </is>
      </c>
      <c r="D1346" s="11" t="inlineStr">
        <is>
          <t>Utility and C&amp;I</t>
        </is>
      </c>
      <c r="E1346" s="1" t="n"/>
      <c r="F1346" s="1" t="inlineStr">
        <is>
          <t>WIP</t>
        </is>
      </c>
      <c r="G1346" s="11" t="inlineStr">
        <is>
          <t>Vasu.N</t>
        </is>
      </c>
      <c r="H1346" s="8" t="n">
        <v>9578099893</v>
      </c>
      <c r="I1346" s="10" t="inlineStr">
        <is>
          <t>PE04062601</t>
        </is>
      </c>
      <c r="J1346" s="28" t="inlineStr">
        <is>
          <t>Module burnt</t>
        </is>
      </c>
      <c r="K1346" s="8" t="inlineStr">
        <is>
          <t>Jatavira</t>
        </is>
      </c>
      <c r="L1346" s="39" t="inlineStr">
        <is>
          <t>Gujarat</t>
        </is>
      </c>
      <c r="M1346" s="2" t="inlineStr">
        <is>
          <t>Both glass broken</t>
        </is>
      </c>
      <c r="N1346" s="6" t="inlineStr">
        <is>
          <t>Module Breakage</t>
        </is>
      </c>
      <c r="O1346" s="32" t="n">
        <v>585</v>
      </c>
      <c r="P1346" s="2" t="inlineStr">
        <is>
          <t>NSMI24100584061</t>
        </is>
      </c>
      <c r="Q1346" s="29">
        <f>MID(P1346,5,2)</f>
        <v/>
      </c>
      <c r="R1346" s="14">
        <f>MID(P1346,7,2)</f>
        <v/>
      </c>
      <c r="S1346" s="6" t="inlineStr">
        <is>
          <t>G2G</t>
        </is>
      </c>
      <c r="T1346" s="1" t="inlineStr">
        <is>
          <t>P4 - PEIPL</t>
        </is>
      </c>
      <c r="U1346" s="6" t="inlineStr">
        <is>
          <t>Glass Breakage</t>
        </is>
      </c>
      <c r="V1346" s="1" t="inlineStr">
        <is>
          <t>Inspection</t>
        </is>
      </c>
      <c r="W1346" s="1" t="inlineStr">
        <is>
          <t>WIP</t>
        </is>
      </c>
      <c r="X1346" s="12" t="n"/>
      <c r="Y1346" s="1">
        <f>IF(X1346="","",X1346-A1346)</f>
        <v/>
      </c>
      <c r="Z1346" s="5" t="n">
        <v>46189</v>
      </c>
      <c r="AA1346" s="3" t="n"/>
      <c r="AB1346" s="3" t="n"/>
      <c r="AE1346" s="146">
        <f>IF(AND(F1346="Closed",X1346&gt;=DATE(2026,6,1),X1346&lt;=DATE(2026,6,30)),"Closed in June","other")</f>
        <v/>
      </c>
    </row>
    <row r="1347" hidden="1">
      <c r="A1347" s="49" t="n">
        <v>46177</v>
      </c>
      <c r="B1347" s="1" t="n">
        <v>2026</v>
      </c>
      <c r="C1347" s="8" t="inlineStr">
        <is>
          <t>Ayana</t>
        </is>
      </c>
      <c r="D1347" s="11" t="inlineStr">
        <is>
          <t>Utility and C&amp;I</t>
        </is>
      </c>
      <c r="E1347" s="1" t="n"/>
      <c r="F1347" s="1" t="inlineStr">
        <is>
          <t>WIP</t>
        </is>
      </c>
      <c r="G1347" s="11" t="inlineStr">
        <is>
          <t>Vasu.N</t>
        </is>
      </c>
      <c r="H1347" s="8" t="n">
        <v>9578099893</v>
      </c>
      <c r="I1347" s="10" t="inlineStr">
        <is>
          <t>PE04062601</t>
        </is>
      </c>
      <c r="J1347" s="28" t="inlineStr">
        <is>
          <t>Module burnt</t>
        </is>
      </c>
      <c r="K1347" s="8" t="inlineStr">
        <is>
          <t>Jatavira</t>
        </is>
      </c>
      <c r="L1347" s="39" t="inlineStr">
        <is>
          <t>Gujarat</t>
        </is>
      </c>
      <c r="M1347" s="2" t="inlineStr">
        <is>
          <t xml:space="preserve">Burning </t>
        </is>
      </c>
      <c r="N1347" s="6" t="inlineStr">
        <is>
          <t>Module Burn</t>
        </is>
      </c>
      <c r="O1347" s="32" t="n">
        <v>585</v>
      </c>
      <c r="P1347" s="2" t="inlineStr">
        <is>
          <t>NSMI24100571302</t>
        </is>
      </c>
      <c r="Q1347" s="29">
        <f>MID(P1347,5,2)</f>
        <v/>
      </c>
      <c r="R1347" s="14">
        <f>MID(P1347,7,2)</f>
        <v/>
      </c>
      <c r="S1347" s="6" t="inlineStr">
        <is>
          <t>G2G</t>
        </is>
      </c>
      <c r="T1347" s="1" t="inlineStr">
        <is>
          <t>P4 - PEIPL</t>
        </is>
      </c>
      <c r="U1347" s="6" t="inlineStr">
        <is>
          <t>Module Burn</t>
        </is>
      </c>
      <c r="V1347" s="1" t="inlineStr">
        <is>
          <t>Inspection</t>
        </is>
      </c>
      <c r="W1347" s="1" t="inlineStr">
        <is>
          <t>WIP</t>
        </is>
      </c>
      <c r="X1347" s="12" t="n"/>
      <c r="Y1347" s="1">
        <f>IF(X1347="","",X1347-A1347)</f>
        <v/>
      </c>
      <c r="Z1347" s="5" t="n">
        <v>46189</v>
      </c>
      <c r="AA1347" s="3" t="n"/>
      <c r="AB1347" s="3" t="n"/>
      <c r="AE1347" s="146">
        <f>IF(AND(F1347="Closed",X1347&gt;=DATE(2026,6,1),X1347&lt;=DATE(2026,6,30)),"Closed in June","other")</f>
        <v/>
      </c>
    </row>
    <row r="1348" hidden="1">
      <c r="A1348" s="49" t="n">
        <v>46177</v>
      </c>
      <c r="B1348" s="1" t="n">
        <v>2026</v>
      </c>
      <c r="C1348" s="8" t="inlineStr">
        <is>
          <t>Ayana</t>
        </is>
      </c>
      <c r="D1348" s="11" t="inlineStr">
        <is>
          <t>Utility and C&amp;I</t>
        </is>
      </c>
      <c r="E1348" s="1" t="n"/>
      <c r="F1348" s="1" t="inlineStr">
        <is>
          <t>WIP</t>
        </is>
      </c>
      <c r="G1348" s="11" t="inlineStr">
        <is>
          <t>Vasu.N</t>
        </is>
      </c>
      <c r="H1348" s="8" t="n">
        <v>9578099893</v>
      </c>
      <c r="I1348" s="10" t="inlineStr">
        <is>
          <t>PE04062601</t>
        </is>
      </c>
      <c r="J1348" s="28" t="inlineStr">
        <is>
          <t>Module burnt</t>
        </is>
      </c>
      <c r="K1348" s="8" t="inlineStr">
        <is>
          <t>Jatavira</t>
        </is>
      </c>
      <c r="L1348" s="39" t="inlineStr">
        <is>
          <t>Gujarat</t>
        </is>
      </c>
      <c r="M1348" s="2" t="inlineStr">
        <is>
          <t>Both glass borking with burn spot</t>
        </is>
      </c>
      <c r="N1348" s="6" t="inlineStr">
        <is>
          <t>Glass Breakage with Burn Spot</t>
        </is>
      </c>
      <c r="O1348" s="32" t="n">
        <v>585</v>
      </c>
      <c r="P1348" s="2" t="inlineStr">
        <is>
          <t>NSMI24100571252</t>
        </is>
      </c>
      <c r="Q1348" s="29">
        <f>MID(P1348,5,2)</f>
        <v/>
      </c>
      <c r="R1348" s="14">
        <f>MID(P1348,7,2)</f>
        <v/>
      </c>
      <c r="S1348" s="6" t="inlineStr">
        <is>
          <t>G2G</t>
        </is>
      </c>
      <c r="T1348" s="1" t="inlineStr">
        <is>
          <t>P4 - PEIPL</t>
        </is>
      </c>
      <c r="U1348" s="6" t="inlineStr">
        <is>
          <t>Glass Breakage with Burn Spot</t>
        </is>
      </c>
      <c r="V1348" s="1" t="inlineStr">
        <is>
          <t>Inspection</t>
        </is>
      </c>
      <c r="W1348" s="1" t="inlineStr">
        <is>
          <t>WIP</t>
        </is>
      </c>
      <c r="X1348" s="12" t="n"/>
      <c r="Y1348" s="1">
        <f>IF(X1348="","",X1348-A1348)</f>
        <v/>
      </c>
      <c r="Z1348" s="5" t="n">
        <v>46189</v>
      </c>
      <c r="AA1348" s="3" t="n"/>
      <c r="AB1348" s="3" t="n"/>
      <c r="AE1348" s="146">
        <f>IF(AND(F1348="Closed",X1348&gt;=DATE(2026,6,1),X1348&lt;=DATE(2026,6,30)),"Closed in June","other")</f>
        <v/>
      </c>
    </row>
    <row r="1349" hidden="1">
      <c r="A1349" s="49" t="n">
        <v>46177</v>
      </c>
      <c r="B1349" s="1" t="n">
        <v>2026</v>
      </c>
      <c r="C1349" s="8" t="inlineStr">
        <is>
          <t>Ayana</t>
        </is>
      </c>
      <c r="D1349" s="11" t="inlineStr">
        <is>
          <t>Utility and C&amp;I</t>
        </is>
      </c>
      <c r="E1349" s="1" t="n"/>
      <c r="F1349" s="1" t="inlineStr">
        <is>
          <t>WIP</t>
        </is>
      </c>
      <c r="G1349" s="11" t="inlineStr">
        <is>
          <t>Vasu.N</t>
        </is>
      </c>
      <c r="H1349" s="8" t="n">
        <v>9578099893</v>
      </c>
      <c r="I1349" s="10" t="inlineStr">
        <is>
          <t>PE04062601</t>
        </is>
      </c>
      <c r="J1349" s="28" t="inlineStr">
        <is>
          <t>Module burnt</t>
        </is>
      </c>
      <c r="K1349" s="8" t="inlineStr">
        <is>
          <t>Jatavira</t>
        </is>
      </c>
      <c r="L1349" s="39" t="inlineStr">
        <is>
          <t>Gujarat</t>
        </is>
      </c>
      <c r="M1349" s="2" t="inlineStr">
        <is>
          <t xml:space="preserve">Front glass broken with burn spot </t>
        </is>
      </c>
      <c r="N1349" s="6" t="inlineStr">
        <is>
          <t>Glass Breakage with Burn Spot</t>
        </is>
      </c>
      <c r="O1349" s="32" t="n">
        <v>585</v>
      </c>
      <c r="P1349" s="2" t="inlineStr">
        <is>
          <t>NSMI24100581827</t>
        </is>
      </c>
      <c r="Q1349" s="29">
        <f>MID(P1349,5,2)</f>
        <v/>
      </c>
      <c r="R1349" s="14">
        <f>MID(P1349,7,2)</f>
        <v/>
      </c>
      <c r="S1349" s="6" t="inlineStr">
        <is>
          <t>G2G</t>
        </is>
      </c>
      <c r="T1349" s="1" t="inlineStr">
        <is>
          <t>P4 - PEIPL</t>
        </is>
      </c>
      <c r="U1349" s="6" t="inlineStr">
        <is>
          <t>Glass Breakage with Burn Spot</t>
        </is>
      </c>
      <c r="V1349" s="1" t="inlineStr">
        <is>
          <t>Inspection</t>
        </is>
      </c>
      <c r="W1349" s="1" t="inlineStr">
        <is>
          <t>WIP</t>
        </is>
      </c>
      <c r="X1349" s="12" t="n"/>
      <c r="Y1349" s="1">
        <f>IF(X1349="","",X1349-A1349)</f>
        <v/>
      </c>
      <c r="Z1349" s="5" t="n">
        <v>46189</v>
      </c>
      <c r="AA1349" s="3" t="n"/>
      <c r="AB1349" s="3" t="n"/>
      <c r="AE1349" s="146">
        <f>IF(AND(F1349="Closed",X1349&gt;=DATE(2026,6,1),X1349&lt;=DATE(2026,6,30)),"Closed in June","other")</f>
        <v/>
      </c>
    </row>
    <row r="1350" hidden="1">
      <c r="A1350" s="49" t="n">
        <v>46177</v>
      </c>
      <c r="B1350" s="1" t="n">
        <v>2026</v>
      </c>
      <c r="C1350" s="8" t="inlineStr">
        <is>
          <t>Ayana</t>
        </is>
      </c>
      <c r="D1350" s="11" t="inlineStr">
        <is>
          <t>Utility and C&amp;I</t>
        </is>
      </c>
      <c r="E1350" s="1" t="n"/>
      <c r="F1350" s="1" t="inlineStr">
        <is>
          <t>WIP</t>
        </is>
      </c>
      <c r="G1350" s="11" t="inlineStr">
        <is>
          <t>Vasu.N</t>
        </is>
      </c>
      <c r="H1350" s="8" t="n">
        <v>9578099893</v>
      </c>
      <c r="I1350" s="10" t="inlineStr">
        <is>
          <t>PE04062601</t>
        </is>
      </c>
      <c r="J1350" s="28" t="inlineStr">
        <is>
          <t>Module burnt</t>
        </is>
      </c>
      <c r="K1350" s="8" t="inlineStr">
        <is>
          <t>Jatavira</t>
        </is>
      </c>
      <c r="L1350" s="39" t="inlineStr">
        <is>
          <t>Gujarat</t>
        </is>
      </c>
      <c r="M1350" s="2" t="inlineStr">
        <is>
          <t xml:space="preserve">Burning </t>
        </is>
      </c>
      <c r="N1350" s="6" t="inlineStr">
        <is>
          <t>Module Burn</t>
        </is>
      </c>
      <c r="O1350" s="32" t="n">
        <v>585</v>
      </c>
      <c r="P1350" s="2" t="inlineStr">
        <is>
          <t>NSMI24100570244</t>
        </is>
      </c>
      <c r="Q1350" s="29">
        <f>MID(P1350,5,2)</f>
        <v/>
      </c>
      <c r="R1350" s="14">
        <f>MID(P1350,7,2)</f>
        <v/>
      </c>
      <c r="S1350" s="6" t="inlineStr">
        <is>
          <t>G2G</t>
        </is>
      </c>
      <c r="T1350" s="1" t="inlineStr">
        <is>
          <t>P4 - PEIPL</t>
        </is>
      </c>
      <c r="U1350" s="6" t="inlineStr">
        <is>
          <t>Module Burn</t>
        </is>
      </c>
      <c r="V1350" s="1" t="inlineStr">
        <is>
          <t>Inspection</t>
        </is>
      </c>
      <c r="W1350" s="1" t="inlineStr">
        <is>
          <t>WIP</t>
        </is>
      </c>
      <c r="X1350" s="12" t="n"/>
      <c r="Y1350" s="1">
        <f>IF(X1350="","",X1350-A1350)</f>
        <v/>
      </c>
      <c r="Z1350" s="5" t="n">
        <v>46189</v>
      </c>
      <c r="AA1350" s="3" t="n"/>
      <c r="AB1350" s="3" t="n"/>
      <c r="AE1350" s="146">
        <f>IF(AND(F1350="Closed",X1350&gt;=DATE(2026,6,1),X1350&lt;=DATE(2026,6,30)),"Closed in June","other")</f>
        <v/>
      </c>
    </row>
    <row r="1351" hidden="1">
      <c r="A1351" s="49" t="n">
        <v>46177</v>
      </c>
      <c r="B1351" s="1" t="n">
        <v>2026</v>
      </c>
      <c r="C1351" s="8" t="inlineStr">
        <is>
          <t>Ayana</t>
        </is>
      </c>
      <c r="D1351" s="11" t="inlineStr">
        <is>
          <t>Utility and C&amp;I</t>
        </is>
      </c>
      <c r="E1351" s="1" t="n"/>
      <c r="F1351" s="1" t="inlineStr">
        <is>
          <t>WIP</t>
        </is>
      </c>
      <c r="G1351" s="11" t="inlineStr">
        <is>
          <t>Vasu.N</t>
        </is>
      </c>
      <c r="H1351" s="8" t="n">
        <v>9578099893</v>
      </c>
      <c r="I1351" s="10" t="inlineStr">
        <is>
          <t>PE04062601</t>
        </is>
      </c>
      <c r="J1351" s="28" t="inlineStr">
        <is>
          <t>Module burnt</t>
        </is>
      </c>
      <c r="K1351" s="8" t="inlineStr">
        <is>
          <t>Jatavira</t>
        </is>
      </c>
      <c r="L1351" s="39" t="inlineStr">
        <is>
          <t>Gujarat</t>
        </is>
      </c>
      <c r="M1351" s="2" t="inlineStr">
        <is>
          <t xml:space="preserve">Burning </t>
        </is>
      </c>
      <c r="N1351" s="6" t="inlineStr">
        <is>
          <t>Module Burn</t>
        </is>
      </c>
      <c r="O1351" s="32" t="n">
        <v>585</v>
      </c>
      <c r="P1351" s="2" t="inlineStr">
        <is>
          <t>NSMI24100570174</t>
        </is>
      </c>
      <c r="Q1351" s="29">
        <f>MID(P1351,5,2)</f>
        <v/>
      </c>
      <c r="R1351" s="14">
        <f>MID(P1351,7,2)</f>
        <v/>
      </c>
      <c r="S1351" s="6" t="inlineStr">
        <is>
          <t>G2G</t>
        </is>
      </c>
      <c r="T1351" s="1" t="inlineStr">
        <is>
          <t>P4 - PEIPL</t>
        </is>
      </c>
      <c r="U1351" s="6" t="inlineStr">
        <is>
          <t>Module Burn</t>
        </is>
      </c>
      <c r="V1351" s="1" t="inlineStr">
        <is>
          <t>Inspection</t>
        </is>
      </c>
      <c r="W1351" s="1" t="inlineStr">
        <is>
          <t>WIP</t>
        </is>
      </c>
      <c r="X1351" s="12" t="n"/>
      <c r="Y1351" s="1">
        <f>IF(X1351="","",X1351-A1351)</f>
        <v/>
      </c>
      <c r="Z1351" s="5" t="n">
        <v>46189</v>
      </c>
      <c r="AA1351" s="3" t="n"/>
      <c r="AB1351" s="3" t="n"/>
      <c r="AE1351" s="146">
        <f>IF(AND(F1351="Closed",X1351&gt;=DATE(2026,6,1),X1351&lt;=DATE(2026,6,30)),"Closed in June","other")</f>
        <v/>
      </c>
    </row>
    <row r="1352" hidden="1">
      <c r="A1352" s="49" t="n">
        <v>46177</v>
      </c>
      <c r="B1352" s="1" t="n">
        <v>2026</v>
      </c>
      <c r="C1352" s="8" t="inlineStr">
        <is>
          <t>Ayana</t>
        </is>
      </c>
      <c r="D1352" s="11" t="inlineStr">
        <is>
          <t>Utility and C&amp;I</t>
        </is>
      </c>
      <c r="E1352" s="1" t="n"/>
      <c r="F1352" s="1" t="inlineStr">
        <is>
          <t>WIP</t>
        </is>
      </c>
      <c r="G1352" s="11" t="inlineStr">
        <is>
          <t>Vasu.N</t>
        </is>
      </c>
      <c r="H1352" s="8" t="n">
        <v>9578099893</v>
      </c>
      <c r="I1352" s="10" t="inlineStr">
        <is>
          <t>PE04062601</t>
        </is>
      </c>
      <c r="J1352" s="28" t="inlineStr">
        <is>
          <t>Module burnt</t>
        </is>
      </c>
      <c r="K1352" s="8" t="inlineStr">
        <is>
          <t>Jatavira</t>
        </is>
      </c>
      <c r="L1352" s="39" t="inlineStr">
        <is>
          <t>Gujarat</t>
        </is>
      </c>
      <c r="M1352" s="2" t="inlineStr">
        <is>
          <t>Both glass borking with burn spot</t>
        </is>
      </c>
      <c r="N1352" s="6" t="inlineStr">
        <is>
          <t>Glass Breakage with Burn Spot</t>
        </is>
      </c>
      <c r="O1352" s="32" t="n">
        <v>585</v>
      </c>
      <c r="P1352" s="2" t="inlineStr">
        <is>
          <t>NSMI24100569169</t>
        </is>
      </c>
      <c r="Q1352" s="29">
        <f>MID(P1352,5,2)</f>
        <v/>
      </c>
      <c r="R1352" s="14">
        <f>MID(P1352,7,2)</f>
        <v/>
      </c>
      <c r="S1352" s="6" t="inlineStr">
        <is>
          <t>G2G</t>
        </is>
      </c>
      <c r="T1352" s="1" t="inlineStr">
        <is>
          <t>P4 - PEIPL</t>
        </is>
      </c>
      <c r="U1352" s="6" t="inlineStr">
        <is>
          <t>Glass Breakage with Burn Spot</t>
        </is>
      </c>
      <c r="V1352" s="1" t="inlineStr">
        <is>
          <t>Inspection</t>
        </is>
      </c>
      <c r="W1352" s="1" t="inlineStr">
        <is>
          <t>WIP</t>
        </is>
      </c>
      <c r="X1352" s="12" t="n"/>
      <c r="Y1352" s="1">
        <f>IF(X1352="","",X1352-A1352)</f>
        <v/>
      </c>
      <c r="Z1352" s="5" t="n">
        <v>46189</v>
      </c>
      <c r="AA1352" s="3" t="n"/>
      <c r="AB1352" s="3" t="n"/>
      <c r="AE1352" s="146">
        <f>IF(AND(F1352="Closed",X1352&gt;=DATE(2026,6,1),X1352&lt;=DATE(2026,6,30)),"Closed in June","other")</f>
        <v/>
      </c>
    </row>
    <row r="1353" hidden="1">
      <c r="A1353" s="49" t="n">
        <v>46177</v>
      </c>
      <c r="B1353" s="1" t="n">
        <v>2026</v>
      </c>
      <c r="C1353" s="8" t="inlineStr">
        <is>
          <t>Ayana</t>
        </is>
      </c>
      <c r="D1353" s="11" t="inlineStr">
        <is>
          <t>Utility and C&amp;I</t>
        </is>
      </c>
      <c r="E1353" s="1" t="n"/>
      <c r="F1353" s="1" t="inlineStr">
        <is>
          <t>WIP</t>
        </is>
      </c>
      <c r="G1353" s="11" t="inlineStr">
        <is>
          <t>Vasu.N</t>
        </is>
      </c>
      <c r="H1353" s="8" t="n">
        <v>9578099893</v>
      </c>
      <c r="I1353" s="10" t="inlineStr">
        <is>
          <t>PE04062601</t>
        </is>
      </c>
      <c r="J1353" s="28" t="inlineStr">
        <is>
          <t>Module burnt</t>
        </is>
      </c>
      <c r="K1353" s="8" t="inlineStr">
        <is>
          <t>Jatavira</t>
        </is>
      </c>
      <c r="L1353" s="39" t="inlineStr">
        <is>
          <t>Gujarat</t>
        </is>
      </c>
      <c r="M1353" s="2" t="inlineStr">
        <is>
          <t xml:space="preserve">Back glass broken </t>
        </is>
      </c>
      <c r="N1353" s="6" t="inlineStr">
        <is>
          <t>Module Breakage</t>
        </is>
      </c>
      <c r="O1353" s="32" t="n">
        <v>585</v>
      </c>
      <c r="P1353" s="2" t="inlineStr">
        <is>
          <t>NSMI24100581155</t>
        </is>
      </c>
      <c r="Q1353" s="29">
        <f>MID(P1353,5,2)</f>
        <v/>
      </c>
      <c r="R1353" s="14">
        <f>MID(P1353,7,2)</f>
        <v/>
      </c>
      <c r="S1353" s="6" t="inlineStr">
        <is>
          <t>G2G</t>
        </is>
      </c>
      <c r="T1353" s="1" t="inlineStr">
        <is>
          <t>P4 - PEIPL</t>
        </is>
      </c>
      <c r="U1353" s="6" t="inlineStr">
        <is>
          <t>Glass Breakage</t>
        </is>
      </c>
      <c r="V1353" s="1" t="inlineStr">
        <is>
          <t>Inspection</t>
        </is>
      </c>
      <c r="W1353" s="1" t="inlineStr">
        <is>
          <t>WIP</t>
        </is>
      </c>
      <c r="X1353" s="12" t="n"/>
      <c r="Y1353" s="1">
        <f>IF(X1353="","",X1353-A1353)</f>
        <v/>
      </c>
      <c r="Z1353" s="5" t="n">
        <v>46189</v>
      </c>
      <c r="AA1353" s="3" t="n"/>
      <c r="AB1353" s="3" t="n"/>
      <c r="AE1353" s="146">
        <f>IF(AND(F1353="Closed",X1353&gt;=DATE(2026,6,1),X1353&lt;=DATE(2026,6,30)),"Closed in June","other")</f>
        <v/>
      </c>
    </row>
    <row r="1354" hidden="1">
      <c r="A1354" s="49" t="n">
        <v>46177</v>
      </c>
      <c r="B1354" s="1" t="n">
        <v>2026</v>
      </c>
      <c r="C1354" s="8" t="inlineStr">
        <is>
          <t>Ayana</t>
        </is>
      </c>
      <c r="D1354" s="11" t="inlineStr">
        <is>
          <t>Utility and C&amp;I</t>
        </is>
      </c>
      <c r="E1354" s="1" t="n"/>
      <c r="F1354" s="1" t="inlineStr">
        <is>
          <t>WIP</t>
        </is>
      </c>
      <c r="G1354" s="11" t="inlineStr">
        <is>
          <t>Vasu.N</t>
        </is>
      </c>
      <c r="H1354" s="8" t="n">
        <v>9578099893</v>
      </c>
      <c r="I1354" s="10" t="inlineStr">
        <is>
          <t>PE04062601</t>
        </is>
      </c>
      <c r="J1354" s="28" t="inlineStr">
        <is>
          <t>Module burnt</t>
        </is>
      </c>
      <c r="K1354" s="8" t="inlineStr">
        <is>
          <t>Jatavira</t>
        </is>
      </c>
      <c r="L1354" s="39" t="inlineStr">
        <is>
          <t>Gujarat</t>
        </is>
      </c>
      <c r="M1354" s="2" t="inlineStr">
        <is>
          <t>Both glass borking with burn spot</t>
        </is>
      </c>
      <c r="N1354" s="6" t="inlineStr">
        <is>
          <t>Glass Breakage with Burn Spot</t>
        </is>
      </c>
      <c r="O1354" s="32" t="n">
        <v>585</v>
      </c>
      <c r="P1354" s="2" t="inlineStr">
        <is>
          <t>NSMI24100561953</t>
        </is>
      </c>
      <c r="Q1354" s="29">
        <f>MID(P1354,5,2)</f>
        <v/>
      </c>
      <c r="R1354" s="14">
        <f>MID(P1354,7,2)</f>
        <v/>
      </c>
      <c r="S1354" s="6" t="inlineStr">
        <is>
          <t>G2G</t>
        </is>
      </c>
      <c r="T1354" s="1" t="inlineStr">
        <is>
          <t>P4 - PEIPL</t>
        </is>
      </c>
      <c r="U1354" s="6" t="inlineStr">
        <is>
          <t>Glass Breakage with Burn Spot</t>
        </is>
      </c>
      <c r="V1354" s="1" t="inlineStr">
        <is>
          <t>Inspection</t>
        </is>
      </c>
      <c r="W1354" s="1" t="inlineStr">
        <is>
          <t>WIP</t>
        </is>
      </c>
      <c r="X1354" s="12" t="n"/>
      <c r="Y1354" s="1">
        <f>IF(X1354="","",X1354-A1354)</f>
        <v/>
      </c>
      <c r="Z1354" s="5" t="n">
        <v>46189</v>
      </c>
      <c r="AA1354" s="3" t="n"/>
      <c r="AB1354" s="3" t="n"/>
      <c r="AE1354" s="146">
        <f>IF(AND(F1354="Closed",X1354&gt;=DATE(2026,6,1),X1354&lt;=DATE(2026,6,30)),"Closed in June","other")</f>
        <v/>
      </c>
    </row>
    <row r="1355" hidden="1">
      <c r="A1355" s="49" t="n">
        <v>46177</v>
      </c>
      <c r="B1355" s="1" t="n">
        <v>2026</v>
      </c>
      <c r="C1355" s="8" t="inlineStr">
        <is>
          <t>Ayana</t>
        </is>
      </c>
      <c r="D1355" s="11" t="inlineStr">
        <is>
          <t>Utility and C&amp;I</t>
        </is>
      </c>
      <c r="E1355" s="1" t="n"/>
      <c r="F1355" s="1" t="inlineStr">
        <is>
          <t>WIP</t>
        </is>
      </c>
      <c r="G1355" s="11" t="inlineStr">
        <is>
          <t>Vasu.N</t>
        </is>
      </c>
      <c r="H1355" s="8" t="n">
        <v>9578099893</v>
      </c>
      <c r="I1355" s="10" t="inlineStr">
        <is>
          <t>PE04062601</t>
        </is>
      </c>
      <c r="J1355" s="28" t="inlineStr">
        <is>
          <t>Module burnt</t>
        </is>
      </c>
      <c r="K1355" s="8" t="inlineStr">
        <is>
          <t>Jatavira</t>
        </is>
      </c>
      <c r="L1355" s="39" t="inlineStr">
        <is>
          <t>Gujarat</t>
        </is>
      </c>
      <c r="M1355" s="2" t="inlineStr">
        <is>
          <t>Both glass borking with burn spot</t>
        </is>
      </c>
      <c r="N1355" s="6" t="inlineStr">
        <is>
          <t>Glass Breakage with Burn Spot</t>
        </is>
      </c>
      <c r="O1355" s="32" t="n">
        <v>585</v>
      </c>
      <c r="P1355" s="2" t="inlineStr">
        <is>
          <t>NSMI24100584626</t>
        </is>
      </c>
      <c r="Q1355" s="29">
        <f>MID(P1355,5,2)</f>
        <v/>
      </c>
      <c r="R1355" s="14">
        <f>MID(P1355,7,2)</f>
        <v/>
      </c>
      <c r="S1355" s="6" t="inlineStr">
        <is>
          <t>G2G</t>
        </is>
      </c>
      <c r="T1355" s="1" t="inlineStr">
        <is>
          <t>P4 - PEIPL</t>
        </is>
      </c>
      <c r="U1355" s="6" t="inlineStr">
        <is>
          <t>Glass Breakage with Burn Spot</t>
        </is>
      </c>
      <c r="V1355" s="1" t="inlineStr">
        <is>
          <t>Inspection</t>
        </is>
      </c>
      <c r="W1355" s="1" t="inlineStr">
        <is>
          <t>WIP</t>
        </is>
      </c>
      <c r="X1355" s="12" t="n"/>
      <c r="Y1355" s="1">
        <f>IF(X1355="","",X1355-A1355)</f>
        <v/>
      </c>
      <c r="Z1355" s="5" t="n">
        <v>46189</v>
      </c>
      <c r="AA1355" s="3" t="n"/>
      <c r="AB1355" s="3" t="n"/>
      <c r="AE1355" s="146">
        <f>IF(AND(F1355="Closed",X1355&gt;=DATE(2026,6,1),X1355&lt;=DATE(2026,6,30)),"Closed in June","other")</f>
        <v/>
      </c>
    </row>
    <row r="1356" hidden="1">
      <c r="A1356" s="49" t="n">
        <v>46177</v>
      </c>
      <c r="B1356" s="1" t="n">
        <v>2026</v>
      </c>
      <c r="C1356" s="8" t="inlineStr">
        <is>
          <t>Ayana</t>
        </is>
      </c>
      <c r="D1356" s="11" t="inlineStr">
        <is>
          <t>Utility and C&amp;I</t>
        </is>
      </c>
      <c r="E1356" s="1" t="n"/>
      <c r="F1356" s="1" t="inlineStr">
        <is>
          <t>WIP</t>
        </is>
      </c>
      <c r="G1356" s="11" t="inlineStr">
        <is>
          <t>Vasu.N</t>
        </is>
      </c>
      <c r="H1356" s="8" t="n">
        <v>9578099893</v>
      </c>
      <c r="I1356" s="10" t="inlineStr">
        <is>
          <t>PE04062601</t>
        </is>
      </c>
      <c r="J1356" s="28" t="inlineStr">
        <is>
          <t>Module burnt</t>
        </is>
      </c>
      <c r="K1356" s="8" t="inlineStr">
        <is>
          <t>Jatavira</t>
        </is>
      </c>
      <c r="L1356" s="39" t="inlineStr">
        <is>
          <t>Gujarat</t>
        </is>
      </c>
      <c r="M1356" s="2" t="inlineStr">
        <is>
          <t>Both glass broken</t>
        </is>
      </c>
      <c r="N1356" s="6" t="inlineStr">
        <is>
          <t>Module Breakage</t>
        </is>
      </c>
      <c r="O1356" s="32" t="n">
        <v>585</v>
      </c>
      <c r="P1356" s="2" t="inlineStr">
        <is>
          <t>NSMI24090430647</t>
        </is>
      </c>
      <c r="Q1356" s="29">
        <f>MID(P1356,5,2)</f>
        <v/>
      </c>
      <c r="R1356" s="14">
        <f>MID(P1356,7,2)</f>
        <v/>
      </c>
      <c r="S1356" s="6" t="inlineStr">
        <is>
          <t>G2G</t>
        </is>
      </c>
      <c r="T1356" s="1" t="inlineStr">
        <is>
          <t>P4 - PEIPL</t>
        </is>
      </c>
      <c r="U1356" s="6" t="inlineStr">
        <is>
          <t>Glass Breakage</t>
        </is>
      </c>
      <c r="V1356" s="1" t="inlineStr">
        <is>
          <t>Inspection</t>
        </is>
      </c>
      <c r="W1356" s="1" t="inlineStr">
        <is>
          <t>WIP</t>
        </is>
      </c>
      <c r="X1356" s="12" t="n"/>
      <c r="Y1356" s="1">
        <f>IF(X1356="","",X1356-A1356)</f>
        <v/>
      </c>
      <c r="Z1356" s="5" t="n">
        <v>46189</v>
      </c>
      <c r="AA1356" s="3" t="n"/>
      <c r="AB1356" s="3" t="n"/>
      <c r="AE1356" s="146">
        <f>IF(AND(F1356="Closed",X1356&gt;=DATE(2026,6,1),X1356&lt;=DATE(2026,6,30)),"Closed in June","other")</f>
        <v/>
      </c>
    </row>
    <row r="1357" hidden="1">
      <c r="A1357" s="49" t="n">
        <v>46177</v>
      </c>
      <c r="B1357" s="1" t="n">
        <v>2026</v>
      </c>
      <c r="C1357" s="8" t="inlineStr">
        <is>
          <t>Ayana</t>
        </is>
      </c>
      <c r="D1357" s="11" t="inlineStr">
        <is>
          <t>Utility and C&amp;I</t>
        </is>
      </c>
      <c r="E1357" s="1" t="n"/>
      <c r="F1357" s="1" t="inlineStr">
        <is>
          <t>WIP</t>
        </is>
      </c>
      <c r="G1357" s="11" t="inlineStr">
        <is>
          <t>Vasu.N</t>
        </is>
      </c>
      <c r="H1357" s="8" t="n">
        <v>9578099893</v>
      </c>
      <c r="I1357" s="10" t="inlineStr">
        <is>
          <t>PE04062601</t>
        </is>
      </c>
      <c r="J1357" s="28" t="inlineStr">
        <is>
          <t>Module burnt</t>
        </is>
      </c>
      <c r="K1357" s="8" t="inlineStr">
        <is>
          <t>Jatavira</t>
        </is>
      </c>
      <c r="L1357" s="39" t="inlineStr">
        <is>
          <t>Gujarat</t>
        </is>
      </c>
      <c r="M1357" s="2" t="inlineStr">
        <is>
          <t xml:space="preserve">Front glass broken with burn spot </t>
        </is>
      </c>
      <c r="N1357" s="6" t="inlineStr">
        <is>
          <t>Glass Breakage with Burn Spot</t>
        </is>
      </c>
      <c r="O1357" s="32" t="n">
        <v>585</v>
      </c>
      <c r="P1357" s="2" t="inlineStr">
        <is>
          <t>NSMI24090465845</t>
        </is>
      </c>
      <c r="Q1357" s="29">
        <f>MID(P1357,5,2)</f>
        <v/>
      </c>
      <c r="R1357" s="14">
        <f>MID(P1357,7,2)</f>
        <v/>
      </c>
      <c r="S1357" s="6" t="inlineStr">
        <is>
          <t>G2G</t>
        </is>
      </c>
      <c r="T1357" s="1" t="inlineStr">
        <is>
          <t>P4 - PEIPL</t>
        </is>
      </c>
      <c r="U1357" s="6" t="inlineStr">
        <is>
          <t>Glass Breakage with Burn Spot</t>
        </is>
      </c>
      <c r="V1357" s="1" t="inlineStr">
        <is>
          <t>Inspection</t>
        </is>
      </c>
      <c r="W1357" s="1" t="inlineStr">
        <is>
          <t>WIP</t>
        </is>
      </c>
      <c r="X1357" s="12" t="n"/>
      <c r="Y1357" s="1">
        <f>IF(X1357="","",X1357-A1357)</f>
        <v/>
      </c>
      <c r="Z1357" s="5" t="n">
        <v>46189</v>
      </c>
      <c r="AA1357" s="3" t="n"/>
      <c r="AB1357" s="3" t="n"/>
      <c r="AE1357" s="146">
        <f>IF(AND(F1357="Closed",X1357&gt;=DATE(2026,6,1),X1357&lt;=DATE(2026,6,30)),"Closed in June","other")</f>
        <v/>
      </c>
    </row>
    <row r="1358" hidden="1">
      <c r="A1358" s="49" t="n">
        <v>46177</v>
      </c>
      <c r="B1358" s="1" t="n">
        <v>2026</v>
      </c>
      <c r="C1358" s="8" t="inlineStr">
        <is>
          <t>Ayana</t>
        </is>
      </c>
      <c r="D1358" s="11" t="inlineStr">
        <is>
          <t>Utility and C&amp;I</t>
        </is>
      </c>
      <c r="E1358" s="1" t="n"/>
      <c r="F1358" s="1" t="inlineStr">
        <is>
          <t>WIP</t>
        </is>
      </c>
      <c r="G1358" s="11" t="inlineStr">
        <is>
          <t>Vasu.N</t>
        </is>
      </c>
      <c r="H1358" s="8" t="n">
        <v>9578099893</v>
      </c>
      <c r="I1358" s="10" t="inlineStr">
        <is>
          <t>PE04062601</t>
        </is>
      </c>
      <c r="J1358" s="28" t="inlineStr">
        <is>
          <t>Module burnt</t>
        </is>
      </c>
      <c r="K1358" s="8" t="inlineStr">
        <is>
          <t>Jatavira</t>
        </is>
      </c>
      <c r="L1358" s="39" t="inlineStr">
        <is>
          <t>Gujarat</t>
        </is>
      </c>
      <c r="M1358" s="2" t="inlineStr">
        <is>
          <t xml:space="preserve">Back glass broken </t>
        </is>
      </c>
      <c r="N1358" s="6" t="inlineStr">
        <is>
          <t>Module Breakage</t>
        </is>
      </c>
      <c r="O1358" s="32" t="n">
        <v>585</v>
      </c>
      <c r="P1358" s="2" t="inlineStr">
        <is>
          <t>NSMI24090504066</t>
        </is>
      </c>
      <c r="Q1358" s="29">
        <f>MID(P1358,5,2)</f>
        <v/>
      </c>
      <c r="R1358" s="14">
        <f>MID(P1358,7,2)</f>
        <v/>
      </c>
      <c r="S1358" s="6" t="inlineStr">
        <is>
          <t>G2G</t>
        </is>
      </c>
      <c r="T1358" s="1" t="inlineStr">
        <is>
          <t>P4 - PEIPL</t>
        </is>
      </c>
      <c r="U1358" s="6" t="inlineStr">
        <is>
          <t>Glass Breakage</t>
        </is>
      </c>
      <c r="V1358" s="1" t="inlineStr">
        <is>
          <t>Inspection</t>
        </is>
      </c>
      <c r="W1358" s="1" t="inlineStr">
        <is>
          <t>WIP</t>
        </is>
      </c>
      <c r="X1358" s="12" t="n"/>
      <c r="Y1358" s="1">
        <f>IF(X1358="","",X1358-A1358)</f>
        <v/>
      </c>
      <c r="Z1358" s="5" t="n">
        <v>46189</v>
      </c>
      <c r="AA1358" s="3" t="n"/>
      <c r="AB1358" s="3" t="n"/>
      <c r="AE1358" s="146">
        <f>IF(AND(F1358="Closed",X1358&gt;=DATE(2026,6,1),X1358&lt;=DATE(2026,6,30)),"Closed in June","other")</f>
        <v/>
      </c>
    </row>
    <row r="1359" hidden="1">
      <c r="A1359" s="49" t="n">
        <v>46177</v>
      </c>
      <c r="B1359" s="1" t="n">
        <v>2026</v>
      </c>
      <c r="C1359" s="8" t="inlineStr">
        <is>
          <t>Ayana</t>
        </is>
      </c>
      <c r="D1359" s="11" t="inlineStr">
        <is>
          <t>Utility and C&amp;I</t>
        </is>
      </c>
      <c r="E1359" s="1" t="n"/>
      <c r="F1359" s="1" t="inlineStr">
        <is>
          <t>WIP</t>
        </is>
      </c>
      <c r="G1359" s="11" t="inlineStr">
        <is>
          <t>Vasu.N</t>
        </is>
      </c>
      <c r="H1359" s="8" t="n">
        <v>9578099893</v>
      </c>
      <c r="I1359" s="10" t="inlineStr">
        <is>
          <t>PE04062601</t>
        </is>
      </c>
      <c r="J1359" s="28" t="inlineStr">
        <is>
          <t>Module burnt</t>
        </is>
      </c>
      <c r="K1359" s="8" t="inlineStr">
        <is>
          <t>Jatavira</t>
        </is>
      </c>
      <c r="L1359" s="39" t="inlineStr">
        <is>
          <t>Gujarat</t>
        </is>
      </c>
      <c r="M1359" s="2" t="inlineStr">
        <is>
          <t>Both glass broken</t>
        </is>
      </c>
      <c r="N1359" s="6" t="inlineStr">
        <is>
          <t>Module Breakage</t>
        </is>
      </c>
      <c r="O1359" s="32" t="n">
        <v>585</v>
      </c>
      <c r="P1359" s="2" t="inlineStr">
        <is>
          <t>NSMI24090504061</t>
        </is>
      </c>
      <c r="Q1359" s="29">
        <f>MID(P1359,5,2)</f>
        <v/>
      </c>
      <c r="R1359" s="14">
        <f>MID(P1359,7,2)</f>
        <v/>
      </c>
      <c r="S1359" s="6" t="inlineStr">
        <is>
          <t>G2G</t>
        </is>
      </c>
      <c r="T1359" s="1" t="inlineStr">
        <is>
          <t>P4 - PEIPL</t>
        </is>
      </c>
      <c r="U1359" s="6" t="inlineStr">
        <is>
          <t>Glass Breakage</t>
        </is>
      </c>
      <c r="V1359" s="1" t="inlineStr">
        <is>
          <t>Inspection</t>
        </is>
      </c>
      <c r="W1359" s="1" t="inlineStr">
        <is>
          <t>WIP</t>
        </is>
      </c>
      <c r="X1359" s="12" t="n"/>
      <c r="Y1359" s="1">
        <f>IF(X1359="","",X1359-A1359)</f>
        <v/>
      </c>
      <c r="Z1359" s="5" t="n">
        <v>46189</v>
      </c>
      <c r="AA1359" s="3" t="n"/>
      <c r="AB1359" s="3" t="n"/>
      <c r="AE1359" s="146">
        <f>IF(AND(F1359="Closed",X1359&gt;=DATE(2026,6,1),X1359&lt;=DATE(2026,6,30)),"Closed in June","other")</f>
        <v/>
      </c>
    </row>
    <row r="1360" hidden="1">
      <c r="A1360" s="49" t="n">
        <v>46177</v>
      </c>
      <c r="B1360" s="1" t="n">
        <v>2026</v>
      </c>
      <c r="C1360" s="8" t="inlineStr">
        <is>
          <t>Ayana</t>
        </is>
      </c>
      <c r="D1360" s="11" t="inlineStr">
        <is>
          <t>Utility and C&amp;I</t>
        </is>
      </c>
      <c r="E1360" s="1" t="n"/>
      <c r="F1360" s="1" t="inlineStr">
        <is>
          <t>WIP</t>
        </is>
      </c>
      <c r="G1360" s="11" t="inlineStr">
        <is>
          <t>Vasu.N</t>
        </is>
      </c>
      <c r="H1360" s="8" t="n">
        <v>9578099893</v>
      </c>
      <c r="I1360" s="10" t="inlineStr">
        <is>
          <t>PE04062601</t>
        </is>
      </c>
      <c r="J1360" s="28" t="inlineStr">
        <is>
          <t>Module burnt</t>
        </is>
      </c>
      <c r="K1360" s="8" t="inlineStr">
        <is>
          <t>Jatavira</t>
        </is>
      </c>
      <c r="L1360" s="39" t="inlineStr">
        <is>
          <t>Gujarat</t>
        </is>
      </c>
      <c r="M1360" s="2" t="inlineStr">
        <is>
          <t xml:space="preserve">Front glass broken with burn spot </t>
        </is>
      </c>
      <c r="N1360" s="6" t="inlineStr">
        <is>
          <t>Glass Breakage with Burn Spot</t>
        </is>
      </c>
      <c r="O1360" s="32" t="n">
        <v>585</v>
      </c>
      <c r="P1360" s="2" t="inlineStr">
        <is>
          <t>NSMI24090431070</t>
        </is>
      </c>
      <c r="Q1360" s="29">
        <f>MID(P1360,5,2)</f>
        <v/>
      </c>
      <c r="R1360" s="14">
        <f>MID(P1360,7,2)</f>
        <v/>
      </c>
      <c r="S1360" s="6" t="inlineStr">
        <is>
          <t>G2G</t>
        </is>
      </c>
      <c r="T1360" s="1" t="inlineStr">
        <is>
          <t>P4 - PEIPL</t>
        </is>
      </c>
      <c r="U1360" s="6" t="inlineStr">
        <is>
          <t>Glass Breakage with Burn Spot</t>
        </is>
      </c>
      <c r="V1360" s="1" t="inlineStr">
        <is>
          <t>Inspection</t>
        </is>
      </c>
      <c r="W1360" s="1" t="inlineStr">
        <is>
          <t>WIP</t>
        </is>
      </c>
      <c r="X1360" s="12" t="n"/>
      <c r="Y1360" s="1">
        <f>IF(X1360="","",X1360-A1360)</f>
        <v/>
      </c>
      <c r="Z1360" s="5" t="n">
        <v>46189</v>
      </c>
      <c r="AA1360" s="3" t="n"/>
      <c r="AB1360" s="3" t="n"/>
      <c r="AE1360" s="146">
        <f>IF(AND(F1360="Closed",X1360&gt;=DATE(2026,6,1),X1360&lt;=DATE(2026,6,30)),"Closed in June","other")</f>
        <v/>
      </c>
    </row>
    <row r="1361" hidden="1">
      <c r="A1361" s="49" t="n">
        <v>46177</v>
      </c>
      <c r="B1361" s="1" t="n">
        <v>2026</v>
      </c>
      <c r="C1361" s="8" t="inlineStr">
        <is>
          <t>Ayana</t>
        </is>
      </c>
      <c r="D1361" s="11" t="inlineStr">
        <is>
          <t>Utility and C&amp;I</t>
        </is>
      </c>
      <c r="E1361" s="1" t="n"/>
      <c r="F1361" s="1" t="inlineStr">
        <is>
          <t>WIP</t>
        </is>
      </c>
      <c r="G1361" s="11" t="inlineStr">
        <is>
          <t>Vasu.N</t>
        </is>
      </c>
      <c r="H1361" s="8" t="n">
        <v>9578099893</v>
      </c>
      <c r="I1361" s="10" t="inlineStr">
        <is>
          <t>PE04062601</t>
        </is>
      </c>
      <c r="J1361" s="28" t="inlineStr">
        <is>
          <t>Module burnt</t>
        </is>
      </c>
      <c r="K1361" s="8" t="inlineStr">
        <is>
          <t>Jatavira</t>
        </is>
      </c>
      <c r="L1361" s="39" t="inlineStr">
        <is>
          <t>Gujarat</t>
        </is>
      </c>
      <c r="M1361" s="2" t="inlineStr">
        <is>
          <t xml:space="preserve">Front glass broken with burn spot </t>
        </is>
      </c>
      <c r="N1361" s="6" t="inlineStr">
        <is>
          <t>Glass Breakage with Burn Spot</t>
        </is>
      </c>
      <c r="O1361" s="32" t="n">
        <v>585</v>
      </c>
      <c r="P1361" s="2" t="inlineStr">
        <is>
          <t>NSMI24090486994</t>
        </is>
      </c>
      <c r="Q1361" s="29">
        <f>MID(P1361,5,2)</f>
        <v/>
      </c>
      <c r="R1361" s="14">
        <f>MID(P1361,7,2)</f>
        <v/>
      </c>
      <c r="S1361" s="6" t="inlineStr">
        <is>
          <t>G2G</t>
        </is>
      </c>
      <c r="T1361" s="1" t="inlineStr">
        <is>
          <t>P4 - PEIPL</t>
        </is>
      </c>
      <c r="U1361" s="6" t="inlineStr">
        <is>
          <t>Glass Breakage with Burn Spot</t>
        </is>
      </c>
      <c r="V1361" s="1" t="inlineStr">
        <is>
          <t>Inspection</t>
        </is>
      </c>
      <c r="W1361" s="1" t="inlineStr">
        <is>
          <t>WIP</t>
        </is>
      </c>
      <c r="X1361" s="12" t="n"/>
      <c r="Y1361" s="1">
        <f>IF(X1361="","",X1361-A1361)</f>
        <v/>
      </c>
      <c r="Z1361" s="5" t="n">
        <v>46189</v>
      </c>
      <c r="AA1361" s="3" t="n"/>
      <c r="AB1361" s="3" t="n"/>
      <c r="AE1361" s="146">
        <f>IF(AND(F1361="Closed",X1361&gt;=DATE(2026,6,1),X1361&lt;=DATE(2026,6,30)),"Closed in June","other")</f>
        <v/>
      </c>
    </row>
    <row r="1362" hidden="1">
      <c r="A1362" s="49" t="n">
        <v>46177</v>
      </c>
      <c r="B1362" s="1" t="n">
        <v>2026</v>
      </c>
      <c r="C1362" s="8" t="inlineStr">
        <is>
          <t>Ayana</t>
        </is>
      </c>
      <c r="D1362" s="11" t="inlineStr">
        <is>
          <t>Utility and C&amp;I</t>
        </is>
      </c>
      <c r="E1362" s="1" t="n"/>
      <c r="F1362" s="1" t="inlineStr">
        <is>
          <t>WIP</t>
        </is>
      </c>
      <c r="G1362" s="11" t="inlineStr">
        <is>
          <t>Vasu.N</t>
        </is>
      </c>
      <c r="H1362" s="8" t="n">
        <v>9578099893</v>
      </c>
      <c r="I1362" s="10" t="inlineStr">
        <is>
          <t>PE04062601</t>
        </is>
      </c>
      <c r="J1362" s="28" t="inlineStr">
        <is>
          <t>Module burnt</t>
        </is>
      </c>
      <c r="K1362" s="8" t="inlineStr">
        <is>
          <t>Jatavira</t>
        </is>
      </c>
      <c r="L1362" s="39" t="inlineStr">
        <is>
          <t>Gujarat</t>
        </is>
      </c>
      <c r="M1362" s="2" t="inlineStr">
        <is>
          <t xml:space="preserve">Burning </t>
        </is>
      </c>
      <c r="N1362" s="6" t="inlineStr">
        <is>
          <t>Module Burn</t>
        </is>
      </c>
      <c r="O1362" s="32" t="n">
        <v>585</v>
      </c>
      <c r="P1362" s="2" t="inlineStr">
        <is>
          <t>NSMI24100585218</t>
        </is>
      </c>
      <c r="Q1362" s="29">
        <f>MID(P1362,5,2)</f>
        <v/>
      </c>
      <c r="R1362" s="14">
        <f>MID(P1362,7,2)</f>
        <v/>
      </c>
      <c r="S1362" s="6" t="inlineStr">
        <is>
          <t>G2G</t>
        </is>
      </c>
      <c r="T1362" s="1" t="inlineStr">
        <is>
          <t>P4 - PEIPL</t>
        </is>
      </c>
      <c r="U1362" s="6" t="inlineStr">
        <is>
          <t>Module Burn</t>
        </is>
      </c>
      <c r="V1362" s="1" t="inlineStr">
        <is>
          <t>Inspection</t>
        </is>
      </c>
      <c r="W1362" s="1" t="inlineStr">
        <is>
          <t>WIP</t>
        </is>
      </c>
      <c r="X1362" s="12" t="n"/>
      <c r="Y1362" s="1">
        <f>IF(X1362="","",X1362-A1362)</f>
        <v/>
      </c>
      <c r="Z1362" s="5" t="n">
        <v>46189</v>
      </c>
      <c r="AA1362" s="3" t="n"/>
      <c r="AB1362" s="3" t="n"/>
      <c r="AE1362" s="146">
        <f>IF(AND(F1362="Closed",X1362&gt;=DATE(2026,6,1),X1362&lt;=DATE(2026,6,30)),"Closed in June","other")</f>
        <v/>
      </c>
    </row>
    <row r="1363" hidden="1">
      <c r="A1363" s="49" t="n">
        <v>46177</v>
      </c>
      <c r="B1363" s="1" t="n">
        <v>2026</v>
      </c>
      <c r="C1363" s="8" t="inlineStr">
        <is>
          <t>Ayana</t>
        </is>
      </c>
      <c r="D1363" s="11" t="inlineStr">
        <is>
          <t>Utility and C&amp;I</t>
        </is>
      </c>
      <c r="E1363" s="1" t="n"/>
      <c r="F1363" s="1" t="inlineStr">
        <is>
          <t>WIP</t>
        </is>
      </c>
      <c r="G1363" s="11" t="inlineStr">
        <is>
          <t>Vasu.N</t>
        </is>
      </c>
      <c r="H1363" s="8" t="n">
        <v>9578099893</v>
      </c>
      <c r="I1363" s="10" t="inlineStr">
        <is>
          <t>PE04062601</t>
        </is>
      </c>
      <c r="J1363" s="28" t="inlineStr">
        <is>
          <t>Module burnt</t>
        </is>
      </c>
      <c r="K1363" s="8" t="inlineStr">
        <is>
          <t>Jatavira</t>
        </is>
      </c>
      <c r="L1363" s="39" t="inlineStr">
        <is>
          <t>Gujarat</t>
        </is>
      </c>
      <c r="M1363" s="2" t="inlineStr">
        <is>
          <t>Both glass borking with burn spot</t>
        </is>
      </c>
      <c r="N1363" s="6" t="inlineStr">
        <is>
          <t>Glass Breakage with Burn Spot</t>
        </is>
      </c>
      <c r="O1363" s="32" t="n">
        <v>585</v>
      </c>
      <c r="P1363" s="2" t="inlineStr">
        <is>
          <t>NSMI24100580394</t>
        </is>
      </c>
      <c r="Q1363" s="29">
        <f>MID(P1363,5,2)</f>
        <v/>
      </c>
      <c r="R1363" s="14">
        <f>MID(P1363,7,2)</f>
        <v/>
      </c>
      <c r="S1363" s="6" t="inlineStr">
        <is>
          <t>G2G</t>
        </is>
      </c>
      <c r="T1363" s="1" t="inlineStr">
        <is>
          <t>P4 - PEIPL</t>
        </is>
      </c>
      <c r="U1363" s="6" t="inlineStr">
        <is>
          <t>Glass Breakage with Burn Spot</t>
        </is>
      </c>
      <c r="V1363" s="1" t="inlineStr">
        <is>
          <t>Inspection</t>
        </is>
      </c>
      <c r="W1363" s="1" t="inlineStr">
        <is>
          <t>WIP</t>
        </is>
      </c>
      <c r="X1363" s="12" t="n"/>
      <c r="Y1363" s="1">
        <f>IF(X1363="","",X1363-A1363)</f>
        <v/>
      </c>
      <c r="Z1363" s="5" t="n">
        <v>46189</v>
      </c>
      <c r="AA1363" s="3" t="n"/>
      <c r="AB1363" s="3" t="n"/>
      <c r="AE1363" s="146">
        <f>IF(AND(F1363="Closed",X1363&gt;=DATE(2026,6,1),X1363&lt;=DATE(2026,6,30)),"Closed in June","other")</f>
        <v/>
      </c>
    </row>
    <row r="1364" hidden="1">
      <c r="A1364" s="49" t="n">
        <v>46177</v>
      </c>
      <c r="B1364" s="1" t="n">
        <v>2026</v>
      </c>
      <c r="C1364" s="8" t="inlineStr">
        <is>
          <t>Ayana</t>
        </is>
      </c>
      <c r="D1364" s="11" t="inlineStr">
        <is>
          <t>Utility and C&amp;I</t>
        </is>
      </c>
      <c r="E1364" s="1" t="n"/>
      <c r="F1364" s="1" t="inlineStr">
        <is>
          <t>WIP</t>
        </is>
      </c>
      <c r="G1364" s="11" t="inlineStr">
        <is>
          <t>Vasu.N</t>
        </is>
      </c>
      <c r="H1364" s="8" t="n">
        <v>9578099893</v>
      </c>
      <c r="I1364" s="10" t="inlineStr">
        <is>
          <t>PE04062601</t>
        </is>
      </c>
      <c r="J1364" s="28" t="inlineStr">
        <is>
          <t>Module burnt</t>
        </is>
      </c>
      <c r="K1364" s="8" t="inlineStr">
        <is>
          <t>Jatavira</t>
        </is>
      </c>
      <c r="L1364" s="39" t="inlineStr">
        <is>
          <t>Gujarat</t>
        </is>
      </c>
      <c r="M1364" s="2" t="inlineStr">
        <is>
          <t xml:space="preserve">Both glass broken with burn spot </t>
        </is>
      </c>
      <c r="N1364" s="6" t="inlineStr">
        <is>
          <t>Glass Breakage with Burn Spot</t>
        </is>
      </c>
      <c r="O1364" s="32" t="n">
        <v>585</v>
      </c>
      <c r="P1364" s="2" t="inlineStr">
        <is>
          <t>NSMI24090464018</t>
        </is>
      </c>
      <c r="Q1364" s="29">
        <f>MID(P1364,5,2)</f>
        <v/>
      </c>
      <c r="R1364" s="14">
        <f>MID(P1364,7,2)</f>
        <v/>
      </c>
      <c r="S1364" s="6" t="inlineStr">
        <is>
          <t>G2G</t>
        </is>
      </c>
      <c r="T1364" s="1" t="inlineStr">
        <is>
          <t>P4 - PEIPL</t>
        </is>
      </c>
      <c r="U1364" s="6" t="inlineStr">
        <is>
          <t>Glass Breakage with Burn Spot</t>
        </is>
      </c>
      <c r="V1364" s="1" t="inlineStr">
        <is>
          <t>Inspection</t>
        </is>
      </c>
      <c r="W1364" s="1" t="inlineStr">
        <is>
          <t>WIP</t>
        </is>
      </c>
      <c r="X1364" s="12" t="n"/>
      <c r="Y1364" s="1">
        <f>IF(X1364="","",X1364-A1364)</f>
        <v/>
      </c>
      <c r="Z1364" s="5" t="n">
        <v>46189</v>
      </c>
      <c r="AA1364" s="3" t="n"/>
      <c r="AB1364" s="3" t="n"/>
      <c r="AE1364" s="146">
        <f>IF(AND(F1364="Closed",X1364&gt;=DATE(2026,6,1),X1364&lt;=DATE(2026,6,30)),"Closed in June","other")</f>
        <v/>
      </c>
    </row>
    <row r="1365" hidden="1">
      <c r="A1365" s="49" t="n">
        <v>46177</v>
      </c>
      <c r="B1365" s="1" t="n">
        <v>2026</v>
      </c>
      <c r="C1365" s="8" t="inlineStr">
        <is>
          <t>Ayana</t>
        </is>
      </c>
      <c r="D1365" s="11" t="inlineStr">
        <is>
          <t>Utility and C&amp;I</t>
        </is>
      </c>
      <c r="E1365" s="1" t="n"/>
      <c r="F1365" s="1" t="inlineStr">
        <is>
          <t>WIP</t>
        </is>
      </c>
      <c r="G1365" s="11" t="inlineStr">
        <is>
          <t>Vasu.N</t>
        </is>
      </c>
      <c r="H1365" s="8" t="n">
        <v>9578099893</v>
      </c>
      <c r="I1365" s="10" t="inlineStr">
        <is>
          <t>PE04062601</t>
        </is>
      </c>
      <c r="J1365" s="28" t="inlineStr">
        <is>
          <t>Module burnt</t>
        </is>
      </c>
      <c r="K1365" s="8" t="inlineStr">
        <is>
          <t>Jatavira</t>
        </is>
      </c>
      <c r="L1365" s="39" t="inlineStr">
        <is>
          <t>Gujarat</t>
        </is>
      </c>
      <c r="M1365" s="2" t="inlineStr">
        <is>
          <t>Both glass borking with burn spot</t>
        </is>
      </c>
      <c r="N1365" s="6" t="inlineStr">
        <is>
          <t>Glass Breakage with Burn Spot</t>
        </is>
      </c>
      <c r="O1365" s="32" t="n">
        <v>585</v>
      </c>
      <c r="P1365" s="2" t="inlineStr">
        <is>
          <t>NSMI24090428451</t>
        </is>
      </c>
      <c r="Q1365" s="29">
        <f>MID(P1365,5,2)</f>
        <v/>
      </c>
      <c r="R1365" s="14">
        <f>MID(P1365,7,2)</f>
        <v/>
      </c>
      <c r="S1365" s="6" t="inlineStr">
        <is>
          <t>G2G</t>
        </is>
      </c>
      <c r="T1365" s="1" t="inlineStr">
        <is>
          <t>P4 - PEIPL</t>
        </is>
      </c>
      <c r="U1365" s="6" t="inlineStr">
        <is>
          <t>Glass Breakage with Burn Spot</t>
        </is>
      </c>
      <c r="V1365" s="1" t="inlineStr">
        <is>
          <t>Inspection</t>
        </is>
      </c>
      <c r="W1365" s="1" t="inlineStr">
        <is>
          <t>WIP</t>
        </is>
      </c>
      <c r="X1365" s="12" t="n"/>
      <c r="Y1365" s="1">
        <f>IF(X1365="","",X1365-A1365)</f>
        <v/>
      </c>
      <c r="Z1365" s="5" t="n">
        <v>46189</v>
      </c>
      <c r="AA1365" s="3" t="n"/>
      <c r="AB1365" s="3" t="n"/>
      <c r="AE1365" s="146">
        <f>IF(AND(F1365="Closed",X1365&gt;=DATE(2026,6,1),X1365&lt;=DATE(2026,6,30)),"Closed in June","other")</f>
        <v/>
      </c>
    </row>
    <row r="1366" hidden="1">
      <c r="A1366" s="49" t="n">
        <v>46177</v>
      </c>
      <c r="B1366" s="1" t="n">
        <v>2026</v>
      </c>
      <c r="C1366" s="8" t="inlineStr">
        <is>
          <t>Ayana</t>
        </is>
      </c>
      <c r="D1366" s="11" t="inlineStr">
        <is>
          <t>Utility and C&amp;I</t>
        </is>
      </c>
      <c r="E1366" s="1" t="n"/>
      <c r="F1366" s="1" t="inlineStr">
        <is>
          <t>WIP</t>
        </is>
      </c>
      <c r="G1366" s="11" t="inlineStr">
        <is>
          <t>Vasu.N</t>
        </is>
      </c>
      <c r="H1366" s="8" t="n">
        <v>9578099893</v>
      </c>
      <c r="I1366" s="10" t="inlineStr">
        <is>
          <t>PE04062601</t>
        </is>
      </c>
      <c r="J1366" s="28" t="inlineStr">
        <is>
          <t>Module burnt</t>
        </is>
      </c>
      <c r="K1366" s="8" t="inlineStr">
        <is>
          <t>Jatavira</t>
        </is>
      </c>
      <c r="L1366" s="39" t="inlineStr">
        <is>
          <t>Gujarat</t>
        </is>
      </c>
      <c r="M1366" s="2" t="inlineStr">
        <is>
          <t>Both glass broken</t>
        </is>
      </c>
      <c r="N1366" s="6" t="inlineStr">
        <is>
          <t>Module Breakage</t>
        </is>
      </c>
      <c r="O1366" s="32" t="n">
        <v>585</v>
      </c>
      <c r="P1366" s="2" t="inlineStr">
        <is>
          <t>NSMI24090427975</t>
        </is>
      </c>
      <c r="Q1366" s="29">
        <f>MID(P1366,5,2)</f>
        <v/>
      </c>
      <c r="R1366" s="14">
        <f>MID(P1366,7,2)</f>
        <v/>
      </c>
      <c r="S1366" s="6" t="inlineStr">
        <is>
          <t>G2G</t>
        </is>
      </c>
      <c r="T1366" s="1" t="inlineStr">
        <is>
          <t>P4 - PEIPL</t>
        </is>
      </c>
      <c r="U1366" s="6" t="inlineStr">
        <is>
          <t>Glass Breakage</t>
        </is>
      </c>
      <c r="V1366" s="1" t="inlineStr">
        <is>
          <t>Inspection</t>
        </is>
      </c>
      <c r="W1366" s="1" t="inlineStr">
        <is>
          <t>WIP</t>
        </is>
      </c>
      <c r="X1366" s="12" t="n"/>
      <c r="Y1366" s="1">
        <f>IF(X1366="","",X1366-A1366)</f>
        <v/>
      </c>
      <c r="Z1366" s="5" t="n">
        <v>46189</v>
      </c>
      <c r="AA1366" s="3" t="n"/>
      <c r="AB1366" s="3" t="n"/>
      <c r="AE1366" s="146">
        <f>IF(AND(F1366="Closed",X1366&gt;=DATE(2026,6,1),X1366&lt;=DATE(2026,6,30)),"Closed in June","other")</f>
        <v/>
      </c>
    </row>
    <row r="1367" hidden="1">
      <c r="A1367" s="49" t="n">
        <v>46177</v>
      </c>
      <c r="B1367" s="1" t="n">
        <v>2026</v>
      </c>
      <c r="C1367" s="8" t="inlineStr">
        <is>
          <t>Ayana</t>
        </is>
      </c>
      <c r="D1367" s="11" t="inlineStr">
        <is>
          <t>Utility and C&amp;I</t>
        </is>
      </c>
      <c r="E1367" s="1" t="n"/>
      <c r="F1367" s="1" t="inlineStr">
        <is>
          <t>WIP</t>
        </is>
      </c>
      <c r="G1367" s="11" t="inlineStr">
        <is>
          <t>Vasu.N</t>
        </is>
      </c>
      <c r="H1367" s="8" t="n">
        <v>9578099893</v>
      </c>
      <c r="I1367" s="10" t="inlineStr">
        <is>
          <t>PE04062601</t>
        </is>
      </c>
      <c r="J1367" s="28" t="inlineStr">
        <is>
          <t>Module burnt</t>
        </is>
      </c>
      <c r="K1367" s="8" t="inlineStr">
        <is>
          <t>Jatavira</t>
        </is>
      </c>
      <c r="L1367" s="39" t="inlineStr">
        <is>
          <t>Gujarat</t>
        </is>
      </c>
      <c r="M1367" s="2" t="inlineStr">
        <is>
          <t xml:space="preserve">Front glass broken with burn spot </t>
        </is>
      </c>
      <c r="N1367" s="6" t="inlineStr">
        <is>
          <t>Glass Breakage with Burn Spot</t>
        </is>
      </c>
      <c r="O1367" s="32" t="n">
        <v>585</v>
      </c>
      <c r="P1367" s="2" t="inlineStr">
        <is>
          <t>NSMI24090451789</t>
        </is>
      </c>
      <c r="Q1367" s="29">
        <f>MID(P1367,5,2)</f>
        <v/>
      </c>
      <c r="R1367" s="14">
        <f>MID(P1367,7,2)</f>
        <v/>
      </c>
      <c r="S1367" s="6" t="inlineStr">
        <is>
          <t>G2G</t>
        </is>
      </c>
      <c r="T1367" s="1" t="inlineStr">
        <is>
          <t>P4 - PEIPL</t>
        </is>
      </c>
      <c r="U1367" s="6" t="inlineStr">
        <is>
          <t>Glass Breakage with Burn Spot</t>
        </is>
      </c>
      <c r="V1367" s="1" t="inlineStr">
        <is>
          <t>Inspection</t>
        </is>
      </c>
      <c r="W1367" s="1" t="inlineStr">
        <is>
          <t>WIP</t>
        </is>
      </c>
      <c r="X1367" s="12" t="n"/>
      <c r="Y1367" s="1">
        <f>IF(X1367="","",X1367-A1367)</f>
        <v/>
      </c>
      <c r="Z1367" s="5" t="n">
        <v>46189</v>
      </c>
      <c r="AA1367" s="3" t="n"/>
      <c r="AB1367" s="3" t="n"/>
      <c r="AE1367" s="146">
        <f>IF(AND(F1367="Closed",X1367&gt;=DATE(2026,6,1),X1367&lt;=DATE(2026,6,30)),"Closed in June","other")</f>
        <v/>
      </c>
    </row>
    <row r="1368" hidden="1">
      <c r="A1368" s="49" t="n">
        <v>46177</v>
      </c>
      <c r="B1368" s="1" t="n">
        <v>2026</v>
      </c>
      <c r="C1368" s="8" t="inlineStr">
        <is>
          <t>Ayana</t>
        </is>
      </c>
      <c r="D1368" s="11" t="inlineStr">
        <is>
          <t>Utility and C&amp;I</t>
        </is>
      </c>
      <c r="E1368" s="1" t="n"/>
      <c r="F1368" s="1" t="inlineStr">
        <is>
          <t>WIP</t>
        </is>
      </c>
      <c r="G1368" s="11" t="inlineStr">
        <is>
          <t>Vasu.N</t>
        </is>
      </c>
      <c r="H1368" s="8" t="n">
        <v>9578099893</v>
      </c>
      <c r="I1368" s="10" t="inlineStr">
        <is>
          <t>PE04062601</t>
        </is>
      </c>
      <c r="J1368" s="28" t="inlineStr">
        <is>
          <t>Module burnt</t>
        </is>
      </c>
      <c r="K1368" s="8" t="inlineStr">
        <is>
          <t>Jatavira</t>
        </is>
      </c>
      <c r="L1368" s="39" t="inlineStr">
        <is>
          <t>Gujarat</t>
        </is>
      </c>
      <c r="M1368" s="2" t="inlineStr">
        <is>
          <t>Both glass broken</t>
        </is>
      </c>
      <c r="N1368" s="6" t="inlineStr">
        <is>
          <t>Module Breakage</t>
        </is>
      </c>
      <c r="O1368" s="32" t="n">
        <v>585</v>
      </c>
      <c r="P1368" s="2" t="inlineStr">
        <is>
          <t>NSMI24083029668</t>
        </is>
      </c>
      <c r="Q1368" s="29">
        <f>MID(P1368,5,2)</f>
        <v/>
      </c>
      <c r="R1368" s="14">
        <f>MID(P1368,7,2)</f>
        <v/>
      </c>
      <c r="S1368" s="6" t="inlineStr">
        <is>
          <t>G2G</t>
        </is>
      </c>
      <c r="T1368" s="1" t="inlineStr">
        <is>
          <t>P4 - PEIPL</t>
        </is>
      </c>
      <c r="U1368" s="6" t="inlineStr">
        <is>
          <t>Glass Breakage</t>
        </is>
      </c>
      <c r="V1368" s="1" t="inlineStr">
        <is>
          <t>Inspection</t>
        </is>
      </c>
      <c r="W1368" s="1" t="inlineStr">
        <is>
          <t>WIP</t>
        </is>
      </c>
      <c r="X1368" s="12" t="n"/>
      <c r="Y1368" s="1">
        <f>IF(X1368="","",X1368-A1368)</f>
        <v/>
      </c>
      <c r="Z1368" s="5" t="n">
        <v>46189</v>
      </c>
      <c r="AA1368" s="3" t="n"/>
      <c r="AB1368" s="3" t="n"/>
      <c r="AE1368" s="146">
        <f>IF(AND(F1368="Closed",X1368&gt;=DATE(2026,6,1),X1368&lt;=DATE(2026,6,30)),"Closed in June","other")</f>
        <v/>
      </c>
    </row>
    <row r="1369" hidden="1">
      <c r="A1369" s="49" t="n">
        <v>46177</v>
      </c>
      <c r="B1369" s="1" t="n">
        <v>2026</v>
      </c>
      <c r="C1369" s="8" t="inlineStr">
        <is>
          <t>Ayana</t>
        </is>
      </c>
      <c r="D1369" s="11" t="inlineStr">
        <is>
          <t>Utility and C&amp;I</t>
        </is>
      </c>
      <c r="E1369" s="1" t="n"/>
      <c r="F1369" s="1" t="inlineStr">
        <is>
          <t>WIP</t>
        </is>
      </c>
      <c r="G1369" s="11" t="inlineStr">
        <is>
          <t>Vasu.N</t>
        </is>
      </c>
      <c r="H1369" s="8" t="n">
        <v>9578099893</v>
      </c>
      <c r="I1369" s="10" t="inlineStr">
        <is>
          <t>PE04062601</t>
        </is>
      </c>
      <c r="J1369" s="28" t="inlineStr">
        <is>
          <t>Module burnt</t>
        </is>
      </c>
      <c r="K1369" s="8" t="inlineStr">
        <is>
          <t>Jatavira</t>
        </is>
      </c>
      <c r="L1369" s="39" t="inlineStr">
        <is>
          <t>Gujarat</t>
        </is>
      </c>
      <c r="M1369" s="2" t="inlineStr">
        <is>
          <t xml:space="preserve">Both glass broken with burn spot </t>
        </is>
      </c>
      <c r="N1369" s="6" t="inlineStr">
        <is>
          <t>Glass Breakage with Burn Spot</t>
        </is>
      </c>
      <c r="O1369" s="32" t="n">
        <v>585</v>
      </c>
      <c r="P1369" s="2" t="inlineStr">
        <is>
          <t>NSMI24100585725</t>
        </is>
      </c>
      <c r="Q1369" s="29">
        <f>MID(P1369,5,2)</f>
        <v/>
      </c>
      <c r="R1369" s="14">
        <f>MID(P1369,7,2)</f>
        <v/>
      </c>
      <c r="S1369" s="6" t="inlineStr">
        <is>
          <t>G2G</t>
        </is>
      </c>
      <c r="T1369" s="1" t="inlineStr">
        <is>
          <t>P4 - PEIPL</t>
        </is>
      </c>
      <c r="U1369" s="6" t="inlineStr">
        <is>
          <t>Glass Breakage with Burn Spot</t>
        </is>
      </c>
      <c r="V1369" s="1" t="inlineStr">
        <is>
          <t>Inspection</t>
        </is>
      </c>
      <c r="W1369" s="1" t="inlineStr">
        <is>
          <t>WIP</t>
        </is>
      </c>
      <c r="X1369" s="12" t="n"/>
      <c r="Y1369" s="1">
        <f>IF(X1369="","",X1369-A1369)</f>
        <v/>
      </c>
      <c r="Z1369" s="5" t="n">
        <v>46189</v>
      </c>
      <c r="AA1369" s="3" t="n"/>
      <c r="AB1369" s="3" t="n"/>
      <c r="AE1369" s="146">
        <f>IF(AND(F1369="Closed",X1369&gt;=DATE(2026,6,1),X1369&lt;=DATE(2026,6,30)),"Closed in June","other")</f>
        <v/>
      </c>
    </row>
    <row r="1370" hidden="1">
      <c r="A1370" s="49" t="n">
        <v>46177</v>
      </c>
      <c r="B1370" s="1" t="n">
        <v>2026</v>
      </c>
      <c r="C1370" s="8" t="inlineStr">
        <is>
          <t>Ayana</t>
        </is>
      </c>
      <c r="D1370" s="11" t="inlineStr">
        <is>
          <t>Utility and C&amp;I</t>
        </is>
      </c>
      <c r="E1370" s="1" t="n"/>
      <c r="F1370" s="1" t="inlineStr">
        <is>
          <t>WIP</t>
        </is>
      </c>
      <c r="G1370" s="11" t="inlineStr">
        <is>
          <t>Vasu.N</t>
        </is>
      </c>
      <c r="H1370" s="8" t="n">
        <v>9578099893</v>
      </c>
      <c r="I1370" s="10" t="inlineStr">
        <is>
          <t>PE04062601</t>
        </is>
      </c>
      <c r="J1370" s="28" t="inlineStr">
        <is>
          <t>Module burnt</t>
        </is>
      </c>
      <c r="K1370" s="8" t="inlineStr">
        <is>
          <t>Jatavira</t>
        </is>
      </c>
      <c r="L1370" s="39" t="inlineStr">
        <is>
          <t>Gujarat</t>
        </is>
      </c>
      <c r="M1370" s="2" t="inlineStr">
        <is>
          <t>Both glass broken</t>
        </is>
      </c>
      <c r="N1370" s="6" t="inlineStr">
        <is>
          <t>Module Breakage</t>
        </is>
      </c>
      <c r="O1370" s="32" t="n">
        <v>585</v>
      </c>
      <c r="P1370" s="2" t="inlineStr">
        <is>
          <t>NSMI24090466279</t>
        </is>
      </c>
      <c r="Q1370" s="29">
        <f>MID(P1370,5,2)</f>
        <v/>
      </c>
      <c r="R1370" s="14">
        <f>MID(P1370,7,2)</f>
        <v/>
      </c>
      <c r="S1370" s="6" t="inlineStr">
        <is>
          <t>G2G</t>
        </is>
      </c>
      <c r="T1370" s="1" t="inlineStr">
        <is>
          <t>P4 - PEIPL</t>
        </is>
      </c>
      <c r="U1370" s="6" t="inlineStr">
        <is>
          <t>Glass Breakage</t>
        </is>
      </c>
      <c r="V1370" s="1" t="inlineStr">
        <is>
          <t>Inspection</t>
        </is>
      </c>
      <c r="W1370" s="1" t="inlineStr">
        <is>
          <t>WIP</t>
        </is>
      </c>
      <c r="X1370" s="12" t="n"/>
      <c r="Y1370" s="1">
        <f>IF(X1370="","",X1370-A1370)</f>
        <v/>
      </c>
      <c r="Z1370" s="5" t="n">
        <v>46189</v>
      </c>
      <c r="AA1370" s="3" t="n"/>
      <c r="AB1370" s="3" t="n"/>
      <c r="AE1370" s="146">
        <f>IF(AND(F1370="Closed",X1370&gt;=DATE(2026,6,1),X1370&lt;=DATE(2026,6,30)),"Closed in June","other")</f>
        <v/>
      </c>
    </row>
    <row r="1371" hidden="1">
      <c r="A1371" s="49" t="n">
        <v>46177</v>
      </c>
      <c r="B1371" s="1" t="n">
        <v>2026</v>
      </c>
      <c r="C1371" s="8" t="inlineStr">
        <is>
          <t>Ayana</t>
        </is>
      </c>
      <c r="D1371" s="11" t="inlineStr">
        <is>
          <t>Utility and C&amp;I</t>
        </is>
      </c>
      <c r="E1371" s="1" t="n"/>
      <c r="F1371" s="1" t="inlineStr">
        <is>
          <t>WIP</t>
        </is>
      </c>
      <c r="G1371" s="11" t="inlineStr">
        <is>
          <t>Vasu.N</t>
        </is>
      </c>
      <c r="H1371" s="8" t="n">
        <v>9578099893</v>
      </c>
      <c r="I1371" s="10" t="inlineStr">
        <is>
          <t>PE04062601</t>
        </is>
      </c>
      <c r="J1371" s="28" t="inlineStr">
        <is>
          <t>Module burnt</t>
        </is>
      </c>
      <c r="K1371" s="8" t="inlineStr">
        <is>
          <t>Jatavira</t>
        </is>
      </c>
      <c r="L1371" s="39" t="inlineStr">
        <is>
          <t>Gujarat</t>
        </is>
      </c>
      <c r="M1371" s="2" t="inlineStr">
        <is>
          <t>Both glass broken</t>
        </is>
      </c>
      <c r="N1371" s="6" t="inlineStr">
        <is>
          <t>Module Breakage</t>
        </is>
      </c>
      <c r="O1371" s="32" t="n">
        <v>585</v>
      </c>
      <c r="P1371" s="2" t="inlineStr">
        <is>
          <t>NSMI24090431186</t>
        </is>
      </c>
      <c r="Q1371" s="29">
        <f>MID(P1371,5,2)</f>
        <v/>
      </c>
      <c r="R1371" s="14">
        <f>MID(P1371,7,2)</f>
        <v/>
      </c>
      <c r="S1371" s="6" t="inlineStr">
        <is>
          <t>G2G</t>
        </is>
      </c>
      <c r="T1371" s="1" t="inlineStr">
        <is>
          <t>P4 - PEIPL</t>
        </is>
      </c>
      <c r="U1371" s="6" t="inlineStr">
        <is>
          <t>Glass Breakage</t>
        </is>
      </c>
      <c r="V1371" s="1" t="inlineStr">
        <is>
          <t>Inspection</t>
        </is>
      </c>
      <c r="W1371" s="1" t="inlineStr">
        <is>
          <t>WIP</t>
        </is>
      </c>
      <c r="X1371" s="12" t="n"/>
      <c r="Y1371" s="1">
        <f>IF(X1371="","",X1371-A1371)</f>
        <v/>
      </c>
      <c r="Z1371" s="5" t="n">
        <v>46189</v>
      </c>
      <c r="AA1371" s="3" t="n"/>
      <c r="AB1371" s="3" t="n"/>
      <c r="AE1371" s="146">
        <f>IF(AND(F1371="Closed",X1371&gt;=DATE(2026,6,1),X1371&lt;=DATE(2026,6,30)),"Closed in June","other")</f>
        <v/>
      </c>
    </row>
    <row r="1372" hidden="1">
      <c r="A1372" s="49" t="n">
        <v>46177</v>
      </c>
      <c r="B1372" s="1" t="n">
        <v>2026</v>
      </c>
      <c r="C1372" s="8" t="inlineStr">
        <is>
          <t>Ayana</t>
        </is>
      </c>
      <c r="D1372" s="11" t="inlineStr">
        <is>
          <t>Utility and C&amp;I</t>
        </is>
      </c>
      <c r="E1372" s="1" t="n"/>
      <c r="F1372" s="1" t="inlineStr">
        <is>
          <t>WIP</t>
        </is>
      </c>
      <c r="G1372" s="11" t="inlineStr">
        <is>
          <t>Vasu.N</t>
        </is>
      </c>
      <c r="H1372" s="8" t="n">
        <v>9578099893</v>
      </c>
      <c r="I1372" s="10" t="inlineStr">
        <is>
          <t>PE04062601</t>
        </is>
      </c>
      <c r="J1372" s="28" t="inlineStr">
        <is>
          <t>Module burnt</t>
        </is>
      </c>
      <c r="K1372" s="8" t="inlineStr">
        <is>
          <t>Jatavira</t>
        </is>
      </c>
      <c r="L1372" s="39" t="inlineStr">
        <is>
          <t>Gujarat</t>
        </is>
      </c>
      <c r="M1372" s="2" t="inlineStr">
        <is>
          <t>Both glass broken</t>
        </is>
      </c>
      <c r="N1372" s="6" t="inlineStr">
        <is>
          <t>Module Breakage</t>
        </is>
      </c>
      <c r="O1372" s="32" t="n">
        <v>585</v>
      </c>
      <c r="P1372" s="2" t="inlineStr">
        <is>
          <t>NSMI24090428272</t>
        </is>
      </c>
      <c r="Q1372" s="29">
        <f>MID(P1372,5,2)</f>
        <v/>
      </c>
      <c r="R1372" s="14">
        <f>MID(P1372,7,2)</f>
        <v/>
      </c>
      <c r="S1372" s="6" t="inlineStr">
        <is>
          <t>G2G</t>
        </is>
      </c>
      <c r="T1372" s="1" t="inlineStr">
        <is>
          <t>P4 - PEIPL</t>
        </is>
      </c>
      <c r="U1372" s="6" t="inlineStr">
        <is>
          <t>Glass Breakage</t>
        </is>
      </c>
      <c r="V1372" s="1" t="inlineStr">
        <is>
          <t>Inspection</t>
        </is>
      </c>
      <c r="W1372" s="1" t="inlineStr">
        <is>
          <t>WIP</t>
        </is>
      </c>
      <c r="X1372" s="12" t="n"/>
      <c r="Y1372" s="1">
        <f>IF(X1372="","",X1372-A1372)</f>
        <v/>
      </c>
      <c r="Z1372" s="5" t="n">
        <v>46189</v>
      </c>
      <c r="AA1372" s="3" t="n"/>
      <c r="AB1372" s="3" t="n"/>
      <c r="AE1372" s="146">
        <f>IF(AND(F1372="Closed",X1372&gt;=DATE(2026,6,1),X1372&lt;=DATE(2026,6,30)),"Closed in June","other")</f>
        <v/>
      </c>
    </row>
    <row r="1373" hidden="1">
      <c r="A1373" s="49" t="n">
        <v>46177</v>
      </c>
      <c r="B1373" s="1" t="n">
        <v>2026</v>
      </c>
      <c r="C1373" s="8" t="inlineStr">
        <is>
          <t>Ayana</t>
        </is>
      </c>
      <c r="D1373" s="11" t="inlineStr">
        <is>
          <t>Utility and C&amp;I</t>
        </is>
      </c>
      <c r="E1373" s="1" t="n"/>
      <c r="F1373" s="1" t="inlineStr">
        <is>
          <t>WIP</t>
        </is>
      </c>
      <c r="G1373" s="11" t="inlineStr">
        <is>
          <t>Vasu.N</t>
        </is>
      </c>
      <c r="H1373" s="8" t="n">
        <v>9578099893</v>
      </c>
      <c r="I1373" s="10" t="inlineStr">
        <is>
          <t>PE04062601</t>
        </is>
      </c>
      <c r="J1373" s="28" t="inlineStr">
        <is>
          <t>Module burnt</t>
        </is>
      </c>
      <c r="K1373" s="8" t="inlineStr">
        <is>
          <t>Jatavira</t>
        </is>
      </c>
      <c r="L1373" s="39" t="inlineStr">
        <is>
          <t>Gujarat</t>
        </is>
      </c>
      <c r="M1373" s="2" t="inlineStr">
        <is>
          <t>Both glass broken</t>
        </is>
      </c>
      <c r="N1373" s="6" t="inlineStr">
        <is>
          <t>Module Breakage</t>
        </is>
      </c>
      <c r="O1373" s="32" t="n">
        <v>585</v>
      </c>
      <c r="P1373" s="2" t="inlineStr">
        <is>
          <t>NSMI24090537834</t>
        </is>
      </c>
      <c r="Q1373" s="29">
        <f>MID(P1373,5,2)</f>
        <v/>
      </c>
      <c r="R1373" s="14">
        <f>MID(P1373,7,2)</f>
        <v/>
      </c>
      <c r="S1373" s="6" t="inlineStr">
        <is>
          <t>G2G</t>
        </is>
      </c>
      <c r="T1373" s="1" t="inlineStr">
        <is>
          <t>P4 - PEIPL</t>
        </is>
      </c>
      <c r="U1373" s="6" t="inlineStr">
        <is>
          <t>Glass Breakage</t>
        </is>
      </c>
      <c r="V1373" s="1" t="inlineStr">
        <is>
          <t>Inspection</t>
        </is>
      </c>
      <c r="W1373" s="1" t="inlineStr">
        <is>
          <t>WIP</t>
        </is>
      </c>
      <c r="X1373" s="12" t="n"/>
      <c r="Y1373" s="1">
        <f>IF(X1373="","",X1373-A1373)</f>
        <v/>
      </c>
      <c r="Z1373" s="5" t="n">
        <v>46189</v>
      </c>
      <c r="AA1373" s="3" t="n"/>
      <c r="AB1373" s="3" t="n"/>
      <c r="AE1373" s="146">
        <f>IF(AND(F1373="Closed",X1373&gt;=DATE(2026,6,1),X1373&lt;=DATE(2026,6,30)),"Closed in June","other")</f>
        <v/>
      </c>
    </row>
    <row r="1374" hidden="1">
      <c r="A1374" s="9" t="n">
        <v>46106</v>
      </c>
      <c r="B1374" s="1" t="n">
        <v>2026</v>
      </c>
      <c r="C1374" s="8" t="inlineStr">
        <is>
          <t>Asian Fab Tec Ltd</t>
        </is>
      </c>
      <c r="D1374" s="8" t="inlineStr">
        <is>
          <t>Utility and C&amp;I</t>
        </is>
      </c>
      <c r="E1374" s="1" t="n"/>
      <c r="F1374" s="1" t="inlineStr">
        <is>
          <t>Closed</t>
        </is>
      </c>
      <c r="G1374" s="8" t="inlineStr">
        <is>
          <t>Prakash Reddy</t>
        </is>
      </c>
      <c r="H1374" s="8" t="n">
        <v>9945239707</v>
      </c>
      <c r="I1374" s="26" t="inlineStr">
        <is>
          <t>PE25032602</t>
        </is>
      </c>
      <c r="J1374" s="42" t="inlineStr">
        <is>
          <t xml:space="preserve">Junction Box burnt </t>
        </is>
      </c>
      <c r="K1374" s="8" t="inlineStr">
        <is>
          <t>Bangalore</t>
        </is>
      </c>
      <c r="L1374" s="39" t="inlineStr">
        <is>
          <t>Karnataka</t>
        </is>
      </c>
      <c r="M1374" s="34" t="inlineStr">
        <is>
          <t>JB Replaced</t>
        </is>
      </c>
      <c r="N1374" s="6" t="inlineStr">
        <is>
          <t>JB Issue</t>
        </is>
      </c>
      <c r="O1374" s="8" t="inlineStr">
        <is>
          <t>NA</t>
        </is>
      </c>
      <c r="P1374" s="35" t="inlineStr">
        <is>
          <t>NSM191206256</t>
        </is>
      </c>
      <c r="Q1374" s="29">
        <f>MID(P1374,4,2)</f>
        <v/>
      </c>
      <c r="R1374" s="14">
        <f>MID(P1374,6,2)</f>
        <v/>
      </c>
      <c r="S1374" s="6" t="inlineStr">
        <is>
          <t>G2B</t>
        </is>
      </c>
      <c r="T1374" s="6" t="inlineStr">
        <is>
          <t>NA</t>
        </is>
      </c>
      <c r="U1374" s="6" t="inlineStr">
        <is>
          <t>JB Issue</t>
        </is>
      </c>
      <c r="V1374" s="1" t="inlineStr">
        <is>
          <t>Inspection</t>
        </is>
      </c>
      <c r="W1374" s="1" t="inlineStr">
        <is>
          <t>Repair</t>
        </is>
      </c>
      <c r="X1374" s="5" t="n">
        <v>46189</v>
      </c>
      <c r="Y1374" s="1">
        <f>IF(X1374="","",X1374-A1374)</f>
        <v/>
      </c>
      <c r="Z1374" s="5" t="n">
        <v>46189</v>
      </c>
      <c r="AA1374" s="3" t="n"/>
      <c r="AB1374" s="3" t="n"/>
      <c r="AE1374" s="146">
        <f>IF(AND(F1374="Closed",X1374&gt;=DATE(2026,6,1),X1374&lt;=DATE(2026,6,30)),"Closed in June","other")</f>
        <v/>
      </c>
    </row>
    <row r="1375" hidden="1">
      <c r="A1375" s="9" t="n">
        <v>46106</v>
      </c>
      <c r="B1375" s="1" t="n">
        <v>2026</v>
      </c>
      <c r="C1375" s="8" t="inlineStr">
        <is>
          <t>Asian Fab Tec Ltd</t>
        </is>
      </c>
      <c r="D1375" s="8" t="inlineStr">
        <is>
          <t>Utility and C&amp;I</t>
        </is>
      </c>
      <c r="E1375" s="1" t="n"/>
      <c r="F1375" s="1" t="inlineStr">
        <is>
          <t>Closed</t>
        </is>
      </c>
      <c r="G1375" s="8" t="inlineStr">
        <is>
          <t>Prakash Reddy</t>
        </is>
      </c>
      <c r="H1375" s="8" t="n">
        <v>9945239707</v>
      </c>
      <c r="I1375" s="26" t="inlineStr">
        <is>
          <t>PE25032602</t>
        </is>
      </c>
      <c r="J1375" s="42" t="inlineStr">
        <is>
          <t xml:space="preserve">Junction Box burnt </t>
        </is>
      </c>
      <c r="K1375" s="8" t="inlineStr">
        <is>
          <t>Bangalore</t>
        </is>
      </c>
      <c r="L1375" s="39" t="inlineStr">
        <is>
          <t>Karnataka</t>
        </is>
      </c>
      <c r="M1375" s="34" t="inlineStr">
        <is>
          <t>JB Replaced</t>
        </is>
      </c>
      <c r="N1375" s="6" t="inlineStr">
        <is>
          <t>JB Issue</t>
        </is>
      </c>
      <c r="O1375" s="8" t="inlineStr">
        <is>
          <t>NA</t>
        </is>
      </c>
      <c r="P1375" s="35" t="inlineStr">
        <is>
          <t>NSM191206496</t>
        </is>
      </c>
      <c r="Q1375" s="29">
        <f>MID(P1375,4,2)</f>
        <v/>
      </c>
      <c r="R1375" s="14">
        <f>MID(P1375,6,2)</f>
        <v/>
      </c>
      <c r="S1375" s="6" t="inlineStr">
        <is>
          <t>G2B</t>
        </is>
      </c>
      <c r="T1375" s="6" t="inlineStr">
        <is>
          <t>NA</t>
        </is>
      </c>
      <c r="U1375" s="6" t="inlineStr">
        <is>
          <t>JB Issue</t>
        </is>
      </c>
      <c r="V1375" s="1" t="inlineStr">
        <is>
          <t>Inspection</t>
        </is>
      </c>
      <c r="W1375" s="1" t="inlineStr">
        <is>
          <t>Repair</t>
        </is>
      </c>
      <c r="X1375" s="5" t="n">
        <v>46189</v>
      </c>
      <c r="Y1375" s="1">
        <f>IF(X1375="","",X1375-A1375)</f>
        <v/>
      </c>
      <c r="Z1375" s="5" t="n">
        <v>46189</v>
      </c>
      <c r="AA1375" s="3" t="n"/>
      <c r="AB1375" s="3" t="n"/>
      <c r="AE1375" s="146">
        <f>IF(AND(F1375="Closed",X1375&gt;=DATE(2026,6,1),X1375&lt;=DATE(2026,6,30)),"Closed in June","other")</f>
        <v/>
      </c>
    </row>
    <row r="1376" hidden="1">
      <c r="A1376" s="9" t="n">
        <v>46106</v>
      </c>
      <c r="B1376" s="1" t="n">
        <v>2026</v>
      </c>
      <c r="C1376" s="8" t="inlineStr">
        <is>
          <t>Asian Fab Tec Ltd</t>
        </is>
      </c>
      <c r="D1376" s="8" t="inlineStr">
        <is>
          <t>Utility and C&amp;I</t>
        </is>
      </c>
      <c r="E1376" s="1" t="n"/>
      <c r="F1376" s="1" t="inlineStr">
        <is>
          <t>Closed</t>
        </is>
      </c>
      <c r="G1376" s="8" t="inlineStr">
        <is>
          <t>Prakash Reddy</t>
        </is>
      </c>
      <c r="H1376" s="8" t="n">
        <v>9945239707</v>
      </c>
      <c r="I1376" s="26" t="inlineStr">
        <is>
          <t>PE25032602</t>
        </is>
      </c>
      <c r="J1376" s="42" t="inlineStr">
        <is>
          <t xml:space="preserve">Junction Box burnt </t>
        </is>
      </c>
      <c r="K1376" s="8" t="inlineStr">
        <is>
          <t>Bangalore</t>
        </is>
      </c>
      <c r="L1376" s="39" t="inlineStr">
        <is>
          <t>Karnataka</t>
        </is>
      </c>
      <c r="M1376" s="34" t="inlineStr">
        <is>
          <t>JB Replaced</t>
        </is>
      </c>
      <c r="N1376" s="6" t="inlineStr">
        <is>
          <t>JB Issue</t>
        </is>
      </c>
      <c r="O1376" s="8" t="inlineStr">
        <is>
          <t>NA</t>
        </is>
      </c>
      <c r="P1376" s="35" t="inlineStr">
        <is>
          <t>NSM191207743</t>
        </is>
      </c>
      <c r="Q1376" s="29">
        <f>MID(P1376,4,2)</f>
        <v/>
      </c>
      <c r="R1376" s="14">
        <f>MID(P1376,6,2)</f>
        <v/>
      </c>
      <c r="S1376" s="6" t="inlineStr">
        <is>
          <t>G2B</t>
        </is>
      </c>
      <c r="T1376" s="6" t="inlineStr">
        <is>
          <t>NA</t>
        </is>
      </c>
      <c r="U1376" s="6" t="inlineStr">
        <is>
          <t>JB Issue</t>
        </is>
      </c>
      <c r="V1376" s="1" t="inlineStr">
        <is>
          <t>Inspection</t>
        </is>
      </c>
      <c r="W1376" s="1" t="inlineStr">
        <is>
          <t>Repair</t>
        </is>
      </c>
      <c r="X1376" s="5" t="n">
        <v>46189</v>
      </c>
      <c r="Y1376" s="1">
        <f>IF(X1376="","",X1376-A1376)</f>
        <v/>
      </c>
      <c r="Z1376" s="5" t="n">
        <v>46189</v>
      </c>
      <c r="AA1376" s="3" t="n"/>
      <c r="AB1376" s="3" t="n"/>
      <c r="AE1376" s="146">
        <f>IF(AND(F1376="Closed",X1376&gt;=DATE(2026,6,1),X1376&lt;=DATE(2026,6,30)),"Closed in June","other")</f>
        <v/>
      </c>
    </row>
    <row r="1377" hidden="1">
      <c r="A1377" s="9" t="n">
        <v>46106</v>
      </c>
      <c r="B1377" s="1" t="n">
        <v>2026</v>
      </c>
      <c r="C1377" s="8" t="inlineStr">
        <is>
          <t>Asian Fab Tec Ltd</t>
        </is>
      </c>
      <c r="D1377" s="8" t="inlineStr">
        <is>
          <t>Utility and C&amp;I</t>
        </is>
      </c>
      <c r="E1377" s="1" t="n"/>
      <c r="F1377" s="1" t="inlineStr">
        <is>
          <t>Closed</t>
        </is>
      </c>
      <c r="G1377" s="8" t="inlineStr">
        <is>
          <t>Prakash Reddy</t>
        </is>
      </c>
      <c r="H1377" s="8" t="n">
        <v>9945239707</v>
      </c>
      <c r="I1377" s="26" t="inlineStr">
        <is>
          <t>PE25032602</t>
        </is>
      </c>
      <c r="J1377" s="42" t="inlineStr">
        <is>
          <t xml:space="preserve">Junction Box burnt </t>
        </is>
      </c>
      <c r="K1377" s="8" t="inlineStr">
        <is>
          <t>Bangalore</t>
        </is>
      </c>
      <c r="L1377" s="39" t="inlineStr">
        <is>
          <t>Karnataka</t>
        </is>
      </c>
      <c r="M1377" s="34" t="inlineStr">
        <is>
          <t>JB Replaced</t>
        </is>
      </c>
      <c r="N1377" s="6" t="inlineStr">
        <is>
          <t>JB Issue</t>
        </is>
      </c>
      <c r="O1377" s="8" t="inlineStr">
        <is>
          <t>NA</t>
        </is>
      </c>
      <c r="P1377" s="35" t="inlineStr">
        <is>
          <t>NSM191205864</t>
        </is>
      </c>
      <c r="Q1377" s="29">
        <f>MID(P1377,4,2)</f>
        <v/>
      </c>
      <c r="R1377" s="14">
        <f>MID(P1377,6,2)</f>
        <v/>
      </c>
      <c r="S1377" s="6" t="inlineStr">
        <is>
          <t>G2B</t>
        </is>
      </c>
      <c r="T1377" s="6" t="inlineStr">
        <is>
          <t>NA</t>
        </is>
      </c>
      <c r="U1377" s="6" t="inlineStr">
        <is>
          <t>JB Issue</t>
        </is>
      </c>
      <c r="V1377" s="1" t="inlineStr">
        <is>
          <t>Inspection</t>
        </is>
      </c>
      <c r="W1377" s="1" t="inlineStr">
        <is>
          <t>Repair</t>
        </is>
      </c>
      <c r="X1377" s="5" t="n">
        <v>46189</v>
      </c>
      <c r="Y1377" s="1">
        <f>IF(X1377="","",X1377-A1377)</f>
        <v/>
      </c>
      <c r="Z1377" s="5" t="n">
        <v>46189</v>
      </c>
      <c r="AA1377" s="3" t="n"/>
      <c r="AB1377" s="3" t="n"/>
      <c r="AE1377" s="146">
        <f>IF(AND(F1377="Closed",X1377&gt;=DATE(2026,6,1),X1377&lt;=DATE(2026,6,30)),"Closed in June","other")</f>
        <v/>
      </c>
    </row>
    <row r="1378" hidden="1">
      <c r="A1378" s="9" t="n">
        <v>46106</v>
      </c>
      <c r="B1378" s="1" t="n">
        <v>2026</v>
      </c>
      <c r="C1378" s="8" t="inlineStr">
        <is>
          <t>Asian Fab Tec Ltd</t>
        </is>
      </c>
      <c r="D1378" s="8" t="inlineStr">
        <is>
          <t>Utility and C&amp;I</t>
        </is>
      </c>
      <c r="E1378" s="1" t="n"/>
      <c r="F1378" s="1" t="inlineStr">
        <is>
          <t>Closed</t>
        </is>
      </c>
      <c r="G1378" s="8" t="inlineStr">
        <is>
          <t>Prakash Reddy</t>
        </is>
      </c>
      <c r="H1378" s="8" t="n">
        <v>9945239707</v>
      </c>
      <c r="I1378" s="26" t="inlineStr">
        <is>
          <t>PE25032602</t>
        </is>
      </c>
      <c r="J1378" s="42" t="inlineStr">
        <is>
          <t xml:space="preserve">Junction Box burnt </t>
        </is>
      </c>
      <c r="K1378" s="8" t="inlineStr">
        <is>
          <t>Bangalore</t>
        </is>
      </c>
      <c r="L1378" s="39" t="inlineStr">
        <is>
          <t>Karnataka</t>
        </is>
      </c>
      <c r="M1378" s="34" t="inlineStr">
        <is>
          <t>JB Replaced</t>
        </is>
      </c>
      <c r="N1378" s="6" t="inlineStr">
        <is>
          <t>JB Issue</t>
        </is>
      </c>
      <c r="O1378" s="8" t="inlineStr">
        <is>
          <t>NA</t>
        </is>
      </c>
      <c r="P1378" s="35" t="inlineStr">
        <is>
          <t>NSM191206526</t>
        </is>
      </c>
      <c r="Q1378" s="29">
        <f>MID(P1378,4,2)</f>
        <v/>
      </c>
      <c r="R1378" s="14">
        <f>MID(P1378,6,2)</f>
        <v/>
      </c>
      <c r="S1378" s="6" t="inlineStr">
        <is>
          <t>G2B</t>
        </is>
      </c>
      <c r="T1378" s="6" t="inlineStr">
        <is>
          <t>NA</t>
        </is>
      </c>
      <c r="U1378" s="6" t="inlineStr">
        <is>
          <t>JB Issue</t>
        </is>
      </c>
      <c r="V1378" s="1" t="inlineStr">
        <is>
          <t>Inspection</t>
        </is>
      </c>
      <c r="W1378" s="1" t="inlineStr">
        <is>
          <t>Repair</t>
        </is>
      </c>
      <c r="X1378" s="5" t="n">
        <v>46189</v>
      </c>
      <c r="Y1378" s="1">
        <f>IF(X1378="","",X1378-A1378)</f>
        <v/>
      </c>
      <c r="Z1378" s="5" t="n">
        <v>46189</v>
      </c>
      <c r="AA1378" s="3" t="n"/>
      <c r="AB1378" s="3" t="n"/>
      <c r="AE1378" s="146">
        <f>IF(AND(F1378="Closed",X1378&gt;=DATE(2026,6,1),X1378&lt;=DATE(2026,6,30)),"Closed in June","other")</f>
        <v/>
      </c>
    </row>
    <row r="1379" hidden="1">
      <c r="A1379" s="9" t="n">
        <v>46106</v>
      </c>
      <c r="B1379" s="1" t="n">
        <v>2026</v>
      </c>
      <c r="C1379" s="8" t="inlineStr">
        <is>
          <t>Asian Fab Tec Ltd</t>
        </is>
      </c>
      <c r="D1379" s="8" t="inlineStr">
        <is>
          <t>Utility and C&amp;I</t>
        </is>
      </c>
      <c r="E1379" s="1" t="n"/>
      <c r="F1379" s="1" t="inlineStr">
        <is>
          <t>Closed</t>
        </is>
      </c>
      <c r="G1379" s="8" t="inlineStr">
        <is>
          <t>Prakash Reddy</t>
        </is>
      </c>
      <c r="H1379" s="8" t="n">
        <v>9945239707</v>
      </c>
      <c r="I1379" s="26" t="inlineStr">
        <is>
          <t>PE25032602</t>
        </is>
      </c>
      <c r="J1379" s="42" t="inlineStr">
        <is>
          <t xml:space="preserve">Junction Box burnt </t>
        </is>
      </c>
      <c r="K1379" s="8" t="inlineStr">
        <is>
          <t>Bangalore</t>
        </is>
      </c>
      <c r="L1379" s="39" t="inlineStr">
        <is>
          <t>Karnataka</t>
        </is>
      </c>
      <c r="M1379" s="34" t="inlineStr">
        <is>
          <t>JB Replaced</t>
        </is>
      </c>
      <c r="N1379" s="6" t="inlineStr">
        <is>
          <t>JB Issue</t>
        </is>
      </c>
      <c r="O1379" s="8" t="inlineStr">
        <is>
          <t>NA</t>
        </is>
      </c>
      <c r="P1379" s="35" t="inlineStr">
        <is>
          <t>NSM191207619</t>
        </is>
      </c>
      <c r="Q1379" s="29">
        <f>MID(P1379,4,2)</f>
        <v/>
      </c>
      <c r="R1379" s="14">
        <f>MID(P1379,6,2)</f>
        <v/>
      </c>
      <c r="S1379" s="6" t="inlineStr">
        <is>
          <t>G2B</t>
        </is>
      </c>
      <c r="T1379" s="6" t="inlineStr">
        <is>
          <t>NA</t>
        </is>
      </c>
      <c r="U1379" s="6" t="inlineStr">
        <is>
          <t>JB Issue</t>
        </is>
      </c>
      <c r="V1379" s="1" t="inlineStr">
        <is>
          <t>Inspection</t>
        </is>
      </c>
      <c r="W1379" s="1" t="inlineStr">
        <is>
          <t>Repair</t>
        </is>
      </c>
      <c r="X1379" s="5" t="n">
        <v>46189</v>
      </c>
      <c r="Y1379" s="1">
        <f>IF(X1379="","",X1379-A1379)</f>
        <v/>
      </c>
      <c r="Z1379" s="5" t="n">
        <v>46189</v>
      </c>
      <c r="AA1379" s="3" t="n"/>
      <c r="AB1379" s="3" t="n"/>
      <c r="AE1379" s="146">
        <f>IF(AND(F1379="Closed",X1379&gt;=DATE(2026,6,1),X1379&lt;=DATE(2026,6,30)),"Closed in June","other")</f>
        <v/>
      </c>
    </row>
    <row r="1380" hidden="1">
      <c r="A1380" s="9" t="n">
        <v>46106</v>
      </c>
      <c r="B1380" s="1" t="n">
        <v>2026</v>
      </c>
      <c r="C1380" s="8" t="inlineStr">
        <is>
          <t>Asian Fab Tec Ltd</t>
        </is>
      </c>
      <c r="D1380" s="8" t="inlineStr">
        <is>
          <t>Utility and C&amp;I</t>
        </is>
      </c>
      <c r="E1380" s="1" t="n"/>
      <c r="F1380" s="1" t="inlineStr">
        <is>
          <t>Closed</t>
        </is>
      </c>
      <c r="G1380" s="8" t="inlineStr">
        <is>
          <t>Prakash Reddy</t>
        </is>
      </c>
      <c r="H1380" s="8" t="n">
        <v>9945239707</v>
      </c>
      <c r="I1380" s="26" t="inlineStr">
        <is>
          <t>PE25032602</t>
        </is>
      </c>
      <c r="J1380" s="42" t="inlineStr">
        <is>
          <t xml:space="preserve">Junction Box burnt </t>
        </is>
      </c>
      <c r="K1380" s="8" t="inlineStr">
        <is>
          <t>Bangalore</t>
        </is>
      </c>
      <c r="L1380" s="39" t="inlineStr">
        <is>
          <t>Karnataka</t>
        </is>
      </c>
      <c r="M1380" s="34" t="inlineStr">
        <is>
          <t>JB Replaced</t>
        </is>
      </c>
      <c r="N1380" s="6" t="inlineStr">
        <is>
          <t>JB Issue</t>
        </is>
      </c>
      <c r="O1380" s="8" t="inlineStr">
        <is>
          <t>NA</t>
        </is>
      </c>
      <c r="P1380" s="35" t="inlineStr">
        <is>
          <t>NSM191206933</t>
        </is>
      </c>
      <c r="Q1380" s="29">
        <f>MID(P1380,4,2)</f>
        <v/>
      </c>
      <c r="R1380" s="14">
        <f>MID(P1380,6,2)</f>
        <v/>
      </c>
      <c r="S1380" s="6" t="inlineStr">
        <is>
          <t>G2B</t>
        </is>
      </c>
      <c r="T1380" s="6" t="inlineStr">
        <is>
          <t>NA</t>
        </is>
      </c>
      <c r="U1380" s="6" t="inlineStr">
        <is>
          <t>JB Issue</t>
        </is>
      </c>
      <c r="V1380" s="1" t="inlineStr">
        <is>
          <t>Inspection</t>
        </is>
      </c>
      <c r="W1380" s="1" t="inlineStr">
        <is>
          <t>Repair</t>
        </is>
      </c>
      <c r="X1380" s="5" t="n">
        <v>46189</v>
      </c>
      <c r="Y1380" s="1">
        <f>IF(X1380="","",X1380-A1380)</f>
        <v/>
      </c>
      <c r="Z1380" s="5" t="n">
        <v>46189</v>
      </c>
      <c r="AA1380" s="3" t="n"/>
      <c r="AB1380" s="3" t="n"/>
      <c r="AE1380" s="146">
        <f>IF(AND(F1380="Closed",X1380&gt;=DATE(2026,6,1),X1380&lt;=DATE(2026,6,30)),"Closed in June","other")</f>
        <v/>
      </c>
    </row>
    <row r="1381" hidden="1">
      <c r="A1381" s="9" t="n">
        <v>46106</v>
      </c>
      <c r="B1381" s="1" t="n">
        <v>2026</v>
      </c>
      <c r="C1381" s="8" t="inlineStr">
        <is>
          <t>Asian Fab Tec Ltd</t>
        </is>
      </c>
      <c r="D1381" s="8" t="inlineStr">
        <is>
          <t>Utility and C&amp;I</t>
        </is>
      </c>
      <c r="E1381" s="1" t="n"/>
      <c r="F1381" s="1" t="inlineStr">
        <is>
          <t>Closed</t>
        </is>
      </c>
      <c r="G1381" s="8" t="inlineStr">
        <is>
          <t>Prakash Reddy</t>
        </is>
      </c>
      <c r="H1381" s="8" t="n">
        <v>9945239707</v>
      </c>
      <c r="I1381" s="26" t="inlineStr">
        <is>
          <t>PE25032602</t>
        </is>
      </c>
      <c r="J1381" s="42" t="inlineStr">
        <is>
          <t xml:space="preserve">Junction Box burnt </t>
        </is>
      </c>
      <c r="K1381" s="8" t="inlineStr">
        <is>
          <t>Bangalore</t>
        </is>
      </c>
      <c r="L1381" s="39" t="inlineStr">
        <is>
          <t>Karnataka</t>
        </is>
      </c>
      <c r="M1381" s="34" t="inlineStr">
        <is>
          <t>JB Replaced</t>
        </is>
      </c>
      <c r="N1381" s="6" t="inlineStr">
        <is>
          <t>JB Issue</t>
        </is>
      </c>
      <c r="O1381" s="8" t="inlineStr">
        <is>
          <t>NA</t>
        </is>
      </c>
      <c r="P1381" s="35" t="inlineStr">
        <is>
          <t>NSM191206520</t>
        </is>
      </c>
      <c r="Q1381" s="29">
        <f>MID(P1381,4,2)</f>
        <v/>
      </c>
      <c r="R1381" s="14">
        <f>MID(P1381,6,2)</f>
        <v/>
      </c>
      <c r="S1381" s="6" t="inlineStr">
        <is>
          <t>G2B</t>
        </is>
      </c>
      <c r="T1381" s="6" t="inlineStr">
        <is>
          <t>NA</t>
        </is>
      </c>
      <c r="U1381" s="6" t="inlineStr">
        <is>
          <t>JB Issue</t>
        </is>
      </c>
      <c r="V1381" s="1" t="inlineStr">
        <is>
          <t>Inspection</t>
        </is>
      </c>
      <c r="W1381" s="1" t="inlineStr">
        <is>
          <t>Repair</t>
        </is>
      </c>
      <c r="X1381" s="5" t="n">
        <v>46189</v>
      </c>
      <c r="Y1381" s="1">
        <f>IF(X1381="","",X1381-A1381)</f>
        <v/>
      </c>
      <c r="Z1381" s="5" t="n">
        <v>46189</v>
      </c>
      <c r="AA1381" s="3" t="n"/>
      <c r="AB1381" s="3" t="n"/>
      <c r="AE1381" s="146">
        <f>IF(AND(F1381="Closed",X1381&gt;=DATE(2026,6,1),X1381&lt;=DATE(2026,6,30)),"Closed in June","other")</f>
        <v/>
      </c>
    </row>
    <row r="1382" hidden="1">
      <c r="A1382" s="9" t="n">
        <v>46106</v>
      </c>
      <c r="B1382" s="1" t="n">
        <v>2026</v>
      </c>
      <c r="C1382" s="8" t="inlineStr">
        <is>
          <t>Asian Fab Tec Ltd</t>
        </is>
      </c>
      <c r="D1382" s="8" t="inlineStr">
        <is>
          <t>Utility and C&amp;I</t>
        </is>
      </c>
      <c r="E1382" s="1" t="n"/>
      <c r="F1382" s="1" t="inlineStr">
        <is>
          <t>Closed</t>
        </is>
      </c>
      <c r="G1382" s="8" t="inlineStr">
        <is>
          <t>Prakash Reddy</t>
        </is>
      </c>
      <c r="H1382" s="8" t="n">
        <v>9945239707</v>
      </c>
      <c r="I1382" s="26" t="inlineStr">
        <is>
          <t>PE25032602</t>
        </is>
      </c>
      <c r="J1382" s="42" t="inlineStr">
        <is>
          <t xml:space="preserve">Junction Box burnt </t>
        </is>
      </c>
      <c r="K1382" s="8" t="inlineStr">
        <is>
          <t>Bangalore</t>
        </is>
      </c>
      <c r="L1382" s="39" t="inlineStr">
        <is>
          <t>Karnataka</t>
        </is>
      </c>
      <c r="M1382" s="34" t="inlineStr">
        <is>
          <t>JB Replaced</t>
        </is>
      </c>
      <c r="N1382" s="6" t="inlineStr">
        <is>
          <t>JB Issue</t>
        </is>
      </c>
      <c r="O1382" s="8" t="inlineStr">
        <is>
          <t>NA</t>
        </is>
      </c>
      <c r="P1382" s="35" t="inlineStr">
        <is>
          <t>NSM191207658</t>
        </is>
      </c>
      <c r="Q1382" s="29">
        <f>MID(P1382,4,2)</f>
        <v/>
      </c>
      <c r="R1382" s="14">
        <f>MID(P1382,6,2)</f>
        <v/>
      </c>
      <c r="S1382" s="6" t="inlineStr">
        <is>
          <t>G2B</t>
        </is>
      </c>
      <c r="T1382" s="6" t="inlineStr">
        <is>
          <t>NA</t>
        </is>
      </c>
      <c r="U1382" s="6" t="inlineStr">
        <is>
          <t>JB Issue</t>
        </is>
      </c>
      <c r="V1382" s="1" t="inlineStr">
        <is>
          <t>Inspection</t>
        </is>
      </c>
      <c r="W1382" s="1" t="inlineStr">
        <is>
          <t>Repair</t>
        </is>
      </c>
      <c r="X1382" s="5" t="n">
        <v>46189</v>
      </c>
      <c r="Y1382" s="1">
        <f>IF(X1382="","",X1382-A1382)</f>
        <v/>
      </c>
      <c r="Z1382" s="5" t="n">
        <v>46189</v>
      </c>
      <c r="AA1382" s="3" t="n"/>
      <c r="AB1382" s="3" t="n"/>
      <c r="AE1382" s="146">
        <f>IF(AND(F1382="Closed",X1382&gt;=DATE(2026,6,1),X1382&lt;=DATE(2026,6,30)),"Closed in June","other")</f>
        <v/>
      </c>
    </row>
    <row r="1383" hidden="1">
      <c r="A1383" s="9" t="n">
        <v>46106</v>
      </c>
      <c r="B1383" s="1" t="n">
        <v>2026</v>
      </c>
      <c r="C1383" s="8" t="inlineStr">
        <is>
          <t>Asian Fab Tec Ltd</t>
        </is>
      </c>
      <c r="D1383" s="8" t="inlineStr">
        <is>
          <t>Utility and C&amp;I</t>
        </is>
      </c>
      <c r="E1383" s="1" t="n"/>
      <c r="F1383" s="1" t="inlineStr">
        <is>
          <t>Closed</t>
        </is>
      </c>
      <c r="G1383" s="8" t="inlineStr">
        <is>
          <t>Prakash Reddy</t>
        </is>
      </c>
      <c r="H1383" s="8" t="n">
        <v>9945239707</v>
      </c>
      <c r="I1383" s="26" t="inlineStr">
        <is>
          <t>PE25032602</t>
        </is>
      </c>
      <c r="J1383" s="42" t="inlineStr">
        <is>
          <t xml:space="preserve">Junction Box burnt </t>
        </is>
      </c>
      <c r="K1383" s="8" t="inlineStr">
        <is>
          <t>Bangalore</t>
        </is>
      </c>
      <c r="L1383" s="39" t="inlineStr">
        <is>
          <t>Karnataka</t>
        </is>
      </c>
      <c r="M1383" s="34" t="inlineStr">
        <is>
          <t>JB Replaced</t>
        </is>
      </c>
      <c r="N1383" s="6" t="inlineStr">
        <is>
          <t>JB Issue</t>
        </is>
      </c>
      <c r="O1383" s="8" t="inlineStr">
        <is>
          <t>NA</t>
        </is>
      </c>
      <c r="P1383" s="35" t="inlineStr">
        <is>
          <t>NSM191207681</t>
        </is>
      </c>
      <c r="Q1383" s="29">
        <f>MID(P1383,4,2)</f>
        <v/>
      </c>
      <c r="R1383" s="14">
        <f>MID(P1383,6,2)</f>
        <v/>
      </c>
      <c r="S1383" s="6" t="inlineStr">
        <is>
          <t>G2B</t>
        </is>
      </c>
      <c r="T1383" s="6" t="inlineStr">
        <is>
          <t>NA</t>
        </is>
      </c>
      <c r="U1383" s="6" t="inlineStr">
        <is>
          <t>JB Issue</t>
        </is>
      </c>
      <c r="V1383" s="1" t="inlineStr">
        <is>
          <t>Inspection</t>
        </is>
      </c>
      <c r="W1383" s="1" t="inlineStr">
        <is>
          <t>Repair</t>
        </is>
      </c>
      <c r="X1383" s="5" t="n">
        <v>46189</v>
      </c>
      <c r="Y1383" s="1">
        <f>IF(X1383="","",X1383-A1383)</f>
        <v/>
      </c>
      <c r="Z1383" s="5" t="n">
        <v>46189</v>
      </c>
      <c r="AA1383" s="3" t="n"/>
      <c r="AB1383" s="3" t="n"/>
      <c r="AE1383" s="146">
        <f>IF(AND(F1383="Closed",X1383&gt;=DATE(2026,6,1),X1383&lt;=DATE(2026,6,30)),"Closed in June","other")</f>
        <v/>
      </c>
    </row>
    <row r="1384" hidden="1">
      <c r="A1384" s="9" t="n">
        <v>46106</v>
      </c>
      <c r="B1384" s="1" t="n">
        <v>2026</v>
      </c>
      <c r="C1384" s="8" t="inlineStr">
        <is>
          <t>Asian Fab Tec Ltd</t>
        </is>
      </c>
      <c r="D1384" s="8" t="inlineStr">
        <is>
          <t>Utility and C&amp;I</t>
        </is>
      </c>
      <c r="E1384" s="1" t="n"/>
      <c r="F1384" s="1" t="inlineStr">
        <is>
          <t>Closed</t>
        </is>
      </c>
      <c r="G1384" s="8" t="inlineStr">
        <is>
          <t>Prakash Reddy</t>
        </is>
      </c>
      <c r="H1384" s="8" t="n">
        <v>9945239707</v>
      </c>
      <c r="I1384" s="26" t="inlineStr">
        <is>
          <t>PE25032602</t>
        </is>
      </c>
      <c r="J1384" s="42" t="inlineStr">
        <is>
          <t xml:space="preserve">Junction Box burnt </t>
        </is>
      </c>
      <c r="K1384" s="8" t="inlineStr">
        <is>
          <t>Bangalore</t>
        </is>
      </c>
      <c r="L1384" s="39" t="inlineStr">
        <is>
          <t>Karnataka</t>
        </is>
      </c>
      <c r="M1384" s="34" t="inlineStr">
        <is>
          <t>JB Replaced</t>
        </is>
      </c>
      <c r="N1384" s="6" t="inlineStr">
        <is>
          <t>JB Issue</t>
        </is>
      </c>
      <c r="O1384" s="8" t="inlineStr">
        <is>
          <t>NA</t>
        </is>
      </c>
      <c r="P1384" s="35" t="inlineStr">
        <is>
          <t>NSM191207657</t>
        </is>
      </c>
      <c r="Q1384" s="29">
        <f>MID(P1384,4,2)</f>
        <v/>
      </c>
      <c r="R1384" s="14">
        <f>MID(P1384,6,2)</f>
        <v/>
      </c>
      <c r="S1384" s="6" t="inlineStr">
        <is>
          <t>G2B</t>
        </is>
      </c>
      <c r="T1384" s="6" t="inlineStr">
        <is>
          <t>NA</t>
        </is>
      </c>
      <c r="U1384" s="6" t="inlineStr">
        <is>
          <t>JB Issue</t>
        </is>
      </c>
      <c r="V1384" s="1" t="inlineStr">
        <is>
          <t>Inspection</t>
        </is>
      </c>
      <c r="W1384" s="1" t="inlineStr">
        <is>
          <t>Repair</t>
        </is>
      </c>
      <c r="X1384" s="5" t="n">
        <v>46189</v>
      </c>
      <c r="Y1384" s="1">
        <f>IF(X1384="","",X1384-A1384)</f>
        <v/>
      </c>
      <c r="Z1384" s="5" t="n">
        <v>46189</v>
      </c>
      <c r="AA1384" s="3" t="n"/>
      <c r="AB1384" s="3" t="n"/>
      <c r="AE1384" s="146">
        <f>IF(AND(F1384="Closed",X1384&gt;=DATE(2026,6,1),X1384&lt;=DATE(2026,6,30)),"Closed in June","other")</f>
        <v/>
      </c>
    </row>
    <row r="1385" hidden="1">
      <c r="A1385" s="9" t="n">
        <v>46106</v>
      </c>
      <c r="B1385" s="1" t="n">
        <v>2026</v>
      </c>
      <c r="C1385" s="8" t="inlineStr">
        <is>
          <t>Asian Fab Tec Ltd</t>
        </is>
      </c>
      <c r="D1385" s="8" t="inlineStr">
        <is>
          <t>Utility and C&amp;I</t>
        </is>
      </c>
      <c r="E1385" s="1" t="n"/>
      <c r="F1385" s="1" t="inlineStr">
        <is>
          <t>Closed</t>
        </is>
      </c>
      <c r="G1385" s="8" t="inlineStr">
        <is>
          <t>Prakash Reddy</t>
        </is>
      </c>
      <c r="H1385" s="8" t="n">
        <v>9945239707</v>
      </c>
      <c r="I1385" s="26" t="inlineStr">
        <is>
          <t>PE25032602</t>
        </is>
      </c>
      <c r="J1385" s="42" t="inlineStr">
        <is>
          <t xml:space="preserve">Junction Box burnt </t>
        </is>
      </c>
      <c r="K1385" s="8" t="inlineStr">
        <is>
          <t>Bangalore</t>
        </is>
      </c>
      <c r="L1385" s="39" t="inlineStr">
        <is>
          <t>Karnataka</t>
        </is>
      </c>
      <c r="M1385" s="34" t="inlineStr">
        <is>
          <t>JB Replaced</t>
        </is>
      </c>
      <c r="N1385" s="6" t="inlineStr">
        <is>
          <t>JB Issue</t>
        </is>
      </c>
      <c r="O1385" s="8" t="inlineStr">
        <is>
          <t>NA</t>
        </is>
      </c>
      <c r="P1385" s="35" t="inlineStr">
        <is>
          <t>NSM191207672</t>
        </is>
      </c>
      <c r="Q1385" s="29">
        <f>MID(P1385,4,2)</f>
        <v/>
      </c>
      <c r="R1385" s="14">
        <f>MID(P1385,6,2)</f>
        <v/>
      </c>
      <c r="S1385" s="6" t="inlineStr">
        <is>
          <t>G2B</t>
        </is>
      </c>
      <c r="T1385" s="6" t="inlineStr">
        <is>
          <t>NA</t>
        </is>
      </c>
      <c r="U1385" s="6" t="inlineStr">
        <is>
          <t>JB Issue</t>
        </is>
      </c>
      <c r="V1385" s="1" t="inlineStr">
        <is>
          <t>Inspection</t>
        </is>
      </c>
      <c r="W1385" s="1" t="inlineStr">
        <is>
          <t>Repair</t>
        </is>
      </c>
      <c r="X1385" s="5" t="n">
        <v>46189</v>
      </c>
      <c r="Y1385" s="1">
        <f>IF(X1385="","",X1385-A1385)</f>
        <v/>
      </c>
      <c r="Z1385" s="5" t="n">
        <v>46189</v>
      </c>
      <c r="AA1385" s="3" t="n"/>
      <c r="AB1385" s="3" t="n"/>
      <c r="AE1385" s="146">
        <f>IF(AND(F1385="Closed",X1385&gt;=DATE(2026,6,1),X1385&lt;=DATE(2026,6,30)),"Closed in June","other")</f>
        <v/>
      </c>
    </row>
    <row r="1386" hidden="1">
      <c r="A1386" s="9" t="n">
        <v>46106</v>
      </c>
      <c r="B1386" s="1" t="n">
        <v>2026</v>
      </c>
      <c r="C1386" s="8" t="inlineStr">
        <is>
          <t>Asian Fab Tec Ltd</t>
        </is>
      </c>
      <c r="D1386" s="8" t="inlineStr">
        <is>
          <t>Utility and C&amp;I</t>
        </is>
      </c>
      <c r="E1386" s="1" t="n"/>
      <c r="F1386" s="1" t="inlineStr">
        <is>
          <t>Closed</t>
        </is>
      </c>
      <c r="G1386" s="8" t="inlineStr">
        <is>
          <t>Prakash Reddy</t>
        </is>
      </c>
      <c r="H1386" s="8" t="n">
        <v>9945239707</v>
      </c>
      <c r="I1386" s="26" t="inlineStr">
        <is>
          <t>PE25032602</t>
        </is>
      </c>
      <c r="J1386" s="42" t="inlineStr">
        <is>
          <t xml:space="preserve">Junction Box burnt </t>
        </is>
      </c>
      <c r="K1386" s="8" t="inlineStr">
        <is>
          <t>Bangalore</t>
        </is>
      </c>
      <c r="L1386" s="39" t="inlineStr">
        <is>
          <t>Karnataka</t>
        </is>
      </c>
      <c r="M1386" s="34" t="inlineStr">
        <is>
          <t>JB Replaced</t>
        </is>
      </c>
      <c r="N1386" s="6" t="inlineStr">
        <is>
          <t>JB Issue</t>
        </is>
      </c>
      <c r="O1386" s="8" t="inlineStr">
        <is>
          <t>NA</t>
        </is>
      </c>
      <c r="P1386" s="35" t="inlineStr">
        <is>
          <t>NSM191206072</t>
        </is>
      </c>
      <c r="Q1386" s="29">
        <f>MID(P1386,4,2)</f>
        <v/>
      </c>
      <c r="R1386" s="14">
        <f>MID(P1386,6,2)</f>
        <v/>
      </c>
      <c r="S1386" s="6" t="inlineStr">
        <is>
          <t>G2B</t>
        </is>
      </c>
      <c r="T1386" s="6" t="inlineStr">
        <is>
          <t>NA</t>
        </is>
      </c>
      <c r="U1386" s="6" t="inlineStr">
        <is>
          <t>JB Issue</t>
        </is>
      </c>
      <c r="V1386" s="1" t="inlineStr">
        <is>
          <t>Inspection</t>
        </is>
      </c>
      <c r="W1386" s="1" t="inlineStr">
        <is>
          <t>Repair</t>
        </is>
      </c>
      <c r="X1386" s="5" t="n">
        <v>46189</v>
      </c>
      <c r="Y1386" s="1">
        <f>IF(X1386="","",X1386-A1386)</f>
        <v/>
      </c>
      <c r="Z1386" s="5" t="n">
        <v>46189</v>
      </c>
      <c r="AA1386" s="3" t="n"/>
      <c r="AB1386" s="3" t="n"/>
      <c r="AE1386" s="146">
        <f>IF(AND(F1386="Closed",X1386&gt;=DATE(2026,6,1),X1386&lt;=DATE(2026,6,30)),"Closed in June","other")</f>
        <v/>
      </c>
    </row>
    <row r="1387" hidden="1">
      <c r="A1387" s="9" t="n">
        <v>46106</v>
      </c>
      <c r="B1387" s="1" t="n">
        <v>2026</v>
      </c>
      <c r="C1387" s="8" t="inlineStr">
        <is>
          <t>Asian Fab Tec Ltd</t>
        </is>
      </c>
      <c r="D1387" s="8" t="inlineStr">
        <is>
          <t>Utility and C&amp;I</t>
        </is>
      </c>
      <c r="E1387" s="1" t="n"/>
      <c r="F1387" s="1" t="inlineStr">
        <is>
          <t>Closed</t>
        </is>
      </c>
      <c r="G1387" s="8" t="inlineStr">
        <is>
          <t>Prakash Reddy</t>
        </is>
      </c>
      <c r="H1387" s="8" t="n">
        <v>9945239707</v>
      </c>
      <c r="I1387" s="26" t="inlineStr">
        <is>
          <t>PE25032602</t>
        </is>
      </c>
      <c r="J1387" s="42" t="inlineStr">
        <is>
          <t xml:space="preserve">Junction Box burnt </t>
        </is>
      </c>
      <c r="K1387" s="8" t="inlineStr">
        <is>
          <t>Bangalore</t>
        </is>
      </c>
      <c r="L1387" s="39" t="inlineStr">
        <is>
          <t>Karnataka</t>
        </is>
      </c>
      <c r="M1387" s="34" t="inlineStr">
        <is>
          <t>JB Replaced</t>
        </is>
      </c>
      <c r="N1387" s="6" t="inlineStr">
        <is>
          <t>JB Issue</t>
        </is>
      </c>
      <c r="O1387" s="8" t="inlineStr">
        <is>
          <t>NA</t>
        </is>
      </c>
      <c r="P1387" s="35" t="inlineStr">
        <is>
          <t>NSM191207697</t>
        </is>
      </c>
      <c r="Q1387" s="29">
        <f>MID(P1387,4,2)</f>
        <v/>
      </c>
      <c r="R1387" s="14">
        <f>MID(P1387,6,2)</f>
        <v/>
      </c>
      <c r="S1387" s="6" t="inlineStr">
        <is>
          <t>G2B</t>
        </is>
      </c>
      <c r="T1387" s="6" t="inlineStr">
        <is>
          <t>NA</t>
        </is>
      </c>
      <c r="U1387" s="6" t="inlineStr">
        <is>
          <t>JB Issue</t>
        </is>
      </c>
      <c r="V1387" s="1" t="inlineStr">
        <is>
          <t>Inspection</t>
        </is>
      </c>
      <c r="W1387" s="1" t="inlineStr">
        <is>
          <t>Repair</t>
        </is>
      </c>
      <c r="X1387" s="5" t="n">
        <v>46189</v>
      </c>
      <c r="Y1387" s="1">
        <f>IF(X1387="","",X1387-A1387)</f>
        <v/>
      </c>
      <c r="Z1387" s="5" t="n">
        <v>46189</v>
      </c>
      <c r="AA1387" s="3" t="n"/>
      <c r="AB1387" s="3" t="n"/>
      <c r="AE1387" s="146">
        <f>IF(AND(F1387="Closed",X1387&gt;=DATE(2026,6,1),X1387&lt;=DATE(2026,6,30)),"Closed in June","other")</f>
        <v/>
      </c>
    </row>
    <row r="1388" hidden="1">
      <c r="A1388" s="9" t="n">
        <v>46106</v>
      </c>
      <c r="B1388" s="1" t="n">
        <v>2026</v>
      </c>
      <c r="C1388" s="8" t="inlineStr">
        <is>
          <t>Asian Fab Tec Ltd</t>
        </is>
      </c>
      <c r="D1388" s="8" t="inlineStr">
        <is>
          <t>Utility and C&amp;I</t>
        </is>
      </c>
      <c r="E1388" s="1" t="n"/>
      <c r="F1388" s="1" t="inlineStr">
        <is>
          <t>Closed</t>
        </is>
      </c>
      <c r="G1388" s="8" t="inlineStr">
        <is>
          <t>Prakash Reddy</t>
        </is>
      </c>
      <c r="H1388" s="8" t="n">
        <v>9945239707</v>
      </c>
      <c r="I1388" s="26" t="inlineStr">
        <is>
          <t>PE25032602</t>
        </is>
      </c>
      <c r="J1388" s="42" t="inlineStr">
        <is>
          <t xml:space="preserve">Junction Box burnt </t>
        </is>
      </c>
      <c r="K1388" s="8" t="inlineStr">
        <is>
          <t>Bangalore</t>
        </is>
      </c>
      <c r="L1388" s="39" t="inlineStr">
        <is>
          <t>Karnataka</t>
        </is>
      </c>
      <c r="M1388" s="34" t="inlineStr">
        <is>
          <t>JB Replaced</t>
        </is>
      </c>
      <c r="N1388" s="6" t="inlineStr">
        <is>
          <t>JB Issue</t>
        </is>
      </c>
      <c r="O1388" s="8" t="inlineStr">
        <is>
          <t>NA</t>
        </is>
      </c>
      <c r="P1388" s="35" t="inlineStr">
        <is>
          <t>NSM191206899</t>
        </is>
      </c>
      <c r="Q1388" s="29">
        <f>MID(P1388,4,2)</f>
        <v/>
      </c>
      <c r="R1388" s="14">
        <f>MID(P1388,6,2)</f>
        <v/>
      </c>
      <c r="S1388" s="6" t="inlineStr">
        <is>
          <t>G2B</t>
        </is>
      </c>
      <c r="T1388" s="6" t="inlineStr">
        <is>
          <t>NA</t>
        </is>
      </c>
      <c r="U1388" s="6" t="inlineStr">
        <is>
          <t>JB Issue</t>
        </is>
      </c>
      <c r="V1388" s="1" t="inlineStr">
        <is>
          <t>Inspection</t>
        </is>
      </c>
      <c r="W1388" s="1" t="inlineStr">
        <is>
          <t>Repair</t>
        </is>
      </c>
      <c r="X1388" s="5" t="n">
        <v>46189</v>
      </c>
      <c r="Y1388" s="1">
        <f>IF(X1388="","",X1388-A1388)</f>
        <v/>
      </c>
      <c r="Z1388" s="5" t="n">
        <v>46189</v>
      </c>
      <c r="AA1388" s="3" t="n"/>
      <c r="AB1388" s="3" t="n"/>
      <c r="AE1388" s="146">
        <f>IF(AND(F1388="Closed",X1388&gt;=DATE(2026,6,1),X1388&lt;=DATE(2026,6,30)),"Closed in June","other")</f>
        <v/>
      </c>
    </row>
    <row r="1389" hidden="1">
      <c r="A1389" s="9" t="n">
        <v>46106</v>
      </c>
      <c r="B1389" s="1" t="n">
        <v>2026</v>
      </c>
      <c r="C1389" s="8" t="inlineStr">
        <is>
          <t>Asian Fab Tec Ltd</t>
        </is>
      </c>
      <c r="D1389" s="8" t="inlineStr">
        <is>
          <t>Utility and C&amp;I</t>
        </is>
      </c>
      <c r="E1389" s="1" t="n"/>
      <c r="F1389" s="1" t="inlineStr">
        <is>
          <t>Closed</t>
        </is>
      </c>
      <c r="G1389" s="8" t="inlineStr">
        <is>
          <t>Prakash Reddy</t>
        </is>
      </c>
      <c r="H1389" s="8" t="n">
        <v>9945239707</v>
      </c>
      <c r="I1389" s="26" t="inlineStr">
        <is>
          <t>PE25032602</t>
        </is>
      </c>
      <c r="J1389" s="42" t="inlineStr">
        <is>
          <t xml:space="preserve">Junction Box burnt </t>
        </is>
      </c>
      <c r="K1389" s="8" t="inlineStr">
        <is>
          <t>Bangalore</t>
        </is>
      </c>
      <c r="L1389" s="39" t="inlineStr">
        <is>
          <t>Karnataka</t>
        </is>
      </c>
      <c r="M1389" s="34" t="inlineStr">
        <is>
          <t>JB Replaced</t>
        </is>
      </c>
      <c r="N1389" s="6" t="inlineStr">
        <is>
          <t>JB Issue</t>
        </is>
      </c>
      <c r="O1389" s="8" t="inlineStr">
        <is>
          <t>NA</t>
        </is>
      </c>
      <c r="P1389" s="35" t="inlineStr">
        <is>
          <t>NSM191207430</t>
        </is>
      </c>
      <c r="Q1389" s="29">
        <f>MID(P1389,4,2)</f>
        <v/>
      </c>
      <c r="R1389" s="14">
        <f>MID(P1389,6,2)</f>
        <v/>
      </c>
      <c r="S1389" s="6" t="inlineStr">
        <is>
          <t>G2B</t>
        </is>
      </c>
      <c r="T1389" s="6" t="inlineStr">
        <is>
          <t>NA</t>
        </is>
      </c>
      <c r="U1389" s="6" t="inlineStr">
        <is>
          <t>JB Issue</t>
        </is>
      </c>
      <c r="V1389" s="1" t="inlineStr">
        <is>
          <t>Inspection</t>
        </is>
      </c>
      <c r="W1389" s="1" t="inlineStr">
        <is>
          <t>Repair</t>
        </is>
      </c>
      <c r="X1389" s="5" t="n">
        <v>46189</v>
      </c>
      <c r="Y1389" s="1">
        <f>IF(X1389="","",X1389-A1389)</f>
        <v/>
      </c>
      <c r="Z1389" s="5" t="n">
        <v>46189</v>
      </c>
      <c r="AA1389" s="3" t="n"/>
      <c r="AB1389" s="3" t="n"/>
      <c r="AE1389" s="146">
        <f>IF(AND(F1389="Closed",X1389&gt;=DATE(2026,6,1),X1389&lt;=DATE(2026,6,30)),"Closed in June","other")</f>
        <v/>
      </c>
    </row>
    <row r="1390" hidden="1">
      <c r="A1390" s="9" t="n">
        <v>46106</v>
      </c>
      <c r="B1390" s="1" t="n">
        <v>2026</v>
      </c>
      <c r="C1390" s="8" t="inlineStr">
        <is>
          <t>Asian Fab Tec Ltd</t>
        </is>
      </c>
      <c r="D1390" s="8" t="inlineStr">
        <is>
          <t>Utility and C&amp;I</t>
        </is>
      </c>
      <c r="E1390" s="1" t="n"/>
      <c r="F1390" s="1" t="inlineStr">
        <is>
          <t>Closed</t>
        </is>
      </c>
      <c r="G1390" s="8" t="inlineStr">
        <is>
          <t>Prakash Reddy</t>
        </is>
      </c>
      <c r="H1390" s="8" t="n">
        <v>9945239707</v>
      </c>
      <c r="I1390" s="26" t="inlineStr">
        <is>
          <t>PE25032602</t>
        </is>
      </c>
      <c r="J1390" s="42" t="inlineStr">
        <is>
          <t xml:space="preserve">Junction Box burnt </t>
        </is>
      </c>
      <c r="K1390" s="8" t="inlineStr">
        <is>
          <t>Bangalore</t>
        </is>
      </c>
      <c r="L1390" s="39" t="inlineStr">
        <is>
          <t>Karnataka</t>
        </is>
      </c>
      <c r="M1390" s="34" t="inlineStr">
        <is>
          <t>JB Replaced</t>
        </is>
      </c>
      <c r="N1390" s="6" t="inlineStr">
        <is>
          <t>JB Issue</t>
        </is>
      </c>
      <c r="O1390" s="8" t="inlineStr">
        <is>
          <t>NA</t>
        </is>
      </c>
      <c r="P1390" s="35" t="inlineStr">
        <is>
          <t>NSM191206900</t>
        </is>
      </c>
      <c r="Q1390" s="29">
        <f>MID(P1390,4,2)</f>
        <v/>
      </c>
      <c r="R1390" s="14">
        <f>MID(P1390,6,2)</f>
        <v/>
      </c>
      <c r="S1390" s="6" t="inlineStr">
        <is>
          <t>G2B</t>
        </is>
      </c>
      <c r="T1390" s="6" t="inlineStr">
        <is>
          <t>NA</t>
        </is>
      </c>
      <c r="U1390" s="6" t="inlineStr">
        <is>
          <t>JB Issue</t>
        </is>
      </c>
      <c r="V1390" s="1" t="inlineStr">
        <is>
          <t>Inspection</t>
        </is>
      </c>
      <c r="W1390" s="1" t="inlineStr">
        <is>
          <t>Repair</t>
        </is>
      </c>
      <c r="X1390" s="5" t="n">
        <v>46189</v>
      </c>
      <c r="Y1390" s="1">
        <f>IF(X1390="","",X1390-A1390)</f>
        <v/>
      </c>
      <c r="Z1390" s="5" t="n">
        <v>46189</v>
      </c>
      <c r="AA1390" s="3" t="n"/>
      <c r="AB1390" s="3" t="n"/>
      <c r="AE1390" s="146">
        <f>IF(AND(F1390="Closed",X1390&gt;=DATE(2026,6,1),X1390&lt;=DATE(2026,6,30)),"Closed in June","other")</f>
        <v/>
      </c>
    </row>
    <row r="1391" hidden="1">
      <c r="A1391" s="9" t="n">
        <v>46106</v>
      </c>
      <c r="B1391" s="1" t="n">
        <v>2026</v>
      </c>
      <c r="C1391" s="8" t="inlineStr">
        <is>
          <t>Asian Fab Tec Ltd</t>
        </is>
      </c>
      <c r="D1391" s="8" t="inlineStr">
        <is>
          <t>Utility and C&amp;I</t>
        </is>
      </c>
      <c r="E1391" s="1" t="n"/>
      <c r="F1391" s="1" t="inlineStr">
        <is>
          <t>Closed</t>
        </is>
      </c>
      <c r="G1391" s="8" t="inlineStr">
        <is>
          <t>Prakash Reddy</t>
        </is>
      </c>
      <c r="H1391" s="8" t="n">
        <v>9945239707</v>
      </c>
      <c r="I1391" s="26" t="inlineStr">
        <is>
          <t>PE25032602</t>
        </is>
      </c>
      <c r="J1391" s="42" t="inlineStr">
        <is>
          <t xml:space="preserve">Junction Box burnt </t>
        </is>
      </c>
      <c r="K1391" s="8" t="inlineStr">
        <is>
          <t>Bangalore</t>
        </is>
      </c>
      <c r="L1391" s="39" t="inlineStr">
        <is>
          <t>Karnataka</t>
        </is>
      </c>
      <c r="M1391" s="34" t="inlineStr">
        <is>
          <t>JB Replaced</t>
        </is>
      </c>
      <c r="N1391" s="6" t="inlineStr">
        <is>
          <t>JB Issue</t>
        </is>
      </c>
      <c r="O1391" s="8" t="inlineStr">
        <is>
          <t>NA</t>
        </is>
      </c>
      <c r="P1391" s="35" t="inlineStr">
        <is>
          <t>NSM191206540</t>
        </is>
      </c>
      <c r="Q1391" s="29">
        <f>MID(P1391,4,2)</f>
        <v/>
      </c>
      <c r="R1391" s="14">
        <f>MID(P1391,6,2)</f>
        <v/>
      </c>
      <c r="S1391" s="6" t="inlineStr">
        <is>
          <t>G2B</t>
        </is>
      </c>
      <c r="T1391" s="6" t="inlineStr">
        <is>
          <t>NA</t>
        </is>
      </c>
      <c r="U1391" s="6" t="inlineStr">
        <is>
          <t>JB Issue</t>
        </is>
      </c>
      <c r="V1391" s="1" t="inlineStr">
        <is>
          <t>Inspection</t>
        </is>
      </c>
      <c r="W1391" s="1" t="inlineStr">
        <is>
          <t>Repair</t>
        </is>
      </c>
      <c r="X1391" s="5" t="n">
        <v>46189</v>
      </c>
      <c r="Y1391" s="1">
        <f>IF(X1391="","",X1391-A1391)</f>
        <v/>
      </c>
      <c r="Z1391" s="5" t="n">
        <v>46189</v>
      </c>
      <c r="AA1391" s="3" t="n"/>
      <c r="AB1391" s="3" t="n"/>
      <c r="AE1391" s="146">
        <f>IF(AND(F1391="Closed",X1391&gt;=DATE(2026,6,1),X1391&lt;=DATE(2026,6,30)),"Closed in June","other")</f>
        <v/>
      </c>
    </row>
    <row r="1392" hidden="1">
      <c r="A1392" s="9" t="n">
        <v>46106</v>
      </c>
      <c r="B1392" s="1" t="n">
        <v>2026</v>
      </c>
      <c r="C1392" s="8" t="inlineStr">
        <is>
          <t>Asian Fab Tec Ltd</t>
        </is>
      </c>
      <c r="D1392" s="8" t="inlineStr">
        <is>
          <t>Utility and C&amp;I</t>
        </is>
      </c>
      <c r="E1392" s="1" t="n"/>
      <c r="F1392" s="1" t="inlineStr">
        <is>
          <t>Closed</t>
        </is>
      </c>
      <c r="G1392" s="8" t="inlineStr">
        <is>
          <t>Prakash Reddy</t>
        </is>
      </c>
      <c r="H1392" s="8" t="n">
        <v>9945239707</v>
      </c>
      <c r="I1392" s="26" t="inlineStr">
        <is>
          <t>PE25032602</t>
        </is>
      </c>
      <c r="J1392" s="42" t="inlineStr">
        <is>
          <t xml:space="preserve">Junction Box burnt </t>
        </is>
      </c>
      <c r="K1392" s="8" t="inlineStr">
        <is>
          <t>Bangalore</t>
        </is>
      </c>
      <c r="L1392" s="39" t="inlineStr">
        <is>
          <t>Karnataka</t>
        </is>
      </c>
      <c r="M1392" s="34" t="inlineStr">
        <is>
          <t>JB Replaced</t>
        </is>
      </c>
      <c r="N1392" s="6" t="inlineStr">
        <is>
          <t>JB Issue</t>
        </is>
      </c>
      <c r="O1392" s="8" t="inlineStr">
        <is>
          <t>NA</t>
        </is>
      </c>
      <c r="P1392" s="35" t="inlineStr">
        <is>
          <t>NSM191207054</t>
        </is>
      </c>
      <c r="Q1392" s="29">
        <f>MID(P1392,4,2)</f>
        <v/>
      </c>
      <c r="R1392" s="14">
        <f>MID(P1392,6,2)</f>
        <v/>
      </c>
      <c r="S1392" s="6" t="inlineStr">
        <is>
          <t>G2B</t>
        </is>
      </c>
      <c r="T1392" s="6" t="inlineStr">
        <is>
          <t>NA</t>
        </is>
      </c>
      <c r="U1392" s="6" t="inlineStr">
        <is>
          <t>JB Issue</t>
        </is>
      </c>
      <c r="V1392" s="1" t="inlineStr">
        <is>
          <t>Inspection</t>
        </is>
      </c>
      <c r="W1392" s="1" t="inlineStr">
        <is>
          <t>Repair</t>
        </is>
      </c>
      <c r="X1392" s="5" t="n">
        <v>46189</v>
      </c>
      <c r="Y1392" s="1">
        <f>IF(X1392="","",X1392-A1392)</f>
        <v/>
      </c>
      <c r="Z1392" s="5" t="n">
        <v>46189</v>
      </c>
      <c r="AA1392" s="3" t="n"/>
      <c r="AB1392" s="3" t="n"/>
      <c r="AE1392" s="146">
        <f>IF(AND(F1392="Closed",X1392&gt;=DATE(2026,6,1),X1392&lt;=DATE(2026,6,30)),"Closed in June","other")</f>
        <v/>
      </c>
    </row>
    <row r="1393" hidden="1">
      <c r="A1393" s="9" t="n">
        <v>46106</v>
      </c>
      <c r="B1393" s="1" t="n">
        <v>2026</v>
      </c>
      <c r="C1393" s="8" t="inlineStr">
        <is>
          <t>Asian Fab Tec Ltd</t>
        </is>
      </c>
      <c r="D1393" s="8" t="inlineStr">
        <is>
          <t>Utility and C&amp;I</t>
        </is>
      </c>
      <c r="E1393" s="1" t="n"/>
      <c r="F1393" s="1" t="inlineStr">
        <is>
          <t>Closed</t>
        </is>
      </c>
      <c r="G1393" s="8" t="inlineStr">
        <is>
          <t>Prakash Reddy</t>
        </is>
      </c>
      <c r="H1393" s="8" t="n">
        <v>9945239707</v>
      </c>
      <c r="I1393" s="26" t="inlineStr">
        <is>
          <t>PE25032602</t>
        </is>
      </c>
      <c r="J1393" s="42" t="inlineStr">
        <is>
          <t xml:space="preserve">Junction Box burnt </t>
        </is>
      </c>
      <c r="K1393" s="8" t="inlineStr">
        <is>
          <t>Bangalore</t>
        </is>
      </c>
      <c r="L1393" s="39" t="inlineStr">
        <is>
          <t>Karnataka</t>
        </is>
      </c>
      <c r="M1393" s="34" t="inlineStr">
        <is>
          <t>JB Replaced</t>
        </is>
      </c>
      <c r="N1393" s="6" t="inlineStr">
        <is>
          <t>JB Issue</t>
        </is>
      </c>
      <c r="O1393" s="8" t="inlineStr">
        <is>
          <t>NA</t>
        </is>
      </c>
      <c r="P1393" s="35" t="inlineStr">
        <is>
          <t>NSM191206545</t>
        </is>
      </c>
      <c r="Q1393" s="29">
        <f>MID(P1393,4,2)</f>
        <v/>
      </c>
      <c r="R1393" s="14">
        <f>MID(P1393,6,2)</f>
        <v/>
      </c>
      <c r="S1393" s="6" t="inlineStr">
        <is>
          <t>G2B</t>
        </is>
      </c>
      <c r="T1393" s="6" t="inlineStr">
        <is>
          <t>NA</t>
        </is>
      </c>
      <c r="U1393" s="6" t="inlineStr">
        <is>
          <t>JB Issue</t>
        </is>
      </c>
      <c r="V1393" s="1" t="inlineStr">
        <is>
          <t>Inspection</t>
        </is>
      </c>
      <c r="W1393" s="1" t="inlineStr">
        <is>
          <t>Repair</t>
        </is>
      </c>
      <c r="X1393" s="5" t="n">
        <v>46189</v>
      </c>
      <c r="Y1393" s="1">
        <f>IF(X1393="","",X1393-A1393)</f>
        <v/>
      </c>
      <c r="Z1393" s="5" t="n">
        <v>46189</v>
      </c>
      <c r="AA1393" s="3" t="n"/>
      <c r="AB1393" s="3" t="n"/>
      <c r="AE1393" s="146">
        <f>IF(AND(F1393="Closed",X1393&gt;=DATE(2026,6,1),X1393&lt;=DATE(2026,6,30)),"Closed in June","other")</f>
        <v/>
      </c>
    </row>
    <row r="1394" hidden="1">
      <c r="A1394" s="9" t="n">
        <v>46106</v>
      </c>
      <c r="B1394" s="1" t="n">
        <v>2026</v>
      </c>
      <c r="C1394" s="8" t="inlineStr">
        <is>
          <t>Asian Fab Tec Ltd</t>
        </is>
      </c>
      <c r="D1394" s="8" t="inlineStr">
        <is>
          <t>Utility and C&amp;I</t>
        </is>
      </c>
      <c r="E1394" s="1" t="n"/>
      <c r="F1394" s="1" t="inlineStr">
        <is>
          <t>Closed</t>
        </is>
      </c>
      <c r="G1394" s="8" t="inlineStr">
        <is>
          <t>Prakash Reddy</t>
        </is>
      </c>
      <c r="H1394" s="8" t="n">
        <v>9945239707</v>
      </c>
      <c r="I1394" s="26" t="inlineStr">
        <is>
          <t>PE25032602</t>
        </is>
      </c>
      <c r="J1394" s="42" t="inlineStr">
        <is>
          <t xml:space="preserve">Junction Box burnt </t>
        </is>
      </c>
      <c r="K1394" s="8" t="inlineStr">
        <is>
          <t>Bangalore</t>
        </is>
      </c>
      <c r="L1394" s="39" t="inlineStr">
        <is>
          <t>Karnataka</t>
        </is>
      </c>
      <c r="M1394" s="34" t="inlineStr">
        <is>
          <t>JB Replaced</t>
        </is>
      </c>
      <c r="N1394" s="6" t="inlineStr">
        <is>
          <t>JB Issue</t>
        </is>
      </c>
      <c r="O1394" s="8" t="inlineStr">
        <is>
          <t>NA</t>
        </is>
      </c>
      <c r="P1394" s="35" t="inlineStr">
        <is>
          <t>NSM191207706</t>
        </is>
      </c>
      <c r="Q1394" s="29">
        <f>MID(P1394,4,2)</f>
        <v/>
      </c>
      <c r="R1394" s="14">
        <f>MID(P1394,6,2)</f>
        <v/>
      </c>
      <c r="S1394" s="6" t="inlineStr">
        <is>
          <t>G2B</t>
        </is>
      </c>
      <c r="T1394" s="6" t="inlineStr">
        <is>
          <t>NA</t>
        </is>
      </c>
      <c r="U1394" s="6" t="inlineStr">
        <is>
          <t>JB Issue</t>
        </is>
      </c>
      <c r="V1394" s="1" t="inlineStr">
        <is>
          <t>Inspection</t>
        </is>
      </c>
      <c r="W1394" s="1" t="inlineStr">
        <is>
          <t>Repair</t>
        </is>
      </c>
      <c r="X1394" s="5" t="n">
        <v>46189</v>
      </c>
      <c r="Y1394" s="1">
        <f>IF(X1394="","",X1394-A1394)</f>
        <v/>
      </c>
      <c r="Z1394" s="5" t="n">
        <v>46189</v>
      </c>
      <c r="AA1394" s="3" t="n"/>
      <c r="AB1394" s="3" t="n"/>
      <c r="AE1394" s="146">
        <f>IF(AND(F1394="Closed",X1394&gt;=DATE(2026,6,1),X1394&lt;=DATE(2026,6,30)),"Closed in June","other")</f>
        <v/>
      </c>
    </row>
    <row r="1395" hidden="1">
      <c r="A1395" s="9" t="n">
        <v>46106</v>
      </c>
      <c r="B1395" s="1" t="n">
        <v>2026</v>
      </c>
      <c r="C1395" s="8" t="inlineStr">
        <is>
          <t>Asian Fab Tec Ltd</t>
        </is>
      </c>
      <c r="D1395" s="8" t="inlineStr">
        <is>
          <t>Utility and C&amp;I</t>
        </is>
      </c>
      <c r="E1395" s="1" t="n"/>
      <c r="F1395" s="1" t="inlineStr">
        <is>
          <t>Closed</t>
        </is>
      </c>
      <c r="G1395" s="8" t="inlineStr">
        <is>
          <t>Prakash Reddy</t>
        </is>
      </c>
      <c r="H1395" s="8" t="n">
        <v>9945239707</v>
      </c>
      <c r="I1395" s="26" t="inlineStr">
        <is>
          <t>PE25032602</t>
        </is>
      </c>
      <c r="J1395" s="42" t="inlineStr">
        <is>
          <t xml:space="preserve">Junction Box burnt </t>
        </is>
      </c>
      <c r="K1395" s="8" t="inlineStr">
        <is>
          <t>Bangalore</t>
        </is>
      </c>
      <c r="L1395" s="39" t="inlineStr">
        <is>
          <t>Karnataka</t>
        </is>
      </c>
      <c r="M1395" s="34" t="inlineStr">
        <is>
          <t>JB Replaced</t>
        </is>
      </c>
      <c r="N1395" s="6" t="inlineStr">
        <is>
          <t>JB Issue</t>
        </is>
      </c>
      <c r="O1395" s="8" t="inlineStr">
        <is>
          <t>NA</t>
        </is>
      </c>
      <c r="P1395" s="35" t="inlineStr">
        <is>
          <t>NSM191206982</t>
        </is>
      </c>
      <c r="Q1395" s="29">
        <f>MID(P1395,4,2)</f>
        <v/>
      </c>
      <c r="R1395" s="14">
        <f>MID(P1395,6,2)</f>
        <v/>
      </c>
      <c r="S1395" s="6" t="inlineStr">
        <is>
          <t>G2B</t>
        </is>
      </c>
      <c r="T1395" s="6" t="inlineStr">
        <is>
          <t>NA</t>
        </is>
      </c>
      <c r="U1395" s="6" t="inlineStr">
        <is>
          <t>JB Issue</t>
        </is>
      </c>
      <c r="V1395" s="1" t="inlineStr">
        <is>
          <t>Inspection</t>
        </is>
      </c>
      <c r="W1395" s="1" t="inlineStr">
        <is>
          <t>Repair</t>
        </is>
      </c>
      <c r="X1395" s="5" t="n">
        <v>46189</v>
      </c>
      <c r="Y1395" s="1">
        <f>IF(X1395="","",X1395-A1395)</f>
        <v/>
      </c>
      <c r="Z1395" s="5" t="n">
        <v>46189</v>
      </c>
      <c r="AA1395" s="3" t="n"/>
      <c r="AB1395" s="3" t="n"/>
      <c r="AE1395" s="146">
        <f>IF(AND(F1395="Closed",X1395&gt;=DATE(2026,6,1),X1395&lt;=DATE(2026,6,30)),"Closed in June","other")</f>
        <v/>
      </c>
    </row>
    <row r="1396" hidden="1">
      <c r="A1396" s="9" t="n">
        <v>46106</v>
      </c>
      <c r="B1396" s="1" t="n">
        <v>2026</v>
      </c>
      <c r="C1396" s="8" t="inlineStr">
        <is>
          <t>Asian Fab Tec Ltd</t>
        </is>
      </c>
      <c r="D1396" s="8" t="inlineStr">
        <is>
          <t>Utility and C&amp;I</t>
        </is>
      </c>
      <c r="E1396" s="1" t="n"/>
      <c r="F1396" s="1" t="inlineStr">
        <is>
          <t>Closed</t>
        </is>
      </c>
      <c r="G1396" s="8" t="inlineStr">
        <is>
          <t>Prakash Reddy</t>
        </is>
      </c>
      <c r="H1396" s="8" t="n">
        <v>9945239707</v>
      </c>
      <c r="I1396" s="26" t="inlineStr">
        <is>
          <t>PE25032602</t>
        </is>
      </c>
      <c r="J1396" s="42" t="inlineStr">
        <is>
          <t xml:space="preserve">Junction Box burnt </t>
        </is>
      </c>
      <c r="K1396" s="8" t="inlineStr">
        <is>
          <t>Bangalore</t>
        </is>
      </c>
      <c r="L1396" s="39" t="inlineStr">
        <is>
          <t>Karnataka</t>
        </is>
      </c>
      <c r="M1396" s="34" t="inlineStr">
        <is>
          <t>JB Replaced</t>
        </is>
      </c>
      <c r="N1396" s="6" t="inlineStr">
        <is>
          <t>JB Issue</t>
        </is>
      </c>
      <c r="O1396" s="8" t="inlineStr">
        <is>
          <t>NA</t>
        </is>
      </c>
      <c r="P1396" s="35" t="inlineStr">
        <is>
          <t>NSM191206643</t>
        </is>
      </c>
      <c r="Q1396" s="29">
        <f>MID(P1396,4,2)</f>
        <v/>
      </c>
      <c r="R1396" s="14">
        <f>MID(P1396,6,2)</f>
        <v/>
      </c>
      <c r="S1396" s="6" t="inlineStr">
        <is>
          <t>G2B</t>
        </is>
      </c>
      <c r="T1396" s="6" t="inlineStr">
        <is>
          <t>NA</t>
        </is>
      </c>
      <c r="U1396" s="6" t="inlineStr">
        <is>
          <t>JB Issue</t>
        </is>
      </c>
      <c r="V1396" s="1" t="inlineStr">
        <is>
          <t>Inspection</t>
        </is>
      </c>
      <c r="W1396" s="1" t="inlineStr">
        <is>
          <t>Repair</t>
        </is>
      </c>
      <c r="X1396" s="5" t="n">
        <v>46189</v>
      </c>
      <c r="Y1396" s="1">
        <f>IF(X1396="","",X1396-A1396)</f>
        <v/>
      </c>
      <c r="Z1396" s="5" t="n">
        <v>46189</v>
      </c>
      <c r="AA1396" s="3" t="n"/>
      <c r="AB1396" s="3" t="n"/>
      <c r="AE1396" s="146">
        <f>IF(AND(F1396="Closed",X1396&gt;=DATE(2026,6,1),X1396&lt;=DATE(2026,6,30)),"Closed in June","other")</f>
        <v/>
      </c>
    </row>
    <row r="1397" hidden="1">
      <c r="A1397" s="9" t="n">
        <v>46106</v>
      </c>
      <c r="B1397" s="1" t="n">
        <v>2026</v>
      </c>
      <c r="C1397" s="8" t="inlineStr">
        <is>
          <t>Asian Fab Tec Ltd</t>
        </is>
      </c>
      <c r="D1397" s="8" t="inlineStr">
        <is>
          <t>Utility and C&amp;I</t>
        </is>
      </c>
      <c r="E1397" s="1" t="n"/>
      <c r="F1397" s="1" t="inlineStr">
        <is>
          <t>Closed</t>
        </is>
      </c>
      <c r="G1397" s="8" t="inlineStr">
        <is>
          <t>Prakash Reddy</t>
        </is>
      </c>
      <c r="H1397" s="8" t="n">
        <v>9945239707</v>
      </c>
      <c r="I1397" s="26" t="inlineStr">
        <is>
          <t>PE25032602</t>
        </is>
      </c>
      <c r="J1397" s="42" t="inlineStr">
        <is>
          <t xml:space="preserve">Junction Box burnt </t>
        </is>
      </c>
      <c r="K1397" s="8" t="inlineStr">
        <is>
          <t>Bangalore</t>
        </is>
      </c>
      <c r="L1397" s="39" t="inlineStr">
        <is>
          <t>Karnataka</t>
        </is>
      </c>
      <c r="M1397" s="34" t="inlineStr">
        <is>
          <t>JB Replaced</t>
        </is>
      </c>
      <c r="N1397" s="6" t="inlineStr">
        <is>
          <t>JB Issue</t>
        </is>
      </c>
      <c r="O1397" s="8" t="inlineStr">
        <is>
          <t>NA</t>
        </is>
      </c>
      <c r="P1397" s="35" t="inlineStr">
        <is>
          <t>NSM191206141</t>
        </is>
      </c>
      <c r="Q1397" s="29">
        <f>MID(P1397,4,2)</f>
        <v/>
      </c>
      <c r="R1397" s="14">
        <f>MID(P1397,6,2)</f>
        <v/>
      </c>
      <c r="S1397" s="6" t="inlineStr">
        <is>
          <t>G2B</t>
        </is>
      </c>
      <c r="T1397" s="6" t="inlineStr">
        <is>
          <t>NA</t>
        </is>
      </c>
      <c r="U1397" s="6" t="inlineStr">
        <is>
          <t>JB Issue</t>
        </is>
      </c>
      <c r="V1397" s="1" t="inlineStr">
        <is>
          <t>Inspection</t>
        </is>
      </c>
      <c r="W1397" s="1" t="inlineStr">
        <is>
          <t>Repair</t>
        </is>
      </c>
      <c r="X1397" s="5" t="n">
        <v>46189</v>
      </c>
      <c r="Y1397" s="1">
        <f>IF(X1397="","",X1397-A1397)</f>
        <v/>
      </c>
      <c r="Z1397" s="5" t="n">
        <v>46189</v>
      </c>
      <c r="AA1397" s="3" t="n"/>
      <c r="AB1397" s="3" t="n"/>
      <c r="AE1397" s="146">
        <f>IF(AND(F1397="Closed",X1397&gt;=DATE(2026,6,1),X1397&lt;=DATE(2026,6,30)),"Closed in June","other")</f>
        <v/>
      </c>
    </row>
    <row r="1398" hidden="1">
      <c r="A1398" s="9" t="n">
        <v>46106</v>
      </c>
      <c r="B1398" s="1" t="n">
        <v>2026</v>
      </c>
      <c r="C1398" s="8" t="inlineStr">
        <is>
          <t>Asian Fab Tec Ltd</t>
        </is>
      </c>
      <c r="D1398" s="8" t="inlineStr">
        <is>
          <t>Utility and C&amp;I</t>
        </is>
      </c>
      <c r="E1398" s="1" t="n"/>
      <c r="F1398" s="1" t="inlineStr">
        <is>
          <t>Closed</t>
        </is>
      </c>
      <c r="G1398" s="8" t="inlineStr">
        <is>
          <t>Prakash Reddy</t>
        </is>
      </c>
      <c r="H1398" s="8" t="n">
        <v>9945239707</v>
      </c>
      <c r="I1398" s="26" t="inlineStr">
        <is>
          <t>PE25032602</t>
        </is>
      </c>
      <c r="J1398" s="42" t="inlineStr">
        <is>
          <t xml:space="preserve">Junction Box burnt </t>
        </is>
      </c>
      <c r="K1398" s="8" t="inlineStr">
        <is>
          <t>Bangalore</t>
        </is>
      </c>
      <c r="L1398" s="39" t="inlineStr">
        <is>
          <t>Karnataka</t>
        </is>
      </c>
      <c r="M1398" s="34" t="inlineStr">
        <is>
          <t>JB Replaced</t>
        </is>
      </c>
      <c r="N1398" s="6" t="inlineStr">
        <is>
          <t>JB Issue</t>
        </is>
      </c>
      <c r="O1398" s="8" t="inlineStr">
        <is>
          <t>NA</t>
        </is>
      </c>
      <c r="P1398" s="35" t="inlineStr">
        <is>
          <t>NSM191206345</t>
        </is>
      </c>
      <c r="Q1398" s="29">
        <f>MID(P1398,4,2)</f>
        <v/>
      </c>
      <c r="R1398" s="14">
        <f>MID(P1398,6,2)</f>
        <v/>
      </c>
      <c r="S1398" s="6" t="inlineStr">
        <is>
          <t>G2B</t>
        </is>
      </c>
      <c r="T1398" s="6" t="inlineStr">
        <is>
          <t>NA</t>
        </is>
      </c>
      <c r="U1398" s="6" t="inlineStr">
        <is>
          <t>JB Issue</t>
        </is>
      </c>
      <c r="V1398" s="1" t="inlineStr">
        <is>
          <t>Inspection</t>
        </is>
      </c>
      <c r="W1398" s="1" t="inlineStr">
        <is>
          <t>Repair</t>
        </is>
      </c>
      <c r="X1398" s="5" t="n">
        <v>46189</v>
      </c>
      <c r="Y1398" s="1">
        <f>IF(X1398="","",X1398-A1398)</f>
        <v/>
      </c>
      <c r="Z1398" s="5" t="n">
        <v>46189</v>
      </c>
      <c r="AA1398" s="3" t="n"/>
      <c r="AB1398" s="3" t="n"/>
      <c r="AE1398" s="146">
        <f>IF(AND(F1398="Closed",X1398&gt;=DATE(2026,6,1),X1398&lt;=DATE(2026,6,30)),"Closed in June","other")</f>
        <v/>
      </c>
    </row>
    <row r="1399" hidden="1">
      <c r="A1399" s="9" t="n">
        <v>46106</v>
      </c>
      <c r="B1399" s="1" t="n">
        <v>2026</v>
      </c>
      <c r="C1399" s="8" t="inlineStr">
        <is>
          <t>Asian Fab Tec Ltd</t>
        </is>
      </c>
      <c r="D1399" s="8" t="inlineStr">
        <is>
          <t>Utility and C&amp;I</t>
        </is>
      </c>
      <c r="E1399" s="1" t="n"/>
      <c r="F1399" s="1" t="inlineStr">
        <is>
          <t>Closed</t>
        </is>
      </c>
      <c r="G1399" s="8" t="inlineStr">
        <is>
          <t>Prakash Reddy</t>
        </is>
      </c>
      <c r="H1399" s="8" t="n">
        <v>9945239707</v>
      </c>
      <c r="I1399" s="26" t="inlineStr">
        <is>
          <t>PE25032602</t>
        </is>
      </c>
      <c r="J1399" s="42" t="inlineStr">
        <is>
          <t xml:space="preserve">Junction Box burnt </t>
        </is>
      </c>
      <c r="K1399" s="8" t="inlineStr">
        <is>
          <t>Bangalore</t>
        </is>
      </c>
      <c r="L1399" s="39" t="inlineStr">
        <is>
          <t>Karnataka</t>
        </is>
      </c>
      <c r="M1399" s="34" t="inlineStr">
        <is>
          <t>JB Replaced</t>
        </is>
      </c>
      <c r="N1399" s="6" t="inlineStr">
        <is>
          <t>JB Issue</t>
        </is>
      </c>
      <c r="O1399" s="8" t="inlineStr">
        <is>
          <t>NA</t>
        </is>
      </c>
      <c r="P1399" s="35" t="inlineStr">
        <is>
          <t>NSM191207712</t>
        </is>
      </c>
      <c r="Q1399" s="29">
        <f>MID(P1399,4,2)</f>
        <v/>
      </c>
      <c r="R1399" s="14">
        <f>MID(P1399,6,2)</f>
        <v/>
      </c>
      <c r="S1399" s="6" t="inlineStr">
        <is>
          <t>G2B</t>
        </is>
      </c>
      <c r="T1399" s="6" t="inlineStr">
        <is>
          <t>NA</t>
        </is>
      </c>
      <c r="U1399" s="6" t="inlineStr">
        <is>
          <t>JB Issue</t>
        </is>
      </c>
      <c r="V1399" s="1" t="inlineStr">
        <is>
          <t>Inspection</t>
        </is>
      </c>
      <c r="W1399" s="1" t="inlineStr">
        <is>
          <t>Repair</t>
        </is>
      </c>
      <c r="X1399" s="5" t="n">
        <v>46189</v>
      </c>
      <c r="Y1399" s="1">
        <f>IF(X1399="","",X1399-A1399)</f>
        <v/>
      </c>
      <c r="Z1399" s="5" t="n">
        <v>46189</v>
      </c>
      <c r="AA1399" s="3" t="n"/>
      <c r="AB1399" s="3" t="n"/>
      <c r="AE1399" s="146">
        <f>IF(AND(F1399="Closed",X1399&gt;=DATE(2026,6,1),X1399&lt;=DATE(2026,6,30)),"Closed in June","other")</f>
        <v/>
      </c>
    </row>
    <row r="1400" hidden="1">
      <c r="A1400" s="9" t="n">
        <v>46106</v>
      </c>
      <c r="B1400" s="1" t="n">
        <v>2026</v>
      </c>
      <c r="C1400" s="8" t="inlineStr">
        <is>
          <t>Asian Fab Tec Ltd</t>
        </is>
      </c>
      <c r="D1400" s="8" t="inlineStr">
        <is>
          <t>Utility and C&amp;I</t>
        </is>
      </c>
      <c r="E1400" s="1" t="n"/>
      <c r="F1400" s="1" t="inlineStr">
        <is>
          <t>Closed</t>
        </is>
      </c>
      <c r="G1400" s="8" t="inlineStr">
        <is>
          <t>Prakash Reddy</t>
        </is>
      </c>
      <c r="H1400" s="8" t="n">
        <v>9945239707</v>
      </c>
      <c r="I1400" s="26" t="inlineStr">
        <is>
          <t>PE25032602</t>
        </is>
      </c>
      <c r="J1400" s="42" t="inlineStr">
        <is>
          <t xml:space="preserve">Junction Box burnt </t>
        </is>
      </c>
      <c r="K1400" s="8" t="inlineStr">
        <is>
          <t>Bangalore</t>
        </is>
      </c>
      <c r="L1400" s="39" t="inlineStr">
        <is>
          <t>Karnataka</t>
        </is>
      </c>
      <c r="M1400" s="34" t="inlineStr">
        <is>
          <t>JB Replaced</t>
        </is>
      </c>
      <c r="N1400" s="6" t="inlineStr">
        <is>
          <t>JB Issue</t>
        </is>
      </c>
      <c r="O1400" s="8" t="inlineStr">
        <is>
          <t>NA</t>
        </is>
      </c>
      <c r="P1400" s="35" t="inlineStr">
        <is>
          <t>NSM191207662</t>
        </is>
      </c>
      <c r="Q1400" s="29">
        <f>MID(P1400,4,2)</f>
        <v/>
      </c>
      <c r="R1400" s="14">
        <f>MID(P1400,6,2)</f>
        <v/>
      </c>
      <c r="S1400" s="6" t="inlineStr">
        <is>
          <t>G2B</t>
        </is>
      </c>
      <c r="T1400" s="6" t="inlineStr">
        <is>
          <t>NA</t>
        </is>
      </c>
      <c r="U1400" s="6" t="inlineStr">
        <is>
          <t>JB Issue</t>
        </is>
      </c>
      <c r="V1400" s="1" t="inlineStr">
        <is>
          <t>Inspection</t>
        </is>
      </c>
      <c r="W1400" s="1" t="inlineStr">
        <is>
          <t>Repair</t>
        </is>
      </c>
      <c r="X1400" s="5" t="n">
        <v>46189</v>
      </c>
      <c r="Y1400" s="1">
        <f>IF(X1400="","",X1400-A1400)</f>
        <v/>
      </c>
      <c r="Z1400" s="5" t="n">
        <v>46189</v>
      </c>
      <c r="AA1400" s="3" t="n"/>
      <c r="AB1400" s="3" t="n"/>
      <c r="AE1400" s="146">
        <f>IF(AND(F1400="Closed",X1400&gt;=DATE(2026,6,1),X1400&lt;=DATE(2026,6,30)),"Closed in June","other")</f>
        <v/>
      </c>
    </row>
    <row r="1401" hidden="1">
      <c r="A1401" s="9" t="n">
        <v>46106</v>
      </c>
      <c r="B1401" s="1" t="n">
        <v>2026</v>
      </c>
      <c r="C1401" s="8" t="inlineStr">
        <is>
          <t>Asian Fab Tec Ltd</t>
        </is>
      </c>
      <c r="D1401" s="8" t="inlineStr">
        <is>
          <t>Utility and C&amp;I</t>
        </is>
      </c>
      <c r="E1401" s="1" t="n"/>
      <c r="F1401" s="1" t="inlineStr">
        <is>
          <t>Closed</t>
        </is>
      </c>
      <c r="G1401" s="8" t="inlineStr">
        <is>
          <t>Prakash Reddy</t>
        </is>
      </c>
      <c r="H1401" s="8" t="n">
        <v>9945239707</v>
      </c>
      <c r="I1401" s="26" t="inlineStr">
        <is>
          <t>PE25032602</t>
        </is>
      </c>
      <c r="J1401" s="42" t="inlineStr">
        <is>
          <t xml:space="preserve">Junction Box burnt </t>
        </is>
      </c>
      <c r="K1401" s="8" t="inlineStr">
        <is>
          <t>Bangalore</t>
        </is>
      </c>
      <c r="L1401" s="39" t="inlineStr">
        <is>
          <t>Karnataka</t>
        </is>
      </c>
      <c r="M1401" s="34" t="inlineStr">
        <is>
          <t>JB Replaced</t>
        </is>
      </c>
      <c r="N1401" s="6" t="inlineStr">
        <is>
          <t>JB Issue</t>
        </is>
      </c>
      <c r="O1401" s="8" t="inlineStr">
        <is>
          <t>NA</t>
        </is>
      </c>
      <c r="P1401" s="35" t="inlineStr">
        <is>
          <t>NSM191207713</t>
        </is>
      </c>
      <c r="Q1401" s="29">
        <f>MID(P1401,4,2)</f>
        <v/>
      </c>
      <c r="R1401" s="14">
        <f>MID(P1401,6,2)</f>
        <v/>
      </c>
      <c r="S1401" s="6" t="inlineStr">
        <is>
          <t>G2B</t>
        </is>
      </c>
      <c r="T1401" s="6" t="inlineStr">
        <is>
          <t>NA</t>
        </is>
      </c>
      <c r="U1401" s="6" t="inlineStr">
        <is>
          <t>JB Issue</t>
        </is>
      </c>
      <c r="V1401" s="1" t="inlineStr">
        <is>
          <t>Inspection</t>
        </is>
      </c>
      <c r="W1401" s="1" t="inlineStr">
        <is>
          <t>Repair</t>
        </is>
      </c>
      <c r="X1401" s="5" t="n">
        <v>46189</v>
      </c>
      <c r="Y1401" s="1">
        <f>IF(X1401="","",X1401-A1401)</f>
        <v/>
      </c>
      <c r="Z1401" s="5" t="n">
        <v>46189</v>
      </c>
      <c r="AA1401" s="3" t="n"/>
      <c r="AB1401" s="3" t="n"/>
      <c r="AE1401" s="146">
        <f>IF(AND(F1401="Closed",X1401&gt;=DATE(2026,6,1),X1401&lt;=DATE(2026,6,30)),"Closed in June","other")</f>
        <v/>
      </c>
    </row>
    <row r="1402" hidden="1">
      <c r="A1402" s="9" t="n">
        <v>46106</v>
      </c>
      <c r="B1402" s="1" t="n">
        <v>2026</v>
      </c>
      <c r="C1402" s="8" t="inlineStr">
        <is>
          <t>Asian Fab Tec Ltd</t>
        </is>
      </c>
      <c r="D1402" s="8" t="inlineStr">
        <is>
          <t>Utility and C&amp;I</t>
        </is>
      </c>
      <c r="E1402" s="1" t="n"/>
      <c r="F1402" s="1" t="inlineStr">
        <is>
          <t>Closed</t>
        </is>
      </c>
      <c r="G1402" s="8" t="inlineStr">
        <is>
          <t>Prakash Reddy</t>
        </is>
      </c>
      <c r="H1402" s="8" t="n">
        <v>9945239707</v>
      </c>
      <c r="I1402" s="26" t="inlineStr">
        <is>
          <t>PE25032602</t>
        </is>
      </c>
      <c r="J1402" s="42" t="inlineStr">
        <is>
          <t xml:space="preserve">Junction Box burnt </t>
        </is>
      </c>
      <c r="K1402" s="8" t="inlineStr">
        <is>
          <t>Bangalore</t>
        </is>
      </c>
      <c r="L1402" s="39" t="inlineStr">
        <is>
          <t>Karnataka</t>
        </is>
      </c>
      <c r="M1402" s="34" t="inlineStr">
        <is>
          <t>JB Replaced</t>
        </is>
      </c>
      <c r="N1402" s="6" t="inlineStr">
        <is>
          <t>JB Issue</t>
        </is>
      </c>
      <c r="O1402" s="8" t="inlineStr">
        <is>
          <t>NA</t>
        </is>
      </c>
      <c r="P1402" s="35" t="inlineStr">
        <is>
          <t>NSM191207022</t>
        </is>
      </c>
      <c r="Q1402" s="29">
        <f>MID(P1402,4,2)</f>
        <v/>
      </c>
      <c r="R1402" s="14">
        <f>MID(P1402,6,2)</f>
        <v/>
      </c>
      <c r="S1402" s="6" t="inlineStr">
        <is>
          <t>G2B</t>
        </is>
      </c>
      <c r="T1402" s="6" t="inlineStr">
        <is>
          <t>NA</t>
        </is>
      </c>
      <c r="U1402" s="6" t="inlineStr">
        <is>
          <t>JB Issue</t>
        </is>
      </c>
      <c r="V1402" s="1" t="inlineStr">
        <is>
          <t>Inspection</t>
        </is>
      </c>
      <c r="W1402" s="1" t="inlineStr">
        <is>
          <t>Repair</t>
        </is>
      </c>
      <c r="X1402" s="5" t="n">
        <v>46189</v>
      </c>
      <c r="Y1402" s="1">
        <f>IF(X1402="","",X1402-A1402)</f>
        <v/>
      </c>
      <c r="Z1402" s="5" t="n">
        <v>46189</v>
      </c>
      <c r="AA1402" s="3" t="n"/>
      <c r="AB1402" s="3" t="n"/>
      <c r="AE1402" s="146">
        <f>IF(AND(F1402="Closed",X1402&gt;=DATE(2026,6,1),X1402&lt;=DATE(2026,6,30)),"Closed in June","other")</f>
        <v/>
      </c>
    </row>
    <row r="1403" hidden="1">
      <c r="A1403" s="9" t="n">
        <v>46106</v>
      </c>
      <c r="B1403" s="1" t="n">
        <v>2026</v>
      </c>
      <c r="C1403" s="8" t="inlineStr">
        <is>
          <t>Asian Fab Tec Ltd</t>
        </is>
      </c>
      <c r="D1403" s="8" t="inlineStr">
        <is>
          <t>Utility and C&amp;I</t>
        </is>
      </c>
      <c r="E1403" s="1" t="n"/>
      <c r="F1403" s="1" t="inlineStr">
        <is>
          <t>Closed</t>
        </is>
      </c>
      <c r="G1403" s="8" t="inlineStr">
        <is>
          <t>Prakash Reddy</t>
        </is>
      </c>
      <c r="H1403" s="8" t="n">
        <v>9945239707</v>
      </c>
      <c r="I1403" s="26" t="inlineStr">
        <is>
          <t>PE25032602</t>
        </is>
      </c>
      <c r="J1403" s="42" t="inlineStr">
        <is>
          <t xml:space="preserve">Junction Box burnt </t>
        </is>
      </c>
      <c r="K1403" s="8" t="inlineStr">
        <is>
          <t>Bangalore</t>
        </is>
      </c>
      <c r="L1403" s="39" t="inlineStr">
        <is>
          <t>Karnataka</t>
        </is>
      </c>
      <c r="M1403" s="34" t="inlineStr">
        <is>
          <t>JB Replaced</t>
        </is>
      </c>
      <c r="N1403" s="6" t="inlineStr">
        <is>
          <t>JB Issue</t>
        </is>
      </c>
      <c r="O1403" s="8" t="inlineStr">
        <is>
          <t>NA</t>
        </is>
      </c>
      <c r="P1403" s="35" t="inlineStr">
        <is>
          <t>NSM191206038</t>
        </is>
      </c>
      <c r="Q1403" s="29">
        <f>MID(P1403,4,2)</f>
        <v/>
      </c>
      <c r="R1403" s="14">
        <f>MID(P1403,6,2)</f>
        <v/>
      </c>
      <c r="S1403" s="6" t="inlineStr">
        <is>
          <t>G2B</t>
        </is>
      </c>
      <c r="T1403" s="6" t="inlineStr">
        <is>
          <t>NA</t>
        </is>
      </c>
      <c r="U1403" s="6" t="inlineStr">
        <is>
          <t>JB Issue</t>
        </is>
      </c>
      <c r="V1403" s="1" t="inlineStr">
        <is>
          <t>Inspection</t>
        </is>
      </c>
      <c r="W1403" s="1" t="inlineStr">
        <is>
          <t>Repair</t>
        </is>
      </c>
      <c r="X1403" s="5" t="n">
        <v>46189</v>
      </c>
      <c r="Y1403" s="1">
        <f>IF(X1403="","",X1403-A1403)</f>
        <v/>
      </c>
      <c r="Z1403" s="5" t="n">
        <v>46189</v>
      </c>
      <c r="AA1403" s="3" t="n"/>
      <c r="AB1403" s="3" t="n"/>
      <c r="AE1403" s="146">
        <f>IF(AND(F1403="Closed",X1403&gt;=DATE(2026,6,1),X1403&lt;=DATE(2026,6,30)),"Closed in June","other")</f>
        <v/>
      </c>
    </row>
    <row r="1404" hidden="1">
      <c r="A1404" s="9" t="n">
        <v>46106</v>
      </c>
      <c r="B1404" s="1" t="n">
        <v>2026</v>
      </c>
      <c r="C1404" s="8" t="inlineStr">
        <is>
          <t>Asian Fab Tec Ltd</t>
        </is>
      </c>
      <c r="D1404" s="8" t="inlineStr">
        <is>
          <t>Utility and C&amp;I</t>
        </is>
      </c>
      <c r="E1404" s="1" t="n"/>
      <c r="F1404" s="1" t="inlineStr">
        <is>
          <t>Closed</t>
        </is>
      </c>
      <c r="G1404" s="8" t="inlineStr">
        <is>
          <t>Prakash Reddy</t>
        </is>
      </c>
      <c r="H1404" s="8" t="n">
        <v>9945239707</v>
      </c>
      <c r="I1404" s="26" t="inlineStr">
        <is>
          <t>PE25032602</t>
        </is>
      </c>
      <c r="J1404" s="42" t="inlineStr">
        <is>
          <t xml:space="preserve">Junction Box burnt </t>
        </is>
      </c>
      <c r="K1404" s="8" t="inlineStr">
        <is>
          <t>Bangalore</t>
        </is>
      </c>
      <c r="L1404" s="39" t="inlineStr">
        <is>
          <t>Karnataka</t>
        </is>
      </c>
      <c r="M1404" s="34" t="inlineStr">
        <is>
          <t>JB Replaced</t>
        </is>
      </c>
      <c r="N1404" s="6" t="inlineStr">
        <is>
          <t>JB Issue</t>
        </is>
      </c>
      <c r="O1404" s="8" t="inlineStr">
        <is>
          <t>NA</t>
        </is>
      </c>
      <c r="P1404" s="35" t="inlineStr">
        <is>
          <t>NSM191206055</t>
        </is>
      </c>
      <c r="Q1404" s="29">
        <f>MID(P1404,4,2)</f>
        <v/>
      </c>
      <c r="R1404" s="14">
        <f>MID(P1404,6,2)</f>
        <v/>
      </c>
      <c r="S1404" s="6" t="inlineStr">
        <is>
          <t>G2B</t>
        </is>
      </c>
      <c r="T1404" s="6" t="inlineStr">
        <is>
          <t>NA</t>
        </is>
      </c>
      <c r="U1404" s="6" t="inlineStr">
        <is>
          <t>JB Issue</t>
        </is>
      </c>
      <c r="V1404" s="1" t="inlineStr">
        <is>
          <t>Inspection</t>
        </is>
      </c>
      <c r="W1404" s="1" t="inlineStr">
        <is>
          <t>Repair</t>
        </is>
      </c>
      <c r="X1404" s="5" t="n">
        <v>46189</v>
      </c>
      <c r="Y1404" s="1">
        <f>IF(X1404="","",X1404-A1404)</f>
        <v/>
      </c>
      <c r="Z1404" s="5" t="n">
        <v>46189</v>
      </c>
      <c r="AA1404" s="3" t="n"/>
      <c r="AB1404" s="3" t="n"/>
      <c r="AE1404" s="146">
        <f>IF(AND(F1404="Closed",X1404&gt;=DATE(2026,6,1),X1404&lt;=DATE(2026,6,30)),"Closed in June","other")</f>
        <v/>
      </c>
    </row>
    <row r="1405" hidden="1">
      <c r="A1405" s="9" t="n">
        <v>46106</v>
      </c>
      <c r="B1405" s="1" t="n">
        <v>2026</v>
      </c>
      <c r="C1405" s="8" t="inlineStr">
        <is>
          <t>Asian Fab Tec Ltd</t>
        </is>
      </c>
      <c r="D1405" s="8" t="inlineStr">
        <is>
          <t>Utility and C&amp;I</t>
        </is>
      </c>
      <c r="E1405" s="1" t="n"/>
      <c r="F1405" s="1" t="inlineStr">
        <is>
          <t>Closed</t>
        </is>
      </c>
      <c r="G1405" s="8" t="inlineStr">
        <is>
          <t>Prakash Reddy</t>
        </is>
      </c>
      <c r="H1405" s="8" t="n">
        <v>9945239707</v>
      </c>
      <c r="I1405" s="26" t="inlineStr">
        <is>
          <t>PE25032602</t>
        </is>
      </c>
      <c r="J1405" s="42" t="inlineStr">
        <is>
          <t xml:space="preserve">Junction Box burnt </t>
        </is>
      </c>
      <c r="K1405" s="8" t="inlineStr">
        <is>
          <t>Bangalore</t>
        </is>
      </c>
      <c r="L1405" s="39" t="inlineStr">
        <is>
          <t>Karnataka</t>
        </is>
      </c>
      <c r="M1405" s="34" t="inlineStr">
        <is>
          <t>JB Replaced</t>
        </is>
      </c>
      <c r="N1405" s="6" t="inlineStr">
        <is>
          <t>JB Issue</t>
        </is>
      </c>
      <c r="O1405" s="8" t="inlineStr">
        <is>
          <t>NA</t>
        </is>
      </c>
      <c r="P1405" s="35" t="inlineStr">
        <is>
          <t>NSM191205994</t>
        </is>
      </c>
      <c r="Q1405" s="29">
        <f>MID(P1405,4,2)</f>
        <v/>
      </c>
      <c r="R1405" s="14">
        <f>MID(P1405,6,2)</f>
        <v/>
      </c>
      <c r="S1405" s="6" t="inlineStr">
        <is>
          <t>G2B</t>
        </is>
      </c>
      <c r="T1405" s="6" t="inlineStr">
        <is>
          <t>NA</t>
        </is>
      </c>
      <c r="U1405" s="6" t="inlineStr">
        <is>
          <t>JB Issue</t>
        </is>
      </c>
      <c r="V1405" s="1" t="inlineStr">
        <is>
          <t>Inspection</t>
        </is>
      </c>
      <c r="W1405" s="1" t="inlineStr">
        <is>
          <t>Repair</t>
        </is>
      </c>
      <c r="X1405" s="5" t="n">
        <v>46189</v>
      </c>
      <c r="Y1405" s="1">
        <f>IF(X1405="","",X1405-A1405)</f>
        <v/>
      </c>
      <c r="Z1405" s="5" t="n">
        <v>46189</v>
      </c>
      <c r="AA1405" s="3" t="n"/>
      <c r="AB1405" s="3" t="n"/>
      <c r="AE1405" s="146">
        <f>IF(AND(F1405="Closed",X1405&gt;=DATE(2026,6,1),X1405&lt;=DATE(2026,6,30)),"Closed in June","other")</f>
        <v/>
      </c>
    </row>
    <row r="1406" hidden="1">
      <c r="A1406" s="9" t="n">
        <v>46106</v>
      </c>
      <c r="B1406" s="1" t="n">
        <v>2026</v>
      </c>
      <c r="C1406" s="8" t="inlineStr">
        <is>
          <t>Asian Fab Tec Ltd</t>
        </is>
      </c>
      <c r="D1406" s="8" t="inlineStr">
        <is>
          <t>Utility and C&amp;I</t>
        </is>
      </c>
      <c r="E1406" s="1" t="n"/>
      <c r="F1406" s="1" t="inlineStr">
        <is>
          <t>Closed</t>
        </is>
      </c>
      <c r="G1406" s="8" t="inlineStr">
        <is>
          <t>Prakash Reddy</t>
        </is>
      </c>
      <c r="H1406" s="8" t="n">
        <v>9945239707</v>
      </c>
      <c r="I1406" s="26" t="inlineStr">
        <is>
          <t>PE25032602</t>
        </is>
      </c>
      <c r="J1406" s="42" t="inlineStr">
        <is>
          <t xml:space="preserve">Junction Box burnt </t>
        </is>
      </c>
      <c r="K1406" s="8" t="inlineStr">
        <is>
          <t>Bangalore</t>
        </is>
      </c>
      <c r="L1406" s="39" t="inlineStr">
        <is>
          <t>Karnataka</t>
        </is>
      </c>
      <c r="M1406" s="34" t="inlineStr">
        <is>
          <t>JB Replaced</t>
        </is>
      </c>
      <c r="N1406" s="6" t="inlineStr">
        <is>
          <t>JB Issue</t>
        </is>
      </c>
      <c r="O1406" s="8" t="inlineStr">
        <is>
          <t>NA</t>
        </is>
      </c>
      <c r="P1406" s="35" t="inlineStr">
        <is>
          <t>NSM191205984</t>
        </is>
      </c>
      <c r="Q1406" s="29">
        <f>MID(P1406,4,2)</f>
        <v/>
      </c>
      <c r="R1406" s="14">
        <f>MID(P1406,6,2)</f>
        <v/>
      </c>
      <c r="S1406" s="6" t="inlineStr">
        <is>
          <t>G2B</t>
        </is>
      </c>
      <c r="T1406" s="6" t="inlineStr">
        <is>
          <t>NA</t>
        </is>
      </c>
      <c r="U1406" s="6" t="inlineStr">
        <is>
          <t>JB Issue</t>
        </is>
      </c>
      <c r="V1406" s="1" t="inlineStr">
        <is>
          <t>Inspection</t>
        </is>
      </c>
      <c r="W1406" s="1" t="inlineStr">
        <is>
          <t>Repair</t>
        </is>
      </c>
      <c r="X1406" s="5" t="n">
        <v>46189</v>
      </c>
      <c r="Y1406" s="1">
        <f>IF(X1406="","",X1406-A1406)</f>
        <v/>
      </c>
      <c r="Z1406" s="5" t="n">
        <v>46189</v>
      </c>
      <c r="AA1406" s="3" t="n"/>
      <c r="AB1406" s="3" t="n"/>
      <c r="AE1406" s="146">
        <f>IF(AND(F1406="Closed",X1406&gt;=DATE(2026,6,1),X1406&lt;=DATE(2026,6,30)),"Closed in June","other")</f>
        <v/>
      </c>
    </row>
    <row r="1407" hidden="1">
      <c r="A1407" s="9" t="n">
        <v>46106</v>
      </c>
      <c r="B1407" s="1" t="n">
        <v>2026</v>
      </c>
      <c r="C1407" s="8" t="inlineStr">
        <is>
          <t>Asian Fab Tec Ltd</t>
        </is>
      </c>
      <c r="D1407" s="8" t="inlineStr">
        <is>
          <t>Utility and C&amp;I</t>
        </is>
      </c>
      <c r="E1407" s="1" t="n"/>
      <c r="F1407" s="1" t="inlineStr">
        <is>
          <t>Closed</t>
        </is>
      </c>
      <c r="G1407" s="8" t="inlineStr">
        <is>
          <t>Prakash Reddy</t>
        </is>
      </c>
      <c r="H1407" s="8" t="n">
        <v>9945239707</v>
      </c>
      <c r="I1407" s="26" t="inlineStr">
        <is>
          <t>PE25032602</t>
        </is>
      </c>
      <c r="J1407" s="42" t="inlineStr">
        <is>
          <t xml:space="preserve">Junction Box burnt </t>
        </is>
      </c>
      <c r="K1407" s="8" t="inlineStr">
        <is>
          <t>Bangalore</t>
        </is>
      </c>
      <c r="L1407" s="39" t="inlineStr">
        <is>
          <t>Karnataka</t>
        </is>
      </c>
      <c r="M1407" s="34" t="inlineStr">
        <is>
          <t>JB Replaced</t>
        </is>
      </c>
      <c r="N1407" s="6" t="inlineStr">
        <is>
          <t>JB Issue</t>
        </is>
      </c>
      <c r="O1407" s="8" t="inlineStr">
        <is>
          <t>NA</t>
        </is>
      </c>
      <c r="P1407" s="35" t="inlineStr">
        <is>
          <t>NSM191206297</t>
        </is>
      </c>
      <c r="Q1407" s="29">
        <f>MID(P1407,4,2)</f>
        <v/>
      </c>
      <c r="R1407" s="14">
        <f>MID(P1407,6,2)</f>
        <v/>
      </c>
      <c r="S1407" s="6" t="inlineStr">
        <is>
          <t>G2B</t>
        </is>
      </c>
      <c r="T1407" s="6" t="inlineStr">
        <is>
          <t>NA</t>
        </is>
      </c>
      <c r="U1407" s="6" t="inlineStr">
        <is>
          <t>JB Issue</t>
        </is>
      </c>
      <c r="V1407" s="1" t="inlineStr">
        <is>
          <t>Inspection</t>
        </is>
      </c>
      <c r="W1407" s="1" t="inlineStr">
        <is>
          <t>Repair</t>
        </is>
      </c>
      <c r="X1407" s="5" t="n">
        <v>46189</v>
      </c>
      <c r="Y1407" s="1">
        <f>IF(X1407="","",X1407-A1407)</f>
        <v/>
      </c>
      <c r="Z1407" s="5" t="n">
        <v>46189</v>
      </c>
      <c r="AA1407" s="3" t="n"/>
      <c r="AB1407" s="3" t="n"/>
      <c r="AE1407" s="146">
        <f>IF(AND(F1407="Closed",X1407&gt;=DATE(2026,6,1),X1407&lt;=DATE(2026,6,30)),"Closed in June","other")</f>
        <v/>
      </c>
    </row>
    <row r="1408" hidden="1">
      <c r="A1408" s="9" t="n">
        <v>46106</v>
      </c>
      <c r="B1408" s="1" t="n">
        <v>2026</v>
      </c>
      <c r="C1408" s="8" t="inlineStr">
        <is>
          <t>Asian Fab Tec Ltd</t>
        </is>
      </c>
      <c r="D1408" s="8" t="inlineStr">
        <is>
          <t>Utility and C&amp;I</t>
        </is>
      </c>
      <c r="E1408" s="1" t="n"/>
      <c r="F1408" s="1" t="inlineStr">
        <is>
          <t>Closed</t>
        </is>
      </c>
      <c r="G1408" s="8" t="inlineStr">
        <is>
          <t>Prakash Reddy</t>
        </is>
      </c>
      <c r="H1408" s="8" t="n">
        <v>9945239707</v>
      </c>
      <c r="I1408" s="26" t="inlineStr">
        <is>
          <t>PE25032602</t>
        </is>
      </c>
      <c r="J1408" s="42" t="inlineStr">
        <is>
          <t xml:space="preserve">Junction Box burnt </t>
        </is>
      </c>
      <c r="K1408" s="8" t="inlineStr">
        <is>
          <t>Bangalore</t>
        </is>
      </c>
      <c r="L1408" s="39" t="inlineStr">
        <is>
          <t>Karnataka</t>
        </is>
      </c>
      <c r="M1408" s="34" t="inlineStr">
        <is>
          <t>JB Replaced</t>
        </is>
      </c>
      <c r="N1408" s="6" t="inlineStr">
        <is>
          <t>JB Issue</t>
        </is>
      </c>
      <c r="O1408" s="8" t="inlineStr">
        <is>
          <t>NA</t>
        </is>
      </c>
      <c r="P1408" s="35" t="inlineStr">
        <is>
          <t>NSM191206439</t>
        </is>
      </c>
      <c r="Q1408" s="29">
        <f>MID(P1408,4,2)</f>
        <v/>
      </c>
      <c r="R1408" s="14">
        <f>MID(P1408,6,2)</f>
        <v/>
      </c>
      <c r="S1408" s="6" t="inlineStr">
        <is>
          <t>G2B</t>
        </is>
      </c>
      <c r="T1408" s="6" t="inlineStr">
        <is>
          <t>NA</t>
        </is>
      </c>
      <c r="U1408" s="6" t="inlineStr">
        <is>
          <t>JB Issue</t>
        </is>
      </c>
      <c r="V1408" s="1" t="inlineStr">
        <is>
          <t>Inspection</t>
        </is>
      </c>
      <c r="W1408" s="1" t="inlineStr">
        <is>
          <t>Repair</t>
        </is>
      </c>
      <c r="X1408" s="5" t="n">
        <v>46189</v>
      </c>
      <c r="Y1408" s="1">
        <f>IF(X1408="","",X1408-A1408)</f>
        <v/>
      </c>
      <c r="Z1408" s="5" t="n">
        <v>46189</v>
      </c>
      <c r="AA1408" s="3" t="n"/>
      <c r="AB1408" s="3" t="n"/>
      <c r="AE1408" s="146">
        <f>IF(AND(F1408="Closed",X1408&gt;=DATE(2026,6,1),X1408&lt;=DATE(2026,6,30)),"Closed in June","other")</f>
        <v/>
      </c>
    </row>
    <row r="1409" hidden="1">
      <c r="A1409" s="9" t="n">
        <v>46106</v>
      </c>
      <c r="B1409" s="1" t="n">
        <v>2026</v>
      </c>
      <c r="C1409" s="8" t="inlineStr">
        <is>
          <t>Asian Fab Tec Ltd</t>
        </is>
      </c>
      <c r="D1409" s="8" t="inlineStr">
        <is>
          <t>Utility and C&amp;I</t>
        </is>
      </c>
      <c r="E1409" s="1" t="n"/>
      <c r="F1409" s="1" t="inlineStr">
        <is>
          <t>Closed</t>
        </is>
      </c>
      <c r="G1409" s="8" t="inlineStr">
        <is>
          <t>Prakash Reddy</t>
        </is>
      </c>
      <c r="H1409" s="8" t="n">
        <v>9945239707</v>
      </c>
      <c r="I1409" s="26" t="inlineStr">
        <is>
          <t>PE25032602</t>
        </is>
      </c>
      <c r="J1409" s="42" t="inlineStr">
        <is>
          <t xml:space="preserve">Junction Box burnt </t>
        </is>
      </c>
      <c r="K1409" s="8" t="inlineStr">
        <is>
          <t>Bangalore</t>
        </is>
      </c>
      <c r="L1409" s="39" t="inlineStr">
        <is>
          <t>Karnataka</t>
        </is>
      </c>
      <c r="M1409" s="34" t="inlineStr">
        <is>
          <t>JB Replaced</t>
        </is>
      </c>
      <c r="N1409" s="6" t="inlineStr">
        <is>
          <t>JB Issue</t>
        </is>
      </c>
      <c r="O1409" s="8" t="inlineStr">
        <is>
          <t>NA</t>
        </is>
      </c>
      <c r="P1409" s="35" t="inlineStr">
        <is>
          <t>NSM191207678</t>
        </is>
      </c>
      <c r="Q1409" s="29">
        <f>MID(P1409,4,2)</f>
        <v/>
      </c>
      <c r="R1409" s="14">
        <f>MID(P1409,6,2)</f>
        <v/>
      </c>
      <c r="S1409" s="6" t="inlineStr">
        <is>
          <t>G2B</t>
        </is>
      </c>
      <c r="T1409" s="6" t="inlineStr">
        <is>
          <t>NA</t>
        </is>
      </c>
      <c r="U1409" s="6" t="inlineStr">
        <is>
          <t>JB Issue</t>
        </is>
      </c>
      <c r="V1409" s="1" t="inlineStr">
        <is>
          <t>Inspection</t>
        </is>
      </c>
      <c r="W1409" s="1" t="inlineStr">
        <is>
          <t>Repair</t>
        </is>
      </c>
      <c r="X1409" s="5" t="n">
        <v>46189</v>
      </c>
      <c r="Y1409" s="1">
        <f>IF(X1409="","",X1409-A1409)</f>
        <v/>
      </c>
      <c r="Z1409" s="5" t="n">
        <v>46189</v>
      </c>
      <c r="AA1409" s="3" t="n"/>
      <c r="AB1409" s="3" t="n"/>
      <c r="AE1409" s="146">
        <f>IF(AND(F1409="Closed",X1409&gt;=DATE(2026,6,1),X1409&lt;=DATE(2026,6,30)),"Closed in June","other")</f>
        <v/>
      </c>
    </row>
    <row r="1410" hidden="1">
      <c r="A1410" s="9" t="n">
        <v>46106</v>
      </c>
      <c r="B1410" s="1" t="n">
        <v>2026</v>
      </c>
      <c r="C1410" s="8" t="inlineStr">
        <is>
          <t>Asian Fab Tec Ltd</t>
        </is>
      </c>
      <c r="D1410" s="8" t="inlineStr">
        <is>
          <t>Utility and C&amp;I</t>
        </is>
      </c>
      <c r="E1410" s="1" t="n"/>
      <c r="F1410" s="1" t="inlineStr">
        <is>
          <t>Closed</t>
        </is>
      </c>
      <c r="G1410" s="8" t="inlineStr">
        <is>
          <t>Prakash Reddy</t>
        </is>
      </c>
      <c r="H1410" s="8" t="n">
        <v>9945239707</v>
      </c>
      <c r="I1410" s="26" t="inlineStr">
        <is>
          <t>PE25032602</t>
        </is>
      </c>
      <c r="J1410" s="42" t="inlineStr">
        <is>
          <t xml:space="preserve">Junction Box burnt </t>
        </is>
      </c>
      <c r="K1410" s="8" t="inlineStr">
        <is>
          <t>Bangalore</t>
        </is>
      </c>
      <c r="L1410" s="39" t="inlineStr">
        <is>
          <t>Karnataka</t>
        </is>
      </c>
      <c r="M1410" s="34" t="inlineStr">
        <is>
          <t>JB Replaced</t>
        </is>
      </c>
      <c r="N1410" s="6" t="inlineStr">
        <is>
          <t>JB Issue</t>
        </is>
      </c>
      <c r="O1410" s="8" t="inlineStr">
        <is>
          <t>NA</t>
        </is>
      </c>
      <c r="P1410" s="35" t="inlineStr">
        <is>
          <t>NSM191206586</t>
        </is>
      </c>
      <c r="Q1410" s="29">
        <f>MID(P1410,4,2)</f>
        <v/>
      </c>
      <c r="R1410" s="14">
        <f>MID(P1410,6,2)</f>
        <v/>
      </c>
      <c r="S1410" s="6" t="inlineStr">
        <is>
          <t>G2B</t>
        </is>
      </c>
      <c r="T1410" s="6" t="inlineStr">
        <is>
          <t>NA</t>
        </is>
      </c>
      <c r="U1410" s="6" t="inlineStr">
        <is>
          <t>JB Issue</t>
        </is>
      </c>
      <c r="V1410" s="1" t="inlineStr">
        <is>
          <t>Inspection</t>
        </is>
      </c>
      <c r="W1410" s="1" t="inlineStr">
        <is>
          <t>Repair</t>
        </is>
      </c>
      <c r="X1410" s="5" t="n">
        <v>46190</v>
      </c>
      <c r="Y1410" s="1">
        <f>IF(X1410="","",X1410-A1410)</f>
        <v/>
      </c>
      <c r="Z1410" s="5" t="n">
        <v>46190</v>
      </c>
      <c r="AA1410" s="3" t="n"/>
      <c r="AB1410" s="3" t="n"/>
      <c r="AE1410" s="146">
        <f>IF(AND(F1410="Closed",X1410&gt;=DATE(2026,6,1),X1410&lt;=DATE(2026,6,30)),"Closed in June","other")</f>
        <v/>
      </c>
    </row>
    <row r="1411" hidden="1">
      <c r="A1411" s="9" t="n">
        <v>46106</v>
      </c>
      <c r="B1411" s="1" t="n">
        <v>2026</v>
      </c>
      <c r="C1411" s="8" t="inlineStr">
        <is>
          <t>Asian Fab Tec Ltd</t>
        </is>
      </c>
      <c r="D1411" s="8" t="inlineStr">
        <is>
          <t>Utility and C&amp;I</t>
        </is>
      </c>
      <c r="E1411" s="1" t="n"/>
      <c r="F1411" s="1" t="inlineStr">
        <is>
          <t>Closed</t>
        </is>
      </c>
      <c r="G1411" s="8" t="inlineStr">
        <is>
          <t>Prakash Reddy</t>
        </is>
      </c>
      <c r="H1411" s="8" t="n">
        <v>9945239707</v>
      </c>
      <c r="I1411" s="26" t="inlineStr">
        <is>
          <t>PE25032602</t>
        </is>
      </c>
      <c r="J1411" s="42" t="inlineStr">
        <is>
          <t xml:space="preserve">Junction Box burnt </t>
        </is>
      </c>
      <c r="K1411" s="8" t="inlineStr">
        <is>
          <t>Bangalore</t>
        </is>
      </c>
      <c r="L1411" s="39" t="inlineStr">
        <is>
          <t>Karnataka</t>
        </is>
      </c>
      <c r="M1411" s="34" t="inlineStr">
        <is>
          <t>JB Replaced</t>
        </is>
      </c>
      <c r="N1411" s="6" t="inlineStr">
        <is>
          <t>JB Issue</t>
        </is>
      </c>
      <c r="O1411" s="8" t="inlineStr">
        <is>
          <t>NA</t>
        </is>
      </c>
      <c r="P1411" s="35" t="inlineStr">
        <is>
          <t>NSM191207547</t>
        </is>
      </c>
      <c r="Q1411" s="29">
        <f>MID(P1411,4,2)</f>
        <v/>
      </c>
      <c r="R1411" s="14">
        <f>MID(P1411,6,2)</f>
        <v/>
      </c>
      <c r="S1411" s="6" t="inlineStr">
        <is>
          <t>G2B</t>
        </is>
      </c>
      <c r="T1411" s="6" t="inlineStr">
        <is>
          <t>NA</t>
        </is>
      </c>
      <c r="U1411" s="6" t="inlineStr">
        <is>
          <t>JB Issue</t>
        </is>
      </c>
      <c r="V1411" s="1" t="inlineStr">
        <is>
          <t>Inspection</t>
        </is>
      </c>
      <c r="W1411" s="1" t="inlineStr">
        <is>
          <t>Repair</t>
        </is>
      </c>
      <c r="X1411" s="5" t="n">
        <v>46190</v>
      </c>
      <c r="Y1411" s="1">
        <f>IF(X1411="","",X1411-A1411)</f>
        <v/>
      </c>
      <c r="Z1411" s="5" t="n">
        <v>46190</v>
      </c>
      <c r="AA1411" s="3" t="n"/>
      <c r="AB1411" s="3" t="n"/>
      <c r="AE1411" s="146">
        <f>IF(AND(F1411="Closed",X1411&gt;=DATE(2026,6,1),X1411&lt;=DATE(2026,6,30)),"Closed in June","other")</f>
        <v/>
      </c>
    </row>
    <row r="1412" hidden="1">
      <c r="A1412" s="9" t="n">
        <v>46106</v>
      </c>
      <c r="B1412" s="1" t="n">
        <v>2026</v>
      </c>
      <c r="C1412" s="8" t="inlineStr">
        <is>
          <t>Asian Fab Tec Ltd</t>
        </is>
      </c>
      <c r="D1412" s="8" t="inlineStr">
        <is>
          <t>Utility and C&amp;I</t>
        </is>
      </c>
      <c r="E1412" s="1" t="n"/>
      <c r="F1412" s="1" t="inlineStr">
        <is>
          <t>Closed</t>
        </is>
      </c>
      <c r="G1412" s="8" t="inlineStr">
        <is>
          <t>Prakash Reddy</t>
        </is>
      </c>
      <c r="H1412" s="8" t="n">
        <v>9945239707</v>
      </c>
      <c r="I1412" s="26" t="inlineStr">
        <is>
          <t>PE25032602</t>
        </is>
      </c>
      <c r="J1412" s="42" t="inlineStr">
        <is>
          <t xml:space="preserve">Junction Box burnt </t>
        </is>
      </c>
      <c r="K1412" s="8" t="inlineStr">
        <is>
          <t>Bangalore</t>
        </is>
      </c>
      <c r="L1412" s="39" t="inlineStr">
        <is>
          <t>Karnataka</t>
        </is>
      </c>
      <c r="M1412" s="34" t="inlineStr">
        <is>
          <t>JB Replaced</t>
        </is>
      </c>
      <c r="N1412" s="6" t="inlineStr">
        <is>
          <t>JB Issue</t>
        </is>
      </c>
      <c r="O1412" s="8" t="inlineStr">
        <is>
          <t>NA</t>
        </is>
      </c>
      <c r="P1412" s="35" t="inlineStr">
        <is>
          <t>NSM191207878</t>
        </is>
      </c>
      <c r="Q1412" s="29">
        <f>MID(P1412,4,2)</f>
        <v/>
      </c>
      <c r="R1412" s="14">
        <f>MID(P1412,6,2)</f>
        <v/>
      </c>
      <c r="S1412" s="6" t="inlineStr">
        <is>
          <t>G2B</t>
        </is>
      </c>
      <c r="T1412" s="6" t="inlineStr">
        <is>
          <t>NA</t>
        </is>
      </c>
      <c r="U1412" s="6" t="inlineStr">
        <is>
          <t>JB Issue</t>
        </is>
      </c>
      <c r="V1412" s="1" t="inlineStr">
        <is>
          <t>Inspection</t>
        </is>
      </c>
      <c r="W1412" s="1" t="inlineStr">
        <is>
          <t>Repair</t>
        </is>
      </c>
      <c r="X1412" s="5" t="n">
        <v>46190</v>
      </c>
      <c r="Y1412" s="1">
        <f>IF(X1412="","",X1412-A1412)</f>
        <v/>
      </c>
      <c r="Z1412" s="5" t="n">
        <v>46190</v>
      </c>
      <c r="AA1412" s="3" t="n"/>
      <c r="AB1412" s="3" t="n"/>
      <c r="AE1412" s="146">
        <f>IF(AND(F1412="Closed",X1412&gt;=DATE(2026,6,1),X1412&lt;=DATE(2026,6,30)),"Closed in June","other")</f>
        <v/>
      </c>
    </row>
    <row r="1413" hidden="1">
      <c r="A1413" s="9" t="n">
        <v>46106</v>
      </c>
      <c r="B1413" s="1" t="n">
        <v>2026</v>
      </c>
      <c r="C1413" s="8" t="inlineStr">
        <is>
          <t>Asian Fab Tec Ltd</t>
        </is>
      </c>
      <c r="D1413" s="8" t="inlineStr">
        <is>
          <t>Utility and C&amp;I</t>
        </is>
      </c>
      <c r="E1413" s="1" t="n"/>
      <c r="F1413" s="1" t="inlineStr">
        <is>
          <t>Closed</t>
        </is>
      </c>
      <c r="G1413" s="8" t="inlineStr">
        <is>
          <t>Prakash Reddy</t>
        </is>
      </c>
      <c r="H1413" s="8" t="n">
        <v>9945239707</v>
      </c>
      <c r="I1413" s="26" t="inlineStr">
        <is>
          <t>PE25032602</t>
        </is>
      </c>
      <c r="J1413" s="42" t="inlineStr">
        <is>
          <t xml:space="preserve">Junction Box burnt </t>
        </is>
      </c>
      <c r="K1413" s="8" t="inlineStr">
        <is>
          <t>Bangalore</t>
        </is>
      </c>
      <c r="L1413" s="39" t="inlineStr">
        <is>
          <t>Karnataka</t>
        </is>
      </c>
      <c r="M1413" s="34" t="inlineStr">
        <is>
          <t>JB Replaced</t>
        </is>
      </c>
      <c r="N1413" s="6" t="inlineStr">
        <is>
          <t>JB Issue</t>
        </is>
      </c>
      <c r="O1413" s="8" t="inlineStr">
        <is>
          <t>NA</t>
        </is>
      </c>
      <c r="P1413" s="35" t="inlineStr">
        <is>
          <t>NSM191207915</t>
        </is>
      </c>
      <c r="Q1413" s="29">
        <f>MID(P1413,4,2)</f>
        <v/>
      </c>
      <c r="R1413" s="14">
        <f>MID(P1413,6,2)</f>
        <v/>
      </c>
      <c r="S1413" s="6" t="inlineStr">
        <is>
          <t>G2B</t>
        </is>
      </c>
      <c r="T1413" s="6" t="inlineStr">
        <is>
          <t>NA</t>
        </is>
      </c>
      <c r="U1413" s="6" t="inlineStr">
        <is>
          <t>JB Issue</t>
        </is>
      </c>
      <c r="V1413" s="1" t="inlineStr">
        <is>
          <t>Inspection</t>
        </is>
      </c>
      <c r="W1413" s="1" t="inlineStr">
        <is>
          <t>Repair</t>
        </is>
      </c>
      <c r="X1413" s="5" t="n">
        <v>46190</v>
      </c>
      <c r="Y1413" s="1">
        <f>IF(X1413="","",X1413-A1413)</f>
        <v/>
      </c>
      <c r="Z1413" s="5" t="n">
        <v>46190</v>
      </c>
      <c r="AA1413" s="3" t="n"/>
      <c r="AB1413" s="3" t="n"/>
      <c r="AE1413" s="146">
        <f>IF(AND(F1413="Closed",X1413&gt;=DATE(2026,6,1),X1413&lt;=DATE(2026,6,30)),"Closed in June","other")</f>
        <v/>
      </c>
    </row>
    <row r="1414" hidden="1">
      <c r="A1414" s="9" t="n">
        <v>46106</v>
      </c>
      <c r="B1414" s="1" t="n">
        <v>2026</v>
      </c>
      <c r="C1414" s="8" t="inlineStr">
        <is>
          <t>Asian Fab Tec Ltd</t>
        </is>
      </c>
      <c r="D1414" s="8" t="inlineStr">
        <is>
          <t>Utility and C&amp;I</t>
        </is>
      </c>
      <c r="E1414" s="1" t="n"/>
      <c r="F1414" s="1" t="inlineStr">
        <is>
          <t>Closed</t>
        </is>
      </c>
      <c r="G1414" s="8" t="inlineStr">
        <is>
          <t>Prakash Reddy</t>
        </is>
      </c>
      <c r="H1414" s="8" t="n">
        <v>9945239707</v>
      </c>
      <c r="I1414" s="26" t="inlineStr">
        <is>
          <t>PE25032602</t>
        </is>
      </c>
      <c r="J1414" s="42" t="inlineStr">
        <is>
          <t xml:space="preserve">Junction Box burnt </t>
        </is>
      </c>
      <c r="K1414" s="8" t="inlineStr">
        <is>
          <t>Bangalore</t>
        </is>
      </c>
      <c r="L1414" s="39" t="inlineStr">
        <is>
          <t>Karnataka</t>
        </is>
      </c>
      <c r="M1414" s="34" t="inlineStr">
        <is>
          <t>JB Replaced</t>
        </is>
      </c>
      <c r="N1414" s="6" t="inlineStr">
        <is>
          <t>JB Issue</t>
        </is>
      </c>
      <c r="O1414" s="8" t="inlineStr">
        <is>
          <t>NA</t>
        </is>
      </c>
      <c r="P1414" s="35" t="inlineStr">
        <is>
          <t>NSM191207930</t>
        </is>
      </c>
      <c r="Q1414" s="29">
        <f>MID(P1414,4,2)</f>
        <v/>
      </c>
      <c r="R1414" s="14">
        <f>MID(P1414,6,2)</f>
        <v/>
      </c>
      <c r="S1414" s="6" t="inlineStr">
        <is>
          <t>G2B</t>
        </is>
      </c>
      <c r="T1414" s="6" t="inlineStr">
        <is>
          <t>NA</t>
        </is>
      </c>
      <c r="U1414" s="6" t="inlineStr">
        <is>
          <t>JB Issue</t>
        </is>
      </c>
      <c r="V1414" s="1" t="inlineStr">
        <is>
          <t>Inspection</t>
        </is>
      </c>
      <c r="W1414" s="1" t="inlineStr">
        <is>
          <t>Repair</t>
        </is>
      </c>
      <c r="X1414" s="5" t="n">
        <v>46190</v>
      </c>
      <c r="Y1414" s="1">
        <f>IF(X1414="","",X1414-A1414)</f>
        <v/>
      </c>
      <c r="Z1414" s="5" t="n">
        <v>46190</v>
      </c>
      <c r="AA1414" s="3" t="n"/>
      <c r="AB1414" s="3" t="n"/>
      <c r="AE1414" s="146">
        <f>IF(AND(F1414="Closed",X1414&gt;=DATE(2026,6,1),X1414&lt;=DATE(2026,6,30)),"Closed in June","other")</f>
        <v/>
      </c>
    </row>
    <row r="1415" hidden="1">
      <c r="A1415" s="9" t="n">
        <v>46106</v>
      </c>
      <c r="B1415" s="1" t="n">
        <v>2026</v>
      </c>
      <c r="C1415" s="8" t="inlineStr">
        <is>
          <t>Asian Fab Tec Ltd</t>
        </is>
      </c>
      <c r="D1415" s="8" t="inlineStr">
        <is>
          <t>Utility and C&amp;I</t>
        </is>
      </c>
      <c r="E1415" s="1" t="n"/>
      <c r="F1415" s="1" t="inlineStr">
        <is>
          <t>Closed</t>
        </is>
      </c>
      <c r="G1415" s="8" t="inlineStr">
        <is>
          <t>Prakash Reddy</t>
        </is>
      </c>
      <c r="H1415" s="8" t="n">
        <v>9945239707</v>
      </c>
      <c r="I1415" s="26" t="inlineStr">
        <is>
          <t>PE25032602</t>
        </is>
      </c>
      <c r="J1415" s="42" t="inlineStr">
        <is>
          <t xml:space="preserve">Junction Box burnt </t>
        </is>
      </c>
      <c r="K1415" s="8" t="inlineStr">
        <is>
          <t>Bangalore</t>
        </is>
      </c>
      <c r="L1415" s="39" t="inlineStr">
        <is>
          <t>Karnataka</t>
        </is>
      </c>
      <c r="M1415" s="34" t="inlineStr">
        <is>
          <t>JB Replaced</t>
        </is>
      </c>
      <c r="N1415" s="6" t="inlineStr">
        <is>
          <t>JB Issue</t>
        </is>
      </c>
      <c r="O1415" s="8" t="inlineStr">
        <is>
          <t>NA</t>
        </is>
      </c>
      <c r="P1415" s="35" t="inlineStr">
        <is>
          <t>NSM191207929</t>
        </is>
      </c>
      <c r="Q1415" s="29">
        <f>MID(P1415,4,2)</f>
        <v/>
      </c>
      <c r="R1415" s="14">
        <f>MID(P1415,6,2)</f>
        <v/>
      </c>
      <c r="S1415" s="6" t="inlineStr">
        <is>
          <t>G2B</t>
        </is>
      </c>
      <c r="T1415" s="6" t="inlineStr">
        <is>
          <t>NA</t>
        </is>
      </c>
      <c r="U1415" s="6" t="inlineStr">
        <is>
          <t>JB Issue</t>
        </is>
      </c>
      <c r="V1415" s="1" t="inlineStr">
        <is>
          <t>Inspection</t>
        </is>
      </c>
      <c r="W1415" s="1" t="inlineStr">
        <is>
          <t>Repair</t>
        </is>
      </c>
      <c r="X1415" s="5" t="n">
        <v>46190</v>
      </c>
      <c r="Y1415" s="1">
        <f>IF(X1415="","",X1415-A1415)</f>
        <v/>
      </c>
      <c r="Z1415" s="5" t="n">
        <v>46190</v>
      </c>
      <c r="AA1415" s="3" t="n"/>
      <c r="AB1415" s="3" t="n"/>
      <c r="AE1415" s="146">
        <f>IF(AND(F1415="Closed",X1415&gt;=DATE(2026,6,1),X1415&lt;=DATE(2026,6,30)),"Closed in June","other")</f>
        <v/>
      </c>
    </row>
    <row r="1416" hidden="1">
      <c r="A1416" s="9" t="n">
        <v>46106</v>
      </c>
      <c r="B1416" s="1" t="n">
        <v>2026</v>
      </c>
      <c r="C1416" s="8" t="inlineStr">
        <is>
          <t>Asian Fab Tec Ltd</t>
        </is>
      </c>
      <c r="D1416" s="8" t="inlineStr">
        <is>
          <t>Utility and C&amp;I</t>
        </is>
      </c>
      <c r="E1416" s="1" t="n"/>
      <c r="F1416" s="1" t="inlineStr">
        <is>
          <t>Closed</t>
        </is>
      </c>
      <c r="G1416" s="8" t="inlineStr">
        <is>
          <t>Prakash Reddy</t>
        </is>
      </c>
      <c r="H1416" s="8" t="n">
        <v>9945239707</v>
      </c>
      <c r="I1416" s="26" t="inlineStr">
        <is>
          <t>PE25032602</t>
        </is>
      </c>
      <c r="J1416" s="42" t="inlineStr">
        <is>
          <t xml:space="preserve">Junction Box burnt </t>
        </is>
      </c>
      <c r="K1416" s="8" t="inlineStr">
        <is>
          <t>Bangalore</t>
        </is>
      </c>
      <c r="L1416" s="39" t="inlineStr">
        <is>
          <t>Karnataka</t>
        </is>
      </c>
      <c r="M1416" s="34" t="inlineStr">
        <is>
          <t>JB Replaced</t>
        </is>
      </c>
      <c r="N1416" s="6" t="inlineStr">
        <is>
          <t>JB Issue</t>
        </is>
      </c>
      <c r="O1416" s="8" t="inlineStr">
        <is>
          <t>NA</t>
        </is>
      </c>
      <c r="P1416" s="35" t="inlineStr">
        <is>
          <t>NSM191207924</t>
        </is>
      </c>
      <c r="Q1416" s="29">
        <f>MID(P1416,4,2)</f>
        <v/>
      </c>
      <c r="R1416" s="14">
        <f>MID(P1416,6,2)</f>
        <v/>
      </c>
      <c r="S1416" s="6" t="inlineStr">
        <is>
          <t>G2B</t>
        </is>
      </c>
      <c r="T1416" s="6" t="inlineStr">
        <is>
          <t>NA</t>
        </is>
      </c>
      <c r="U1416" s="6" t="inlineStr">
        <is>
          <t>JB Issue</t>
        </is>
      </c>
      <c r="V1416" s="1" t="inlineStr">
        <is>
          <t>Inspection</t>
        </is>
      </c>
      <c r="W1416" s="1" t="inlineStr">
        <is>
          <t>Repair</t>
        </is>
      </c>
      <c r="X1416" s="5" t="n">
        <v>46190</v>
      </c>
      <c r="Y1416" s="1">
        <f>IF(X1416="","",X1416-A1416)</f>
        <v/>
      </c>
      <c r="Z1416" s="5" t="n">
        <v>46190</v>
      </c>
      <c r="AA1416" s="3" t="n"/>
      <c r="AB1416" s="3" t="n"/>
      <c r="AE1416" s="146">
        <f>IF(AND(F1416="Closed",X1416&gt;=DATE(2026,6,1),X1416&lt;=DATE(2026,6,30)),"Closed in June","other")</f>
        <v/>
      </c>
    </row>
    <row r="1417" hidden="1">
      <c r="A1417" s="9" t="n">
        <v>46106</v>
      </c>
      <c r="B1417" s="1" t="n">
        <v>2026</v>
      </c>
      <c r="C1417" s="8" t="inlineStr">
        <is>
          <t>Asian Fab Tec Ltd</t>
        </is>
      </c>
      <c r="D1417" s="8" t="inlineStr">
        <is>
          <t>Utility and C&amp;I</t>
        </is>
      </c>
      <c r="E1417" s="1" t="n"/>
      <c r="F1417" s="1" t="inlineStr">
        <is>
          <t>Closed</t>
        </is>
      </c>
      <c r="G1417" s="8" t="inlineStr">
        <is>
          <t>Prakash Reddy</t>
        </is>
      </c>
      <c r="H1417" s="8" t="n">
        <v>9945239707</v>
      </c>
      <c r="I1417" s="26" t="inlineStr">
        <is>
          <t>PE25032602</t>
        </is>
      </c>
      <c r="J1417" s="42" t="inlineStr">
        <is>
          <t xml:space="preserve">Junction Box burnt </t>
        </is>
      </c>
      <c r="K1417" s="8" t="inlineStr">
        <is>
          <t>Bangalore</t>
        </is>
      </c>
      <c r="L1417" s="39" t="inlineStr">
        <is>
          <t>Karnataka</t>
        </is>
      </c>
      <c r="M1417" s="34" t="inlineStr">
        <is>
          <t>JB Replaced</t>
        </is>
      </c>
      <c r="N1417" s="6" t="inlineStr">
        <is>
          <t>JB Issue</t>
        </is>
      </c>
      <c r="O1417" s="8" t="inlineStr">
        <is>
          <t>NA</t>
        </is>
      </c>
      <c r="P1417" s="35" t="inlineStr">
        <is>
          <t>NSM191207902</t>
        </is>
      </c>
      <c r="Q1417" s="29">
        <f>MID(P1417,4,2)</f>
        <v/>
      </c>
      <c r="R1417" s="14">
        <f>MID(P1417,6,2)</f>
        <v/>
      </c>
      <c r="S1417" s="6" t="inlineStr">
        <is>
          <t>G2B</t>
        </is>
      </c>
      <c r="T1417" s="6" t="inlineStr">
        <is>
          <t>NA</t>
        </is>
      </c>
      <c r="U1417" s="6" t="inlineStr">
        <is>
          <t>JB Issue</t>
        </is>
      </c>
      <c r="V1417" s="1" t="inlineStr">
        <is>
          <t>Inspection</t>
        </is>
      </c>
      <c r="W1417" s="1" t="inlineStr">
        <is>
          <t>Repair</t>
        </is>
      </c>
      <c r="X1417" s="5" t="n">
        <v>46190</v>
      </c>
      <c r="Y1417" s="1">
        <f>IF(X1417="","",X1417-A1417)</f>
        <v/>
      </c>
      <c r="Z1417" s="5" t="n">
        <v>46190</v>
      </c>
      <c r="AA1417" s="3" t="n"/>
      <c r="AB1417" s="3" t="n"/>
      <c r="AE1417" s="146">
        <f>IF(AND(F1417="Closed",X1417&gt;=DATE(2026,6,1),X1417&lt;=DATE(2026,6,30)),"Closed in June","other")</f>
        <v/>
      </c>
    </row>
    <row r="1418" hidden="1">
      <c r="A1418" s="9" t="n">
        <v>46106</v>
      </c>
      <c r="B1418" s="1" t="n">
        <v>2026</v>
      </c>
      <c r="C1418" s="8" t="inlineStr">
        <is>
          <t>Asian Fab Tec Ltd</t>
        </is>
      </c>
      <c r="D1418" s="8" t="inlineStr">
        <is>
          <t>Utility and C&amp;I</t>
        </is>
      </c>
      <c r="E1418" s="1" t="n"/>
      <c r="F1418" s="1" t="inlineStr">
        <is>
          <t>Closed</t>
        </is>
      </c>
      <c r="G1418" s="8" t="inlineStr">
        <is>
          <t>Prakash Reddy</t>
        </is>
      </c>
      <c r="H1418" s="8" t="n">
        <v>9945239707</v>
      </c>
      <c r="I1418" s="26" t="inlineStr">
        <is>
          <t>PE25032602</t>
        </is>
      </c>
      <c r="J1418" s="42" t="inlineStr">
        <is>
          <t xml:space="preserve">Junction Box burnt </t>
        </is>
      </c>
      <c r="K1418" s="8" t="inlineStr">
        <is>
          <t>Bangalore</t>
        </is>
      </c>
      <c r="L1418" s="39" t="inlineStr">
        <is>
          <t>Karnataka</t>
        </is>
      </c>
      <c r="M1418" s="34" t="inlineStr">
        <is>
          <t>JB Replaced</t>
        </is>
      </c>
      <c r="N1418" s="6" t="inlineStr">
        <is>
          <t>JB Issue</t>
        </is>
      </c>
      <c r="O1418" s="8" t="inlineStr">
        <is>
          <t>NA</t>
        </is>
      </c>
      <c r="P1418" s="35" t="inlineStr">
        <is>
          <t>NSM190999747</t>
        </is>
      </c>
      <c r="Q1418" s="29">
        <f>MID(P1418,4,2)</f>
        <v/>
      </c>
      <c r="R1418" s="14">
        <f>MID(P1418,6,2)</f>
        <v/>
      </c>
      <c r="S1418" s="6" t="inlineStr">
        <is>
          <t>G2B</t>
        </is>
      </c>
      <c r="T1418" s="6" t="inlineStr">
        <is>
          <t>NA</t>
        </is>
      </c>
      <c r="U1418" s="6" t="inlineStr">
        <is>
          <t>JB Issue</t>
        </is>
      </c>
      <c r="V1418" s="1" t="inlineStr">
        <is>
          <t>Inspection</t>
        </is>
      </c>
      <c r="W1418" s="1" t="inlineStr">
        <is>
          <t>Repair</t>
        </is>
      </c>
      <c r="X1418" s="5" t="n">
        <v>46190</v>
      </c>
      <c r="Y1418" s="1">
        <f>IF(X1418="","",X1418-A1418)</f>
        <v/>
      </c>
      <c r="Z1418" s="5" t="n">
        <v>46190</v>
      </c>
      <c r="AA1418" s="3" t="n"/>
      <c r="AB1418" s="3" t="n"/>
      <c r="AE1418" s="146">
        <f>IF(AND(F1418="Closed",X1418&gt;=DATE(2026,6,1),X1418&lt;=DATE(2026,6,30)),"Closed in June","other")</f>
        <v/>
      </c>
    </row>
    <row r="1419" hidden="1">
      <c r="A1419" s="9" t="n">
        <v>46106</v>
      </c>
      <c r="B1419" s="1" t="n">
        <v>2026</v>
      </c>
      <c r="C1419" s="8" t="inlineStr">
        <is>
          <t>Asian Fab Tec Ltd</t>
        </is>
      </c>
      <c r="D1419" s="8" t="inlineStr">
        <is>
          <t>Utility and C&amp;I</t>
        </is>
      </c>
      <c r="E1419" s="1" t="n"/>
      <c r="F1419" s="1" t="inlineStr">
        <is>
          <t>Closed</t>
        </is>
      </c>
      <c r="G1419" s="8" t="inlineStr">
        <is>
          <t>Prakash Reddy</t>
        </is>
      </c>
      <c r="H1419" s="8" t="n">
        <v>9945239707</v>
      </c>
      <c r="I1419" s="26" t="inlineStr">
        <is>
          <t>PE25032602</t>
        </is>
      </c>
      <c r="J1419" s="42" t="inlineStr">
        <is>
          <t xml:space="preserve">Junction Box burnt </t>
        </is>
      </c>
      <c r="K1419" s="8" t="inlineStr">
        <is>
          <t>Bangalore</t>
        </is>
      </c>
      <c r="L1419" s="39" t="inlineStr">
        <is>
          <t>Karnataka</t>
        </is>
      </c>
      <c r="M1419" s="34" t="inlineStr">
        <is>
          <t>JB Replaced</t>
        </is>
      </c>
      <c r="N1419" s="6" t="inlineStr">
        <is>
          <t>JB Issue</t>
        </is>
      </c>
      <c r="O1419" s="8" t="inlineStr">
        <is>
          <t>NA</t>
        </is>
      </c>
      <c r="P1419" s="35" t="inlineStr">
        <is>
          <t>NSM191207926</t>
        </is>
      </c>
      <c r="Q1419" s="29">
        <f>MID(P1419,4,2)</f>
        <v/>
      </c>
      <c r="R1419" s="14">
        <f>MID(P1419,6,2)</f>
        <v/>
      </c>
      <c r="S1419" s="6" t="inlineStr">
        <is>
          <t>G2B</t>
        </is>
      </c>
      <c r="T1419" s="6" t="inlineStr">
        <is>
          <t>NA</t>
        </is>
      </c>
      <c r="U1419" s="6" t="inlineStr">
        <is>
          <t>JB Issue</t>
        </is>
      </c>
      <c r="V1419" s="1" t="inlineStr">
        <is>
          <t>Inspection</t>
        </is>
      </c>
      <c r="W1419" s="1" t="inlineStr">
        <is>
          <t>Repair</t>
        </is>
      </c>
      <c r="X1419" s="5" t="n">
        <v>46190</v>
      </c>
      <c r="Y1419" s="1">
        <f>IF(X1419="","",X1419-A1419)</f>
        <v/>
      </c>
      <c r="Z1419" s="5" t="n">
        <v>46190</v>
      </c>
      <c r="AA1419" s="3" t="n"/>
      <c r="AB1419" s="3" t="n"/>
      <c r="AE1419" s="146">
        <f>IF(AND(F1419="Closed",X1419&gt;=DATE(2026,6,1),X1419&lt;=DATE(2026,6,30)),"Closed in June","other")</f>
        <v/>
      </c>
    </row>
    <row r="1420" hidden="1">
      <c r="A1420" s="9" t="n">
        <v>46106</v>
      </c>
      <c r="B1420" s="1" t="n">
        <v>2026</v>
      </c>
      <c r="C1420" s="8" t="inlineStr">
        <is>
          <t>Asian Fab Tec Ltd</t>
        </is>
      </c>
      <c r="D1420" s="8" t="inlineStr">
        <is>
          <t>Utility and C&amp;I</t>
        </is>
      </c>
      <c r="E1420" s="1" t="n"/>
      <c r="F1420" s="1" t="inlineStr">
        <is>
          <t>Closed</t>
        </is>
      </c>
      <c r="G1420" s="8" t="inlineStr">
        <is>
          <t>Prakash Reddy</t>
        </is>
      </c>
      <c r="H1420" s="8" t="n">
        <v>9945239707</v>
      </c>
      <c r="I1420" s="26" t="inlineStr">
        <is>
          <t>PE25032602</t>
        </is>
      </c>
      <c r="J1420" s="42" t="inlineStr">
        <is>
          <t xml:space="preserve">Junction Box burnt </t>
        </is>
      </c>
      <c r="K1420" s="8" t="inlineStr">
        <is>
          <t>Bangalore</t>
        </is>
      </c>
      <c r="L1420" s="39" t="inlineStr">
        <is>
          <t>Karnataka</t>
        </is>
      </c>
      <c r="M1420" s="34" t="inlineStr">
        <is>
          <t>JB Replaced</t>
        </is>
      </c>
      <c r="N1420" s="6" t="inlineStr">
        <is>
          <t>JB Issue</t>
        </is>
      </c>
      <c r="O1420" s="8" t="inlineStr">
        <is>
          <t>NA</t>
        </is>
      </c>
      <c r="P1420" s="35" t="inlineStr">
        <is>
          <t>NSM191207916</t>
        </is>
      </c>
      <c r="Q1420" s="29">
        <f>MID(P1420,4,2)</f>
        <v/>
      </c>
      <c r="R1420" s="14">
        <f>MID(P1420,6,2)</f>
        <v/>
      </c>
      <c r="S1420" s="6" t="inlineStr">
        <is>
          <t>G2B</t>
        </is>
      </c>
      <c r="T1420" s="6" t="inlineStr">
        <is>
          <t>NA</t>
        </is>
      </c>
      <c r="U1420" s="6" t="inlineStr">
        <is>
          <t>JB Issue</t>
        </is>
      </c>
      <c r="V1420" s="1" t="inlineStr">
        <is>
          <t>Inspection</t>
        </is>
      </c>
      <c r="W1420" s="1" t="inlineStr">
        <is>
          <t>Repair</t>
        </is>
      </c>
      <c r="X1420" s="5" t="n">
        <v>46190</v>
      </c>
      <c r="Y1420" s="1">
        <f>IF(X1420="","",X1420-A1420)</f>
        <v/>
      </c>
      <c r="Z1420" s="5" t="n">
        <v>46190</v>
      </c>
      <c r="AA1420" s="3" t="n"/>
      <c r="AB1420" s="3" t="n"/>
      <c r="AE1420" s="146">
        <f>IF(AND(F1420="Closed",X1420&gt;=DATE(2026,6,1),X1420&lt;=DATE(2026,6,30)),"Closed in June","other")</f>
        <v/>
      </c>
    </row>
    <row r="1421" hidden="1">
      <c r="A1421" s="9" t="n">
        <v>46106</v>
      </c>
      <c r="B1421" s="1" t="n">
        <v>2026</v>
      </c>
      <c r="C1421" s="8" t="inlineStr">
        <is>
          <t>Asian Fab Tec Ltd</t>
        </is>
      </c>
      <c r="D1421" s="8" t="inlineStr">
        <is>
          <t>Utility and C&amp;I</t>
        </is>
      </c>
      <c r="E1421" s="1" t="n"/>
      <c r="F1421" s="1" t="inlineStr">
        <is>
          <t>Closed</t>
        </is>
      </c>
      <c r="G1421" s="8" t="inlineStr">
        <is>
          <t>Prakash Reddy</t>
        </is>
      </c>
      <c r="H1421" s="8" t="n">
        <v>9945239707</v>
      </c>
      <c r="I1421" s="26" t="inlineStr">
        <is>
          <t>PE25032602</t>
        </is>
      </c>
      <c r="J1421" s="42" t="inlineStr">
        <is>
          <t xml:space="preserve">Junction Box burnt </t>
        </is>
      </c>
      <c r="K1421" s="8" t="inlineStr">
        <is>
          <t>Bangalore</t>
        </is>
      </c>
      <c r="L1421" s="39" t="inlineStr">
        <is>
          <t>Karnataka</t>
        </is>
      </c>
      <c r="M1421" s="34" t="inlineStr">
        <is>
          <t>JB Replaced</t>
        </is>
      </c>
      <c r="N1421" s="6" t="inlineStr">
        <is>
          <t>JB Issue</t>
        </is>
      </c>
      <c r="O1421" s="8" t="inlineStr">
        <is>
          <t>NA</t>
        </is>
      </c>
      <c r="P1421" s="35" t="inlineStr">
        <is>
          <t>NSM191207532</t>
        </is>
      </c>
      <c r="Q1421" s="29">
        <f>MID(P1421,4,2)</f>
        <v/>
      </c>
      <c r="R1421" s="14">
        <f>MID(P1421,6,2)</f>
        <v/>
      </c>
      <c r="S1421" s="6" t="inlineStr">
        <is>
          <t>G2B</t>
        </is>
      </c>
      <c r="T1421" s="6" t="inlineStr">
        <is>
          <t>NA</t>
        </is>
      </c>
      <c r="U1421" s="6" t="inlineStr">
        <is>
          <t>JB Issue</t>
        </is>
      </c>
      <c r="V1421" s="1" t="inlineStr">
        <is>
          <t>Inspection</t>
        </is>
      </c>
      <c r="W1421" s="1" t="inlineStr">
        <is>
          <t>Repair</t>
        </is>
      </c>
      <c r="X1421" s="5" t="n">
        <v>46190</v>
      </c>
      <c r="Y1421" s="1">
        <f>IF(X1421="","",X1421-A1421)</f>
        <v/>
      </c>
      <c r="Z1421" s="5" t="n">
        <v>46190</v>
      </c>
      <c r="AA1421" s="3" t="n"/>
      <c r="AB1421" s="3" t="n"/>
      <c r="AE1421" s="146">
        <f>IF(AND(F1421="Closed",X1421&gt;=DATE(2026,6,1),X1421&lt;=DATE(2026,6,30)),"Closed in June","other")</f>
        <v/>
      </c>
    </row>
    <row r="1422" hidden="1">
      <c r="A1422" s="9" t="n">
        <v>46106</v>
      </c>
      <c r="B1422" s="1" t="n">
        <v>2026</v>
      </c>
      <c r="C1422" s="8" t="inlineStr">
        <is>
          <t>Asian Fab Tec Ltd</t>
        </is>
      </c>
      <c r="D1422" s="8" t="inlineStr">
        <is>
          <t>Utility and C&amp;I</t>
        </is>
      </c>
      <c r="E1422" s="1" t="n"/>
      <c r="F1422" s="1" t="inlineStr">
        <is>
          <t>Closed</t>
        </is>
      </c>
      <c r="G1422" s="8" t="inlineStr">
        <is>
          <t>Prakash Reddy</t>
        </is>
      </c>
      <c r="H1422" s="8" t="n">
        <v>9945239707</v>
      </c>
      <c r="I1422" s="26" t="inlineStr">
        <is>
          <t>PE25032602</t>
        </is>
      </c>
      <c r="J1422" s="42" t="inlineStr">
        <is>
          <t xml:space="preserve">Junction Box burnt </t>
        </is>
      </c>
      <c r="K1422" s="8" t="inlineStr">
        <is>
          <t>Bangalore</t>
        </is>
      </c>
      <c r="L1422" s="39" t="inlineStr">
        <is>
          <t>Karnataka</t>
        </is>
      </c>
      <c r="M1422" s="34" t="inlineStr">
        <is>
          <t>JB Replaced</t>
        </is>
      </c>
      <c r="N1422" s="6" t="inlineStr">
        <is>
          <t>JB Issue</t>
        </is>
      </c>
      <c r="O1422" s="8" t="inlineStr">
        <is>
          <t>NA</t>
        </is>
      </c>
      <c r="P1422" s="35" t="inlineStr">
        <is>
          <t>NSM191207914</t>
        </is>
      </c>
      <c r="Q1422" s="29">
        <f>MID(P1422,4,2)</f>
        <v/>
      </c>
      <c r="R1422" s="14">
        <f>MID(P1422,6,2)</f>
        <v/>
      </c>
      <c r="S1422" s="6" t="inlineStr">
        <is>
          <t>G2B</t>
        </is>
      </c>
      <c r="T1422" s="6" t="inlineStr">
        <is>
          <t>NA</t>
        </is>
      </c>
      <c r="U1422" s="6" t="inlineStr">
        <is>
          <t>JB Issue</t>
        </is>
      </c>
      <c r="V1422" s="1" t="inlineStr">
        <is>
          <t>Inspection</t>
        </is>
      </c>
      <c r="W1422" s="1" t="inlineStr">
        <is>
          <t>Repair</t>
        </is>
      </c>
      <c r="X1422" s="5" t="n">
        <v>46190</v>
      </c>
      <c r="Y1422" s="1">
        <f>IF(X1422="","",X1422-A1422)</f>
        <v/>
      </c>
      <c r="Z1422" s="5" t="n">
        <v>46190</v>
      </c>
      <c r="AA1422" s="3" t="n"/>
      <c r="AB1422" s="3" t="n"/>
      <c r="AE1422" s="146">
        <f>IF(AND(F1422="Closed",X1422&gt;=DATE(2026,6,1),X1422&lt;=DATE(2026,6,30)),"Closed in June","other")</f>
        <v/>
      </c>
    </row>
    <row r="1423" hidden="1">
      <c r="A1423" s="9" t="n">
        <v>46106</v>
      </c>
      <c r="B1423" s="1" t="n">
        <v>2026</v>
      </c>
      <c r="C1423" s="8" t="inlineStr">
        <is>
          <t>Asian Fab Tec Ltd</t>
        </is>
      </c>
      <c r="D1423" s="8" t="inlineStr">
        <is>
          <t>Utility and C&amp;I</t>
        </is>
      </c>
      <c r="E1423" s="1" t="n"/>
      <c r="F1423" s="1" t="inlineStr">
        <is>
          <t>Closed</t>
        </is>
      </c>
      <c r="G1423" s="8" t="inlineStr">
        <is>
          <t>Prakash Reddy</t>
        </is>
      </c>
      <c r="H1423" s="8" t="n">
        <v>9945239707</v>
      </c>
      <c r="I1423" s="26" t="inlineStr">
        <is>
          <t>PE25032602</t>
        </is>
      </c>
      <c r="J1423" s="42" t="inlineStr">
        <is>
          <t xml:space="preserve">Junction Box burnt </t>
        </is>
      </c>
      <c r="K1423" s="8" t="inlineStr">
        <is>
          <t>Bangalore</t>
        </is>
      </c>
      <c r="L1423" s="39" t="inlineStr">
        <is>
          <t>Karnataka</t>
        </is>
      </c>
      <c r="M1423" s="34" t="inlineStr">
        <is>
          <t>JB Replaced</t>
        </is>
      </c>
      <c r="N1423" s="6" t="inlineStr">
        <is>
          <t>JB Issue</t>
        </is>
      </c>
      <c r="O1423" s="8" t="inlineStr">
        <is>
          <t>NA</t>
        </is>
      </c>
      <c r="P1423" s="35" t="inlineStr">
        <is>
          <t>NSM191207913</t>
        </is>
      </c>
      <c r="Q1423" s="29">
        <f>MID(P1423,4,2)</f>
        <v/>
      </c>
      <c r="R1423" s="14">
        <f>MID(P1423,6,2)</f>
        <v/>
      </c>
      <c r="S1423" s="6" t="inlineStr">
        <is>
          <t>G2B</t>
        </is>
      </c>
      <c r="T1423" s="6" t="inlineStr">
        <is>
          <t>NA</t>
        </is>
      </c>
      <c r="U1423" s="6" t="inlineStr">
        <is>
          <t>JB Issue</t>
        </is>
      </c>
      <c r="V1423" s="1" t="inlineStr">
        <is>
          <t>Inspection</t>
        </is>
      </c>
      <c r="W1423" s="1" t="inlineStr">
        <is>
          <t>Repair</t>
        </is>
      </c>
      <c r="X1423" s="5" t="n">
        <v>46190</v>
      </c>
      <c r="Y1423" s="1">
        <f>IF(X1423="","",X1423-A1423)</f>
        <v/>
      </c>
      <c r="Z1423" s="5" t="n">
        <v>46190</v>
      </c>
      <c r="AA1423" s="3" t="n"/>
      <c r="AB1423" s="3" t="n"/>
      <c r="AE1423" s="146">
        <f>IF(AND(F1423="Closed",X1423&gt;=DATE(2026,6,1),X1423&lt;=DATE(2026,6,30)),"Closed in June","other")</f>
        <v/>
      </c>
    </row>
    <row r="1424" hidden="1">
      <c r="A1424" s="9" t="n">
        <v>46106</v>
      </c>
      <c r="B1424" s="1" t="n">
        <v>2026</v>
      </c>
      <c r="C1424" s="8" t="inlineStr">
        <is>
          <t>Asian Fab Tec Ltd</t>
        </is>
      </c>
      <c r="D1424" s="8" t="inlineStr">
        <is>
          <t>Utility and C&amp;I</t>
        </is>
      </c>
      <c r="E1424" s="1" t="n"/>
      <c r="F1424" s="1" t="inlineStr">
        <is>
          <t>Closed</t>
        </is>
      </c>
      <c r="G1424" s="8" t="inlineStr">
        <is>
          <t>Prakash Reddy</t>
        </is>
      </c>
      <c r="H1424" s="8" t="n">
        <v>9945239707</v>
      </c>
      <c r="I1424" s="26" t="inlineStr">
        <is>
          <t>PE25032602</t>
        </is>
      </c>
      <c r="J1424" s="42" t="inlineStr">
        <is>
          <t xml:space="preserve">Junction Box burnt </t>
        </is>
      </c>
      <c r="K1424" s="8" t="inlineStr">
        <is>
          <t>Bangalore</t>
        </is>
      </c>
      <c r="L1424" s="39" t="inlineStr">
        <is>
          <t>Karnataka</t>
        </is>
      </c>
      <c r="M1424" s="34" t="inlineStr">
        <is>
          <t>JB Replaced</t>
        </is>
      </c>
      <c r="N1424" s="6" t="inlineStr">
        <is>
          <t>JB Issue</t>
        </is>
      </c>
      <c r="O1424" s="8" t="inlineStr">
        <is>
          <t>NA</t>
        </is>
      </c>
      <c r="P1424" s="38" t="inlineStr">
        <is>
          <t>NSM191207922</t>
        </is>
      </c>
      <c r="Q1424" s="29">
        <f>MID(P1424,4,2)</f>
        <v/>
      </c>
      <c r="R1424" s="14">
        <f>MID(P1424,6,2)</f>
        <v/>
      </c>
      <c r="S1424" s="6" t="inlineStr">
        <is>
          <t>G2B</t>
        </is>
      </c>
      <c r="T1424" s="6" t="inlineStr">
        <is>
          <t>NA</t>
        </is>
      </c>
      <c r="U1424" s="6" t="inlineStr">
        <is>
          <t>JB Issue</t>
        </is>
      </c>
      <c r="V1424" s="1" t="inlineStr">
        <is>
          <t>Inspection</t>
        </is>
      </c>
      <c r="W1424" s="1" t="inlineStr">
        <is>
          <t>Repair</t>
        </is>
      </c>
      <c r="X1424" s="5" t="n">
        <v>46190</v>
      </c>
      <c r="Y1424" s="1">
        <f>IF(X1424="","",X1424-A1424)</f>
        <v/>
      </c>
      <c r="Z1424" s="5" t="n">
        <v>46190</v>
      </c>
      <c r="AA1424" s="3" t="n"/>
      <c r="AB1424" s="3" t="n"/>
      <c r="AE1424" s="146">
        <f>IF(AND(F1424="Closed",X1424&gt;=DATE(2026,6,1),X1424&lt;=DATE(2026,6,30)),"Closed in June","other")</f>
        <v/>
      </c>
    </row>
    <row r="1425" hidden="1">
      <c r="A1425" s="49" t="n">
        <v>46177</v>
      </c>
      <c r="B1425" s="1" t="n">
        <v>2026</v>
      </c>
      <c r="C1425" s="8" t="inlineStr">
        <is>
          <t>Ayana</t>
        </is>
      </c>
      <c r="D1425" s="11" t="inlineStr">
        <is>
          <t>Utility and C&amp;I</t>
        </is>
      </c>
      <c r="E1425" s="1" t="n"/>
      <c r="F1425" s="1" t="inlineStr">
        <is>
          <t>Closed</t>
        </is>
      </c>
      <c r="G1425" s="11" t="inlineStr">
        <is>
          <t>Vasu.N</t>
        </is>
      </c>
      <c r="H1425" s="8" t="n">
        <v>9578099893</v>
      </c>
      <c r="I1425" s="10" t="inlineStr">
        <is>
          <t>PE04062601</t>
        </is>
      </c>
      <c r="J1425" s="6" t="inlineStr">
        <is>
          <t>Diode issue</t>
        </is>
      </c>
      <c r="K1425" s="8" t="inlineStr">
        <is>
          <t>Jatavira</t>
        </is>
      </c>
      <c r="L1425" s="39" t="inlineStr">
        <is>
          <t>Gujarat</t>
        </is>
      </c>
      <c r="M1425" s="2" t="inlineStr">
        <is>
          <t>PS</t>
        </is>
      </c>
      <c r="N1425" s="1" t="inlineStr">
        <is>
          <t>Cold Soldering</t>
        </is>
      </c>
      <c r="O1425" s="32" t="n">
        <v>585</v>
      </c>
      <c r="P1425" s="2" t="inlineStr">
        <is>
          <t>NSMI24090454041</t>
        </is>
      </c>
      <c r="Q1425" s="29">
        <f>MID(P1425,5,2)</f>
        <v/>
      </c>
      <c r="R1425" s="14">
        <f>MID(P1425,7,2)</f>
        <v/>
      </c>
      <c r="S1425" s="6" t="inlineStr">
        <is>
          <t>G2G</t>
        </is>
      </c>
      <c r="T1425" s="1" t="inlineStr">
        <is>
          <t>P4 - PEIPL</t>
        </is>
      </c>
      <c r="U1425" s="1" t="inlineStr">
        <is>
          <t>P JB Cold Soldering</t>
        </is>
      </c>
      <c r="V1425" s="1" t="inlineStr">
        <is>
          <t>Inspection</t>
        </is>
      </c>
      <c r="W1425" s="1" t="inlineStr">
        <is>
          <t>Repair</t>
        </is>
      </c>
      <c r="X1425" s="5" t="n">
        <v>46190</v>
      </c>
      <c r="Y1425" s="1">
        <f>IF(X1425="","",X1425-A1425)</f>
        <v/>
      </c>
      <c r="Z1425" s="5" t="n">
        <v>46190</v>
      </c>
      <c r="AA1425" s="3" t="n"/>
      <c r="AB1425" s="3" t="n"/>
      <c r="AE1425" s="146">
        <f>IF(AND(F1425="Closed",X1425&gt;=DATE(2026,6,1),X1425&lt;=DATE(2026,6,30)),"Closed in June","other")</f>
        <v/>
      </c>
    </row>
    <row r="1426" hidden="1">
      <c r="A1426" s="49" t="n">
        <v>46177</v>
      </c>
      <c r="B1426" s="1" t="n">
        <v>2026</v>
      </c>
      <c r="C1426" s="8" t="inlineStr">
        <is>
          <t>Ayana</t>
        </is>
      </c>
      <c r="D1426" s="11" t="inlineStr">
        <is>
          <t>Utility and C&amp;I</t>
        </is>
      </c>
      <c r="E1426" s="1" t="n"/>
      <c r="F1426" s="1" t="inlineStr">
        <is>
          <t>Closed</t>
        </is>
      </c>
      <c r="G1426" s="11" t="inlineStr">
        <is>
          <t>Vasu.N</t>
        </is>
      </c>
      <c r="H1426" s="8" t="n">
        <v>9578099893</v>
      </c>
      <c r="I1426" s="10" t="inlineStr">
        <is>
          <t>PE04062601</t>
        </is>
      </c>
      <c r="J1426" s="6" t="inlineStr">
        <is>
          <t>Diode issue</t>
        </is>
      </c>
      <c r="K1426" s="8" t="inlineStr">
        <is>
          <t>Jatavira</t>
        </is>
      </c>
      <c r="L1426" s="39" t="inlineStr">
        <is>
          <t>Gujarat</t>
        </is>
      </c>
      <c r="M1426" s="2" t="inlineStr">
        <is>
          <t>PS</t>
        </is>
      </c>
      <c r="N1426" s="1" t="inlineStr">
        <is>
          <t>Cold Soldering</t>
        </is>
      </c>
      <c r="O1426" s="32" t="n">
        <v>585</v>
      </c>
      <c r="P1426" s="2" t="inlineStr">
        <is>
          <t>NSMI24100553384</t>
        </is>
      </c>
      <c r="Q1426" s="29">
        <f>MID(P1426,5,2)</f>
        <v/>
      </c>
      <c r="R1426" s="14">
        <f>MID(P1426,7,2)</f>
        <v/>
      </c>
      <c r="S1426" s="6" t="inlineStr">
        <is>
          <t>G2G</t>
        </is>
      </c>
      <c r="T1426" s="1" t="inlineStr">
        <is>
          <t>P4 - PEIPL</t>
        </is>
      </c>
      <c r="U1426" s="1" t="inlineStr">
        <is>
          <t>P JB Cold Soldering</t>
        </is>
      </c>
      <c r="V1426" s="1" t="inlineStr">
        <is>
          <t>Inspection</t>
        </is>
      </c>
      <c r="W1426" s="1" t="inlineStr">
        <is>
          <t>Repair</t>
        </is>
      </c>
      <c r="X1426" s="5" t="n">
        <v>46190</v>
      </c>
      <c r="Y1426" s="1">
        <f>IF(X1426="","",X1426-A1426)</f>
        <v/>
      </c>
      <c r="Z1426" s="5" t="n">
        <v>46190</v>
      </c>
      <c r="AA1426" s="3" t="n"/>
      <c r="AB1426" s="3" t="n"/>
      <c r="AE1426" s="146">
        <f>IF(AND(F1426="Closed",X1426&gt;=DATE(2026,6,1),X1426&lt;=DATE(2026,6,30)),"Closed in June","other")</f>
        <v/>
      </c>
    </row>
    <row r="1427" hidden="1">
      <c r="A1427" s="49" t="n">
        <v>46177</v>
      </c>
      <c r="B1427" s="1" t="n">
        <v>2026</v>
      </c>
      <c r="C1427" s="8" t="inlineStr">
        <is>
          <t>Ayana</t>
        </is>
      </c>
      <c r="D1427" s="11" t="inlineStr">
        <is>
          <t>Utility and C&amp;I</t>
        </is>
      </c>
      <c r="E1427" s="1" t="n"/>
      <c r="F1427" s="1" t="inlineStr">
        <is>
          <t>Closed</t>
        </is>
      </c>
      <c r="G1427" s="11" t="inlineStr">
        <is>
          <t>Vasu.N</t>
        </is>
      </c>
      <c r="H1427" s="8" t="n">
        <v>9578099893</v>
      </c>
      <c r="I1427" s="10" t="inlineStr">
        <is>
          <t>PE04062601</t>
        </is>
      </c>
      <c r="J1427" s="6" t="inlineStr">
        <is>
          <t>Diode issue</t>
        </is>
      </c>
      <c r="K1427" s="8" t="inlineStr">
        <is>
          <t>Jatavira</t>
        </is>
      </c>
      <c r="L1427" s="39" t="inlineStr">
        <is>
          <t>Gujarat</t>
        </is>
      </c>
      <c r="M1427" s="2" t="inlineStr">
        <is>
          <t>PS</t>
        </is>
      </c>
      <c r="N1427" s="1" t="inlineStr">
        <is>
          <t>Cold Soldering</t>
        </is>
      </c>
      <c r="O1427" s="32" t="n">
        <v>585</v>
      </c>
      <c r="P1427" s="2" t="inlineStr">
        <is>
          <t>NSMI24090456410</t>
        </is>
      </c>
      <c r="Q1427" s="29">
        <f>MID(P1427,5,2)</f>
        <v/>
      </c>
      <c r="R1427" s="14">
        <f>MID(P1427,7,2)</f>
        <v/>
      </c>
      <c r="S1427" s="6" t="inlineStr">
        <is>
          <t>G2G</t>
        </is>
      </c>
      <c r="T1427" s="1" t="inlineStr">
        <is>
          <t>P4 - PEIPL</t>
        </is>
      </c>
      <c r="U1427" s="1" t="inlineStr">
        <is>
          <t>P JB Cold Soldering</t>
        </is>
      </c>
      <c r="V1427" s="1" t="inlineStr">
        <is>
          <t>Inspection</t>
        </is>
      </c>
      <c r="W1427" s="1" t="inlineStr">
        <is>
          <t>Repair</t>
        </is>
      </c>
      <c r="X1427" s="5" t="n">
        <v>46190</v>
      </c>
      <c r="Y1427" s="1">
        <f>IF(X1427="","",X1427-A1427)</f>
        <v/>
      </c>
      <c r="Z1427" s="5" t="n">
        <v>46190</v>
      </c>
      <c r="AA1427" s="3" t="n"/>
      <c r="AB1427" s="3" t="n"/>
      <c r="AE1427" s="146">
        <f>IF(AND(F1427="Closed",X1427&gt;=DATE(2026,6,1),X1427&lt;=DATE(2026,6,30)),"Closed in June","other")</f>
        <v/>
      </c>
    </row>
    <row r="1428" hidden="1">
      <c r="A1428" s="49" t="n">
        <v>46177</v>
      </c>
      <c r="B1428" s="1" t="n">
        <v>2026</v>
      </c>
      <c r="C1428" s="8" t="inlineStr">
        <is>
          <t>Ayana</t>
        </is>
      </c>
      <c r="D1428" s="11" t="inlineStr">
        <is>
          <t>Utility and C&amp;I</t>
        </is>
      </c>
      <c r="E1428" s="1" t="n"/>
      <c r="F1428" s="1" t="inlineStr">
        <is>
          <t>Closed</t>
        </is>
      </c>
      <c r="G1428" s="11" t="inlineStr">
        <is>
          <t>Vasu.N</t>
        </is>
      </c>
      <c r="H1428" s="8" t="n">
        <v>9578099893</v>
      </c>
      <c r="I1428" s="10" t="inlineStr">
        <is>
          <t>PE04062601</t>
        </is>
      </c>
      <c r="J1428" s="6" t="inlineStr">
        <is>
          <t>Diode issue</t>
        </is>
      </c>
      <c r="K1428" s="8" t="inlineStr">
        <is>
          <t>Jatavira</t>
        </is>
      </c>
      <c r="L1428" s="39" t="inlineStr">
        <is>
          <t>Gujarat</t>
        </is>
      </c>
      <c r="M1428" s="2" t="inlineStr">
        <is>
          <t>PR</t>
        </is>
      </c>
      <c r="N1428" s="1" t="inlineStr">
        <is>
          <t>JB Issue</t>
        </is>
      </c>
      <c r="O1428" s="32" t="n">
        <v>585</v>
      </c>
      <c r="P1428" s="2" t="inlineStr">
        <is>
          <t>NSMI24090465723</t>
        </is>
      </c>
      <c r="Q1428" s="29">
        <f>MID(P1428,5,2)</f>
        <v/>
      </c>
      <c r="R1428" s="14">
        <f>MID(P1428,7,2)</f>
        <v/>
      </c>
      <c r="S1428" s="6" t="inlineStr">
        <is>
          <t>G2G</t>
        </is>
      </c>
      <c r="T1428" s="1" t="inlineStr">
        <is>
          <t>P4 - PEIPL</t>
        </is>
      </c>
      <c r="U1428" s="6" t="inlineStr">
        <is>
          <t>P JB Issue</t>
        </is>
      </c>
      <c r="V1428" s="1" t="inlineStr">
        <is>
          <t>Inspection</t>
        </is>
      </c>
      <c r="W1428" s="1" t="inlineStr">
        <is>
          <t>Repair</t>
        </is>
      </c>
      <c r="X1428" s="5" t="n">
        <v>46190</v>
      </c>
      <c r="Y1428" s="1">
        <f>IF(X1428="","",X1428-A1428)</f>
        <v/>
      </c>
      <c r="Z1428" s="5" t="n">
        <v>46190</v>
      </c>
      <c r="AA1428" s="3" t="n"/>
      <c r="AB1428" s="3" t="n"/>
      <c r="AE1428" s="146">
        <f>IF(AND(F1428="Closed",X1428&gt;=DATE(2026,6,1),X1428&lt;=DATE(2026,6,30)),"Closed in June","other")</f>
        <v/>
      </c>
    </row>
    <row r="1429" hidden="1">
      <c r="A1429" s="49" t="n">
        <v>46177</v>
      </c>
      <c r="B1429" s="1" t="n">
        <v>2026</v>
      </c>
      <c r="C1429" s="8" t="inlineStr">
        <is>
          <t>Ayana</t>
        </is>
      </c>
      <c r="D1429" s="11" t="inlineStr">
        <is>
          <t>Utility and C&amp;I</t>
        </is>
      </c>
      <c r="E1429" s="1" t="n"/>
      <c r="F1429" s="1" t="inlineStr">
        <is>
          <t>Closed</t>
        </is>
      </c>
      <c r="G1429" s="11" t="inlineStr">
        <is>
          <t>Vasu.N</t>
        </is>
      </c>
      <c r="H1429" s="8" t="n">
        <v>9578099893</v>
      </c>
      <c r="I1429" s="10" t="inlineStr">
        <is>
          <t>PE04062601</t>
        </is>
      </c>
      <c r="J1429" s="6" t="inlineStr">
        <is>
          <t>Diode issue</t>
        </is>
      </c>
      <c r="K1429" s="8" t="inlineStr">
        <is>
          <t>Jatavira</t>
        </is>
      </c>
      <c r="L1429" s="39" t="inlineStr">
        <is>
          <t>Gujarat</t>
        </is>
      </c>
      <c r="M1429" s="2" t="inlineStr">
        <is>
          <t>PS</t>
        </is>
      </c>
      <c r="N1429" s="1" t="inlineStr">
        <is>
          <t>Cold Soldering</t>
        </is>
      </c>
      <c r="O1429" s="32" t="n">
        <v>585</v>
      </c>
      <c r="P1429" s="2" t="inlineStr">
        <is>
          <t>NSMI24100545139</t>
        </is>
      </c>
      <c r="Q1429" s="29">
        <f>MID(P1429,5,2)</f>
        <v/>
      </c>
      <c r="R1429" s="14">
        <f>MID(P1429,7,2)</f>
        <v/>
      </c>
      <c r="S1429" s="6" t="inlineStr">
        <is>
          <t>G2G</t>
        </is>
      </c>
      <c r="T1429" s="1" t="inlineStr">
        <is>
          <t>P4 - PEIPL</t>
        </is>
      </c>
      <c r="U1429" s="1" t="inlineStr">
        <is>
          <t>P JB Cold Soldering</t>
        </is>
      </c>
      <c r="V1429" s="1" t="inlineStr">
        <is>
          <t>Inspection</t>
        </is>
      </c>
      <c r="W1429" s="1" t="inlineStr">
        <is>
          <t>Repair</t>
        </is>
      </c>
      <c r="X1429" s="5" t="n">
        <v>46190</v>
      </c>
      <c r="Y1429" s="1">
        <f>IF(X1429="","",X1429-A1429)</f>
        <v/>
      </c>
      <c r="Z1429" s="5" t="n">
        <v>46190</v>
      </c>
      <c r="AA1429" s="3" t="n"/>
      <c r="AB1429" s="3" t="n"/>
      <c r="AE1429" s="146">
        <f>IF(AND(F1429="Closed",X1429&gt;=DATE(2026,6,1),X1429&lt;=DATE(2026,6,30)),"Closed in June","other")</f>
        <v/>
      </c>
    </row>
    <row r="1430" hidden="1">
      <c r="A1430" s="49" t="n">
        <v>46177</v>
      </c>
      <c r="B1430" s="1" t="n">
        <v>2026</v>
      </c>
      <c r="C1430" s="8" t="inlineStr">
        <is>
          <t>Ayana</t>
        </is>
      </c>
      <c r="D1430" s="11" t="inlineStr">
        <is>
          <t>Utility and C&amp;I</t>
        </is>
      </c>
      <c r="E1430" s="1" t="n"/>
      <c r="F1430" s="1" t="inlineStr">
        <is>
          <t>Closed</t>
        </is>
      </c>
      <c r="G1430" s="11" t="inlineStr">
        <is>
          <t>Vasu.N</t>
        </is>
      </c>
      <c r="H1430" s="8" t="n">
        <v>9578099893</v>
      </c>
      <c r="I1430" s="10" t="inlineStr">
        <is>
          <t>PE04062601</t>
        </is>
      </c>
      <c r="J1430" s="6" t="inlineStr">
        <is>
          <t>Diode issue</t>
        </is>
      </c>
      <c r="K1430" s="8" t="inlineStr">
        <is>
          <t>Jatavira</t>
        </is>
      </c>
      <c r="L1430" s="39" t="inlineStr">
        <is>
          <t>Gujarat</t>
        </is>
      </c>
      <c r="M1430" s="2" t="inlineStr">
        <is>
          <t>PR</t>
        </is>
      </c>
      <c r="N1430" s="1" t="inlineStr">
        <is>
          <t>JB Issue</t>
        </is>
      </c>
      <c r="O1430" s="32" t="n">
        <v>585</v>
      </c>
      <c r="P1430" s="2" t="inlineStr">
        <is>
          <t>NSMI24100554147</t>
        </is>
      </c>
      <c r="Q1430" s="29">
        <f>MID(P1430,5,2)</f>
        <v/>
      </c>
      <c r="R1430" s="14">
        <f>MID(P1430,7,2)</f>
        <v/>
      </c>
      <c r="S1430" s="6" t="inlineStr">
        <is>
          <t>G2G</t>
        </is>
      </c>
      <c r="T1430" s="1" t="inlineStr">
        <is>
          <t>P4 - PEIPL</t>
        </is>
      </c>
      <c r="U1430" s="6" t="inlineStr">
        <is>
          <t>P JB Issue</t>
        </is>
      </c>
      <c r="V1430" s="1" t="inlineStr">
        <is>
          <t>Inspection</t>
        </is>
      </c>
      <c r="W1430" s="1" t="inlineStr">
        <is>
          <t>Repair</t>
        </is>
      </c>
      <c r="X1430" s="5" t="n">
        <v>46190</v>
      </c>
      <c r="Y1430" s="1">
        <f>IF(X1430="","",X1430-A1430)</f>
        <v/>
      </c>
      <c r="Z1430" s="5" t="n">
        <v>46190</v>
      </c>
      <c r="AA1430" s="3" t="n"/>
      <c r="AB1430" s="3" t="n"/>
      <c r="AE1430" s="146">
        <f>IF(AND(F1430="Closed",X1430&gt;=DATE(2026,6,1),X1430&lt;=DATE(2026,6,30)),"Closed in June","other")</f>
        <v/>
      </c>
    </row>
    <row r="1431" hidden="1">
      <c r="A1431" s="49" t="n">
        <v>46177</v>
      </c>
      <c r="B1431" s="1" t="n">
        <v>2026</v>
      </c>
      <c r="C1431" s="8" t="inlineStr">
        <is>
          <t>Ayana</t>
        </is>
      </c>
      <c r="D1431" s="11" t="inlineStr">
        <is>
          <t>Utility and C&amp;I</t>
        </is>
      </c>
      <c r="E1431" s="1" t="n"/>
      <c r="F1431" s="1" t="inlineStr">
        <is>
          <t>Closed</t>
        </is>
      </c>
      <c r="G1431" s="11" t="inlineStr">
        <is>
          <t>Vasu.N</t>
        </is>
      </c>
      <c r="H1431" s="8" t="n">
        <v>9578099893</v>
      </c>
      <c r="I1431" s="10" t="inlineStr">
        <is>
          <t>PE04062601</t>
        </is>
      </c>
      <c r="J1431" s="6" t="inlineStr">
        <is>
          <t>Diode issue</t>
        </is>
      </c>
      <c r="K1431" s="8" t="inlineStr">
        <is>
          <t>Jatavira</t>
        </is>
      </c>
      <c r="L1431" s="39" t="inlineStr">
        <is>
          <t>Gujarat</t>
        </is>
      </c>
      <c r="M1431" s="2" t="inlineStr">
        <is>
          <t>PS</t>
        </is>
      </c>
      <c r="N1431" s="1" t="inlineStr">
        <is>
          <t>Cold Soldering</t>
        </is>
      </c>
      <c r="O1431" s="32" t="n">
        <v>585</v>
      </c>
      <c r="P1431" s="2" t="inlineStr">
        <is>
          <t>NSMI24100554176</t>
        </is>
      </c>
      <c r="Q1431" s="29">
        <f>MID(P1431,5,2)</f>
        <v/>
      </c>
      <c r="R1431" s="14">
        <f>MID(P1431,7,2)</f>
        <v/>
      </c>
      <c r="S1431" s="6" t="inlineStr">
        <is>
          <t>G2G</t>
        </is>
      </c>
      <c r="T1431" s="1" t="inlineStr">
        <is>
          <t>P4 - PEIPL</t>
        </is>
      </c>
      <c r="U1431" s="1" t="inlineStr">
        <is>
          <t>P JB Cold Soldering</t>
        </is>
      </c>
      <c r="V1431" s="1" t="inlineStr">
        <is>
          <t>Inspection</t>
        </is>
      </c>
      <c r="W1431" s="1" t="inlineStr">
        <is>
          <t>Repair</t>
        </is>
      </c>
      <c r="X1431" s="5" t="n">
        <v>46190</v>
      </c>
      <c r="Y1431" s="1">
        <f>IF(X1431="","",X1431-A1431)</f>
        <v/>
      </c>
      <c r="Z1431" s="5" t="n">
        <v>46190</v>
      </c>
      <c r="AA1431" s="3" t="n"/>
      <c r="AB1431" s="3" t="n"/>
      <c r="AE1431" s="146">
        <f>IF(AND(F1431="Closed",X1431&gt;=DATE(2026,6,1),X1431&lt;=DATE(2026,6,30)),"Closed in June","other")</f>
        <v/>
      </c>
    </row>
    <row r="1432" hidden="1">
      <c r="A1432" s="49" t="n">
        <v>46177</v>
      </c>
      <c r="B1432" s="1" t="n">
        <v>2026</v>
      </c>
      <c r="C1432" s="8" t="inlineStr">
        <is>
          <t>Ayana</t>
        </is>
      </c>
      <c r="D1432" s="11" t="inlineStr">
        <is>
          <t>Utility and C&amp;I</t>
        </is>
      </c>
      <c r="E1432" s="1" t="n"/>
      <c r="F1432" s="1" t="inlineStr">
        <is>
          <t>Closed</t>
        </is>
      </c>
      <c r="G1432" s="11" t="inlineStr">
        <is>
          <t>Vasu.N</t>
        </is>
      </c>
      <c r="H1432" s="8" t="n">
        <v>9578099893</v>
      </c>
      <c r="I1432" s="10" t="inlineStr">
        <is>
          <t>PE04062601</t>
        </is>
      </c>
      <c r="J1432" s="6" t="inlineStr">
        <is>
          <t>Diode issue</t>
        </is>
      </c>
      <c r="K1432" s="8" t="inlineStr">
        <is>
          <t>Jatavira</t>
        </is>
      </c>
      <c r="L1432" s="39" t="inlineStr">
        <is>
          <t>Gujarat</t>
        </is>
      </c>
      <c r="M1432" s="2" t="inlineStr">
        <is>
          <t>PS</t>
        </is>
      </c>
      <c r="N1432" s="1" t="inlineStr">
        <is>
          <t>Cold Soldering</t>
        </is>
      </c>
      <c r="O1432" s="32" t="n">
        <v>585</v>
      </c>
      <c r="P1432" s="2" t="inlineStr">
        <is>
          <t>NSMI24100557687</t>
        </is>
      </c>
      <c r="Q1432" s="29">
        <f>MID(P1432,5,2)</f>
        <v/>
      </c>
      <c r="R1432" s="14">
        <f>MID(P1432,7,2)</f>
        <v/>
      </c>
      <c r="S1432" s="6" t="inlineStr">
        <is>
          <t>G2G</t>
        </is>
      </c>
      <c r="T1432" s="1" t="inlineStr">
        <is>
          <t>P4 - PEIPL</t>
        </is>
      </c>
      <c r="U1432" s="1" t="inlineStr">
        <is>
          <t>P JB Cold Soldering</t>
        </is>
      </c>
      <c r="V1432" s="1" t="inlineStr">
        <is>
          <t>Inspection</t>
        </is>
      </c>
      <c r="W1432" s="1" t="inlineStr">
        <is>
          <t>Repair</t>
        </is>
      </c>
      <c r="X1432" s="5" t="n">
        <v>46190</v>
      </c>
      <c r="Y1432" s="1">
        <f>IF(X1432="","",X1432-A1432)</f>
        <v/>
      </c>
      <c r="Z1432" s="5" t="n">
        <v>46190</v>
      </c>
      <c r="AA1432" s="3" t="n"/>
      <c r="AB1432" s="3" t="n"/>
      <c r="AE1432" s="146">
        <f>IF(AND(F1432="Closed",X1432&gt;=DATE(2026,6,1),X1432&lt;=DATE(2026,6,30)),"Closed in June","other")</f>
        <v/>
      </c>
    </row>
    <row r="1433" hidden="1">
      <c r="A1433" s="49" t="n">
        <v>46177</v>
      </c>
      <c r="B1433" s="1" t="n">
        <v>2026</v>
      </c>
      <c r="C1433" s="8" t="inlineStr">
        <is>
          <t>Ayana</t>
        </is>
      </c>
      <c r="D1433" s="11" t="inlineStr">
        <is>
          <t>Utility and C&amp;I</t>
        </is>
      </c>
      <c r="E1433" s="1" t="n"/>
      <c r="F1433" s="1" t="inlineStr">
        <is>
          <t>Closed</t>
        </is>
      </c>
      <c r="G1433" s="11" t="inlineStr">
        <is>
          <t>Vasu.N</t>
        </is>
      </c>
      <c r="H1433" s="8" t="n">
        <v>9578099893</v>
      </c>
      <c r="I1433" s="10" t="inlineStr">
        <is>
          <t>PE04062601</t>
        </is>
      </c>
      <c r="J1433" s="6" t="inlineStr">
        <is>
          <t>Diode issue</t>
        </is>
      </c>
      <c r="K1433" s="8" t="inlineStr">
        <is>
          <t>Jatavira</t>
        </is>
      </c>
      <c r="L1433" s="39" t="inlineStr">
        <is>
          <t>Gujarat</t>
        </is>
      </c>
      <c r="M1433" s="2" t="inlineStr">
        <is>
          <t>PS</t>
        </is>
      </c>
      <c r="N1433" s="1" t="inlineStr">
        <is>
          <t>Cold Soldering</t>
        </is>
      </c>
      <c r="O1433" s="32" t="n">
        <v>585</v>
      </c>
      <c r="P1433" s="2" t="inlineStr">
        <is>
          <t>NSMI24100545116</t>
        </is>
      </c>
      <c r="Q1433" s="29">
        <f>MID(P1433,5,2)</f>
        <v/>
      </c>
      <c r="R1433" s="14">
        <f>MID(P1433,7,2)</f>
        <v/>
      </c>
      <c r="S1433" s="6" t="inlineStr">
        <is>
          <t>G2G</t>
        </is>
      </c>
      <c r="T1433" s="1" t="inlineStr">
        <is>
          <t>P4 - PEIPL</t>
        </is>
      </c>
      <c r="U1433" s="1" t="inlineStr">
        <is>
          <t>P JB Cold Soldering</t>
        </is>
      </c>
      <c r="V1433" s="1" t="inlineStr">
        <is>
          <t>Inspection</t>
        </is>
      </c>
      <c r="W1433" s="1" t="inlineStr">
        <is>
          <t>Repair</t>
        </is>
      </c>
      <c r="X1433" s="5" t="n">
        <v>46190</v>
      </c>
      <c r="Y1433" s="1">
        <f>IF(X1433="","",X1433-A1433)</f>
        <v/>
      </c>
      <c r="Z1433" s="5" t="n">
        <v>46190</v>
      </c>
      <c r="AA1433" s="3" t="n"/>
      <c r="AB1433" s="3" t="n"/>
      <c r="AE1433" s="146">
        <f>IF(AND(F1433="Closed",X1433&gt;=DATE(2026,6,1),X1433&lt;=DATE(2026,6,30)),"Closed in June","other")</f>
        <v/>
      </c>
    </row>
    <row r="1434" hidden="1">
      <c r="A1434" s="49" t="n">
        <v>46177</v>
      </c>
      <c r="B1434" s="1" t="n">
        <v>2026</v>
      </c>
      <c r="C1434" s="8" t="inlineStr">
        <is>
          <t>Ayana</t>
        </is>
      </c>
      <c r="D1434" s="11" t="inlineStr">
        <is>
          <t>Utility and C&amp;I</t>
        </is>
      </c>
      <c r="E1434" s="1" t="n"/>
      <c r="F1434" s="1" t="inlineStr">
        <is>
          <t>Closed</t>
        </is>
      </c>
      <c r="G1434" s="11" t="inlineStr">
        <is>
          <t>Vasu.N</t>
        </is>
      </c>
      <c r="H1434" s="8" t="n">
        <v>9578099893</v>
      </c>
      <c r="I1434" s="10" t="inlineStr">
        <is>
          <t>PE04062601</t>
        </is>
      </c>
      <c r="J1434" s="6" t="inlineStr">
        <is>
          <t>Diode issue</t>
        </is>
      </c>
      <c r="K1434" s="8" t="inlineStr">
        <is>
          <t>Jatavira</t>
        </is>
      </c>
      <c r="L1434" s="39" t="inlineStr">
        <is>
          <t>Gujarat</t>
        </is>
      </c>
      <c r="M1434" s="2" t="inlineStr">
        <is>
          <t>PS</t>
        </is>
      </c>
      <c r="N1434" s="1" t="inlineStr">
        <is>
          <t>Cold Soldering</t>
        </is>
      </c>
      <c r="O1434" s="32" t="n">
        <v>585</v>
      </c>
      <c r="P1434" s="2" t="inlineStr">
        <is>
          <t>NSMI24100546668</t>
        </is>
      </c>
      <c r="Q1434" s="29">
        <f>MID(P1434,5,2)</f>
        <v/>
      </c>
      <c r="R1434" s="14">
        <f>MID(P1434,7,2)</f>
        <v/>
      </c>
      <c r="S1434" s="6" t="inlineStr">
        <is>
          <t>G2G</t>
        </is>
      </c>
      <c r="T1434" s="1" t="inlineStr">
        <is>
          <t>P4 - PEIPL</t>
        </is>
      </c>
      <c r="U1434" s="1" t="inlineStr">
        <is>
          <t>P JB Cold Soldering</t>
        </is>
      </c>
      <c r="V1434" s="1" t="inlineStr">
        <is>
          <t>Inspection</t>
        </is>
      </c>
      <c r="W1434" s="1" t="inlineStr">
        <is>
          <t>Repair</t>
        </is>
      </c>
      <c r="X1434" s="5" t="n">
        <v>46190</v>
      </c>
      <c r="Y1434" s="1">
        <f>IF(X1434="","",X1434-A1434)</f>
        <v/>
      </c>
      <c r="Z1434" s="5" t="n">
        <v>46190</v>
      </c>
      <c r="AA1434" s="3" t="n"/>
      <c r="AB1434" s="3" t="n"/>
      <c r="AE1434" s="146">
        <f>IF(AND(F1434="Closed",X1434&gt;=DATE(2026,6,1),X1434&lt;=DATE(2026,6,30)),"Closed in June","other")</f>
        <v/>
      </c>
    </row>
    <row r="1435" hidden="1">
      <c r="A1435" s="49" t="n">
        <v>46177</v>
      </c>
      <c r="B1435" s="1" t="n">
        <v>2026</v>
      </c>
      <c r="C1435" s="8" t="inlineStr">
        <is>
          <t>Ayana</t>
        </is>
      </c>
      <c r="D1435" s="11" t="inlineStr">
        <is>
          <t>Utility and C&amp;I</t>
        </is>
      </c>
      <c r="E1435" s="1" t="n"/>
      <c r="F1435" s="1" t="inlineStr">
        <is>
          <t>Closed</t>
        </is>
      </c>
      <c r="G1435" s="11" t="inlineStr">
        <is>
          <t>Vasu.N</t>
        </is>
      </c>
      <c r="H1435" s="8" t="n">
        <v>9578099893</v>
      </c>
      <c r="I1435" s="10" t="inlineStr">
        <is>
          <t>PE04062601</t>
        </is>
      </c>
      <c r="J1435" s="6" t="inlineStr">
        <is>
          <t>Diode issue</t>
        </is>
      </c>
      <c r="K1435" s="8" t="inlineStr">
        <is>
          <t>Jatavira</t>
        </is>
      </c>
      <c r="L1435" s="39" t="inlineStr">
        <is>
          <t>Gujarat</t>
        </is>
      </c>
      <c r="M1435" s="2" t="inlineStr">
        <is>
          <t>PS</t>
        </is>
      </c>
      <c r="N1435" s="1" t="inlineStr">
        <is>
          <t>Cold Soldering</t>
        </is>
      </c>
      <c r="O1435" s="32" t="n">
        <v>585</v>
      </c>
      <c r="P1435" s="2" t="inlineStr">
        <is>
          <t>NSMI24090521999</t>
        </is>
      </c>
      <c r="Q1435" s="29">
        <f>MID(P1435,5,2)</f>
        <v/>
      </c>
      <c r="R1435" s="14">
        <f>MID(P1435,7,2)</f>
        <v/>
      </c>
      <c r="S1435" s="6" t="inlineStr">
        <is>
          <t>G2G</t>
        </is>
      </c>
      <c r="T1435" s="1" t="inlineStr">
        <is>
          <t>P4 - PEIPL</t>
        </is>
      </c>
      <c r="U1435" s="1" t="inlineStr">
        <is>
          <t>P JB Cold Soldering</t>
        </is>
      </c>
      <c r="V1435" s="1" t="inlineStr">
        <is>
          <t>Inspection</t>
        </is>
      </c>
      <c r="W1435" s="1" t="inlineStr">
        <is>
          <t>Repair</t>
        </is>
      </c>
      <c r="X1435" s="5" t="n">
        <v>46190</v>
      </c>
      <c r="Y1435" s="1">
        <f>IF(X1435="","",X1435-A1435)</f>
        <v/>
      </c>
      <c r="Z1435" s="5" t="n">
        <v>46190</v>
      </c>
      <c r="AA1435" s="3" t="n"/>
      <c r="AB1435" s="3" t="n"/>
      <c r="AE1435" s="146">
        <f>IF(AND(F1435="Closed",X1435&gt;=DATE(2026,6,1),X1435&lt;=DATE(2026,6,30)),"Closed in June","other")</f>
        <v/>
      </c>
    </row>
    <row r="1436" hidden="1">
      <c r="A1436" s="49" t="n">
        <v>46177</v>
      </c>
      <c r="B1436" s="1" t="n">
        <v>2026</v>
      </c>
      <c r="C1436" s="8" t="inlineStr">
        <is>
          <t>Ayana</t>
        </is>
      </c>
      <c r="D1436" s="11" t="inlineStr">
        <is>
          <t>Utility and C&amp;I</t>
        </is>
      </c>
      <c r="E1436" s="1" t="n"/>
      <c r="F1436" s="1" t="inlineStr">
        <is>
          <t>Closed</t>
        </is>
      </c>
      <c r="G1436" s="11" t="inlineStr">
        <is>
          <t>Vasu.N</t>
        </is>
      </c>
      <c r="H1436" s="8" t="n">
        <v>9578099893</v>
      </c>
      <c r="I1436" s="10" t="inlineStr">
        <is>
          <t>PE04062601</t>
        </is>
      </c>
      <c r="J1436" s="6" t="inlineStr">
        <is>
          <t>Diode issue</t>
        </is>
      </c>
      <c r="K1436" s="8" t="inlineStr">
        <is>
          <t>Jatavira</t>
        </is>
      </c>
      <c r="L1436" s="39" t="inlineStr">
        <is>
          <t>Gujarat</t>
        </is>
      </c>
      <c r="M1436" s="2" t="inlineStr">
        <is>
          <t>PS</t>
        </is>
      </c>
      <c r="N1436" s="1" t="inlineStr">
        <is>
          <t>Cold Soldering</t>
        </is>
      </c>
      <c r="O1436" s="32" t="n">
        <v>585</v>
      </c>
      <c r="P1436" s="2" t="inlineStr">
        <is>
          <t>NSMI24090502326</t>
        </is>
      </c>
      <c r="Q1436" s="29">
        <f>MID(P1436,5,2)</f>
        <v/>
      </c>
      <c r="R1436" s="14">
        <f>MID(P1436,7,2)</f>
        <v/>
      </c>
      <c r="S1436" s="6" t="inlineStr">
        <is>
          <t>G2G</t>
        </is>
      </c>
      <c r="T1436" s="1" t="inlineStr">
        <is>
          <t>P4 - PEIPL</t>
        </is>
      </c>
      <c r="U1436" s="1" t="inlineStr">
        <is>
          <t>P JB Cold Soldering</t>
        </is>
      </c>
      <c r="V1436" s="1" t="inlineStr">
        <is>
          <t>Inspection</t>
        </is>
      </c>
      <c r="W1436" s="1" t="inlineStr">
        <is>
          <t>Repair</t>
        </is>
      </c>
      <c r="X1436" s="5" t="n">
        <v>46190</v>
      </c>
      <c r="Y1436" s="1">
        <f>IF(X1436="","",X1436-A1436)</f>
        <v/>
      </c>
      <c r="Z1436" s="5" t="n">
        <v>46190</v>
      </c>
      <c r="AA1436" s="3" t="n"/>
      <c r="AB1436" s="3" t="n"/>
      <c r="AE1436" s="146">
        <f>IF(AND(F1436="Closed",X1436&gt;=DATE(2026,6,1),X1436&lt;=DATE(2026,6,30)),"Closed in June","other")</f>
        <v/>
      </c>
    </row>
    <row r="1437" hidden="1">
      <c r="A1437" s="49" t="n">
        <v>46177</v>
      </c>
      <c r="B1437" s="1" t="n">
        <v>2026</v>
      </c>
      <c r="C1437" s="8" t="inlineStr">
        <is>
          <t>Ayana</t>
        </is>
      </c>
      <c r="D1437" s="11" t="inlineStr">
        <is>
          <t>Utility and C&amp;I</t>
        </is>
      </c>
      <c r="E1437" s="1" t="n"/>
      <c r="F1437" s="1" t="inlineStr">
        <is>
          <t>Closed</t>
        </is>
      </c>
      <c r="G1437" s="11" t="inlineStr">
        <is>
          <t>Vasu.N</t>
        </is>
      </c>
      <c r="H1437" s="8" t="n">
        <v>9578099893</v>
      </c>
      <c r="I1437" s="10" t="inlineStr">
        <is>
          <t>PE04062601</t>
        </is>
      </c>
      <c r="J1437" s="6" t="inlineStr">
        <is>
          <t>Diode issue</t>
        </is>
      </c>
      <c r="K1437" s="8" t="inlineStr">
        <is>
          <t>Jatavira</t>
        </is>
      </c>
      <c r="L1437" s="39" t="inlineStr">
        <is>
          <t>Gujarat</t>
        </is>
      </c>
      <c r="M1437" s="2" t="inlineStr">
        <is>
          <t>PS</t>
        </is>
      </c>
      <c r="N1437" s="1" t="inlineStr">
        <is>
          <t>Cold Soldering</t>
        </is>
      </c>
      <c r="O1437" s="32" t="n">
        <v>585</v>
      </c>
      <c r="P1437" s="2" t="inlineStr">
        <is>
          <t>NSMI24090455330</t>
        </is>
      </c>
      <c r="Q1437" s="29">
        <f>MID(P1437,5,2)</f>
        <v/>
      </c>
      <c r="R1437" s="14">
        <f>MID(P1437,7,2)</f>
        <v/>
      </c>
      <c r="S1437" s="6" t="inlineStr">
        <is>
          <t>G2G</t>
        </is>
      </c>
      <c r="T1437" s="1" t="inlineStr">
        <is>
          <t>P4 - PEIPL</t>
        </is>
      </c>
      <c r="U1437" s="1" t="inlineStr">
        <is>
          <t>P JB Cold Soldering</t>
        </is>
      </c>
      <c r="V1437" s="1" t="inlineStr">
        <is>
          <t>Inspection</t>
        </is>
      </c>
      <c r="W1437" s="1" t="inlineStr">
        <is>
          <t>Repair</t>
        </is>
      </c>
      <c r="X1437" s="5" t="n">
        <v>46190</v>
      </c>
      <c r="Y1437" s="1">
        <f>IF(X1437="","",X1437-A1437)</f>
        <v/>
      </c>
      <c r="Z1437" s="5" t="n">
        <v>46190</v>
      </c>
      <c r="AA1437" s="3" t="n"/>
      <c r="AB1437" s="3" t="n"/>
      <c r="AE1437" s="146">
        <f>IF(AND(F1437="Closed",X1437&gt;=DATE(2026,6,1),X1437&lt;=DATE(2026,6,30)),"Closed in June","other")</f>
        <v/>
      </c>
    </row>
    <row r="1438" hidden="1">
      <c r="A1438" s="49" t="n">
        <v>46177</v>
      </c>
      <c r="B1438" s="1" t="n">
        <v>2026</v>
      </c>
      <c r="C1438" s="8" t="inlineStr">
        <is>
          <t>Ayana</t>
        </is>
      </c>
      <c r="D1438" s="11" t="inlineStr">
        <is>
          <t>Utility and C&amp;I</t>
        </is>
      </c>
      <c r="E1438" s="1" t="n"/>
      <c r="F1438" s="1" t="inlineStr">
        <is>
          <t>Closed</t>
        </is>
      </c>
      <c r="G1438" s="11" t="inlineStr">
        <is>
          <t>Vasu.N</t>
        </is>
      </c>
      <c r="H1438" s="8" t="n">
        <v>9578099893</v>
      </c>
      <c r="I1438" s="10" t="inlineStr">
        <is>
          <t>PE04062601</t>
        </is>
      </c>
      <c r="J1438" s="6" t="inlineStr">
        <is>
          <t>Diode issue</t>
        </is>
      </c>
      <c r="K1438" s="8" t="inlineStr">
        <is>
          <t>Jatavira</t>
        </is>
      </c>
      <c r="L1438" s="39" t="inlineStr">
        <is>
          <t>Gujarat</t>
        </is>
      </c>
      <c r="M1438" s="2" t="inlineStr">
        <is>
          <t>PNS</t>
        </is>
      </c>
      <c r="N1438" s="1" t="inlineStr">
        <is>
          <t>Cold Soldering</t>
        </is>
      </c>
      <c r="O1438" s="32" t="n">
        <v>585</v>
      </c>
      <c r="P1438" s="2" t="inlineStr">
        <is>
          <t>NSMI24090456968</t>
        </is>
      </c>
      <c r="Q1438" s="29">
        <f>MID(P1438,5,2)</f>
        <v/>
      </c>
      <c r="R1438" s="14">
        <f>MID(P1438,7,2)</f>
        <v/>
      </c>
      <c r="S1438" s="6" t="inlineStr">
        <is>
          <t>G2G</t>
        </is>
      </c>
      <c r="T1438" s="1" t="inlineStr">
        <is>
          <t>P4 - PEIPL</t>
        </is>
      </c>
      <c r="U1438" s="1" t="inlineStr">
        <is>
          <t>P &amp; N JB Cold Soldering</t>
        </is>
      </c>
      <c r="V1438" s="1" t="inlineStr">
        <is>
          <t>Inspection</t>
        </is>
      </c>
      <c r="W1438" s="1" t="inlineStr">
        <is>
          <t>Repair</t>
        </is>
      </c>
      <c r="X1438" s="5" t="n">
        <v>46190</v>
      </c>
      <c r="Y1438" s="1">
        <f>IF(X1438="","",X1438-A1438)</f>
        <v/>
      </c>
      <c r="Z1438" s="5" t="n">
        <v>46190</v>
      </c>
      <c r="AA1438" s="3" t="n"/>
      <c r="AB1438" s="3" t="n"/>
      <c r="AE1438" s="146">
        <f>IF(AND(F1438="Closed",X1438&gt;=DATE(2026,6,1),X1438&lt;=DATE(2026,6,30)),"Closed in June","other")</f>
        <v/>
      </c>
    </row>
    <row r="1439" hidden="1">
      <c r="A1439" s="49" t="n">
        <v>46177</v>
      </c>
      <c r="B1439" s="1" t="n">
        <v>2026</v>
      </c>
      <c r="C1439" s="8" t="inlineStr">
        <is>
          <t>Ayana</t>
        </is>
      </c>
      <c r="D1439" s="11" t="inlineStr">
        <is>
          <t>Utility and C&amp;I</t>
        </is>
      </c>
      <c r="E1439" s="1" t="n"/>
      <c r="F1439" s="1" t="inlineStr">
        <is>
          <t>Closed</t>
        </is>
      </c>
      <c r="G1439" s="11" t="inlineStr">
        <is>
          <t>Vasu.N</t>
        </is>
      </c>
      <c r="H1439" s="8" t="n">
        <v>9578099893</v>
      </c>
      <c r="I1439" s="10" t="inlineStr">
        <is>
          <t>PE04062601</t>
        </is>
      </c>
      <c r="J1439" s="6" t="inlineStr">
        <is>
          <t>Diode issue</t>
        </is>
      </c>
      <c r="K1439" s="8" t="inlineStr">
        <is>
          <t>Jatavira</t>
        </is>
      </c>
      <c r="L1439" s="39" t="inlineStr">
        <is>
          <t>Gujarat</t>
        </is>
      </c>
      <c r="M1439" s="2" t="inlineStr">
        <is>
          <t>PS</t>
        </is>
      </c>
      <c r="N1439" s="1" t="inlineStr">
        <is>
          <t>Cold Soldering</t>
        </is>
      </c>
      <c r="O1439" s="32" t="n">
        <v>585</v>
      </c>
      <c r="P1439" s="2" t="inlineStr">
        <is>
          <t>NSMI24100557986</t>
        </is>
      </c>
      <c r="Q1439" s="29">
        <f>MID(P1439,5,2)</f>
        <v/>
      </c>
      <c r="R1439" s="14">
        <f>MID(P1439,7,2)</f>
        <v/>
      </c>
      <c r="S1439" s="6" t="inlineStr">
        <is>
          <t>G2G</t>
        </is>
      </c>
      <c r="T1439" s="1" t="inlineStr">
        <is>
          <t>P4 - PEIPL</t>
        </is>
      </c>
      <c r="U1439" s="1" t="inlineStr">
        <is>
          <t>P JB Cold Soldering</t>
        </is>
      </c>
      <c r="V1439" s="1" t="inlineStr">
        <is>
          <t>Inspection</t>
        </is>
      </c>
      <c r="W1439" s="1" t="inlineStr">
        <is>
          <t>Repair</t>
        </is>
      </c>
      <c r="X1439" s="5" t="n">
        <v>46190</v>
      </c>
      <c r="Y1439" s="1">
        <f>IF(X1439="","",X1439-A1439)</f>
        <v/>
      </c>
      <c r="Z1439" s="5" t="n">
        <v>46190</v>
      </c>
      <c r="AA1439" s="3" t="n"/>
      <c r="AB1439" s="3" t="n"/>
      <c r="AE1439" s="146">
        <f>IF(AND(F1439="Closed",X1439&gt;=DATE(2026,6,1),X1439&lt;=DATE(2026,6,30)),"Closed in June","other")</f>
        <v/>
      </c>
    </row>
    <row r="1440" hidden="1">
      <c r="A1440" s="49" t="n">
        <v>46177</v>
      </c>
      <c r="B1440" s="1" t="n">
        <v>2026</v>
      </c>
      <c r="C1440" s="8" t="inlineStr">
        <is>
          <t>Ayana</t>
        </is>
      </c>
      <c r="D1440" s="11" t="inlineStr">
        <is>
          <t>Utility and C&amp;I</t>
        </is>
      </c>
      <c r="E1440" s="1" t="n"/>
      <c r="F1440" s="1" t="inlineStr">
        <is>
          <t>Closed</t>
        </is>
      </c>
      <c r="G1440" s="11" t="inlineStr">
        <is>
          <t>Vasu.N</t>
        </is>
      </c>
      <c r="H1440" s="8" t="n">
        <v>9578099893</v>
      </c>
      <c r="I1440" s="10" t="inlineStr">
        <is>
          <t>PE04062601</t>
        </is>
      </c>
      <c r="J1440" s="6" t="inlineStr">
        <is>
          <t>Diode issue</t>
        </is>
      </c>
      <c r="K1440" s="8" t="inlineStr">
        <is>
          <t>Jatavira</t>
        </is>
      </c>
      <c r="L1440" s="39" t="inlineStr">
        <is>
          <t>Gujarat</t>
        </is>
      </c>
      <c r="M1440" s="2" t="inlineStr">
        <is>
          <t>PS</t>
        </is>
      </c>
      <c r="N1440" s="1" t="inlineStr">
        <is>
          <t>Cold Soldering</t>
        </is>
      </c>
      <c r="O1440" s="32" t="n">
        <v>585</v>
      </c>
      <c r="P1440" s="2" t="inlineStr">
        <is>
          <t>NSMI24100557890</t>
        </is>
      </c>
      <c r="Q1440" s="29">
        <f>MID(P1440,5,2)</f>
        <v/>
      </c>
      <c r="R1440" s="14">
        <f>MID(P1440,7,2)</f>
        <v/>
      </c>
      <c r="S1440" s="6" t="inlineStr">
        <is>
          <t>G2G</t>
        </is>
      </c>
      <c r="T1440" s="1" t="inlineStr">
        <is>
          <t>P4 - PEIPL</t>
        </is>
      </c>
      <c r="U1440" s="1" t="inlineStr">
        <is>
          <t>P JB Cold Soldering</t>
        </is>
      </c>
      <c r="V1440" s="1" t="inlineStr">
        <is>
          <t>Inspection</t>
        </is>
      </c>
      <c r="W1440" s="1" t="inlineStr">
        <is>
          <t>Repair</t>
        </is>
      </c>
      <c r="X1440" s="5" t="n">
        <v>46190</v>
      </c>
      <c r="Y1440" s="1">
        <f>IF(X1440="","",X1440-A1440)</f>
        <v/>
      </c>
      <c r="Z1440" s="5" t="n">
        <v>46190</v>
      </c>
      <c r="AA1440" s="3" t="n"/>
      <c r="AB1440" s="3" t="n"/>
      <c r="AE1440" s="146">
        <f>IF(AND(F1440="Closed",X1440&gt;=DATE(2026,6,1),X1440&lt;=DATE(2026,6,30)),"Closed in June","other")</f>
        <v/>
      </c>
    </row>
    <row r="1441" hidden="1">
      <c r="A1441" s="49" t="n">
        <v>46177</v>
      </c>
      <c r="B1441" s="1" t="n">
        <v>2026</v>
      </c>
      <c r="C1441" s="8" t="inlineStr">
        <is>
          <t>Ayana</t>
        </is>
      </c>
      <c r="D1441" s="11" t="inlineStr">
        <is>
          <t>Utility and C&amp;I</t>
        </is>
      </c>
      <c r="E1441" s="1" t="n"/>
      <c r="F1441" s="1" t="inlineStr">
        <is>
          <t>Closed</t>
        </is>
      </c>
      <c r="G1441" s="11" t="inlineStr">
        <is>
          <t>Vasu.N</t>
        </is>
      </c>
      <c r="H1441" s="8" t="n">
        <v>9578099893</v>
      </c>
      <c r="I1441" s="10" t="inlineStr">
        <is>
          <t>PE04062601</t>
        </is>
      </c>
      <c r="J1441" s="6" t="inlineStr">
        <is>
          <t>Diode issue</t>
        </is>
      </c>
      <c r="K1441" s="8" t="inlineStr">
        <is>
          <t>Jatavira</t>
        </is>
      </c>
      <c r="L1441" s="39" t="inlineStr">
        <is>
          <t>Gujarat</t>
        </is>
      </c>
      <c r="M1441" s="2" t="inlineStr">
        <is>
          <t>PS</t>
        </is>
      </c>
      <c r="N1441" s="1" t="inlineStr">
        <is>
          <t>Cold Soldering</t>
        </is>
      </c>
      <c r="O1441" s="32" t="n">
        <v>585</v>
      </c>
      <c r="P1441" s="2" t="inlineStr">
        <is>
          <t>NSMI24090499759</t>
        </is>
      </c>
      <c r="Q1441" s="29">
        <f>MID(P1441,5,2)</f>
        <v/>
      </c>
      <c r="R1441" s="14">
        <f>MID(P1441,7,2)</f>
        <v/>
      </c>
      <c r="S1441" s="6" t="inlineStr">
        <is>
          <t>G2G</t>
        </is>
      </c>
      <c r="T1441" s="1" t="inlineStr">
        <is>
          <t>P4 - PEIPL</t>
        </is>
      </c>
      <c r="U1441" s="1" t="inlineStr">
        <is>
          <t>P JB Cold Soldering</t>
        </is>
      </c>
      <c r="V1441" s="1" t="inlineStr">
        <is>
          <t>Inspection</t>
        </is>
      </c>
      <c r="W1441" s="1" t="inlineStr">
        <is>
          <t>Repair</t>
        </is>
      </c>
      <c r="X1441" s="5" t="n">
        <v>46190</v>
      </c>
      <c r="Y1441" s="1">
        <f>IF(X1441="","",X1441-A1441)</f>
        <v/>
      </c>
      <c r="Z1441" s="5" t="n">
        <v>46190</v>
      </c>
      <c r="AA1441" s="3" t="n"/>
      <c r="AB1441" s="3" t="n"/>
      <c r="AE1441" s="146">
        <f>IF(AND(F1441="Closed",X1441&gt;=DATE(2026,6,1),X1441&lt;=DATE(2026,6,30)),"Closed in June","other")</f>
        <v/>
      </c>
    </row>
    <row r="1442" hidden="1">
      <c r="A1442" s="49" t="n">
        <v>46177</v>
      </c>
      <c r="B1442" s="1" t="n">
        <v>2026</v>
      </c>
      <c r="C1442" s="8" t="inlineStr">
        <is>
          <t>Ayana</t>
        </is>
      </c>
      <c r="D1442" s="11" t="inlineStr">
        <is>
          <t>Utility and C&amp;I</t>
        </is>
      </c>
      <c r="E1442" s="1" t="n"/>
      <c r="F1442" s="1" t="inlineStr">
        <is>
          <t>Closed</t>
        </is>
      </c>
      <c r="G1442" s="11" t="inlineStr">
        <is>
          <t>Vasu.N</t>
        </is>
      </c>
      <c r="H1442" s="8" t="n">
        <v>9578099893</v>
      </c>
      <c r="I1442" s="10" t="inlineStr">
        <is>
          <t>PE04062601</t>
        </is>
      </c>
      <c r="J1442" s="6" t="inlineStr">
        <is>
          <t>Diode issue</t>
        </is>
      </c>
      <c r="K1442" s="8" t="inlineStr">
        <is>
          <t>Jatavira</t>
        </is>
      </c>
      <c r="L1442" s="39" t="inlineStr">
        <is>
          <t>Gujarat</t>
        </is>
      </c>
      <c r="M1442" s="2" t="inlineStr">
        <is>
          <t>PS</t>
        </is>
      </c>
      <c r="N1442" s="1" t="inlineStr">
        <is>
          <t>Cold Soldering</t>
        </is>
      </c>
      <c r="O1442" s="32" t="n">
        <v>585</v>
      </c>
      <c r="P1442" s="2" t="inlineStr">
        <is>
          <t>NSMI24100560752</t>
        </is>
      </c>
      <c r="Q1442" s="29">
        <f>MID(P1442,5,2)</f>
        <v/>
      </c>
      <c r="R1442" s="14">
        <f>MID(P1442,7,2)</f>
        <v/>
      </c>
      <c r="S1442" s="6" t="inlineStr">
        <is>
          <t>G2G</t>
        </is>
      </c>
      <c r="T1442" s="1" t="inlineStr">
        <is>
          <t>P4 - PEIPL</t>
        </is>
      </c>
      <c r="U1442" s="1" t="inlineStr">
        <is>
          <t>P JB Cold Soldering</t>
        </is>
      </c>
      <c r="V1442" s="1" t="inlineStr">
        <is>
          <t>Inspection</t>
        </is>
      </c>
      <c r="W1442" s="1" t="inlineStr">
        <is>
          <t>Repair</t>
        </is>
      </c>
      <c r="X1442" s="5" t="n">
        <v>46190</v>
      </c>
      <c r="Y1442" s="1">
        <f>IF(X1442="","",X1442-A1442)</f>
        <v/>
      </c>
      <c r="Z1442" s="5" t="n">
        <v>46190</v>
      </c>
      <c r="AA1442" s="3" t="n"/>
      <c r="AB1442" s="3" t="n"/>
      <c r="AE1442" s="146">
        <f>IF(AND(F1442="Closed",X1442&gt;=DATE(2026,6,1),X1442&lt;=DATE(2026,6,30)),"Closed in June","other")</f>
        <v/>
      </c>
    </row>
    <row r="1443" hidden="1">
      <c r="A1443" s="49" t="n">
        <v>46177</v>
      </c>
      <c r="B1443" s="1" t="n">
        <v>2026</v>
      </c>
      <c r="C1443" s="8" t="inlineStr">
        <is>
          <t>Ayana</t>
        </is>
      </c>
      <c r="D1443" s="11" t="inlineStr">
        <is>
          <t>Utility and C&amp;I</t>
        </is>
      </c>
      <c r="E1443" s="1" t="n"/>
      <c r="F1443" s="1" t="inlineStr">
        <is>
          <t>Closed</t>
        </is>
      </c>
      <c r="G1443" s="11" t="inlineStr">
        <is>
          <t>Vasu.N</t>
        </is>
      </c>
      <c r="H1443" s="8" t="n">
        <v>9578099893</v>
      </c>
      <c r="I1443" s="10" t="inlineStr">
        <is>
          <t>PE04062601</t>
        </is>
      </c>
      <c r="J1443" s="6" t="inlineStr">
        <is>
          <t>Diode issue</t>
        </is>
      </c>
      <c r="K1443" s="8" t="inlineStr">
        <is>
          <t>Jatavira</t>
        </is>
      </c>
      <c r="L1443" s="39" t="inlineStr">
        <is>
          <t>Gujarat</t>
        </is>
      </c>
      <c r="M1443" s="2" t="inlineStr">
        <is>
          <t>PS</t>
        </is>
      </c>
      <c r="N1443" s="1" t="inlineStr">
        <is>
          <t>Cold Soldering</t>
        </is>
      </c>
      <c r="O1443" s="32" t="n">
        <v>585</v>
      </c>
      <c r="P1443" s="2" t="inlineStr">
        <is>
          <t>NSMI24090468676</t>
        </is>
      </c>
      <c r="Q1443" s="29">
        <f>MID(P1443,5,2)</f>
        <v/>
      </c>
      <c r="R1443" s="14">
        <f>MID(P1443,7,2)</f>
        <v/>
      </c>
      <c r="S1443" s="6" t="inlineStr">
        <is>
          <t>G2G</t>
        </is>
      </c>
      <c r="T1443" s="1" t="inlineStr">
        <is>
          <t>P4 - PEIPL</t>
        </is>
      </c>
      <c r="U1443" s="1" t="inlineStr">
        <is>
          <t>P JB Cold Soldering</t>
        </is>
      </c>
      <c r="V1443" s="1" t="inlineStr">
        <is>
          <t>Inspection</t>
        </is>
      </c>
      <c r="W1443" s="1" t="inlineStr">
        <is>
          <t>Repair</t>
        </is>
      </c>
      <c r="X1443" s="5" t="n">
        <v>46190</v>
      </c>
      <c r="Y1443" s="1">
        <f>IF(X1443="","",X1443-A1443)</f>
        <v/>
      </c>
      <c r="Z1443" s="5" t="n">
        <v>46190</v>
      </c>
      <c r="AA1443" s="3" t="n"/>
      <c r="AB1443" s="3" t="n"/>
      <c r="AE1443" s="146">
        <f>IF(AND(F1443="Closed",X1443&gt;=DATE(2026,6,1),X1443&lt;=DATE(2026,6,30)),"Closed in June","other")</f>
        <v/>
      </c>
    </row>
    <row r="1444" hidden="1">
      <c r="A1444" s="49" t="n">
        <v>46177</v>
      </c>
      <c r="B1444" s="1" t="n">
        <v>2026</v>
      </c>
      <c r="C1444" s="8" t="inlineStr">
        <is>
          <t>Ayana</t>
        </is>
      </c>
      <c r="D1444" s="11" t="inlineStr">
        <is>
          <t>Utility and C&amp;I</t>
        </is>
      </c>
      <c r="E1444" s="1" t="n"/>
      <c r="F1444" s="1" t="inlineStr">
        <is>
          <t>Closed</t>
        </is>
      </c>
      <c r="G1444" s="11" t="inlineStr">
        <is>
          <t>Vasu.N</t>
        </is>
      </c>
      <c r="H1444" s="8" t="n">
        <v>9578099893</v>
      </c>
      <c r="I1444" s="10" t="inlineStr">
        <is>
          <t>PE04062601</t>
        </is>
      </c>
      <c r="J1444" s="6" t="inlineStr">
        <is>
          <t>Diode issue</t>
        </is>
      </c>
      <c r="K1444" s="8" t="inlineStr">
        <is>
          <t>Jatavira</t>
        </is>
      </c>
      <c r="L1444" s="39" t="inlineStr">
        <is>
          <t>Gujarat</t>
        </is>
      </c>
      <c r="M1444" s="2" t="inlineStr">
        <is>
          <t>PS</t>
        </is>
      </c>
      <c r="N1444" s="1" t="inlineStr">
        <is>
          <t>Cold Soldering</t>
        </is>
      </c>
      <c r="O1444" s="32" t="n">
        <v>585</v>
      </c>
      <c r="P1444" s="2" t="inlineStr">
        <is>
          <t>NSMI24090482094</t>
        </is>
      </c>
      <c r="Q1444" s="29">
        <f>MID(P1444,5,2)</f>
        <v/>
      </c>
      <c r="R1444" s="14">
        <f>MID(P1444,7,2)</f>
        <v/>
      </c>
      <c r="S1444" s="6" t="inlineStr">
        <is>
          <t>G2G</t>
        </is>
      </c>
      <c r="T1444" s="1" t="inlineStr">
        <is>
          <t>P4 - PEIPL</t>
        </is>
      </c>
      <c r="U1444" s="1" t="inlineStr">
        <is>
          <t>P JB Cold Soldering</t>
        </is>
      </c>
      <c r="V1444" s="1" t="inlineStr">
        <is>
          <t>Inspection</t>
        </is>
      </c>
      <c r="W1444" s="1" t="inlineStr">
        <is>
          <t>Repair</t>
        </is>
      </c>
      <c r="X1444" s="5" t="n">
        <v>46190</v>
      </c>
      <c r="Y1444" s="1">
        <f>IF(X1444="","",X1444-A1444)</f>
        <v/>
      </c>
      <c r="Z1444" s="5" t="n">
        <v>46190</v>
      </c>
      <c r="AA1444" s="3" t="n"/>
      <c r="AB1444" s="3" t="n"/>
      <c r="AE1444" s="146">
        <f>IF(AND(F1444="Closed",X1444&gt;=DATE(2026,6,1),X1444&lt;=DATE(2026,6,30)),"Closed in June","other")</f>
        <v/>
      </c>
    </row>
    <row r="1445" hidden="1">
      <c r="A1445" s="49" t="n">
        <v>46177</v>
      </c>
      <c r="B1445" s="1" t="n">
        <v>2026</v>
      </c>
      <c r="C1445" s="8" t="inlineStr">
        <is>
          <t>Ayana</t>
        </is>
      </c>
      <c r="D1445" s="11" t="inlineStr">
        <is>
          <t>Utility and C&amp;I</t>
        </is>
      </c>
      <c r="E1445" s="1" t="n"/>
      <c r="F1445" s="1" t="inlineStr">
        <is>
          <t>Closed</t>
        </is>
      </c>
      <c r="G1445" s="11" t="inlineStr">
        <is>
          <t>Vasu.N</t>
        </is>
      </c>
      <c r="H1445" s="8" t="n">
        <v>9578099893</v>
      </c>
      <c r="I1445" s="10" t="inlineStr">
        <is>
          <t>PE04062601</t>
        </is>
      </c>
      <c r="J1445" s="6" t="inlineStr">
        <is>
          <t>Diode issue</t>
        </is>
      </c>
      <c r="K1445" s="8" t="inlineStr">
        <is>
          <t>Jatavira</t>
        </is>
      </c>
      <c r="L1445" s="39" t="inlineStr">
        <is>
          <t>Gujarat</t>
        </is>
      </c>
      <c r="M1445" s="2" t="inlineStr">
        <is>
          <t>PS</t>
        </is>
      </c>
      <c r="N1445" s="1" t="inlineStr">
        <is>
          <t>Cold Soldering</t>
        </is>
      </c>
      <c r="O1445" s="32" t="n">
        <v>585</v>
      </c>
      <c r="P1445" s="2" t="inlineStr">
        <is>
          <t>NSMI24090483560</t>
        </is>
      </c>
      <c r="Q1445" s="29">
        <f>MID(P1445,5,2)</f>
        <v/>
      </c>
      <c r="R1445" s="14">
        <f>MID(P1445,7,2)</f>
        <v/>
      </c>
      <c r="S1445" s="6" t="inlineStr">
        <is>
          <t>G2G</t>
        </is>
      </c>
      <c r="T1445" s="1" t="inlineStr">
        <is>
          <t>P4 - PEIPL</t>
        </is>
      </c>
      <c r="U1445" s="1" t="inlineStr">
        <is>
          <t>P JB Cold Soldering</t>
        </is>
      </c>
      <c r="V1445" s="1" t="inlineStr">
        <is>
          <t>Inspection</t>
        </is>
      </c>
      <c r="W1445" s="1" t="inlineStr">
        <is>
          <t>Repair</t>
        </is>
      </c>
      <c r="X1445" s="5" t="n">
        <v>46190</v>
      </c>
      <c r="Y1445" s="1">
        <f>IF(X1445="","",X1445-A1445)</f>
        <v/>
      </c>
      <c r="Z1445" s="5" t="n">
        <v>46190</v>
      </c>
      <c r="AA1445" s="3" t="n"/>
      <c r="AB1445" s="3" t="n"/>
      <c r="AE1445" s="146">
        <f>IF(AND(F1445="Closed",X1445&gt;=DATE(2026,6,1),X1445&lt;=DATE(2026,6,30)),"Closed in June","other")</f>
        <v/>
      </c>
    </row>
    <row r="1446" hidden="1">
      <c r="A1446" s="49" t="n">
        <v>46177</v>
      </c>
      <c r="B1446" s="1" t="n">
        <v>2026</v>
      </c>
      <c r="C1446" s="8" t="inlineStr">
        <is>
          <t>Ayana</t>
        </is>
      </c>
      <c r="D1446" s="11" t="inlineStr">
        <is>
          <t>Utility and C&amp;I</t>
        </is>
      </c>
      <c r="E1446" s="1" t="n"/>
      <c r="F1446" s="1" t="inlineStr">
        <is>
          <t>Closed</t>
        </is>
      </c>
      <c r="G1446" s="11" t="inlineStr">
        <is>
          <t>Vasu.N</t>
        </is>
      </c>
      <c r="H1446" s="8" t="n">
        <v>9578099893</v>
      </c>
      <c r="I1446" s="10" t="inlineStr">
        <is>
          <t>PE04062601</t>
        </is>
      </c>
      <c r="J1446" s="6" t="inlineStr">
        <is>
          <t>Diode issue</t>
        </is>
      </c>
      <c r="K1446" s="8" t="inlineStr">
        <is>
          <t>Jatavira</t>
        </is>
      </c>
      <c r="L1446" s="39" t="inlineStr">
        <is>
          <t>Gujarat</t>
        </is>
      </c>
      <c r="M1446" s="2" t="inlineStr">
        <is>
          <t>PS</t>
        </is>
      </c>
      <c r="N1446" s="1" t="inlineStr">
        <is>
          <t>Cold Soldering</t>
        </is>
      </c>
      <c r="O1446" s="32" t="n">
        <v>585</v>
      </c>
      <c r="P1446" s="2" t="inlineStr">
        <is>
          <t>NSMI24100555405</t>
        </is>
      </c>
      <c r="Q1446" s="29">
        <f>MID(P1446,5,2)</f>
        <v/>
      </c>
      <c r="R1446" s="14">
        <f>MID(P1446,7,2)</f>
        <v/>
      </c>
      <c r="S1446" s="6" t="inlineStr">
        <is>
          <t>G2G</t>
        </is>
      </c>
      <c r="T1446" s="1" t="inlineStr">
        <is>
          <t>P4 - PEIPL</t>
        </is>
      </c>
      <c r="U1446" s="1" t="inlineStr">
        <is>
          <t>P JB Cold Soldering</t>
        </is>
      </c>
      <c r="V1446" s="1" t="inlineStr">
        <is>
          <t>Inspection</t>
        </is>
      </c>
      <c r="W1446" s="1" t="inlineStr">
        <is>
          <t>Repair</t>
        </is>
      </c>
      <c r="X1446" s="5" t="n">
        <v>46190</v>
      </c>
      <c r="Y1446" s="1">
        <f>IF(X1446="","",X1446-A1446)</f>
        <v/>
      </c>
      <c r="Z1446" s="5" t="n">
        <v>46190</v>
      </c>
      <c r="AA1446" s="3" t="n"/>
      <c r="AB1446" s="3" t="n"/>
      <c r="AE1446" s="146">
        <f>IF(AND(F1446="Closed",X1446&gt;=DATE(2026,6,1),X1446&lt;=DATE(2026,6,30)),"Closed in June","other")</f>
        <v/>
      </c>
    </row>
    <row r="1447" hidden="1">
      <c r="A1447" s="49" t="n">
        <v>46177</v>
      </c>
      <c r="B1447" s="1" t="n">
        <v>2026</v>
      </c>
      <c r="C1447" s="8" t="inlineStr">
        <is>
          <t>Ayana</t>
        </is>
      </c>
      <c r="D1447" s="11" t="inlineStr">
        <is>
          <t>Utility and C&amp;I</t>
        </is>
      </c>
      <c r="E1447" s="1" t="n"/>
      <c r="F1447" s="1" t="inlineStr">
        <is>
          <t>Closed</t>
        </is>
      </c>
      <c r="G1447" s="11" t="inlineStr">
        <is>
          <t>Vasu.N</t>
        </is>
      </c>
      <c r="H1447" s="8" t="n">
        <v>9578099893</v>
      </c>
      <c r="I1447" s="10" t="inlineStr">
        <is>
          <t>PE04062601</t>
        </is>
      </c>
      <c r="J1447" s="6" t="inlineStr">
        <is>
          <t>Diode issue</t>
        </is>
      </c>
      <c r="K1447" s="8" t="inlineStr">
        <is>
          <t>Jatavira</t>
        </is>
      </c>
      <c r="L1447" s="39" t="inlineStr">
        <is>
          <t>Gujarat</t>
        </is>
      </c>
      <c r="M1447" s="2" t="inlineStr">
        <is>
          <t>PS</t>
        </is>
      </c>
      <c r="N1447" s="1" t="inlineStr">
        <is>
          <t>Cold Soldering</t>
        </is>
      </c>
      <c r="O1447" s="32" t="n">
        <v>585</v>
      </c>
      <c r="P1447" s="2" t="inlineStr">
        <is>
          <t>NSMI24090521390</t>
        </is>
      </c>
      <c r="Q1447" s="29">
        <f>MID(P1447,5,2)</f>
        <v/>
      </c>
      <c r="R1447" s="14">
        <f>MID(P1447,7,2)</f>
        <v/>
      </c>
      <c r="S1447" s="6" t="inlineStr">
        <is>
          <t>G2G</t>
        </is>
      </c>
      <c r="T1447" s="1" t="inlineStr">
        <is>
          <t>P4 - PEIPL</t>
        </is>
      </c>
      <c r="U1447" s="1" t="inlineStr">
        <is>
          <t>P JB Cold Soldering</t>
        </is>
      </c>
      <c r="V1447" s="1" t="inlineStr">
        <is>
          <t>Inspection</t>
        </is>
      </c>
      <c r="W1447" s="1" t="inlineStr">
        <is>
          <t>Repair</t>
        </is>
      </c>
      <c r="X1447" s="5" t="n">
        <v>46190</v>
      </c>
      <c r="Y1447" s="1">
        <f>IF(X1447="","",X1447-A1447)</f>
        <v/>
      </c>
      <c r="Z1447" s="5" t="n">
        <v>46190</v>
      </c>
      <c r="AA1447" s="3" t="n"/>
      <c r="AB1447" s="3" t="n"/>
      <c r="AE1447" s="146">
        <f>IF(AND(F1447="Closed",X1447&gt;=DATE(2026,6,1),X1447&lt;=DATE(2026,6,30)),"Closed in June","other")</f>
        <v/>
      </c>
    </row>
    <row r="1448" hidden="1">
      <c r="A1448" s="49" t="n">
        <v>46177</v>
      </c>
      <c r="B1448" s="1" t="n">
        <v>2026</v>
      </c>
      <c r="C1448" s="8" t="inlineStr">
        <is>
          <t>Ayana</t>
        </is>
      </c>
      <c r="D1448" s="11" t="inlineStr">
        <is>
          <t>Utility and C&amp;I</t>
        </is>
      </c>
      <c r="E1448" s="1" t="n"/>
      <c r="F1448" s="1" t="inlineStr">
        <is>
          <t>Closed</t>
        </is>
      </c>
      <c r="G1448" s="11" t="inlineStr">
        <is>
          <t>Vasu.N</t>
        </is>
      </c>
      <c r="H1448" s="8" t="n">
        <v>9578099893</v>
      </c>
      <c r="I1448" s="10" t="inlineStr">
        <is>
          <t>PE04062601</t>
        </is>
      </c>
      <c r="J1448" s="6" t="inlineStr">
        <is>
          <t>Diode issue</t>
        </is>
      </c>
      <c r="K1448" s="8" t="inlineStr">
        <is>
          <t>Jatavira</t>
        </is>
      </c>
      <c r="L1448" s="39" t="inlineStr">
        <is>
          <t>Gujarat</t>
        </is>
      </c>
      <c r="M1448" s="2" t="inlineStr">
        <is>
          <t>PS</t>
        </is>
      </c>
      <c r="N1448" s="1" t="inlineStr">
        <is>
          <t>Cold Soldering</t>
        </is>
      </c>
      <c r="O1448" s="32" t="n">
        <v>585</v>
      </c>
      <c r="P1448" s="2" t="inlineStr">
        <is>
          <t>NSMI24090521118</t>
        </is>
      </c>
      <c r="Q1448" s="29">
        <f>MID(P1448,5,2)</f>
        <v/>
      </c>
      <c r="R1448" s="14">
        <f>MID(P1448,7,2)</f>
        <v/>
      </c>
      <c r="S1448" s="6" t="inlineStr">
        <is>
          <t>G2G</t>
        </is>
      </c>
      <c r="T1448" s="1" t="inlineStr">
        <is>
          <t>P4 - PEIPL</t>
        </is>
      </c>
      <c r="U1448" s="1" t="inlineStr">
        <is>
          <t>P JB Cold Soldering</t>
        </is>
      </c>
      <c r="V1448" s="1" t="inlineStr">
        <is>
          <t>Inspection</t>
        </is>
      </c>
      <c r="W1448" s="1" t="inlineStr">
        <is>
          <t>Repair</t>
        </is>
      </c>
      <c r="X1448" s="5" t="n">
        <v>46190</v>
      </c>
      <c r="Y1448" s="1">
        <f>IF(X1448="","",X1448-A1448)</f>
        <v/>
      </c>
      <c r="Z1448" s="5" t="n">
        <v>46190</v>
      </c>
      <c r="AA1448" s="3" t="n"/>
      <c r="AB1448" s="3" t="n"/>
      <c r="AE1448" s="146">
        <f>IF(AND(F1448="Closed",X1448&gt;=DATE(2026,6,1),X1448&lt;=DATE(2026,6,30)),"Closed in June","other")</f>
        <v/>
      </c>
    </row>
    <row r="1449" hidden="1">
      <c r="A1449" s="49" t="n">
        <v>46177</v>
      </c>
      <c r="B1449" s="1" t="n">
        <v>2026</v>
      </c>
      <c r="C1449" s="8" t="inlineStr">
        <is>
          <t>Ayana</t>
        </is>
      </c>
      <c r="D1449" s="11" t="inlineStr">
        <is>
          <t>Utility and C&amp;I</t>
        </is>
      </c>
      <c r="E1449" s="1" t="n"/>
      <c r="F1449" s="1" t="inlineStr">
        <is>
          <t>Closed</t>
        </is>
      </c>
      <c r="G1449" s="11" t="inlineStr">
        <is>
          <t>Vasu.N</t>
        </is>
      </c>
      <c r="H1449" s="8" t="n">
        <v>9578099893</v>
      </c>
      <c r="I1449" s="10" t="inlineStr">
        <is>
          <t>PE04062601</t>
        </is>
      </c>
      <c r="J1449" s="6" t="inlineStr">
        <is>
          <t>Diode issue</t>
        </is>
      </c>
      <c r="K1449" s="8" t="inlineStr">
        <is>
          <t>Jatavira</t>
        </is>
      </c>
      <c r="L1449" s="39" t="inlineStr">
        <is>
          <t>Gujarat</t>
        </is>
      </c>
      <c r="M1449" s="2" t="inlineStr">
        <is>
          <t>PS</t>
        </is>
      </c>
      <c r="N1449" s="1" t="inlineStr">
        <is>
          <t>Cold Soldering</t>
        </is>
      </c>
      <c r="O1449" s="32" t="n">
        <v>585</v>
      </c>
      <c r="P1449" s="2" t="inlineStr">
        <is>
          <t>NSMI24090522930</t>
        </is>
      </c>
      <c r="Q1449" s="29">
        <f>MID(P1449,5,2)</f>
        <v/>
      </c>
      <c r="R1449" s="14">
        <f>MID(P1449,7,2)</f>
        <v/>
      </c>
      <c r="S1449" s="6" t="inlineStr">
        <is>
          <t>G2G</t>
        </is>
      </c>
      <c r="T1449" s="1" t="inlineStr">
        <is>
          <t>P4 - PEIPL</t>
        </is>
      </c>
      <c r="U1449" s="1" t="inlineStr">
        <is>
          <t>P JB Cold Soldering</t>
        </is>
      </c>
      <c r="V1449" s="1" t="inlineStr">
        <is>
          <t>Inspection</t>
        </is>
      </c>
      <c r="W1449" s="1" t="inlineStr">
        <is>
          <t>Repair</t>
        </is>
      </c>
      <c r="X1449" s="5" t="n">
        <v>46190</v>
      </c>
      <c r="Y1449" s="1">
        <f>IF(X1449="","",X1449-A1449)</f>
        <v/>
      </c>
      <c r="Z1449" s="5" t="n">
        <v>46190</v>
      </c>
      <c r="AA1449" s="3" t="n"/>
      <c r="AB1449" s="3" t="n"/>
      <c r="AE1449" s="146">
        <f>IF(AND(F1449="Closed",X1449&gt;=DATE(2026,6,1),X1449&lt;=DATE(2026,6,30)),"Closed in June","other")</f>
        <v/>
      </c>
    </row>
    <row r="1450" hidden="1">
      <c r="A1450" s="49" t="n">
        <v>46177</v>
      </c>
      <c r="B1450" s="1" t="n">
        <v>2026</v>
      </c>
      <c r="C1450" s="8" t="inlineStr">
        <is>
          <t>Ayana</t>
        </is>
      </c>
      <c r="D1450" s="11" t="inlineStr">
        <is>
          <t>Utility and C&amp;I</t>
        </is>
      </c>
      <c r="E1450" s="1" t="n"/>
      <c r="F1450" s="1" t="inlineStr">
        <is>
          <t>Closed</t>
        </is>
      </c>
      <c r="G1450" s="11" t="inlineStr">
        <is>
          <t>Vasu.N</t>
        </is>
      </c>
      <c r="H1450" s="8" t="n">
        <v>9578099893</v>
      </c>
      <c r="I1450" s="10" t="inlineStr">
        <is>
          <t>PE04062601</t>
        </is>
      </c>
      <c r="J1450" s="6" t="inlineStr">
        <is>
          <t>Diode issue</t>
        </is>
      </c>
      <c r="K1450" s="8" t="inlineStr">
        <is>
          <t>Jatavira</t>
        </is>
      </c>
      <c r="L1450" s="39" t="inlineStr">
        <is>
          <t>Gujarat</t>
        </is>
      </c>
      <c r="M1450" s="2" t="inlineStr">
        <is>
          <t>PR</t>
        </is>
      </c>
      <c r="N1450" s="1" t="inlineStr">
        <is>
          <t>JB Issue</t>
        </is>
      </c>
      <c r="O1450" s="32" t="n">
        <v>585</v>
      </c>
      <c r="P1450" s="2" t="inlineStr">
        <is>
          <t>NSMI24090518875</t>
        </is>
      </c>
      <c r="Q1450" s="29">
        <f>MID(P1450,5,2)</f>
        <v/>
      </c>
      <c r="R1450" s="14">
        <f>MID(P1450,7,2)</f>
        <v/>
      </c>
      <c r="S1450" s="6" t="inlineStr">
        <is>
          <t>G2G</t>
        </is>
      </c>
      <c r="T1450" s="1" t="inlineStr">
        <is>
          <t>P4 - PEIPL</t>
        </is>
      </c>
      <c r="U1450" s="6" t="inlineStr">
        <is>
          <t>P JB Issue</t>
        </is>
      </c>
      <c r="V1450" s="1" t="inlineStr">
        <is>
          <t>Inspection</t>
        </is>
      </c>
      <c r="W1450" s="1" t="inlineStr">
        <is>
          <t>Repair</t>
        </is>
      </c>
      <c r="X1450" s="5" t="n">
        <v>46190</v>
      </c>
      <c r="Y1450" s="1">
        <f>IF(X1450="","",X1450-A1450)</f>
        <v/>
      </c>
      <c r="Z1450" s="5" t="n">
        <v>46190</v>
      </c>
      <c r="AA1450" s="3" t="n"/>
      <c r="AB1450" s="3" t="n"/>
      <c r="AE1450" s="146">
        <f>IF(AND(F1450="Closed",X1450&gt;=DATE(2026,6,1),X1450&lt;=DATE(2026,6,30)),"Closed in June","other")</f>
        <v/>
      </c>
    </row>
    <row r="1451" hidden="1">
      <c r="A1451" s="49" t="n">
        <v>46177</v>
      </c>
      <c r="B1451" s="1" t="n">
        <v>2026</v>
      </c>
      <c r="C1451" s="8" t="inlineStr">
        <is>
          <t>Ayana</t>
        </is>
      </c>
      <c r="D1451" s="11" t="inlineStr">
        <is>
          <t>Utility and C&amp;I</t>
        </is>
      </c>
      <c r="E1451" s="1" t="n"/>
      <c r="F1451" s="1" t="inlineStr">
        <is>
          <t>Closed</t>
        </is>
      </c>
      <c r="G1451" s="11" t="inlineStr">
        <is>
          <t>Vasu.N</t>
        </is>
      </c>
      <c r="H1451" s="8" t="n">
        <v>9578099893</v>
      </c>
      <c r="I1451" s="10" t="inlineStr">
        <is>
          <t>PE04062601</t>
        </is>
      </c>
      <c r="J1451" s="6" t="inlineStr">
        <is>
          <t>Diode issue</t>
        </is>
      </c>
      <c r="K1451" s="8" t="inlineStr">
        <is>
          <t>Jatavira</t>
        </is>
      </c>
      <c r="L1451" s="39" t="inlineStr">
        <is>
          <t>Gujarat</t>
        </is>
      </c>
      <c r="M1451" s="2" t="inlineStr">
        <is>
          <t>PS</t>
        </is>
      </c>
      <c r="N1451" s="1" t="inlineStr">
        <is>
          <t>Cold Soldering</t>
        </is>
      </c>
      <c r="O1451" s="32" t="n">
        <v>585</v>
      </c>
      <c r="P1451" s="2" t="inlineStr">
        <is>
          <t>NSMI24100557810</t>
        </is>
      </c>
      <c r="Q1451" s="29">
        <f>MID(P1451,5,2)</f>
        <v/>
      </c>
      <c r="R1451" s="14">
        <f>MID(P1451,7,2)</f>
        <v/>
      </c>
      <c r="S1451" s="6" t="inlineStr">
        <is>
          <t>G2G</t>
        </is>
      </c>
      <c r="T1451" s="1" t="inlineStr">
        <is>
          <t>P4 - PEIPL</t>
        </is>
      </c>
      <c r="U1451" s="1" t="inlineStr">
        <is>
          <t>P JB Cold Soldering</t>
        </is>
      </c>
      <c r="V1451" s="1" t="inlineStr">
        <is>
          <t>Inspection</t>
        </is>
      </c>
      <c r="W1451" s="1" t="inlineStr">
        <is>
          <t>Repair</t>
        </is>
      </c>
      <c r="X1451" s="5" t="n">
        <v>46190</v>
      </c>
      <c r="Y1451" s="1">
        <f>IF(X1451="","",X1451-A1451)</f>
        <v/>
      </c>
      <c r="Z1451" s="5" t="n">
        <v>46190</v>
      </c>
      <c r="AA1451" s="3" t="n"/>
      <c r="AB1451" s="3" t="n"/>
      <c r="AE1451" s="146">
        <f>IF(AND(F1451="Closed",X1451&gt;=DATE(2026,6,1),X1451&lt;=DATE(2026,6,30)),"Closed in June","other")</f>
        <v/>
      </c>
    </row>
    <row r="1452" hidden="1">
      <c r="A1452" s="49" t="n">
        <v>46177</v>
      </c>
      <c r="B1452" s="1" t="n">
        <v>2026</v>
      </c>
      <c r="C1452" s="8" t="inlineStr">
        <is>
          <t>Ayana</t>
        </is>
      </c>
      <c r="D1452" s="11" t="inlineStr">
        <is>
          <t>Utility and C&amp;I</t>
        </is>
      </c>
      <c r="E1452" s="1" t="n"/>
      <c r="F1452" s="1" t="inlineStr">
        <is>
          <t>Closed</t>
        </is>
      </c>
      <c r="G1452" s="11" t="inlineStr">
        <is>
          <t>Vasu.N</t>
        </is>
      </c>
      <c r="H1452" s="8" t="n">
        <v>9578099893</v>
      </c>
      <c r="I1452" s="10" t="inlineStr">
        <is>
          <t>PE04062601</t>
        </is>
      </c>
      <c r="J1452" s="6" t="inlineStr">
        <is>
          <t>Diode issue</t>
        </is>
      </c>
      <c r="K1452" s="8" t="inlineStr">
        <is>
          <t>Jatavira</t>
        </is>
      </c>
      <c r="L1452" s="39" t="inlineStr">
        <is>
          <t>Gujarat</t>
        </is>
      </c>
      <c r="M1452" s="2" t="inlineStr">
        <is>
          <t>PS</t>
        </is>
      </c>
      <c r="N1452" s="1" t="inlineStr">
        <is>
          <t>Cold Soldering</t>
        </is>
      </c>
      <c r="O1452" s="32" t="n">
        <v>585</v>
      </c>
      <c r="P1452" s="2" t="inlineStr">
        <is>
          <t>NSMI24100558841</t>
        </is>
      </c>
      <c r="Q1452" s="29">
        <f>MID(P1452,5,2)</f>
        <v/>
      </c>
      <c r="R1452" s="14">
        <f>MID(P1452,7,2)</f>
        <v/>
      </c>
      <c r="S1452" s="6" t="inlineStr">
        <is>
          <t>G2G</t>
        </is>
      </c>
      <c r="T1452" s="1" t="inlineStr">
        <is>
          <t>P4 - PEIPL</t>
        </is>
      </c>
      <c r="U1452" s="1" t="inlineStr">
        <is>
          <t>P JB Cold Soldering</t>
        </is>
      </c>
      <c r="V1452" s="1" t="inlineStr">
        <is>
          <t>Inspection</t>
        </is>
      </c>
      <c r="W1452" s="1" t="inlineStr">
        <is>
          <t>Repair</t>
        </is>
      </c>
      <c r="X1452" s="5" t="n">
        <v>46190</v>
      </c>
      <c r="Y1452" s="1">
        <f>IF(X1452="","",X1452-A1452)</f>
        <v/>
      </c>
      <c r="Z1452" s="5" t="n">
        <v>46190</v>
      </c>
      <c r="AA1452" s="3" t="n"/>
      <c r="AB1452" s="3" t="n"/>
      <c r="AE1452" s="146">
        <f>IF(AND(F1452="Closed",X1452&gt;=DATE(2026,6,1),X1452&lt;=DATE(2026,6,30)),"Closed in June","other")</f>
        <v/>
      </c>
    </row>
    <row r="1453" hidden="1">
      <c r="A1453" s="49" t="n">
        <v>46177</v>
      </c>
      <c r="B1453" s="1" t="n">
        <v>2026</v>
      </c>
      <c r="C1453" s="8" t="inlineStr">
        <is>
          <t>Ayana</t>
        </is>
      </c>
      <c r="D1453" s="11" t="inlineStr">
        <is>
          <t>Utility and C&amp;I</t>
        </is>
      </c>
      <c r="E1453" s="1" t="n"/>
      <c r="F1453" s="1" t="inlineStr">
        <is>
          <t>Closed</t>
        </is>
      </c>
      <c r="G1453" s="11" t="inlineStr">
        <is>
          <t>Vasu.N</t>
        </is>
      </c>
      <c r="H1453" s="8" t="n">
        <v>9578099893</v>
      </c>
      <c r="I1453" s="10" t="inlineStr">
        <is>
          <t>PE04062601</t>
        </is>
      </c>
      <c r="J1453" s="6" t="inlineStr">
        <is>
          <t>Diode issue</t>
        </is>
      </c>
      <c r="K1453" s="8" t="inlineStr">
        <is>
          <t>Jatavira</t>
        </is>
      </c>
      <c r="L1453" s="39" t="inlineStr">
        <is>
          <t>Gujarat</t>
        </is>
      </c>
      <c r="M1453" s="2" t="inlineStr">
        <is>
          <t>PS</t>
        </is>
      </c>
      <c r="N1453" s="1" t="inlineStr">
        <is>
          <t>Cold Soldering</t>
        </is>
      </c>
      <c r="O1453" s="32" t="n">
        <v>585</v>
      </c>
      <c r="P1453" s="2" t="inlineStr">
        <is>
          <t>NSMI24100551071</t>
        </is>
      </c>
      <c r="Q1453" s="29">
        <f>MID(P1453,5,2)</f>
        <v/>
      </c>
      <c r="R1453" s="14">
        <f>MID(P1453,7,2)</f>
        <v/>
      </c>
      <c r="S1453" s="6" t="inlineStr">
        <is>
          <t>G2G</t>
        </is>
      </c>
      <c r="T1453" s="1" t="inlineStr">
        <is>
          <t>P4 - PEIPL</t>
        </is>
      </c>
      <c r="U1453" s="1" t="inlineStr">
        <is>
          <t>P JB Cold Soldering</t>
        </is>
      </c>
      <c r="V1453" s="1" t="inlineStr">
        <is>
          <t>Inspection</t>
        </is>
      </c>
      <c r="W1453" s="1" t="inlineStr">
        <is>
          <t>Repair</t>
        </is>
      </c>
      <c r="X1453" s="5" t="n">
        <v>46190</v>
      </c>
      <c r="Y1453" s="1">
        <f>IF(X1453="","",X1453-A1453)</f>
        <v/>
      </c>
      <c r="Z1453" s="5" t="n">
        <v>46190</v>
      </c>
      <c r="AA1453" s="3" t="n"/>
      <c r="AB1453" s="3" t="n"/>
      <c r="AE1453" s="146">
        <f>IF(AND(F1453="Closed",X1453&gt;=DATE(2026,6,1),X1453&lt;=DATE(2026,6,30)),"Closed in June","other")</f>
        <v/>
      </c>
    </row>
    <row r="1454" hidden="1">
      <c r="A1454" s="49" t="n">
        <v>46177</v>
      </c>
      <c r="B1454" s="1" t="n">
        <v>2026</v>
      </c>
      <c r="C1454" s="8" t="inlineStr">
        <is>
          <t>Ayana</t>
        </is>
      </c>
      <c r="D1454" s="11" t="inlineStr">
        <is>
          <t>Utility and C&amp;I</t>
        </is>
      </c>
      <c r="E1454" s="1" t="n"/>
      <c r="F1454" s="1" t="inlineStr">
        <is>
          <t>Closed</t>
        </is>
      </c>
      <c r="G1454" s="11" t="inlineStr">
        <is>
          <t>Vasu.N</t>
        </is>
      </c>
      <c r="H1454" s="8" t="n">
        <v>9578099893</v>
      </c>
      <c r="I1454" s="10" t="inlineStr">
        <is>
          <t>PE04062601</t>
        </is>
      </c>
      <c r="J1454" s="6" t="inlineStr">
        <is>
          <t>Diode issue</t>
        </is>
      </c>
      <c r="K1454" s="8" t="inlineStr">
        <is>
          <t>Jatavira</t>
        </is>
      </c>
      <c r="L1454" s="39" t="inlineStr">
        <is>
          <t>Gujarat</t>
        </is>
      </c>
      <c r="M1454" s="2" t="inlineStr">
        <is>
          <t>PS</t>
        </is>
      </c>
      <c r="N1454" s="1" t="inlineStr">
        <is>
          <t>Cold Soldering</t>
        </is>
      </c>
      <c r="O1454" s="32" t="n">
        <v>585</v>
      </c>
      <c r="P1454" s="2" t="inlineStr">
        <is>
          <t>NSMI24090482699</t>
        </is>
      </c>
      <c r="Q1454" s="29">
        <f>MID(P1454,5,2)</f>
        <v/>
      </c>
      <c r="R1454" s="14">
        <f>MID(P1454,7,2)</f>
        <v/>
      </c>
      <c r="S1454" s="6" t="inlineStr">
        <is>
          <t>G2G</t>
        </is>
      </c>
      <c r="T1454" s="1" t="inlineStr">
        <is>
          <t>P4 - PEIPL</t>
        </is>
      </c>
      <c r="U1454" s="1" t="inlineStr">
        <is>
          <t>P JB Cold Soldering</t>
        </is>
      </c>
      <c r="V1454" s="1" t="inlineStr">
        <is>
          <t>Inspection</t>
        </is>
      </c>
      <c r="W1454" s="1" t="inlineStr">
        <is>
          <t>Repair</t>
        </is>
      </c>
      <c r="X1454" s="5" t="n">
        <v>46190</v>
      </c>
      <c r="Y1454" s="1">
        <f>IF(X1454="","",X1454-A1454)</f>
        <v/>
      </c>
      <c r="Z1454" s="5" t="n">
        <v>46190</v>
      </c>
      <c r="AA1454" s="3" t="n"/>
      <c r="AB1454" s="3" t="n"/>
      <c r="AE1454" s="146">
        <f>IF(AND(F1454="Closed",X1454&gt;=DATE(2026,6,1),X1454&lt;=DATE(2026,6,30)),"Closed in June","other")</f>
        <v/>
      </c>
    </row>
    <row r="1455" hidden="1">
      <c r="A1455" s="49" t="n">
        <v>46177</v>
      </c>
      <c r="B1455" s="1" t="n">
        <v>2026</v>
      </c>
      <c r="C1455" s="8" t="inlineStr">
        <is>
          <t>Ayana</t>
        </is>
      </c>
      <c r="D1455" s="11" t="inlineStr">
        <is>
          <t>Utility and C&amp;I</t>
        </is>
      </c>
      <c r="E1455" s="1" t="n"/>
      <c r="F1455" s="1" t="inlineStr">
        <is>
          <t>Closed</t>
        </is>
      </c>
      <c r="G1455" s="11" t="inlineStr">
        <is>
          <t>Vasu.N</t>
        </is>
      </c>
      <c r="H1455" s="8" t="n">
        <v>9578099893</v>
      </c>
      <c r="I1455" s="10" t="inlineStr">
        <is>
          <t>PE04062601</t>
        </is>
      </c>
      <c r="J1455" s="6" t="inlineStr">
        <is>
          <t>Diode issue</t>
        </is>
      </c>
      <c r="K1455" s="8" t="inlineStr">
        <is>
          <t>Jatavira</t>
        </is>
      </c>
      <c r="L1455" s="39" t="inlineStr">
        <is>
          <t>Gujarat</t>
        </is>
      </c>
      <c r="M1455" s="2" t="inlineStr">
        <is>
          <t>PS</t>
        </is>
      </c>
      <c r="N1455" s="1" t="inlineStr">
        <is>
          <t>Cold Soldering</t>
        </is>
      </c>
      <c r="O1455" s="32" t="n">
        <v>585</v>
      </c>
      <c r="P1455" s="2" t="inlineStr">
        <is>
          <t>NSMI24090521284</t>
        </is>
      </c>
      <c r="Q1455" s="29">
        <f>MID(P1455,5,2)</f>
        <v/>
      </c>
      <c r="R1455" s="14">
        <f>MID(P1455,7,2)</f>
        <v/>
      </c>
      <c r="S1455" s="6" t="inlineStr">
        <is>
          <t>G2G</t>
        </is>
      </c>
      <c r="T1455" s="1" t="inlineStr">
        <is>
          <t>P4 - PEIPL</t>
        </is>
      </c>
      <c r="U1455" s="1" t="inlineStr">
        <is>
          <t>P JB Cold Soldering</t>
        </is>
      </c>
      <c r="V1455" s="1" t="inlineStr">
        <is>
          <t>Inspection</t>
        </is>
      </c>
      <c r="W1455" s="1" t="inlineStr">
        <is>
          <t>Repair</t>
        </is>
      </c>
      <c r="X1455" s="5" t="n">
        <v>46190</v>
      </c>
      <c r="Y1455" s="1">
        <f>IF(X1455="","",X1455-A1455)</f>
        <v/>
      </c>
      <c r="Z1455" s="5" t="n">
        <v>46190</v>
      </c>
      <c r="AA1455" s="3" t="n"/>
      <c r="AB1455" s="3" t="n"/>
      <c r="AE1455" s="146">
        <f>IF(AND(F1455="Closed",X1455&gt;=DATE(2026,6,1),X1455&lt;=DATE(2026,6,30)),"Closed in June","other")</f>
        <v/>
      </c>
    </row>
    <row r="1456" hidden="1">
      <c r="A1456" s="49" t="n">
        <v>46177</v>
      </c>
      <c r="B1456" s="1" t="n">
        <v>2026</v>
      </c>
      <c r="C1456" s="8" t="inlineStr">
        <is>
          <t>Ayana</t>
        </is>
      </c>
      <c r="D1456" s="11" t="inlineStr">
        <is>
          <t>Utility and C&amp;I</t>
        </is>
      </c>
      <c r="E1456" s="1" t="n"/>
      <c r="F1456" s="1" t="inlineStr">
        <is>
          <t>Closed</t>
        </is>
      </c>
      <c r="G1456" s="11" t="inlineStr">
        <is>
          <t>Vasu.N</t>
        </is>
      </c>
      <c r="H1456" s="8" t="n">
        <v>9578099893</v>
      </c>
      <c r="I1456" s="10" t="inlineStr">
        <is>
          <t>PE04062601</t>
        </is>
      </c>
      <c r="J1456" s="6" t="inlineStr">
        <is>
          <t>Diode issue</t>
        </is>
      </c>
      <c r="K1456" s="8" t="inlineStr">
        <is>
          <t>Jatavira</t>
        </is>
      </c>
      <c r="L1456" s="39" t="inlineStr">
        <is>
          <t>Gujarat</t>
        </is>
      </c>
      <c r="M1456" s="2" t="inlineStr">
        <is>
          <t>PS</t>
        </is>
      </c>
      <c r="N1456" s="1" t="inlineStr">
        <is>
          <t>Cold Soldering</t>
        </is>
      </c>
      <c r="O1456" s="32" t="n">
        <v>585</v>
      </c>
      <c r="P1456" s="2" t="inlineStr">
        <is>
          <t>NSMI24090519420</t>
        </is>
      </c>
      <c r="Q1456" s="29">
        <f>MID(P1456,5,2)</f>
        <v/>
      </c>
      <c r="R1456" s="14">
        <f>MID(P1456,7,2)</f>
        <v/>
      </c>
      <c r="S1456" s="6" t="inlineStr">
        <is>
          <t>G2G</t>
        </is>
      </c>
      <c r="T1456" s="1" t="inlineStr">
        <is>
          <t>P4 - PEIPL</t>
        </is>
      </c>
      <c r="U1456" s="1" t="inlineStr">
        <is>
          <t>P JB Cold Soldering</t>
        </is>
      </c>
      <c r="V1456" s="1" t="inlineStr">
        <is>
          <t>Inspection</t>
        </is>
      </c>
      <c r="W1456" s="1" t="inlineStr">
        <is>
          <t>Repair</t>
        </is>
      </c>
      <c r="X1456" s="5" t="n">
        <v>46190</v>
      </c>
      <c r="Y1456" s="1">
        <f>IF(X1456="","",X1456-A1456)</f>
        <v/>
      </c>
      <c r="Z1456" s="5" t="n">
        <v>46190</v>
      </c>
      <c r="AA1456" s="3" t="n"/>
      <c r="AB1456" s="3" t="n"/>
      <c r="AE1456" s="146">
        <f>IF(AND(F1456="Closed",X1456&gt;=DATE(2026,6,1),X1456&lt;=DATE(2026,6,30)),"Closed in June","other")</f>
        <v/>
      </c>
    </row>
    <row r="1457" hidden="1">
      <c r="A1457" s="49" t="n">
        <v>46177</v>
      </c>
      <c r="B1457" s="1" t="n">
        <v>2026</v>
      </c>
      <c r="C1457" s="8" t="inlineStr">
        <is>
          <t>Ayana</t>
        </is>
      </c>
      <c r="D1457" s="11" t="inlineStr">
        <is>
          <t>Utility and C&amp;I</t>
        </is>
      </c>
      <c r="E1457" s="1" t="n"/>
      <c r="F1457" s="1" t="inlineStr">
        <is>
          <t>Closed</t>
        </is>
      </c>
      <c r="G1457" s="11" t="inlineStr">
        <is>
          <t>Vasu.N</t>
        </is>
      </c>
      <c r="H1457" s="8" t="n">
        <v>9578099893</v>
      </c>
      <c r="I1457" s="10" t="inlineStr">
        <is>
          <t>PE04062601</t>
        </is>
      </c>
      <c r="J1457" s="6" t="inlineStr">
        <is>
          <t>Diode issue</t>
        </is>
      </c>
      <c r="K1457" s="8" t="inlineStr">
        <is>
          <t>Jatavira</t>
        </is>
      </c>
      <c r="L1457" s="39" t="inlineStr">
        <is>
          <t>Gujarat</t>
        </is>
      </c>
      <c r="M1457" s="2" t="inlineStr">
        <is>
          <t>PR</t>
        </is>
      </c>
      <c r="N1457" s="1" t="inlineStr">
        <is>
          <t>JB Issue</t>
        </is>
      </c>
      <c r="O1457" s="32" t="n">
        <v>585</v>
      </c>
      <c r="P1457" s="2" t="inlineStr">
        <is>
          <t>NSMI24090466204</t>
        </is>
      </c>
      <c r="Q1457" s="29">
        <f>MID(P1457,5,2)</f>
        <v/>
      </c>
      <c r="R1457" s="14">
        <f>MID(P1457,7,2)</f>
        <v/>
      </c>
      <c r="S1457" s="6" t="inlineStr">
        <is>
          <t>G2G</t>
        </is>
      </c>
      <c r="T1457" s="1" t="inlineStr">
        <is>
          <t>P4 - PEIPL</t>
        </is>
      </c>
      <c r="U1457" s="6" t="inlineStr">
        <is>
          <t>P JB Issue</t>
        </is>
      </c>
      <c r="V1457" s="1" t="inlineStr">
        <is>
          <t>Inspection</t>
        </is>
      </c>
      <c r="W1457" s="1" t="inlineStr">
        <is>
          <t>Repair</t>
        </is>
      </c>
      <c r="X1457" s="5" t="n">
        <v>46190</v>
      </c>
      <c r="Y1457" s="1">
        <f>IF(X1457="","",X1457-A1457)</f>
        <v/>
      </c>
      <c r="Z1457" s="5" t="n">
        <v>46190</v>
      </c>
      <c r="AA1457" s="3" t="n"/>
      <c r="AB1457" s="3" t="n"/>
      <c r="AE1457" s="146">
        <f>IF(AND(F1457="Closed",X1457&gt;=DATE(2026,6,1),X1457&lt;=DATE(2026,6,30)),"Closed in June","other")</f>
        <v/>
      </c>
    </row>
    <row r="1458" hidden="1">
      <c r="A1458" s="49" t="n">
        <v>46177</v>
      </c>
      <c r="B1458" s="1" t="n">
        <v>2026</v>
      </c>
      <c r="C1458" s="8" t="inlineStr">
        <is>
          <t>Ayana</t>
        </is>
      </c>
      <c r="D1458" s="11" t="inlineStr">
        <is>
          <t>Utility and C&amp;I</t>
        </is>
      </c>
      <c r="E1458" s="1" t="n"/>
      <c r="F1458" s="1" t="inlineStr">
        <is>
          <t>Closed</t>
        </is>
      </c>
      <c r="G1458" s="11" t="inlineStr">
        <is>
          <t>Vasu.N</t>
        </is>
      </c>
      <c r="H1458" s="8" t="n">
        <v>9578099893</v>
      </c>
      <c r="I1458" s="10" t="inlineStr">
        <is>
          <t>PE04062601</t>
        </is>
      </c>
      <c r="J1458" s="6" t="inlineStr">
        <is>
          <t>Diode issue</t>
        </is>
      </c>
      <c r="K1458" s="8" t="inlineStr">
        <is>
          <t>Jatavira</t>
        </is>
      </c>
      <c r="L1458" s="39" t="inlineStr">
        <is>
          <t>Gujarat</t>
        </is>
      </c>
      <c r="M1458" s="2" t="inlineStr">
        <is>
          <t>PS</t>
        </is>
      </c>
      <c r="N1458" s="1" t="inlineStr">
        <is>
          <t>Cold Soldering</t>
        </is>
      </c>
      <c r="O1458" s="32" t="n">
        <v>585</v>
      </c>
      <c r="P1458" s="2" t="inlineStr">
        <is>
          <t>NSMI24090467718</t>
        </is>
      </c>
      <c r="Q1458" s="29">
        <f>MID(P1458,5,2)</f>
        <v/>
      </c>
      <c r="R1458" s="14">
        <f>MID(P1458,7,2)</f>
        <v/>
      </c>
      <c r="S1458" s="6" t="inlineStr">
        <is>
          <t>G2G</t>
        </is>
      </c>
      <c r="T1458" s="1" t="inlineStr">
        <is>
          <t>P4 - PEIPL</t>
        </is>
      </c>
      <c r="U1458" s="1" t="inlineStr">
        <is>
          <t>P JB Cold Soldering</t>
        </is>
      </c>
      <c r="V1458" s="1" t="inlineStr">
        <is>
          <t>Inspection</t>
        </is>
      </c>
      <c r="W1458" s="1" t="inlineStr">
        <is>
          <t>Repair</t>
        </is>
      </c>
      <c r="X1458" s="5" t="n">
        <v>46190</v>
      </c>
      <c r="Y1458" s="1">
        <f>IF(X1458="","",X1458-A1458)</f>
        <v/>
      </c>
      <c r="Z1458" s="5" t="n">
        <v>46190</v>
      </c>
      <c r="AA1458" s="3" t="n"/>
      <c r="AB1458" s="3" t="n"/>
      <c r="AE1458" s="146">
        <f>IF(AND(F1458="Closed",X1458&gt;=DATE(2026,6,1),X1458&lt;=DATE(2026,6,30)),"Closed in June","other")</f>
        <v/>
      </c>
    </row>
    <row r="1459" hidden="1">
      <c r="A1459" s="49" t="n">
        <v>46177</v>
      </c>
      <c r="B1459" s="1" t="n">
        <v>2026</v>
      </c>
      <c r="C1459" s="8" t="inlineStr">
        <is>
          <t>Ayana</t>
        </is>
      </c>
      <c r="D1459" s="11" t="inlineStr">
        <is>
          <t>Utility and C&amp;I</t>
        </is>
      </c>
      <c r="E1459" s="1" t="n"/>
      <c r="F1459" s="1" t="inlineStr">
        <is>
          <t>Closed</t>
        </is>
      </c>
      <c r="G1459" s="11" t="inlineStr">
        <is>
          <t>Vasu.N</t>
        </is>
      </c>
      <c r="H1459" s="8" t="n">
        <v>9578099893</v>
      </c>
      <c r="I1459" s="10" t="inlineStr">
        <is>
          <t>PE04062601</t>
        </is>
      </c>
      <c r="J1459" s="6" t="inlineStr">
        <is>
          <t>Diode issue</t>
        </is>
      </c>
      <c r="K1459" s="8" t="inlineStr">
        <is>
          <t>Jatavira</t>
        </is>
      </c>
      <c r="L1459" s="39" t="inlineStr">
        <is>
          <t>Gujarat</t>
        </is>
      </c>
      <c r="M1459" s="2" t="inlineStr">
        <is>
          <t>PR</t>
        </is>
      </c>
      <c r="N1459" s="1" t="inlineStr">
        <is>
          <t>JB Issue</t>
        </is>
      </c>
      <c r="O1459" s="32" t="n">
        <v>585</v>
      </c>
      <c r="P1459" s="2" t="inlineStr">
        <is>
          <t>NSMI24090467762</t>
        </is>
      </c>
      <c r="Q1459" s="29">
        <f>MID(P1459,5,2)</f>
        <v/>
      </c>
      <c r="R1459" s="14">
        <f>MID(P1459,7,2)</f>
        <v/>
      </c>
      <c r="S1459" s="6" t="inlineStr">
        <is>
          <t>G2G</t>
        </is>
      </c>
      <c r="T1459" s="1" t="inlineStr">
        <is>
          <t>P4 - PEIPL</t>
        </is>
      </c>
      <c r="U1459" s="6" t="inlineStr">
        <is>
          <t>P JB Issue</t>
        </is>
      </c>
      <c r="V1459" s="1" t="inlineStr">
        <is>
          <t>Inspection</t>
        </is>
      </c>
      <c r="W1459" s="1" t="inlineStr">
        <is>
          <t>Repair</t>
        </is>
      </c>
      <c r="X1459" s="5" t="n">
        <v>46190</v>
      </c>
      <c r="Y1459" s="1">
        <f>IF(X1459="","",X1459-A1459)</f>
        <v/>
      </c>
      <c r="Z1459" s="5" t="n">
        <v>46190</v>
      </c>
      <c r="AA1459" s="3" t="n"/>
      <c r="AB1459" s="3" t="n"/>
      <c r="AE1459" s="146">
        <f>IF(AND(F1459="Closed",X1459&gt;=DATE(2026,6,1),X1459&lt;=DATE(2026,6,30)),"Closed in June","other")</f>
        <v/>
      </c>
    </row>
    <row r="1460" hidden="1">
      <c r="A1460" s="49" t="n">
        <v>46177</v>
      </c>
      <c r="B1460" s="1" t="n">
        <v>2026</v>
      </c>
      <c r="C1460" s="8" t="inlineStr">
        <is>
          <t>Ayana</t>
        </is>
      </c>
      <c r="D1460" s="11" t="inlineStr">
        <is>
          <t>Utility and C&amp;I</t>
        </is>
      </c>
      <c r="E1460" s="1" t="n"/>
      <c r="F1460" s="1" t="inlineStr">
        <is>
          <t>Closed</t>
        </is>
      </c>
      <c r="G1460" s="11" t="inlineStr">
        <is>
          <t>Vasu.N</t>
        </is>
      </c>
      <c r="H1460" s="8" t="n">
        <v>9578099893</v>
      </c>
      <c r="I1460" s="10" t="inlineStr">
        <is>
          <t>PE04062601</t>
        </is>
      </c>
      <c r="J1460" s="6" t="inlineStr">
        <is>
          <t>Diode issue</t>
        </is>
      </c>
      <c r="K1460" s="8" t="inlineStr">
        <is>
          <t>Jatavira</t>
        </is>
      </c>
      <c r="L1460" s="39" t="inlineStr">
        <is>
          <t>Gujarat</t>
        </is>
      </c>
      <c r="M1460" s="2" t="inlineStr">
        <is>
          <t>PS</t>
        </is>
      </c>
      <c r="N1460" s="1" t="inlineStr">
        <is>
          <t>Cold Soldering</t>
        </is>
      </c>
      <c r="O1460" s="32" t="n">
        <v>585</v>
      </c>
      <c r="P1460" s="2" t="inlineStr">
        <is>
          <t>NSMI24090522026</t>
        </is>
      </c>
      <c r="Q1460" s="29">
        <f>MID(P1460,5,2)</f>
        <v/>
      </c>
      <c r="R1460" s="14">
        <f>MID(P1460,7,2)</f>
        <v/>
      </c>
      <c r="S1460" s="6" t="inlineStr">
        <is>
          <t>G2G</t>
        </is>
      </c>
      <c r="T1460" s="1" t="inlineStr">
        <is>
          <t>P4 - PEIPL</t>
        </is>
      </c>
      <c r="U1460" s="1" t="inlineStr">
        <is>
          <t>P JB Cold Soldering</t>
        </is>
      </c>
      <c r="V1460" s="1" t="inlineStr">
        <is>
          <t>Inspection</t>
        </is>
      </c>
      <c r="W1460" s="1" t="inlineStr">
        <is>
          <t>Repair</t>
        </is>
      </c>
      <c r="X1460" s="5" t="n">
        <v>46190</v>
      </c>
      <c r="Y1460" s="1">
        <f>IF(X1460="","",X1460-A1460)</f>
        <v/>
      </c>
      <c r="Z1460" s="5" t="n">
        <v>46190</v>
      </c>
      <c r="AA1460" s="3" t="n"/>
      <c r="AB1460" s="3" t="n"/>
      <c r="AE1460" s="146">
        <f>IF(AND(F1460="Closed",X1460&gt;=DATE(2026,6,1),X1460&lt;=DATE(2026,6,30)),"Closed in June","other")</f>
        <v/>
      </c>
    </row>
    <row r="1461" hidden="1">
      <c r="A1461" s="49" t="n">
        <v>46177</v>
      </c>
      <c r="B1461" s="1" t="n">
        <v>2026</v>
      </c>
      <c r="C1461" s="8" t="inlineStr">
        <is>
          <t>Ayana</t>
        </is>
      </c>
      <c r="D1461" s="11" t="inlineStr">
        <is>
          <t>Utility and C&amp;I</t>
        </is>
      </c>
      <c r="E1461" s="1" t="n"/>
      <c r="F1461" s="1" t="inlineStr">
        <is>
          <t>Closed</t>
        </is>
      </c>
      <c r="G1461" s="11" t="inlineStr">
        <is>
          <t>Vasu.N</t>
        </is>
      </c>
      <c r="H1461" s="8" t="n">
        <v>9578099893</v>
      </c>
      <c r="I1461" s="10" t="inlineStr">
        <is>
          <t>PE04062601</t>
        </is>
      </c>
      <c r="J1461" s="6" t="inlineStr">
        <is>
          <t>Diode issue</t>
        </is>
      </c>
      <c r="K1461" s="8" t="inlineStr">
        <is>
          <t>Jatavira</t>
        </is>
      </c>
      <c r="L1461" s="39" t="inlineStr">
        <is>
          <t>Gujarat</t>
        </is>
      </c>
      <c r="M1461" s="2" t="inlineStr">
        <is>
          <t>PS</t>
        </is>
      </c>
      <c r="N1461" s="1" t="inlineStr">
        <is>
          <t>Cold Soldering</t>
        </is>
      </c>
      <c r="O1461" s="32" t="n">
        <v>585</v>
      </c>
      <c r="P1461" s="2" t="inlineStr">
        <is>
          <t>NSMI24100548761</t>
        </is>
      </c>
      <c r="Q1461" s="29">
        <f>MID(P1461,5,2)</f>
        <v/>
      </c>
      <c r="R1461" s="14">
        <f>MID(P1461,7,2)</f>
        <v/>
      </c>
      <c r="S1461" s="6" t="inlineStr">
        <is>
          <t>G2G</t>
        </is>
      </c>
      <c r="T1461" s="1" t="inlineStr">
        <is>
          <t>P4 - PEIPL</t>
        </is>
      </c>
      <c r="U1461" s="1" t="inlineStr">
        <is>
          <t>P JB Cold Soldering</t>
        </is>
      </c>
      <c r="V1461" s="1" t="inlineStr">
        <is>
          <t>Inspection</t>
        </is>
      </c>
      <c r="W1461" s="1" t="inlineStr">
        <is>
          <t>Repair</t>
        </is>
      </c>
      <c r="X1461" s="5" t="n">
        <v>46190</v>
      </c>
      <c r="Y1461" s="1">
        <f>IF(X1461="","",X1461-A1461)</f>
        <v/>
      </c>
      <c r="Z1461" s="5" t="n">
        <v>46190</v>
      </c>
      <c r="AA1461" s="3" t="n"/>
      <c r="AB1461" s="3" t="n"/>
      <c r="AE1461" s="146">
        <f>IF(AND(F1461="Closed",X1461&gt;=DATE(2026,6,1),X1461&lt;=DATE(2026,6,30)),"Closed in June","other")</f>
        <v/>
      </c>
    </row>
    <row r="1462" hidden="1">
      <c r="A1462" s="49" t="n">
        <v>46177</v>
      </c>
      <c r="B1462" s="1" t="n">
        <v>2026</v>
      </c>
      <c r="C1462" s="8" t="inlineStr">
        <is>
          <t>Ayana</t>
        </is>
      </c>
      <c r="D1462" s="11" t="inlineStr">
        <is>
          <t>Utility and C&amp;I</t>
        </is>
      </c>
      <c r="E1462" s="1" t="n"/>
      <c r="F1462" s="1" t="inlineStr">
        <is>
          <t>WIP</t>
        </is>
      </c>
      <c r="G1462" s="11" t="inlineStr">
        <is>
          <t>Vasu.N</t>
        </is>
      </c>
      <c r="H1462" s="8" t="n">
        <v>9578099893</v>
      </c>
      <c r="I1462" s="10" t="inlineStr">
        <is>
          <t>PE04062601</t>
        </is>
      </c>
      <c r="J1462" s="28" t="inlineStr">
        <is>
          <t>Module burnt</t>
        </is>
      </c>
      <c r="K1462" s="8" t="inlineStr">
        <is>
          <t>Jatavira</t>
        </is>
      </c>
      <c r="L1462" s="39" t="inlineStr">
        <is>
          <t>Gujarat</t>
        </is>
      </c>
      <c r="M1462" s="2" t="inlineStr">
        <is>
          <t>Both glass broken</t>
        </is>
      </c>
      <c r="N1462" s="6" t="inlineStr">
        <is>
          <t>Module Breakage</t>
        </is>
      </c>
      <c r="O1462" s="32" t="n">
        <v>585</v>
      </c>
      <c r="P1462" s="2" t="inlineStr">
        <is>
          <t>NSMI24100555419</t>
        </is>
      </c>
      <c r="Q1462" s="29">
        <f>MID(P1462,5,2)</f>
        <v/>
      </c>
      <c r="R1462" s="14">
        <f>MID(P1462,7,2)</f>
        <v/>
      </c>
      <c r="S1462" s="6" t="inlineStr">
        <is>
          <t>G2G</t>
        </is>
      </c>
      <c r="T1462" s="1" t="inlineStr">
        <is>
          <t>P4 - PEIPL</t>
        </is>
      </c>
      <c r="U1462" s="6" t="inlineStr">
        <is>
          <t>Glass Breakage</t>
        </is>
      </c>
      <c r="V1462" s="1" t="inlineStr">
        <is>
          <t>Inspection</t>
        </is>
      </c>
      <c r="W1462" s="1" t="inlineStr">
        <is>
          <t>WIP</t>
        </is>
      </c>
      <c r="X1462" s="12" t="n"/>
      <c r="Y1462" s="1">
        <f>IF(X1462="","",X1462-A1462)</f>
        <v/>
      </c>
      <c r="Z1462" s="5" t="n">
        <v>46190</v>
      </c>
      <c r="AA1462" s="3" t="n"/>
      <c r="AB1462" s="3" t="n"/>
      <c r="AE1462" s="146">
        <f>IF(AND(F1462="Closed",X1462&gt;=DATE(2026,6,1),X1462&lt;=DATE(2026,6,30)),"Closed in June","other")</f>
        <v/>
      </c>
    </row>
    <row r="1463" hidden="1">
      <c r="A1463" s="49" t="n">
        <v>46177</v>
      </c>
      <c r="B1463" s="1" t="n">
        <v>2026</v>
      </c>
      <c r="C1463" s="8" t="inlineStr">
        <is>
          <t>Ayana</t>
        </is>
      </c>
      <c r="D1463" s="11" t="inlineStr">
        <is>
          <t>Utility and C&amp;I</t>
        </is>
      </c>
      <c r="E1463" s="1" t="n"/>
      <c r="F1463" s="1" t="inlineStr">
        <is>
          <t>WIP</t>
        </is>
      </c>
      <c r="G1463" s="11" t="inlineStr">
        <is>
          <t>Vasu.N</t>
        </is>
      </c>
      <c r="H1463" s="8" t="n">
        <v>9578099893</v>
      </c>
      <c r="I1463" s="10" t="inlineStr">
        <is>
          <t>PE04062601</t>
        </is>
      </c>
      <c r="J1463" s="28" t="inlineStr">
        <is>
          <t>Module burnt</t>
        </is>
      </c>
      <c r="K1463" s="8" t="inlineStr">
        <is>
          <t>Jatavira</t>
        </is>
      </c>
      <c r="L1463" s="39" t="inlineStr">
        <is>
          <t>Gujarat</t>
        </is>
      </c>
      <c r="M1463" s="2" t="inlineStr">
        <is>
          <t>Both glass broken</t>
        </is>
      </c>
      <c r="N1463" s="6" t="inlineStr">
        <is>
          <t>Module Breakage</t>
        </is>
      </c>
      <c r="O1463" s="32" t="n">
        <v>585</v>
      </c>
      <c r="P1463" s="2" t="inlineStr">
        <is>
          <t>NSMI24090542153</t>
        </is>
      </c>
      <c r="Q1463" s="29">
        <f>MID(P1463,5,2)</f>
        <v/>
      </c>
      <c r="R1463" s="14">
        <f>MID(P1463,7,2)</f>
        <v/>
      </c>
      <c r="S1463" s="6" t="inlineStr">
        <is>
          <t>G2G</t>
        </is>
      </c>
      <c r="T1463" s="1" t="inlineStr">
        <is>
          <t>P4 - PEIPL</t>
        </is>
      </c>
      <c r="U1463" s="6" t="inlineStr">
        <is>
          <t>Glass Breakage</t>
        </is>
      </c>
      <c r="V1463" s="1" t="inlineStr">
        <is>
          <t>Inspection</t>
        </is>
      </c>
      <c r="W1463" s="1" t="inlineStr">
        <is>
          <t>WIP</t>
        </is>
      </c>
      <c r="X1463" s="12" t="n"/>
      <c r="Y1463" s="1">
        <f>IF(X1463="","",X1463-A1463)</f>
        <v/>
      </c>
      <c r="Z1463" s="5" t="n">
        <v>46190</v>
      </c>
      <c r="AA1463" s="3" t="n"/>
      <c r="AB1463" s="3" t="n"/>
      <c r="AE1463" s="146">
        <f>IF(AND(F1463="Closed",X1463&gt;=DATE(2026,6,1),X1463&lt;=DATE(2026,6,30)),"Closed in June","other")</f>
        <v/>
      </c>
    </row>
    <row r="1464" hidden="1">
      <c r="A1464" s="49" t="n">
        <v>46177</v>
      </c>
      <c r="B1464" s="1" t="n">
        <v>2026</v>
      </c>
      <c r="C1464" s="8" t="inlineStr">
        <is>
          <t>Ayana</t>
        </is>
      </c>
      <c r="D1464" s="11" t="inlineStr">
        <is>
          <t>Utility and C&amp;I</t>
        </is>
      </c>
      <c r="E1464" s="1" t="n"/>
      <c r="F1464" s="1" t="inlineStr">
        <is>
          <t>WIP</t>
        </is>
      </c>
      <c r="G1464" s="11" t="inlineStr">
        <is>
          <t>Vasu.N</t>
        </is>
      </c>
      <c r="H1464" s="8" t="n">
        <v>9578099893</v>
      </c>
      <c r="I1464" s="10" t="inlineStr">
        <is>
          <t>PE04062601</t>
        </is>
      </c>
      <c r="J1464" s="28" t="inlineStr">
        <is>
          <t>Module burnt</t>
        </is>
      </c>
      <c r="K1464" s="8" t="inlineStr">
        <is>
          <t>Jatavira</t>
        </is>
      </c>
      <c r="L1464" s="39" t="inlineStr">
        <is>
          <t>Gujarat</t>
        </is>
      </c>
      <c r="M1464" s="2" t="inlineStr">
        <is>
          <t>Both glass broken</t>
        </is>
      </c>
      <c r="N1464" s="6" t="inlineStr">
        <is>
          <t>Module Breakage</t>
        </is>
      </c>
      <c r="O1464" s="32" t="n">
        <v>585</v>
      </c>
      <c r="P1464" s="2" t="inlineStr">
        <is>
          <t>NSMI24090427055</t>
        </is>
      </c>
      <c r="Q1464" s="29">
        <f>MID(P1464,5,2)</f>
        <v/>
      </c>
      <c r="R1464" s="14">
        <f>MID(P1464,7,2)</f>
        <v/>
      </c>
      <c r="S1464" s="6" t="inlineStr">
        <is>
          <t>G2G</t>
        </is>
      </c>
      <c r="T1464" s="1" t="inlineStr">
        <is>
          <t>P4 - PEIPL</t>
        </is>
      </c>
      <c r="U1464" s="6" t="inlineStr">
        <is>
          <t>Glass Breakage</t>
        </is>
      </c>
      <c r="V1464" s="1" t="inlineStr">
        <is>
          <t>Inspection</t>
        </is>
      </c>
      <c r="W1464" s="1" t="inlineStr">
        <is>
          <t>WIP</t>
        </is>
      </c>
      <c r="X1464" s="12" t="n"/>
      <c r="Y1464" s="1">
        <f>IF(X1464="","",X1464-A1464)</f>
        <v/>
      </c>
      <c r="Z1464" s="5" t="n">
        <v>46190</v>
      </c>
      <c r="AA1464" s="3" t="n"/>
      <c r="AB1464" s="3" t="n"/>
      <c r="AE1464" s="146">
        <f>IF(AND(F1464="Closed",X1464&gt;=DATE(2026,6,1),X1464&lt;=DATE(2026,6,30)),"Closed in June","other")</f>
        <v/>
      </c>
    </row>
    <row r="1465" hidden="1">
      <c r="A1465" s="49" t="n">
        <v>46177</v>
      </c>
      <c r="B1465" s="1" t="n">
        <v>2026</v>
      </c>
      <c r="C1465" s="8" t="inlineStr">
        <is>
          <t>Ayana</t>
        </is>
      </c>
      <c r="D1465" s="11" t="inlineStr">
        <is>
          <t>Utility and C&amp;I</t>
        </is>
      </c>
      <c r="E1465" s="1" t="n"/>
      <c r="F1465" s="1" t="inlineStr">
        <is>
          <t>WIP</t>
        </is>
      </c>
      <c r="G1465" s="11" t="inlineStr">
        <is>
          <t>Vasu.N</t>
        </is>
      </c>
      <c r="H1465" s="8" t="n">
        <v>9578099893</v>
      </c>
      <c r="I1465" s="10" t="inlineStr">
        <is>
          <t>PE04062601</t>
        </is>
      </c>
      <c r="J1465" s="28" t="inlineStr">
        <is>
          <t>Module burnt</t>
        </is>
      </c>
      <c r="K1465" s="8" t="inlineStr">
        <is>
          <t>Jatavira</t>
        </is>
      </c>
      <c r="L1465" s="39" t="inlineStr">
        <is>
          <t>Gujarat</t>
        </is>
      </c>
      <c r="M1465" s="2" t="inlineStr">
        <is>
          <t>Both glass broken</t>
        </is>
      </c>
      <c r="N1465" s="6" t="inlineStr">
        <is>
          <t>Module Breakage</t>
        </is>
      </c>
      <c r="O1465" s="32" t="n">
        <v>585</v>
      </c>
      <c r="P1465" s="2" t="inlineStr">
        <is>
          <t>NSMI24100585513</t>
        </is>
      </c>
      <c r="Q1465" s="29">
        <f>MID(P1465,5,2)</f>
        <v/>
      </c>
      <c r="R1465" s="14">
        <f>MID(P1465,7,2)</f>
        <v/>
      </c>
      <c r="S1465" s="6" t="inlineStr">
        <is>
          <t>G2G</t>
        </is>
      </c>
      <c r="T1465" s="1" t="inlineStr">
        <is>
          <t>P4 - PEIPL</t>
        </is>
      </c>
      <c r="U1465" s="6" t="inlineStr">
        <is>
          <t>Glass Breakage</t>
        </is>
      </c>
      <c r="V1465" s="1" t="inlineStr">
        <is>
          <t>Inspection</t>
        </is>
      </c>
      <c r="W1465" s="1" t="inlineStr">
        <is>
          <t>WIP</t>
        </is>
      </c>
      <c r="X1465" s="12" t="n"/>
      <c r="Y1465" s="1">
        <f>IF(X1465="","",X1465-A1465)</f>
        <v/>
      </c>
      <c r="Z1465" s="5" t="n">
        <v>46190</v>
      </c>
      <c r="AA1465" s="3" t="n"/>
      <c r="AB1465" s="3" t="n"/>
      <c r="AE1465" s="146">
        <f>IF(AND(F1465="Closed",X1465&gt;=DATE(2026,6,1),X1465&lt;=DATE(2026,6,30)),"Closed in June","other")</f>
        <v/>
      </c>
    </row>
    <row r="1466" hidden="1">
      <c r="A1466" s="49" t="n">
        <v>46177</v>
      </c>
      <c r="B1466" s="1" t="n">
        <v>2026</v>
      </c>
      <c r="C1466" s="8" t="inlineStr">
        <is>
          <t>Ayana</t>
        </is>
      </c>
      <c r="D1466" s="11" t="inlineStr">
        <is>
          <t>Utility and C&amp;I</t>
        </is>
      </c>
      <c r="E1466" s="1" t="n"/>
      <c r="F1466" s="1" t="inlineStr">
        <is>
          <t>WIP</t>
        </is>
      </c>
      <c r="G1466" s="11" t="inlineStr">
        <is>
          <t>Vasu.N</t>
        </is>
      </c>
      <c r="H1466" s="8" t="n">
        <v>9578099893</v>
      </c>
      <c r="I1466" s="10" t="inlineStr">
        <is>
          <t>PE04062601</t>
        </is>
      </c>
      <c r="J1466" s="28" t="inlineStr">
        <is>
          <t>Module burnt</t>
        </is>
      </c>
      <c r="K1466" s="8" t="inlineStr">
        <is>
          <t>Jatavira</t>
        </is>
      </c>
      <c r="L1466" s="39" t="inlineStr">
        <is>
          <t>Gujarat</t>
        </is>
      </c>
      <c r="M1466" s="2" t="inlineStr">
        <is>
          <t>Both glass broken</t>
        </is>
      </c>
      <c r="N1466" s="6" t="inlineStr">
        <is>
          <t>Module Breakage</t>
        </is>
      </c>
      <c r="O1466" s="32" t="n">
        <v>585</v>
      </c>
      <c r="P1466" s="2" t="inlineStr">
        <is>
          <t>NSMI24100585401</t>
        </is>
      </c>
      <c r="Q1466" s="29">
        <f>MID(P1466,5,2)</f>
        <v/>
      </c>
      <c r="R1466" s="14">
        <f>MID(P1466,7,2)</f>
        <v/>
      </c>
      <c r="S1466" s="6" t="inlineStr">
        <is>
          <t>G2G</t>
        </is>
      </c>
      <c r="T1466" s="1" t="inlineStr">
        <is>
          <t>P4 - PEIPL</t>
        </is>
      </c>
      <c r="U1466" s="6" t="inlineStr">
        <is>
          <t>Glass Breakage</t>
        </is>
      </c>
      <c r="V1466" s="1" t="inlineStr">
        <is>
          <t>Inspection</t>
        </is>
      </c>
      <c r="W1466" s="1" t="inlineStr">
        <is>
          <t>WIP</t>
        </is>
      </c>
      <c r="X1466" s="12" t="n"/>
      <c r="Y1466" s="1">
        <f>IF(X1466="","",X1466-A1466)</f>
        <v/>
      </c>
      <c r="Z1466" s="5" t="n">
        <v>46190</v>
      </c>
      <c r="AA1466" s="3" t="n"/>
      <c r="AB1466" s="3" t="n"/>
      <c r="AE1466" s="146">
        <f>IF(AND(F1466="Closed",X1466&gt;=DATE(2026,6,1),X1466&lt;=DATE(2026,6,30)),"Closed in June","other")</f>
        <v/>
      </c>
    </row>
    <row r="1467" hidden="1">
      <c r="A1467" s="49" t="n">
        <v>46177</v>
      </c>
      <c r="B1467" s="1" t="n">
        <v>2026</v>
      </c>
      <c r="C1467" s="8" t="inlineStr">
        <is>
          <t>Ayana</t>
        </is>
      </c>
      <c r="D1467" s="11" t="inlineStr">
        <is>
          <t>Utility and C&amp;I</t>
        </is>
      </c>
      <c r="E1467" s="1" t="n"/>
      <c r="F1467" s="1" t="inlineStr">
        <is>
          <t>WIP</t>
        </is>
      </c>
      <c r="G1467" s="11" t="inlineStr">
        <is>
          <t>Vasu.N</t>
        </is>
      </c>
      <c r="H1467" s="8" t="n">
        <v>9578099893</v>
      </c>
      <c r="I1467" s="10" t="inlineStr">
        <is>
          <t>PE04062601</t>
        </is>
      </c>
      <c r="J1467" s="28" t="inlineStr">
        <is>
          <t>Module burnt</t>
        </is>
      </c>
      <c r="K1467" s="8" t="inlineStr">
        <is>
          <t>Jatavira</t>
        </is>
      </c>
      <c r="L1467" s="39" t="inlineStr">
        <is>
          <t>Gujarat</t>
        </is>
      </c>
      <c r="M1467" s="2" t="inlineStr">
        <is>
          <t xml:space="preserve">Burning </t>
        </is>
      </c>
      <c r="N1467" s="6" t="inlineStr">
        <is>
          <t>Module Burn</t>
        </is>
      </c>
      <c r="O1467" s="32" t="n">
        <v>585</v>
      </c>
      <c r="P1467" s="2" t="inlineStr">
        <is>
          <t>NSMI24090505152</t>
        </is>
      </c>
      <c r="Q1467" s="29">
        <f>MID(P1467,5,2)</f>
        <v/>
      </c>
      <c r="R1467" s="14">
        <f>MID(P1467,7,2)</f>
        <v/>
      </c>
      <c r="S1467" s="6" t="inlineStr">
        <is>
          <t>G2G</t>
        </is>
      </c>
      <c r="T1467" s="1" t="inlineStr">
        <is>
          <t>P4 - PEIPL</t>
        </is>
      </c>
      <c r="U1467" s="6" t="inlineStr">
        <is>
          <t>Module Burn</t>
        </is>
      </c>
      <c r="V1467" s="1" t="inlineStr">
        <is>
          <t>Inspection</t>
        </is>
      </c>
      <c r="W1467" s="1" t="inlineStr">
        <is>
          <t>WIP</t>
        </is>
      </c>
      <c r="X1467" s="12" t="n"/>
      <c r="Y1467" s="1">
        <f>IF(X1467="","",X1467-A1467)</f>
        <v/>
      </c>
      <c r="Z1467" s="5" t="n">
        <v>46190</v>
      </c>
      <c r="AA1467" s="3" t="n"/>
      <c r="AB1467" s="3" t="n"/>
      <c r="AE1467" s="146">
        <f>IF(AND(F1467="Closed",X1467&gt;=DATE(2026,6,1),X1467&lt;=DATE(2026,6,30)),"Closed in June","other")</f>
        <v/>
      </c>
    </row>
    <row r="1468" hidden="1">
      <c r="A1468" s="49" t="n">
        <v>46177</v>
      </c>
      <c r="B1468" s="1" t="n">
        <v>2026</v>
      </c>
      <c r="C1468" s="8" t="inlineStr">
        <is>
          <t>Ayana</t>
        </is>
      </c>
      <c r="D1468" s="11" t="inlineStr">
        <is>
          <t>Utility and C&amp;I</t>
        </is>
      </c>
      <c r="E1468" s="1" t="n"/>
      <c r="F1468" s="1" t="inlineStr">
        <is>
          <t>WIP</t>
        </is>
      </c>
      <c r="G1468" s="11" t="inlineStr">
        <is>
          <t>Vasu.N</t>
        </is>
      </c>
      <c r="H1468" s="8" t="n">
        <v>9578099893</v>
      </c>
      <c r="I1468" s="10" t="inlineStr">
        <is>
          <t>PE04062601</t>
        </is>
      </c>
      <c r="J1468" s="28" t="inlineStr">
        <is>
          <t>Module burnt</t>
        </is>
      </c>
      <c r="K1468" s="8" t="inlineStr">
        <is>
          <t>Jatavira</t>
        </is>
      </c>
      <c r="L1468" s="39" t="inlineStr">
        <is>
          <t>Gujarat</t>
        </is>
      </c>
      <c r="M1468" s="2" t="inlineStr">
        <is>
          <t xml:space="preserve">Burning </t>
        </is>
      </c>
      <c r="N1468" s="6" t="inlineStr">
        <is>
          <t>Module Burn</t>
        </is>
      </c>
      <c r="O1468" s="32" t="n">
        <v>585</v>
      </c>
      <c r="P1468" s="2" t="inlineStr">
        <is>
          <t>NSMI24090430982</t>
        </is>
      </c>
      <c r="Q1468" s="29">
        <f>MID(P1468,5,2)</f>
        <v/>
      </c>
      <c r="R1468" s="14">
        <f>MID(P1468,7,2)</f>
        <v/>
      </c>
      <c r="S1468" s="6" t="inlineStr">
        <is>
          <t>G2G</t>
        </is>
      </c>
      <c r="T1468" s="1" t="inlineStr">
        <is>
          <t>P4 - PEIPL</t>
        </is>
      </c>
      <c r="U1468" s="6" t="inlineStr">
        <is>
          <t>Module Burn</t>
        </is>
      </c>
      <c r="V1468" s="1" t="inlineStr">
        <is>
          <t>Inspection</t>
        </is>
      </c>
      <c r="W1468" s="1" t="inlineStr">
        <is>
          <t>WIP</t>
        </is>
      </c>
      <c r="X1468" s="12" t="n"/>
      <c r="Y1468" s="1">
        <f>IF(X1468="","",X1468-A1468)</f>
        <v/>
      </c>
      <c r="Z1468" s="5" t="n">
        <v>46190</v>
      </c>
      <c r="AA1468" s="3" t="n"/>
      <c r="AB1468" s="3" t="n"/>
      <c r="AE1468" s="146">
        <f>IF(AND(F1468="Closed",X1468&gt;=DATE(2026,6,1),X1468&lt;=DATE(2026,6,30)),"Closed in June","other")</f>
        <v/>
      </c>
    </row>
    <row r="1469" hidden="1">
      <c r="A1469" s="49" t="n">
        <v>46177</v>
      </c>
      <c r="B1469" s="1" t="n">
        <v>2026</v>
      </c>
      <c r="C1469" s="8" t="inlineStr">
        <is>
          <t>Ayana</t>
        </is>
      </c>
      <c r="D1469" s="11" t="inlineStr">
        <is>
          <t>Utility and C&amp;I</t>
        </is>
      </c>
      <c r="E1469" s="1" t="n"/>
      <c r="F1469" s="1" t="inlineStr">
        <is>
          <t>WIP</t>
        </is>
      </c>
      <c r="G1469" s="11" t="inlineStr">
        <is>
          <t>Vasu.N</t>
        </is>
      </c>
      <c r="H1469" s="8" t="n">
        <v>9578099893</v>
      </c>
      <c r="I1469" s="10" t="inlineStr">
        <is>
          <t>PE04062601</t>
        </is>
      </c>
      <c r="J1469" s="28" t="inlineStr">
        <is>
          <t>Module burnt</t>
        </is>
      </c>
      <c r="K1469" s="8" t="inlineStr">
        <is>
          <t>Jatavira</t>
        </is>
      </c>
      <c r="L1469" s="39" t="inlineStr">
        <is>
          <t>Gujarat</t>
        </is>
      </c>
      <c r="M1469" s="2" t="inlineStr">
        <is>
          <t xml:space="preserve">Burning </t>
        </is>
      </c>
      <c r="N1469" s="6" t="inlineStr">
        <is>
          <t>Module Burn</t>
        </is>
      </c>
      <c r="O1469" s="32" t="n">
        <v>585</v>
      </c>
      <c r="P1469" s="2" t="inlineStr">
        <is>
          <t>NSMI24090537743</t>
        </is>
      </c>
      <c r="Q1469" s="29">
        <f>MID(P1469,5,2)</f>
        <v/>
      </c>
      <c r="R1469" s="14">
        <f>MID(P1469,7,2)</f>
        <v/>
      </c>
      <c r="S1469" s="6" t="inlineStr">
        <is>
          <t>G2G</t>
        </is>
      </c>
      <c r="T1469" s="1" t="inlineStr">
        <is>
          <t>P4 - PEIPL</t>
        </is>
      </c>
      <c r="U1469" s="6" t="inlineStr">
        <is>
          <t>Module Burn</t>
        </is>
      </c>
      <c r="V1469" s="1" t="inlineStr">
        <is>
          <t>Inspection</t>
        </is>
      </c>
      <c r="W1469" s="1" t="inlineStr">
        <is>
          <t>WIP</t>
        </is>
      </c>
      <c r="X1469" s="12" t="n"/>
      <c r="Y1469" s="1">
        <f>IF(X1469="","",X1469-A1469)</f>
        <v/>
      </c>
      <c r="Z1469" s="5" t="n">
        <v>46190</v>
      </c>
      <c r="AA1469" s="3" t="n"/>
      <c r="AB1469" s="3" t="n"/>
      <c r="AE1469" s="146">
        <f>IF(AND(F1469="Closed",X1469&gt;=DATE(2026,6,1),X1469&lt;=DATE(2026,6,30)),"Closed in June","other")</f>
        <v/>
      </c>
    </row>
    <row r="1470" hidden="1">
      <c r="A1470" s="49" t="n">
        <v>46177</v>
      </c>
      <c r="B1470" s="1" t="n">
        <v>2026</v>
      </c>
      <c r="C1470" s="8" t="inlineStr">
        <is>
          <t>Ayana</t>
        </is>
      </c>
      <c r="D1470" s="11" t="inlineStr">
        <is>
          <t>Utility and C&amp;I</t>
        </is>
      </c>
      <c r="E1470" s="1" t="n"/>
      <c r="F1470" s="1" t="inlineStr">
        <is>
          <t>WIP</t>
        </is>
      </c>
      <c r="G1470" s="11" t="inlineStr">
        <is>
          <t>Vasu.N</t>
        </is>
      </c>
      <c r="H1470" s="8" t="n">
        <v>9578099893</v>
      </c>
      <c r="I1470" s="10" t="inlineStr">
        <is>
          <t>PE04062601</t>
        </is>
      </c>
      <c r="J1470" s="28" t="inlineStr">
        <is>
          <t>Module burnt</t>
        </is>
      </c>
      <c r="K1470" s="8" t="inlineStr">
        <is>
          <t>Jatavira</t>
        </is>
      </c>
      <c r="L1470" s="39" t="inlineStr">
        <is>
          <t>Gujarat</t>
        </is>
      </c>
      <c r="M1470" s="2" t="inlineStr">
        <is>
          <t xml:space="preserve">Burning </t>
        </is>
      </c>
      <c r="N1470" s="6" t="inlineStr">
        <is>
          <t>Module Burn</t>
        </is>
      </c>
      <c r="O1470" s="32" t="n">
        <v>585</v>
      </c>
      <c r="P1470" s="2" t="inlineStr">
        <is>
          <t>NSMI24090539286</t>
        </is>
      </c>
      <c r="Q1470" s="29">
        <f>MID(P1470,5,2)</f>
        <v/>
      </c>
      <c r="R1470" s="14">
        <f>MID(P1470,7,2)</f>
        <v/>
      </c>
      <c r="S1470" s="6" t="inlineStr">
        <is>
          <t>G2G</t>
        </is>
      </c>
      <c r="T1470" s="1" t="inlineStr">
        <is>
          <t>P4 - PEIPL</t>
        </is>
      </c>
      <c r="U1470" s="6" t="inlineStr">
        <is>
          <t>Module Burn</t>
        </is>
      </c>
      <c r="V1470" s="1" t="inlineStr">
        <is>
          <t>Inspection</t>
        </is>
      </c>
      <c r="W1470" s="1" t="inlineStr">
        <is>
          <t>WIP</t>
        </is>
      </c>
      <c r="X1470" s="12" t="n"/>
      <c r="Y1470" s="1">
        <f>IF(X1470="","",X1470-A1470)</f>
        <v/>
      </c>
      <c r="Z1470" s="5" t="n">
        <v>46190</v>
      </c>
      <c r="AA1470" s="3" t="n"/>
      <c r="AB1470" s="3" t="n"/>
      <c r="AE1470" s="146">
        <f>IF(AND(F1470="Closed",X1470&gt;=DATE(2026,6,1),X1470&lt;=DATE(2026,6,30)),"Closed in June","other")</f>
        <v/>
      </c>
    </row>
    <row r="1471" hidden="1">
      <c r="A1471" s="49" t="n">
        <v>46177</v>
      </c>
      <c r="B1471" s="1" t="n">
        <v>2026</v>
      </c>
      <c r="C1471" s="8" t="inlineStr">
        <is>
          <t>Ayana</t>
        </is>
      </c>
      <c r="D1471" s="11" t="inlineStr">
        <is>
          <t>Utility and C&amp;I</t>
        </is>
      </c>
      <c r="E1471" s="1" t="n"/>
      <c r="F1471" s="1" t="inlineStr">
        <is>
          <t>WIP</t>
        </is>
      </c>
      <c r="G1471" s="11" t="inlineStr">
        <is>
          <t>Vasu.N</t>
        </is>
      </c>
      <c r="H1471" s="8" t="n">
        <v>9578099893</v>
      </c>
      <c r="I1471" s="10" t="inlineStr">
        <is>
          <t>PE04062601</t>
        </is>
      </c>
      <c r="J1471" s="28" t="inlineStr">
        <is>
          <t>Module burnt</t>
        </is>
      </c>
      <c r="K1471" s="8" t="inlineStr">
        <is>
          <t>Jatavira</t>
        </is>
      </c>
      <c r="L1471" s="39" t="inlineStr">
        <is>
          <t>Gujarat</t>
        </is>
      </c>
      <c r="M1471" s="2" t="inlineStr">
        <is>
          <t xml:space="preserve">Back glass broken </t>
        </is>
      </c>
      <c r="N1471" s="6" t="inlineStr">
        <is>
          <t>Module Breakage</t>
        </is>
      </c>
      <c r="O1471" s="32" t="n">
        <v>585</v>
      </c>
      <c r="P1471" s="2" t="inlineStr">
        <is>
          <t>NSMI24090464538</t>
        </is>
      </c>
      <c r="Q1471" s="29">
        <f>MID(P1471,5,2)</f>
        <v/>
      </c>
      <c r="R1471" s="14">
        <f>MID(P1471,7,2)</f>
        <v/>
      </c>
      <c r="S1471" s="6" t="inlineStr">
        <is>
          <t>G2G</t>
        </is>
      </c>
      <c r="T1471" s="1" t="inlineStr">
        <is>
          <t>P4 - PEIPL</t>
        </is>
      </c>
      <c r="U1471" s="6" t="inlineStr">
        <is>
          <t>Glass Breakage</t>
        </is>
      </c>
      <c r="V1471" s="1" t="inlineStr">
        <is>
          <t>Inspection</t>
        </is>
      </c>
      <c r="W1471" s="1" t="inlineStr">
        <is>
          <t>WIP</t>
        </is>
      </c>
      <c r="X1471" s="12" t="n"/>
      <c r="Y1471" s="1">
        <f>IF(X1471="","",X1471-A1471)</f>
        <v/>
      </c>
      <c r="Z1471" s="5" t="n">
        <v>46190</v>
      </c>
      <c r="AA1471" s="3" t="n"/>
      <c r="AB1471" s="3" t="n"/>
      <c r="AE1471" s="146">
        <f>IF(AND(F1471="Closed",X1471&gt;=DATE(2026,6,1),X1471&lt;=DATE(2026,6,30)),"Closed in June","other")</f>
        <v/>
      </c>
    </row>
    <row r="1472" hidden="1">
      <c r="A1472" s="49" t="n">
        <v>46177</v>
      </c>
      <c r="B1472" s="1" t="n">
        <v>2026</v>
      </c>
      <c r="C1472" s="8" t="inlineStr">
        <is>
          <t>Ayana</t>
        </is>
      </c>
      <c r="D1472" s="11" t="inlineStr">
        <is>
          <t>Utility and C&amp;I</t>
        </is>
      </c>
      <c r="E1472" s="1" t="n"/>
      <c r="F1472" s="1" t="inlineStr">
        <is>
          <t>WIP</t>
        </is>
      </c>
      <c r="G1472" s="11" t="inlineStr">
        <is>
          <t>Vasu.N</t>
        </is>
      </c>
      <c r="H1472" s="8" t="n">
        <v>9578099893</v>
      </c>
      <c r="I1472" s="10" t="inlineStr">
        <is>
          <t>PE04062601</t>
        </is>
      </c>
      <c r="J1472" s="28" t="inlineStr">
        <is>
          <t>Module burnt</t>
        </is>
      </c>
      <c r="K1472" s="8" t="inlineStr">
        <is>
          <t>Jatavira</t>
        </is>
      </c>
      <c r="L1472" s="39" t="inlineStr">
        <is>
          <t>Gujarat</t>
        </is>
      </c>
      <c r="M1472" s="2" t="inlineStr">
        <is>
          <t xml:space="preserve">Black glass broken at shorter frem </t>
        </is>
      </c>
      <c r="N1472" s="6" t="inlineStr">
        <is>
          <t>Module Breakage</t>
        </is>
      </c>
      <c r="O1472" s="32" t="n">
        <v>585</v>
      </c>
      <c r="P1472" s="2" t="inlineStr">
        <is>
          <t>NSMI24090464751</t>
        </is>
      </c>
      <c r="Q1472" s="29">
        <f>MID(P1472,5,2)</f>
        <v/>
      </c>
      <c r="R1472" s="14">
        <f>MID(P1472,7,2)</f>
        <v/>
      </c>
      <c r="S1472" s="6" t="inlineStr">
        <is>
          <t>G2G</t>
        </is>
      </c>
      <c r="T1472" s="1" t="inlineStr">
        <is>
          <t>P4 - PEIPL</t>
        </is>
      </c>
      <c r="U1472" s="6" t="inlineStr">
        <is>
          <t>Glass Breakage</t>
        </is>
      </c>
      <c r="V1472" s="1" t="inlineStr">
        <is>
          <t>Inspection</t>
        </is>
      </c>
      <c r="W1472" s="1" t="inlineStr">
        <is>
          <t>WIP</t>
        </is>
      </c>
      <c r="X1472" s="12" t="n"/>
      <c r="Y1472" s="1">
        <f>IF(X1472="","",X1472-A1472)</f>
        <v/>
      </c>
      <c r="Z1472" s="5" t="n">
        <v>46190</v>
      </c>
      <c r="AA1472" s="3" t="n"/>
      <c r="AB1472" s="3" t="n"/>
      <c r="AE1472" s="146">
        <f>IF(AND(F1472="Closed",X1472&gt;=DATE(2026,6,1),X1472&lt;=DATE(2026,6,30)),"Closed in June","other")</f>
        <v/>
      </c>
    </row>
    <row r="1473" hidden="1">
      <c r="A1473" s="49" t="n">
        <v>46177</v>
      </c>
      <c r="B1473" s="1" t="n">
        <v>2026</v>
      </c>
      <c r="C1473" s="8" t="inlineStr">
        <is>
          <t>Ayana</t>
        </is>
      </c>
      <c r="D1473" s="11" t="inlineStr">
        <is>
          <t>Utility and C&amp;I</t>
        </is>
      </c>
      <c r="E1473" s="1" t="n"/>
      <c r="F1473" s="1" t="inlineStr">
        <is>
          <t>WIP</t>
        </is>
      </c>
      <c r="G1473" s="11" t="inlineStr">
        <is>
          <t>Vasu.N</t>
        </is>
      </c>
      <c r="H1473" s="8" t="n">
        <v>9578099893</v>
      </c>
      <c r="I1473" s="10" t="inlineStr">
        <is>
          <t>PE04062601</t>
        </is>
      </c>
      <c r="J1473" s="28" t="inlineStr">
        <is>
          <t>Module burnt</t>
        </is>
      </c>
      <c r="K1473" s="8" t="inlineStr">
        <is>
          <t>Jatavira</t>
        </is>
      </c>
      <c r="L1473" s="39" t="inlineStr">
        <is>
          <t>Gujarat</t>
        </is>
      </c>
      <c r="M1473" s="2" t="inlineStr">
        <is>
          <t xml:space="preserve">Back glass broken </t>
        </is>
      </c>
      <c r="N1473" s="6" t="inlineStr">
        <is>
          <t>Module Breakage</t>
        </is>
      </c>
      <c r="O1473" s="32" t="n">
        <v>585</v>
      </c>
      <c r="P1473" s="2" t="inlineStr">
        <is>
          <t>NSMI24090452082</t>
        </is>
      </c>
      <c r="Q1473" s="29">
        <f>MID(P1473,5,2)</f>
        <v/>
      </c>
      <c r="R1473" s="14">
        <f>MID(P1473,7,2)</f>
        <v/>
      </c>
      <c r="S1473" s="6" t="inlineStr">
        <is>
          <t>G2G</t>
        </is>
      </c>
      <c r="T1473" s="1" t="inlineStr">
        <is>
          <t>P4 - PEIPL</t>
        </is>
      </c>
      <c r="U1473" s="6" t="inlineStr">
        <is>
          <t>Glass Breakage</t>
        </is>
      </c>
      <c r="V1473" s="1" t="inlineStr">
        <is>
          <t>Inspection</t>
        </is>
      </c>
      <c r="W1473" s="1" t="inlineStr">
        <is>
          <t>WIP</t>
        </is>
      </c>
      <c r="X1473" s="12" t="n"/>
      <c r="Y1473" s="1">
        <f>IF(X1473="","",X1473-A1473)</f>
        <v/>
      </c>
      <c r="Z1473" s="5" t="n">
        <v>46190</v>
      </c>
      <c r="AA1473" s="3" t="n"/>
      <c r="AB1473" s="3" t="n"/>
      <c r="AE1473" s="146">
        <f>IF(AND(F1473="Closed",X1473&gt;=DATE(2026,6,1),X1473&lt;=DATE(2026,6,30)),"Closed in June","other")</f>
        <v/>
      </c>
    </row>
    <row r="1474" hidden="1">
      <c r="A1474" s="49" t="n">
        <v>46177</v>
      </c>
      <c r="B1474" s="1" t="n">
        <v>2026</v>
      </c>
      <c r="C1474" s="8" t="inlineStr">
        <is>
          <t>Ayana</t>
        </is>
      </c>
      <c r="D1474" s="11" t="inlineStr">
        <is>
          <t>Utility and C&amp;I</t>
        </is>
      </c>
      <c r="E1474" s="1" t="n"/>
      <c r="F1474" s="1" t="inlineStr">
        <is>
          <t>WIP</t>
        </is>
      </c>
      <c r="G1474" s="11" t="inlineStr">
        <is>
          <t>Vasu.N</t>
        </is>
      </c>
      <c r="H1474" s="8" t="n">
        <v>9578099893</v>
      </c>
      <c r="I1474" s="10" t="inlineStr">
        <is>
          <t>PE04062601</t>
        </is>
      </c>
      <c r="J1474" s="28" t="inlineStr">
        <is>
          <t>Module burnt</t>
        </is>
      </c>
      <c r="K1474" s="8" t="inlineStr">
        <is>
          <t>Jatavira</t>
        </is>
      </c>
      <c r="L1474" s="39" t="inlineStr">
        <is>
          <t>Gujarat</t>
        </is>
      </c>
      <c r="M1474" s="2" t="inlineStr">
        <is>
          <t xml:space="preserve">Back glass broken </t>
        </is>
      </c>
      <c r="N1474" s="6" t="inlineStr">
        <is>
          <t>Module Breakage</t>
        </is>
      </c>
      <c r="O1474" s="32" t="n">
        <v>585</v>
      </c>
      <c r="P1474" s="2" t="inlineStr">
        <is>
          <t>NSMI24100580642</t>
        </is>
      </c>
      <c r="Q1474" s="29">
        <f>MID(P1474,5,2)</f>
        <v/>
      </c>
      <c r="R1474" s="14">
        <f>MID(P1474,7,2)</f>
        <v/>
      </c>
      <c r="S1474" s="6" t="inlineStr">
        <is>
          <t>G2G</t>
        </is>
      </c>
      <c r="T1474" s="1" t="inlineStr">
        <is>
          <t>P4 - PEIPL</t>
        </is>
      </c>
      <c r="U1474" s="6" t="inlineStr">
        <is>
          <t>Glass Breakage</t>
        </is>
      </c>
      <c r="V1474" s="1" t="inlineStr">
        <is>
          <t>Inspection</t>
        </is>
      </c>
      <c r="W1474" s="1" t="inlineStr">
        <is>
          <t>WIP</t>
        </is>
      </c>
      <c r="X1474" s="12" t="n"/>
      <c r="Y1474" s="1">
        <f>IF(X1474="","",X1474-A1474)</f>
        <v/>
      </c>
      <c r="Z1474" s="5" t="n">
        <v>46190</v>
      </c>
      <c r="AA1474" s="3" t="n"/>
      <c r="AB1474" s="3" t="n"/>
      <c r="AE1474" s="146">
        <f>IF(AND(F1474="Closed",X1474&gt;=DATE(2026,6,1),X1474&lt;=DATE(2026,6,30)),"Closed in June","other")</f>
        <v/>
      </c>
    </row>
    <row r="1475" hidden="1">
      <c r="A1475" s="49" t="n">
        <v>46177</v>
      </c>
      <c r="B1475" s="1" t="n">
        <v>2026</v>
      </c>
      <c r="C1475" s="8" t="inlineStr">
        <is>
          <t>Ayana</t>
        </is>
      </c>
      <c r="D1475" s="11" t="inlineStr">
        <is>
          <t>Utility and C&amp;I</t>
        </is>
      </c>
      <c r="E1475" s="1" t="n"/>
      <c r="F1475" s="1" t="inlineStr">
        <is>
          <t>WIP</t>
        </is>
      </c>
      <c r="G1475" s="11" t="inlineStr">
        <is>
          <t>Vasu.N</t>
        </is>
      </c>
      <c r="H1475" s="8" t="n">
        <v>9578099893</v>
      </c>
      <c r="I1475" s="10" t="inlineStr">
        <is>
          <t>PE04062601</t>
        </is>
      </c>
      <c r="J1475" s="28" t="inlineStr">
        <is>
          <t>Module burnt</t>
        </is>
      </c>
      <c r="K1475" s="8" t="inlineStr">
        <is>
          <t>Jatavira</t>
        </is>
      </c>
      <c r="L1475" s="39" t="inlineStr">
        <is>
          <t>Gujarat</t>
        </is>
      </c>
      <c r="M1475" s="2" t="inlineStr">
        <is>
          <t xml:space="preserve">Black glass broken at shorter frem </t>
        </is>
      </c>
      <c r="N1475" s="6" t="inlineStr">
        <is>
          <t>Module Breakage</t>
        </is>
      </c>
      <c r="O1475" s="32" t="n">
        <v>585</v>
      </c>
      <c r="P1475" s="2" t="inlineStr">
        <is>
          <t>NSMI24100569059</t>
        </is>
      </c>
      <c r="Q1475" s="29">
        <f>MID(P1475,5,2)</f>
        <v/>
      </c>
      <c r="R1475" s="14">
        <f>MID(P1475,7,2)</f>
        <v/>
      </c>
      <c r="S1475" s="6" t="inlineStr">
        <is>
          <t>G2G</t>
        </is>
      </c>
      <c r="T1475" s="1" t="inlineStr">
        <is>
          <t>P4 - PEIPL</t>
        </is>
      </c>
      <c r="U1475" s="6" t="inlineStr">
        <is>
          <t>Glass Breakage</t>
        </is>
      </c>
      <c r="V1475" s="1" t="inlineStr">
        <is>
          <t>Inspection</t>
        </is>
      </c>
      <c r="W1475" s="1" t="inlineStr">
        <is>
          <t>WIP</t>
        </is>
      </c>
      <c r="X1475" s="12" t="n"/>
      <c r="Y1475" s="1">
        <f>IF(X1475="","",X1475-A1475)</f>
        <v/>
      </c>
      <c r="Z1475" s="5" t="n">
        <v>46190</v>
      </c>
      <c r="AA1475" s="3" t="n"/>
      <c r="AB1475" s="3" t="n"/>
      <c r="AE1475" s="146">
        <f>IF(AND(F1475="Closed",X1475&gt;=DATE(2026,6,1),X1475&lt;=DATE(2026,6,30)),"Closed in June","other")</f>
        <v/>
      </c>
    </row>
    <row r="1476" hidden="1">
      <c r="A1476" s="49" t="n">
        <v>46177</v>
      </c>
      <c r="B1476" s="1" t="n">
        <v>2026</v>
      </c>
      <c r="C1476" s="8" t="inlineStr">
        <is>
          <t>Ayana</t>
        </is>
      </c>
      <c r="D1476" s="11" t="inlineStr">
        <is>
          <t>Utility and C&amp;I</t>
        </is>
      </c>
      <c r="E1476" s="1" t="n"/>
      <c r="F1476" s="1" t="inlineStr">
        <is>
          <t>WIP</t>
        </is>
      </c>
      <c r="G1476" s="11" t="inlineStr">
        <is>
          <t>Vasu.N</t>
        </is>
      </c>
      <c r="H1476" s="8" t="n">
        <v>9578099893</v>
      </c>
      <c r="I1476" s="10" t="inlineStr">
        <is>
          <t>PE04062601</t>
        </is>
      </c>
      <c r="J1476" s="28" t="inlineStr">
        <is>
          <t>Module burnt</t>
        </is>
      </c>
      <c r="K1476" s="8" t="inlineStr">
        <is>
          <t>Jatavira</t>
        </is>
      </c>
      <c r="L1476" s="39" t="inlineStr">
        <is>
          <t>Gujarat</t>
        </is>
      </c>
      <c r="M1476" s="2" t="inlineStr">
        <is>
          <t xml:space="preserve">Back glass broken </t>
        </is>
      </c>
      <c r="N1476" s="6" t="inlineStr">
        <is>
          <t>Module Breakage</t>
        </is>
      </c>
      <c r="O1476" s="32" t="n">
        <v>585</v>
      </c>
      <c r="P1476" s="2" t="inlineStr">
        <is>
          <t>NSMI24100573173</t>
        </is>
      </c>
      <c r="Q1476" s="29">
        <f>MID(P1476,5,2)</f>
        <v/>
      </c>
      <c r="R1476" s="14">
        <f>MID(P1476,7,2)</f>
        <v/>
      </c>
      <c r="S1476" s="6" t="inlineStr">
        <is>
          <t>G2G</t>
        </is>
      </c>
      <c r="T1476" s="1" t="inlineStr">
        <is>
          <t>P4 - PEIPL</t>
        </is>
      </c>
      <c r="U1476" s="6" t="inlineStr">
        <is>
          <t>Glass Breakage</t>
        </is>
      </c>
      <c r="V1476" s="1" t="inlineStr">
        <is>
          <t>Inspection</t>
        </is>
      </c>
      <c r="W1476" s="1" t="inlineStr">
        <is>
          <t>WIP</t>
        </is>
      </c>
      <c r="X1476" s="12" t="n"/>
      <c r="Y1476" s="1">
        <f>IF(X1476="","",X1476-A1476)</f>
        <v/>
      </c>
      <c r="Z1476" s="5" t="n">
        <v>46190</v>
      </c>
      <c r="AA1476" s="3" t="n"/>
      <c r="AB1476" s="3" t="n"/>
      <c r="AE1476" s="146">
        <f>IF(AND(F1476="Closed",X1476&gt;=DATE(2026,6,1),X1476&lt;=DATE(2026,6,30)),"Closed in June","other")</f>
        <v/>
      </c>
    </row>
    <row r="1477" hidden="1">
      <c r="A1477" s="49" t="n">
        <v>46177</v>
      </c>
      <c r="B1477" s="1" t="n">
        <v>2026</v>
      </c>
      <c r="C1477" s="8" t="inlineStr">
        <is>
          <t>Ayana</t>
        </is>
      </c>
      <c r="D1477" s="11" t="inlineStr">
        <is>
          <t>Utility and C&amp;I</t>
        </is>
      </c>
      <c r="E1477" s="1" t="n"/>
      <c r="F1477" s="1" t="inlineStr">
        <is>
          <t>WIP</t>
        </is>
      </c>
      <c r="G1477" s="11" t="inlineStr">
        <is>
          <t>Vasu.N</t>
        </is>
      </c>
      <c r="H1477" s="8" t="n">
        <v>9578099893</v>
      </c>
      <c r="I1477" s="10" t="inlineStr">
        <is>
          <t>PE04062601</t>
        </is>
      </c>
      <c r="J1477" s="28" t="inlineStr">
        <is>
          <t>Module burnt</t>
        </is>
      </c>
      <c r="K1477" s="8" t="inlineStr">
        <is>
          <t>Jatavira</t>
        </is>
      </c>
      <c r="L1477" s="39" t="inlineStr">
        <is>
          <t>Gujarat</t>
        </is>
      </c>
      <c r="M1477" s="2" t="inlineStr">
        <is>
          <t xml:space="preserve">Back glass broken </t>
        </is>
      </c>
      <c r="N1477" s="6" t="inlineStr">
        <is>
          <t>Module Breakage</t>
        </is>
      </c>
      <c r="O1477" s="32" t="n">
        <v>585</v>
      </c>
      <c r="P1477" s="2" t="inlineStr">
        <is>
          <t>NSMI24100573185</t>
        </is>
      </c>
      <c r="Q1477" s="29">
        <f>MID(P1477,5,2)</f>
        <v/>
      </c>
      <c r="R1477" s="14">
        <f>MID(P1477,7,2)</f>
        <v/>
      </c>
      <c r="S1477" s="6" t="inlineStr">
        <is>
          <t>G2G</t>
        </is>
      </c>
      <c r="T1477" s="1" t="inlineStr">
        <is>
          <t>P4 - PEIPL</t>
        </is>
      </c>
      <c r="U1477" s="6" t="inlineStr">
        <is>
          <t>Glass Breakage</t>
        </is>
      </c>
      <c r="V1477" s="1" t="inlineStr">
        <is>
          <t>Inspection</t>
        </is>
      </c>
      <c r="W1477" s="1" t="inlineStr">
        <is>
          <t>WIP</t>
        </is>
      </c>
      <c r="X1477" s="12" t="n"/>
      <c r="Y1477" s="1">
        <f>IF(X1477="","",X1477-A1477)</f>
        <v/>
      </c>
      <c r="Z1477" s="5" t="n">
        <v>46190</v>
      </c>
      <c r="AA1477" s="3" t="n"/>
      <c r="AB1477" s="3" t="n"/>
      <c r="AE1477" s="146">
        <f>IF(AND(F1477="Closed",X1477&gt;=DATE(2026,6,1),X1477&lt;=DATE(2026,6,30)),"Closed in June","other")</f>
        <v/>
      </c>
    </row>
    <row r="1478" hidden="1">
      <c r="A1478" s="49" t="n">
        <v>46177</v>
      </c>
      <c r="B1478" s="1" t="n">
        <v>2026</v>
      </c>
      <c r="C1478" s="8" t="inlineStr">
        <is>
          <t>Ayana</t>
        </is>
      </c>
      <c r="D1478" s="11" t="inlineStr">
        <is>
          <t>Utility and C&amp;I</t>
        </is>
      </c>
      <c r="E1478" s="1" t="n"/>
      <c r="F1478" s="1" t="inlineStr">
        <is>
          <t>WIP</t>
        </is>
      </c>
      <c r="G1478" s="11" t="inlineStr">
        <is>
          <t>Vasu.N</t>
        </is>
      </c>
      <c r="H1478" s="8" t="n">
        <v>9578099893</v>
      </c>
      <c r="I1478" s="10" t="inlineStr">
        <is>
          <t>PE04062601</t>
        </is>
      </c>
      <c r="J1478" s="28" t="inlineStr">
        <is>
          <t>Module burnt</t>
        </is>
      </c>
      <c r="K1478" s="8" t="inlineStr">
        <is>
          <t>Jatavira</t>
        </is>
      </c>
      <c r="L1478" s="39" t="inlineStr">
        <is>
          <t>Gujarat</t>
        </is>
      </c>
      <c r="M1478" s="2" t="inlineStr">
        <is>
          <t xml:space="preserve">Back glass broken </t>
        </is>
      </c>
      <c r="N1478" s="6" t="inlineStr">
        <is>
          <t>Module Breakage</t>
        </is>
      </c>
      <c r="O1478" s="32" t="n">
        <v>585</v>
      </c>
      <c r="P1478" s="2" t="inlineStr">
        <is>
          <t>NSMI24100573186</t>
        </is>
      </c>
      <c r="Q1478" s="29">
        <f>MID(P1478,5,2)</f>
        <v/>
      </c>
      <c r="R1478" s="14">
        <f>MID(P1478,7,2)</f>
        <v/>
      </c>
      <c r="S1478" s="6" t="inlineStr">
        <is>
          <t>G2G</t>
        </is>
      </c>
      <c r="T1478" s="1" t="inlineStr">
        <is>
          <t>P4 - PEIPL</t>
        </is>
      </c>
      <c r="U1478" s="6" t="inlineStr">
        <is>
          <t>Glass Breakage</t>
        </is>
      </c>
      <c r="V1478" s="1" t="inlineStr">
        <is>
          <t>Inspection</t>
        </is>
      </c>
      <c r="W1478" s="1" t="inlineStr">
        <is>
          <t>WIP</t>
        </is>
      </c>
      <c r="X1478" s="12" t="n"/>
      <c r="Y1478" s="1">
        <f>IF(X1478="","",X1478-A1478)</f>
        <v/>
      </c>
      <c r="Z1478" s="5" t="n">
        <v>46190</v>
      </c>
      <c r="AA1478" s="3" t="n"/>
      <c r="AB1478" s="3" t="n"/>
      <c r="AE1478" s="146">
        <f>IF(AND(F1478="Closed",X1478&gt;=DATE(2026,6,1),X1478&lt;=DATE(2026,6,30)),"Closed in June","other")</f>
        <v/>
      </c>
    </row>
    <row r="1479" hidden="1">
      <c r="A1479" s="49" t="n">
        <v>46177</v>
      </c>
      <c r="B1479" s="1" t="n">
        <v>2026</v>
      </c>
      <c r="C1479" s="8" t="inlineStr">
        <is>
          <t>Ayana</t>
        </is>
      </c>
      <c r="D1479" s="11" t="inlineStr">
        <is>
          <t>Utility and C&amp;I</t>
        </is>
      </c>
      <c r="E1479" s="1" t="n"/>
      <c r="F1479" s="1" t="inlineStr">
        <is>
          <t>WIP</t>
        </is>
      </c>
      <c r="G1479" s="11" t="inlineStr">
        <is>
          <t>Vasu.N</t>
        </is>
      </c>
      <c r="H1479" s="8" t="n">
        <v>9578099893</v>
      </c>
      <c r="I1479" s="10" t="inlineStr">
        <is>
          <t>PE04062601</t>
        </is>
      </c>
      <c r="J1479" s="28" t="inlineStr">
        <is>
          <t>Module burnt</t>
        </is>
      </c>
      <c r="K1479" s="8" t="inlineStr">
        <is>
          <t>Jatavira</t>
        </is>
      </c>
      <c r="L1479" s="39" t="inlineStr">
        <is>
          <t>Gujarat</t>
        </is>
      </c>
      <c r="M1479" s="2" t="inlineStr">
        <is>
          <t xml:space="preserve">Back glass broken </t>
        </is>
      </c>
      <c r="N1479" s="6" t="inlineStr">
        <is>
          <t>Module Breakage</t>
        </is>
      </c>
      <c r="O1479" s="32" t="n">
        <v>585</v>
      </c>
      <c r="P1479" s="2" t="inlineStr">
        <is>
          <t>NSMI24090481443</t>
        </is>
      </c>
      <c r="Q1479" s="29">
        <f>MID(P1479,5,2)</f>
        <v/>
      </c>
      <c r="R1479" s="14">
        <f>MID(P1479,7,2)</f>
        <v/>
      </c>
      <c r="S1479" s="6" t="inlineStr">
        <is>
          <t>G2G</t>
        </is>
      </c>
      <c r="T1479" s="1" t="inlineStr">
        <is>
          <t>P4 - PEIPL</t>
        </is>
      </c>
      <c r="U1479" s="6" t="inlineStr">
        <is>
          <t>Glass Breakage</t>
        </is>
      </c>
      <c r="V1479" s="1" t="inlineStr">
        <is>
          <t>Inspection</t>
        </is>
      </c>
      <c r="W1479" s="1" t="inlineStr">
        <is>
          <t>WIP</t>
        </is>
      </c>
      <c r="X1479" s="12" t="n"/>
      <c r="Y1479" s="1">
        <f>IF(X1479="","",X1479-A1479)</f>
        <v/>
      </c>
      <c r="Z1479" s="5" t="n">
        <v>46190</v>
      </c>
      <c r="AA1479" s="3" t="n"/>
      <c r="AB1479" s="3" t="n"/>
      <c r="AE1479" s="146">
        <f>IF(AND(F1479="Closed",X1479&gt;=DATE(2026,6,1),X1479&lt;=DATE(2026,6,30)),"Closed in June","other")</f>
        <v/>
      </c>
    </row>
    <row r="1480" hidden="1">
      <c r="A1480" s="49" t="n">
        <v>46177</v>
      </c>
      <c r="B1480" s="1" t="n">
        <v>2026</v>
      </c>
      <c r="C1480" s="8" t="inlineStr">
        <is>
          <t>Ayana</t>
        </is>
      </c>
      <c r="D1480" s="11" t="inlineStr">
        <is>
          <t>Utility and C&amp;I</t>
        </is>
      </c>
      <c r="E1480" s="1" t="n"/>
      <c r="F1480" s="1" t="inlineStr">
        <is>
          <t>WIP</t>
        </is>
      </c>
      <c r="G1480" s="11" t="inlineStr">
        <is>
          <t>Vasu.N</t>
        </is>
      </c>
      <c r="H1480" s="8" t="n">
        <v>9578099893</v>
      </c>
      <c r="I1480" s="10" t="inlineStr">
        <is>
          <t>PE04062601</t>
        </is>
      </c>
      <c r="J1480" s="28" t="inlineStr">
        <is>
          <t>Module burnt</t>
        </is>
      </c>
      <c r="K1480" s="8" t="inlineStr">
        <is>
          <t>Jatavira</t>
        </is>
      </c>
      <c r="L1480" s="39" t="inlineStr">
        <is>
          <t>Gujarat</t>
        </is>
      </c>
      <c r="M1480" s="2" t="inlineStr">
        <is>
          <t xml:space="preserve">Back glass broken </t>
        </is>
      </c>
      <c r="N1480" s="6" t="inlineStr">
        <is>
          <t>Module Breakage</t>
        </is>
      </c>
      <c r="O1480" s="32" t="n">
        <v>585</v>
      </c>
      <c r="P1480" s="2" t="inlineStr">
        <is>
          <t>NSMI24090451324</t>
        </is>
      </c>
      <c r="Q1480" s="29">
        <f>MID(P1480,5,2)</f>
        <v/>
      </c>
      <c r="R1480" s="14">
        <f>MID(P1480,7,2)</f>
        <v/>
      </c>
      <c r="S1480" s="6" t="inlineStr">
        <is>
          <t>G2G</t>
        </is>
      </c>
      <c r="T1480" s="1" t="inlineStr">
        <is>
          <t>P4 - PEIPL</t>
        </is>
      </c>
      <c r="U1480" s="6" t="inlineStr">
        <is>
          <t>Glass Breakage</t>
        </is>
      </c>
      <c r="V1480" s="1" t="inlineStr">
        <is>
          <t>Inspection</t>
        </is>
      </c>
      <c r="W1480" s="1" t="inlineStr">
        <is>
          <t>WIP</t>
        </is>
      </c>
      <c r="X1480" s="12" t="n"/>
      <c r="Y1480" s="1">
        <f>IF(X1480="","",X1480-A1480)</f>
        <v/>
      </c>
      <c r="Z1480" s="5" t="n">
        <v>46190</v>
      </c>
      <c r="AA1480" s="3" t="n"/>
      <c r="AB1480" s="3" t="n"/>
      <c r="AE1480" s="146">
        <f>IF(AND(F1480="Closed",X1480&gt;=DATE(2026,6,1),X1480&lt;=DATE(2026,6,30)),"Closed in June","other")</f>
        <v/>
      </c>
    </row>
    <row r="1481" hidden="1">
      <c r="A1481" s="49" t="n">
        <v>46177</v>
      </c>
      <c r="B1481" s="1" t="n">
        <v>2026</v>
      </c>
      <c r="C1481" s="8" t="inlineStr">
        <is>
          <t>Ayana</t>
        </is>
      </c>
      <c r="D1481" s="11" t="inlineStr">
        <is>
          <t>Utility and C&amp;I</t>
        </is>
      </c>
      <c r="E1481" s="1" t="n"/>
      <c r="F1481" s="1" t="inlineStr">
        <is>
          <t>WIP</t>
        </is>
      </c>
      <c r="G1481" s="11" t="inlineStr">
        <is>
          <t>Vasu.N</t>
        </is>
      </c>
      <c r="H1481" s="8" t="n">
        <v>9578099893</v>
      </c>
      <c r="I1481" s="10" t="inlineStr">
        <is>
          <t>PE04062601</t>
        </is>
      </c>
      <c r="J1481" s="28" t="inlineStr">
        <is>
          <t>Module burnt</t>
        </is>
      </c>
      <c r="K1481" s="8" t="inlineStr">
        <is>
          <t>Jatavira</t>
        </is>
      </c>
      <c r="L1481" s="39" t="inlineStr">
        <is>
          <t>Gujarat</t>
        </is>
      </c>
      <c r="M1481" s="2" t="inlineStr">
        <is>
          <t xml:space="preserve">Back glass broken </t>
        </is>
      </c>
      <c r="N1481" s="6" t="inlineStr">
        <is>
          <t>Module Breakage</t>
        </is>
      </c>
      <c r="O1481" s="32" t="n">
        <v>585</v>
      </c>
      <c r="P1481" s="2" t="inlineStr">
        <is>
          <t>NSMI24090451199</t>
        </is>
      </c>
      <c r="Q1481" s="29">
        <f>MID(P1481,5,2)</f>
        <v/>
      </c>
      <c r="R1481" s="14">
        <f>MID(P1481,7,2)</f>
        <v/>
      </c>
      <c r="S1481" s="6" t="inlineStr">
        <is>
          <t>G2G</t>
        </is>
      </c>
      <c r="T1481" s="1" t="inlineStr">
        <is>
          <t>P4 - PEIPL</t>
        </is>
      </c>
      <c r="U1481" s="6" t="inlineStr">
        <is>
          <t>Glass Breakage</t>
        </is>
      </c>
      <c r="V1481" s="1" t="inlineStr">
        <is>
          <t>Inspection</t>
        </is>
      </c>
      <c r="W1481" s="1" t="inlineStr">
        <is>
          <t>WIP</t>
        </is>
      </c>
      <c r="X1481" s="12" t="n"/>
      <c r="Y1481" s="1">
        <f>IF(X1481="","",X1481-A1481)</f>
        <v/>
      </c>
      <c r="Z1481" s="5" t="n">
        <v>46190</v>
      </c>
      <c r="AA1481" s="3" t="n"/>
      <c r="AB1481" s="3" t="n"/>
      <c r="AE1481" s="146">
        <f>IF(AND(F1481="Closed",X1481&gt;=DATE(2026,6,1),X1481&lt;=DATE(2026,6,30)),"Closed in June","other")</f>
        <v/>
      </c>
    </row>
    <row r="1482" hidden="1">
      <c r="A1482" s="49" t="n">
        <v>46177</v>
      </c>
      <c r="B1482" s="1" t="n">
        <v>2026</v>
      </c>
      <c r="C1482" s="8" t="inlineStr">
        <is>
          <t>Ayana</t>
        </is>
      </c>
      <c r="D1482" s="11" t="inlineStr">
        <is>
          <t>Utility and C&amp;I</t>
        </is>
      </c>
      <c r="E1482" s="1" t="n"/>
      <c r="F1482" s="1" t="inlineStr">
        <is>
          <t>WIP</t>
        </is>
      </c>
      <c r="G1482" s="11" t="inlineStr">
        <is>
          <t>Vasu.N</t>
        </is>
      </c>
      <c r="H1482" s="8" t="n">
        <v>9578099893</v>
      </c>
      <c r="I1482" s="10" t="inlineStr">
        <is>
          <t>PE04062601</t>
        </is>
      </c>
      <c r="J1482" s="28" t="inlineStr">
        <is>
          <t>Module burnt</t>
        </is>
      </c>
      <c r="K1482" s="8" t="inlineStr">
        <is>
          <t>Jatavira</t>
        </is>
      </c>
      <c r="L1482" s="39" t="inlineStr">
        <is>
          <t>Gujarat</t>
        </is>
      </c>
      <c r="M1482" s="2" t="inlineStr">
        <is>
          <t xml:space="preserve">Black glass broken at shorter frem </t>
        </is>
      </c>
      <c r="N1482" s="6" t="inlineStr">
        <is>
          <t>Module Breakage</t>
        </is>
      </c>
      <c r="O1482" s="32" t="n">
        <v>585</v>
      </c>
      <c r="P1482" s="2" t="inlineStr">
        <is>
          <t>NSMI24100584662</t>
        </is>
      </c>
      <c r="Q1482" s="29">
        <f>MID(P1482,5,2)</f>
        <v/>
      </c>
      <c r="R1482" s="14">
        <f>MID(P1482,7,2)</f>
        <v/>
      </c>
      <c r="S1482" s="6" t="inlineStr">
        <is>
          <t>G2G</t>
        </is>
      </c>
      <c r="T1482" s="1" t="inlineStr">
        <is>
          <t>P4 - PEIPL</t>
        </is>
      </c>
      <c r="U1482" s="6" t="inlineStr">
        <is>
          <t>Glass Breakage</t>
        </is>
      </c>
      <c r="V1482" s="1" t="inlineStr">
        <is>
          <t>Inspection</t>
        </is>
      </c>
      <c r="W1482" s="1" t="inlineStr">
        <is>
          <t>WIP</t>
        </is>
      </c>
      <c r="X1482" s="12" t="n"/>
      <c r="Y1482" s="1">
        <f>IF(X1482="","",X1482-A1482)</f>
        <v/>
      </c>
      <c r="Z1482" s="5" t="n">
        <v>46190</v>
      </c>
      <c r="AA1482" s="3" t="n"/>
      <c r="AB1482" s="3" t="n"/>
      <c r="AE1482" s="146">
        <f>IF(AND(F1482="Closed",X1482&gt;=DATE(2026,6,1),X1482&lt;=DATE(2026,6,30)),"Closed in June","other")</f>
        <v/>
      </c>
    </row>
    <row r="1483" hidden="1">
      <c r="A1483" s="49" t="n">
        <v>46177</v>
      </c>
      <c r="B1483" s="1" t="n">
        <v>2026</v>
      </c>
      <c r="C1483" s="8" t="inlineStr">
        <is>
          <t>Ayana</t>
        </is>
      </c>
      <c r="D1483" s="11" t="inlineStr">
        <is>
          <t>Utility and C&amp;I</t>
        </is>
      </c>
      <c r="E1483" s="1" t="n"/>
      <c r="F1483" s="1" t="inlineStr">
        <is>
          <t>WIP</t>
        </is>
      </c>
      <c r="G1483" s="11" t="inlineStr">
        <is>
          <t>Vasu.N</t>
        </is>
      </c>
      <c r="H1483" s="8" t="n">
        <v>9578099893</v>
      </c>
      <c r="I1483" s="10" t="inlineStr">
        <is>
          <t>PE04062601</t>
        </is>
      </c>
      <c r="J1483" s="28" t="inlineStr">
        <is>
          <t>Module burnt</t>
        </is>
      </c>
      <c r="K1483" s="8" t="inlineStr">
        <is>
          <t>Jatavira</t>
        </is>
      </c>
      <c r="L1483" s="39" t="inlineStr">
        <is>
          <t>Gujarat</t>
        </is>
      </c>
      <c r="M1483" s="2" t="inlineStr">
        <is>
          <t xml:space="preserve">Back glass broken </t>
        </is>
      </c>
      <c r="N1483" s="6" t="inlineStr">
        <is>
          <t>Module Breakage</t>
        </is>
      </c>
      <c r="O1483" s="32" t="n">
        <v>585</v>
      </c>
      <c r="P1483" s="2" t="inlineStr">
        <is>
          <t>NSMI24100584664</t>
        </is>
      </c>
      <c r="Q1483" s="29">
        <f>MID(P1483,5,2)</f>
        <v/>
      </c>
      <c r="R1483" s="14">
        <f>MID(P1483,7,2)</f>
        <v/>
      </c>
      <c r="S1483" s="6" t="inlineStr">
        <is>
          <t>G2G</t>
        </is>
      </c>
      <c r="T1483" s="1" t="inlineStr">
        <is>
          <t>P4 - PEIPL</t>
        </is>
      </c>
      <c r="U1483" s="6" t="inlineStr">
        <is>
          <t>Glass Breakage</t>
        </is>
      </c>
      <c r="V1483" s="1" t="inlineStr">
        <is>
          <t>Inspection</t>
        </is>
      </c>
      <c r="W1483" s="1" t="inlineStr">
        <is>
          <t>WIP</t>
        </is>
      </c>
      <c r="X1483" s="12" t="n"/>
      <c r="Y1483" s="1">
        <f>IF(X1483="","",X1483-A1483)</f>
        <v/>
      </c>
      <c r="Z1483" s="5" t="n">
        <v>46190</v>
      </c>
      <c r="AA1483" s="3" t="n"/>
      <c r="AB1483" s="3" t="n"/>
      <c r="AE1483" s="146">
        <f>IF(AND(F1483="Closed",X1483&gt;=DATE(2026,6,1),X1483&lt;=DATE(2026,6,30)),"Closed in June","other")</f>
        <v/>
      </c>
    </row>
    <row r="1484" hidden="1">
      <c r="A1484" s="49" t="n">
        <v>46177</v>
      </c>
      <c r="B1484" s="1" t="n">
        <v>2026</v>
      </c>
      <c r="C1484" s="8" t="inlineStr">
        <is>
          <t>Ayana</t>
        </is>
      </c>
      <c r="D1484" s="11" t="inlineStr">
        <is>
          <t>Utility and C&amp;I</t>
        </is>
      </c>
      <c r="E1484" s="1" t="n"/>
      <c r="F1484" s="1" t="inlineStr">
        <is>
          <t>WIP</t>
        </is>
      </c>
      <c r="G1484" s="11" t="inlineStr">
        <is>
          <t>Vasu.N</t>
        </is>
      </c>
      <c r="H1484" s="8" t="n">
        <v>9578099893</v>
      </c>
      <c r="I1484" s="10" t="inlineStr">
        <is>
          <t>PE04062601</t>
        </is>
      </c>
      <c r="J1484" s="28" t="inlineStr">
        <is>
          <t>Module burnt</t>
        </is>
      </c>
      <c r="K1484" s="8" t="inlineStr">
        <is>
          <t>Jatavira</t>
        </is>
      </c>
      <c r="L1484" s="39" t="inlineStr">
        <is>
          <t>Gujarat</t>
        </is>
      </c>
      <c r="M1484" s="2" t="inlineStr">
        <is>
          <t xml:space="preserve">Back glass broken </t>
        </is>
      </c>
      <c r="N1484" s="6" t="inlineStr">
        <is>
          <t>Module Breakage</t>
        </is>
      </c>
      <c r="O1484" s="32" t="n">
        <v>585</v>
      </c>
      <c r="P1484" s="2" t="inlineStr">
        <is>
          <t>NSMI24090466192</t>
        </is>
      </c>
      <c r="Q1484" s="29">
        <f>MID(P1484,5,2)</f>
        <v/>
      </c>
      <c r="R1484" s="14">
        <f>MID(P1484,7,2)</f>
        <v/>
      </c>
      <c r="S1484" s="6" t="inlineStr">
        <is>
          <t>G2G</t>
        </is>
      </c>
      <c r="T1484" s="1" t="inlineStr">
        <is>
          <t>P4 - PEIPL</t>
        </is>
      </c>
      <c r="U1484" s="6" t="inlineStr">
        <is>
          <t>Glass Breakage</t>
        </is>
      </c>
      <c r="V1484" s="1" t="inlineStr">
        <is>
          <t>Inspection</t>
        </is>
      </c>
      <c r="W1484" s="1" t="inlineStr">
        <is>
          <t>WIP</t>
        </is>
      </c>
      <c r="X1484" s="12" t="n"/>
      <c r="Y1484" s="1">
        <f>IF(X1484="","",X1484-A1484)</f>
        <v/>
      </c>
      <c r="Z1484" s="5" t="n">
        <v>46190</v>
      </c>
      <c r="AA1484" s="3" t="n"/>
      <c r="AB1484" s="3" t="n"/>
      <c r="AE1484" s="146">
        <f>IF(AND(F1484="Closed",X1484&gt;=DATE(2026,6,1),X1484&lt;=DATE(2026,6,30)),"Closed in June","other")</f>
        <v/>
      </c>
    </row>
    <row r="1485" hidden="1">
      <c r="A1485" s="49" t="n">
        <v>46177</v>
      </c>
      <c r="B1485" s="1" t="n">
        <v>2026</v>
      </c>
      <c r="C1485" s="8" t="inlineStr">
        <is>
          <t>Ayana</t>
        </is>
      </c>
      <c r="D1485" s="11" t="inlineStr">
        <is>
          <t>Utility and C&amp;I</t>
        </is>
      </c>
      <c r="E1485" s="1" t="n"/>
      <c r="F1485" s="1" t="inlineStr">
        <is>
          <t>WIP</t>
        </is>
      </c>
      <c r="G1485" s="11" t="inlineStr">
        <is>
          <t>Vasu.N</t>
        </is>
      </c>
      <c r="H1485" s="8" t="n">
        <v>9578099893</v>
      </c>
      <c r="I1485" s="10" t="inlineStr">
        <is>
          <t>PE04062601</t>
        </is>
      </c>
      <c r="J1485" s="28" t="inlineStr">
        <is>
          <t>Module burnt</t>
        </is>
      </c>
      <c r="K1485" s="8" t="inlineStr">
        <is>
          <t>Jatavira</t>
        </is>
      </c>
      <c r="L1485" s="39" t="inlineStr">
        <is>
          <t>Gujarat</t>
        </is>
      </c>
      <c r="M1485" s="2" t="inlineStr">
        <is>
          <t xml:space="preserve">Back glass broken </t>
        </is>
      </c>
      <c r="N1485" s="6" t="inlineStr">
        <is>
          <t>Module Breakage</t>
        </is>
      </c>
      <c r="O1485" s="32" t="n">
        <v>585</v>
      </c>
      <c r="P1485" s="2" t="inlineStr">
        <is>
          <t>NSMI24090466156</t>
        </is>
      </c>
      <c r="Q1485" s="29">
        <f>MID(P1485,5,2)</f>
        <v/>
      </c>
      <c r="R1485" s="14">
        <f>MID(P1485,7,2)</f>
        <v/>
      </c>
      <c r="S1485" s="6" t="inlineStr">
        <is>
          <t>G2G</t>
        </is>
      </c>
      <c r="T1485" s="1" t="inlineStr">
        <is>
          <t>P4 - PEIPL</t>
        </is>
      </c>
      <c r="U1485" s="6" t="inlineStr">
        <is>
          <t>Glass Breakage</t>
        </is>
      </c>
      <c r="V1485" s="1" t="inlineStr">
        <is>
          <t>Inspection</t>
        </is>
      </c>
      <c r="W1485" s="1" t="inlineStr">
        <is>
          <t>WIP</t>
        </is>
      </c>
      <c r="X1485" s="12" t="n"/>
      <c r="Y1485" s="1">
        <f>IF(X1485="","",X1485-A1485)</f>
        <v/>
      </c>
      <c r="Z1485" s="5" t="n">
        <v>46190</v>
      </c>
      <c r="AA1485" s="3" t="n"/>
      <c r="AB1485" s="3" t="n"/>
      <c r="AE1485" s="146">
        <f>IF(AND(F1485="Closed",X1485&gt;=DATE(2026,6,1),X1485&lt;=DATE(2026,6,30)),"Closed in June","other")</f>
        <v/>
      </c>
    </row>
    <row r="1486" hidden="1">
      <c r="A1486" s="49" t="n">
        <v>46177</v>
      </c>
      <c r="B1486" s="1" t="n">
        <v>2026</v>
      </c>
      <c r="C1486" s="8" t="inlineStr">
        <is>
          <t>Ayana</t>
        </is>
      </c>
      <c r="D1486" s="11" t="inlineStr">
        <is>
          <t>Utility and C&amp;I</t>
        </is>
      </c>
      <c r="E1486" s="1" t="n"/>
      <c r="F1486" s="1" t="inlineStr">
        <is>
          <t>WIP</t>
        </is>
      </c>
      <c r="G1486" s="11" t="inlineStr">
        <is>
          <t>Vasu.N</t>
        </is>
      </c>
      <c r="H1486" s="8" t="n">
        <v>9578099893</v>
      </c>
      <c r="I1486" s="10" t="inlineStr">
        <is>
          <t>PE04062601</t>
        </is>
      </c>
      <c r="J1486" s="28" t="inlineStr">
        <is>
          <t>Module burnt</t>
        </is>
      </c>
      <c r="K1486" s="8" t="inlineStr">
        <is>
          <t>Jatavira</t>
        </is>
      </c>
      <c r="L1486" s="39" t="inlineStr">
        <is>
          <t>Gujarat</t>
        </is>
      </c>
      <c r="M1486" s="2" t="inlineStr">
        <is>
          <t xml:space="preserve">Back glass broken </t>
        </is>
      </c>
      <c r="N1486" s="6" t="inlineStr">
        <is>
          <t>Module Breakage</t>
        </is>
      </c>
      <c r="O1486" s="32" t="n">
        <v>585</v>
      </c>
      <c r="P1486" s="2" t="inlineStr">
        <is>
          <t>NSMI24090481351</t>
        </is>
      </c>
      <c r="Q1486" s="29">
        <f>MID(P1486,5,2)</f>
        <v/>
      </c>
      <c r="R1486" s="14">
        <f>MID(P1486,7,2)</f>
        <v/>
      </c>
      <c r="S1486" s="6" t="inlineStr">
        <is>
          <t>G2G</t>
        </is>
      </c>
      <c r="T1486" s="1" t="inlineStr">
        <is>
          <t>P4 - PEIPL</t>
        </is>
      </c>
      <c r="U1486" s="6" t="inlineStr">
        <is>
          <t>Glass Breakage</t>
        </is>
      </c>
      <c r="V1486" s="1" t="inlineStr">
        <is>
          <t>Inspection</t>
        </is>
      </c>
      <c r="W1486" s="1" t="inlineStr">
        <is>
          <t>WIP</t>
        </is>
      </c>
      <c r="X1486" s="12" t="n"/>
      <c r="Y1486" s="1">
        <f>IF(X1486="","",X1486-A1486)</f>
        <v/>
      </c>
      <c r="Z1486" s="5" t="n">
        <v>46190</v>
      </c>
      <c r="AA1486" s="3" t="n"/>
      <c r="AB1486" s="3" t="n"/>
      <c r="AE1486" s="146">
        <f>IF(AND(F1486="Closed",X1486&gt;=DATE(2026,6,1),X1486&lt;=DATE(2026,6,30)),"Closed in June","other")</f>
        <v/>
      </c>
    </row>
    <row r="1487" hidden="1">
      <c r="A1487" s="49" t="n">
        <v>46177</v>
      </c>
      <c r="B1487" s="1" t="n">
        <v>2026</v>
      </c>
      <c r="C1487" s="8" t="inlineStr">
        <is>
          <t>Ayana</t>
        </is>
      </c>
      <c r="D1487" s="11" t="inlineStr">
        <is>
          <t>Utility and C&amp;I</t>
        </is>
      </c>
      <c r="E1487" s="1" t="n"/>
      <c r="F1487" s="1" t="inlineStr">
        <is>
          <t>WIP</t>
        </is>
      </c>
      <c r="G1487" s="11" t="inlineStr">
        <is>
          <t>Vasu.N</t>
        </is>
      </c>
      <c r="H1487" s="8" t="n">
        <v>9578099893</v>
      </c>
      <c r="I1487" s="10" t="inlineStr">
        <is>
          <t>PE04062601</t>
        </is>
      </c>
      <c r="J1487" s="28" t="inlineStr">
        <is>
          <t>Module burnt</t>
        </is>
      </c>
      <c r="K1487" s="8" t="inlineStr">
        <is>
          <t>Jatavira</t>
        </is>
      </c>
      <c r="L1487" s="39" t="inlineStr">
        <is>
          <t>Gujarat</t>
        </is>
      </c>
      <c r="M1487" s="2" t="inlineStr">
        <is>
          <t xml:space="preserve">Back glass broken </t>
        </is>
      </c>
      <c r="N1487" s="6" t="inlineStr">
        <is>
          <t>Module Breakage</t>
        </is>
      </c>
      <c r="O1487" s="32" t="n">
        <v>585</v>
      </c>
      <c r="P1487" s="2" t="inlineStr">
        <is>
          <t>NSMI24090481309</t>
        </is>
      </c>
      <c r="Q1487" s="29">
        <f>MID(P1487,5,2)</f>
        <v/>
      </c>
      <c r="R1487" s="14">
        <f>MID(P1487,7,2)</f>
        <v/>
      </c>
      <c r="S1487" s="6" t="inlineStr">
        <is>
          <t>G2G</t>
        </is>
      </c>
      <c r="T1487" s="1" t="inlineStr">
        <is>
          <t>P4 - PEIPL</t>
        </is>
      </c>
      <c r="U1487" s="6" t="inlineStr">
        <is>
          <t>Glass Breakage</t>
        </is>
      </c>
      <c r="V1487" s="1" t="inlineStr">
        <is>
          <t>Inspection</t>
        </is>
      </c>
      <c r="W1487" s="1" t="inlineStr">
        <is>
          <t>WIP</t>
        </is>
      </c>
      <c r="X1487" s="12" t="n"/>
      <c r="Y1487" s="1">
        <f>IF(X1487="","",X1487-A1487)</f>
        <v/>
      </c>
      <c r="Z1487" s="5" t="n">
        <v>46190</v>
      </c>
      <c r="AA1487" s="3" t="n"/>
      <c r="AB1487" s="3" t="n"/>
      <c r="AE1487" s="146">
        <f>IF(AND(F1487="Closed",X1487&gt;=DATE(2026,6,1),X1487&lt;=DATE(2026,6,30)),"Closed in June","other")</f>
        <v/>
      </c>
    </row>
    <row r="1488" hidden="1">
      <c r="A1488" s="49" t="n">
        <v>46177</v>
      </c>
      <c r="B1488" s="1" t="n">
        <v>2026</v>
      </c>
      <c r="C1488" s="8" t="inlineStr">
        <is>
          <t>Ayana</t>
        </is>
      </c>
      <c r="D1488" s="11" t="inlineStr">
        <is>
          <t>Utility and C&amp;I</t>
        </is>
      </c>
      <c r="E1488" s="1" t="n"/>
      <c r="F1488" s="1" t="inlineStr">
        <is>
          <t>WIP</t>
        </is>
      </c>
      <c r="G1488" s="11" t="inlineStr">
        <is>
          <t>Vasu.N</t>
        </is>
      </c>
      <c r="H1488" s="8" t="n">
        <v>9578099893</v>
      </c>
      <c r="I1488" s="10" t="inlineStr">
        <is>
          <t>PE04062601</t>
        </is>
      </c>
      <c r="J1488" s="28" t="inlineStr">
        <is>
          <t>Module burnt</t>
        </is>
      </c>
      <c r="K1488" s="8" t="inlineStr">
        <is>
          <t>Jatavira</t>
        </is>
      </c>
      <c r="L1488" s="39" t="inlineStr">
        <is>
          <t>Gujarat</t>
        </is>
      </c>
      <c r="M1488" s="2" t="inlineStr">
        <is>
          <t xml:space="preserve">Back glass broken </t>
        </is>
      </c>
      <c r="N1488" s="6" t="inlineStr">
        <is>
          <t>Module Breakage</t>
        </is>
      </c>
      <c r="O1488" s="32" t="n">
        <v>585</v>
      </c>
      <c r="P1488" s="2" t="inlineStr">
        <is>
          <t>NSMI24090483108</t>
        </is>
      </c>
      <c r="Q1488" s="29">
        <f>MID(P1488,5,2)</f>
        <v/>
      </c>
      <c r="R1488" s="14">
        <f>MID(P1488,7,2)</f>
        <v/>
      </c>
      <c r="S1488" s="6" t="inlineStr">
        <is>
          <t>G2G</t>
        </is>
      </c>
      <c r="T1488" s="1" t="inlineStr">
        <is>
          <t>P4 - PEIPL</t>
        </is>
      </c>
      <c r="U1488" s="6" t="inlineStr">
        <is>
          <t>Glass Breakage</t>
        </is>
      </c>
      <c r="V1488" s="1" t="inlineStr">
        <is>
          <t>Inspection</t>
        </is>
      </c>
      <c r="W1488" s="1" t="inlineStr">
        <is>
          <t>WIP</t>
        </is>
      </c>
      <c r="X1488" s="12" t="n"/>
      <c r="Y1488" s="1">
        <f>IF(X1488="","",X1488-A1488)</f>
        <v/>
      </c>
      <c r="Z1488" s="5" t="n">
        <v>46190</v>
      </c>
      <c r="AA1488" s="3" t="n"/>
      <c r="AB1488" s="3" t="n"/>
      <c r="AE1488" s="146">
        <f>IF(AND(F1488="Closed",X1488&gt;=DATE(2026,6,1),X1488&lt;=DATE(2026,6,30)),"Closed in June","other")</f>
        <v/>
      </c>
    </row>
    <row r="1489" hidden="1">
      <c r="A1489" s="49" t="n">
        <v>46177</v>
      </c>
      <c r="B1489" s="1" t="n">
        <v>2026</v>
      </c>
      <c r="C1489" s="8" t="inlineStr">
        <is>
          <t>Ayana</t>
        </is>
      </c>
      <c r="D1489" s="11" t="inlineStr">
        <is>
          <t>Utility and C&amp;I</t>
        </is>
      </c>
      <c r="E1489" s="1" t="n"/>
      <c r="F1489" s="1" t="inlineStr">
        <is>
          <t>WIP</t>
        </is>
      </c>
      <c r="G1489" s="11" t="inlineStr">
        <is>
          <t>Vasu.N</t>
        </is>
      </c>
      <c r="H1489" s="8" t="n">
        <v>9578099893</v>
      </c>
      <c r="I1489" s="10" t="inlineStr">
        <is>
          <t>PE04062601</t>
        </is>
      </c>
      <c r="J1489" s="28" t="inlineStr">
        <is>
          <t>Module burnt</t>
        </is>
      </c>
      <c r="K1489" s="8" t="inlineStr">
        <is>
          <t>Jatavira</t>
        </is>
      </c>
      <c r="L1489" s="39" t="inlineStr">
        <is>
          <t>Gujarat</t>
        </is>
      </c>
      <c r="M1489" s="2" t="inlineStr">
        <is>
          <t xml:space="preserve">Back glass broken </t>
        </is>
      </c>
      <c r="N1489" s="6" t="inlineStr">
        <is>
          <t>Module Breakage</t>
        </is>
      </c>
      <c r="O1489" s="32" t="n">
        <v>585</v>
      </c>
      <c r="P1489" s="2" t="inlineStr">
        <is>
          <t>NSMI24090483014</t>
        </is>
      </c>
      <c r="Q1489" s="29">
        <f>MID(P1489,5,2)</f>
        <v/>
      </c>
      <c r="R1489" s="14">
        <f>MID(P1489,7,2)</f>
        <v/>
      </c>
      <c r="S1489" s="6" t="inlineStr">
        <is>
          <t>G2G</t>
        </is>
      </c>
      <c r="T1489" s="1" t="inlineStr">
        <is>
          <t>P4 - PEIPL</t>
        </is>
      </c>
      <c r="U1489" s="6" t="inlineStr">
        <is>
          <t>Glass Breakage</t>
        </is>
      </c>
      <c r="V1489" s="1" t="inlineStr">
        <is>
          <t>Inspection</t>
        </is>
      </c>
      <c r="W1489" s="1" t="inlineStr">
        <is>
          <t>WIP</t>
        </is>
      </c>
      <c r="X1489" s="12" t="n"/>
      <c r="Y1489" s="1">
        <f>IF(X1489="","",X1489-A1489)</f>
        <v/>
      </c>
      <c r="Z1489" s="5" t="n">
        <v>46190</v>
      </c>
      <c r="AA1489" s="3" t="n"/>
      <c r="AB1489" s="3" t="n"/>
      <c r="AE1489" s="146">
        <f>IF(AND(F1489="Closed",X1489&gt;=DATE(2026,6,1),X1489&lt;=DATE(2026,6,30)),"Closed in June","other")</f>
        <v/>
      </c>
    </row>
    <row r="1490" hidden="1">
      <c r="A1490" s="49" t="n">
        <v>46177</v>
      </c>
      <c r="B1490" s="1" t="n">
        <v>2026</v>
      </c>
      <c r="C1490" s="8" t="inlineStr">
        <is>
          <t>Ayana</t>
        </is>
      </c>
      <c r="D1490" s="11" t="inlineStr">
        <is>
          <t>Utility and C&amp;I</t>
        </is>
      </c>
      <c r="E1490" s="1" t="n"/>
      <c r="F1490" s="1" t="inlineStr">
        <is>
          <t>WIP</t>
        </is>
      </c>
      <c r="G1490" s="11" t="inlineStr">
        <is>
          <t>Vasu.N</t>
        </is>
      </c>
      <c r="H1490" s="8" t="n">
        <v>9578099893</v>
      </c>
      <c r="I1490" s="10" t="inlineStr">
        <is>
          <t>PE04062601</t>
        </is>
      </c>
      <c r="J1490" s="28" t="inlineStr">
        <is>
          <t>Module burnt</t>
        </is>
      </c>
      <c r="K1490" s="8" t="inlineStr">
        <is>
          <t>Jatavira</t>
        </is>
      </c>
      <c r="L1490" s="39" t="inlineStr">
        <is>
          <t>Gujarat</t>
        </is>
      </c>
      <c r="M1490" s="2" t="inlineStr">
        <is>
          <t xml:space="preserve">Back glass broken </t>
        </is>
      </c>
      <c r="N1490" s="6" t="inlineStr">
        <is>
          <t>Module Breakage</t>
        </is>
      </c>
      <c r="O1490" s="32" t="n">
        <v>585</v>
      </c>
      <c r="P1490" s="2" t="inlineStr">
        <is>
          <t>NSMI24090431419</t>
        </is>
      </c>
      <c r="Q1490" s="29">
        <f>MID(P1490,5,2)</f>
        <v/>
      </c>
      <c r="R1490" s="14">
        <f>MID(P1490,7,2)</f>
        <v/>
      </c>
      <c r="S1490" s="6" t="inlineStr">
        <is>
          <t>G2G</t>
        </is>
      </c>
      <c r="T1490" s="1" t="inlineStr">
        <is>
          <t>P4 - PEIPL</t>
        </is>
      </c>
      <c r="U1490" s="6" t="inlineStr">
        <is>
          <t>Glass Breakage</t>
        </is>
      </c>
      <c r="V1490" s="1" t="inlineStr">
        <is>
          <t>Inspection</t>
        </is>
      </c>
      <c r="W1490" s="1" t="inlineStr">
        <is>
          <t>WIP</t>
        </is>
      </c>
      <c r="X1490" s="12" t="n"/>
      <c r="Y1490" s="1">
        <f>IF(X1490="","",X1490-A1490)</f>
        <v/>
      </c>
      <c r="Z1490" s="5" t="n">
        <v>46190</v>
      </c>
      <c r="AA1490" s="3" t="n"/>
      <c r="AB1490" s="3" t="n"/>
      <c r="AE1490" s="146">
        <f>IF(AND(F1490="Closed",X1490&gt;=DATE(2026,6,1),X1490&lt;=DATE(2026,6,30)),"Closed in June","other")</f>
        <v/>
      </c>
    </row>
    <row r="1491" hidden="1">
      <c r="A1491" s="49" t="n">
        <v>46177</v>
      </c>
      <c r="B1491" s="1" t="n">
        <v>2026</v>
      </c>
      <c r="C1491" s="8" t="inlineStr">
        <is>
          <t>Ayana</t>
        </is>
      </c>
      <c r="D1491" s="11" t="inlineStr">
        <is>
          <t>Utility and C&amp;I</t>
        </is>
      </c>
      <c r="E1491" s="1" t="n"/>
      <c r="F1491" s="1" t="inlineStr">
        <is>
          <t>WIP</t>
        </is>
      </c>
      <c r="G1491" s="11" t="inlineStr">
        <is>
          <t>Vasu.N</t>
        </is>
      </c>
      <c r="H1491" s="8" t="n">
        <v>9578099893</v>
      </c>
      <c r="I1491" s="10" t="inlineStr">
        <is>
          <t>PE04062601</t>
        </is>
      </c>
      <c r="J1491" s="28" t="inlineStr">
        <is>
          <t>Module burnt</t>
        </is>
      </c>
      <c r="K1491" s="8" t="inlineStr">
        <is>
          <t>Jatavira</t>
        </is>
      </c>
      <c r="L1491" s="39" t="inlineStr">
        <is>
          <t>Gujarat</t>
        </is>
      </c>
      <c r="M1491" s="2" t="inlineStr">
        <is>
          <t xml:space="preserve">Back glass broken </t>
        </is>
      </c>
      <c r="N1491" s="6" t="inlineStr">
        <is>
          <t>Module Breakage</t>
        </is>
      </c>
      <c r="O1491" s="32" t="n">
        <v>585</v>
      </c>
      <c r="P1491" s="2" t="inlineStr">
        <is>
          <t>NSMI24090454659</t>
        </is>
      </c>
      <c r="Q1491" s="29">
        <f>MID(P1491,5,2)</f>
        <v/>
      </c>
      <c r="R1491" s="14">
        <f>MID(P1491,7,2)</f>
        <v/>
      </c>
      <c r="S1491" s="6" t="inlineStr">
        <is>
          <t>G2G</t>
        </is>
      </c>
      <c r="T1491" s="1" t="inlineStr">
        <is>
          <t>P4 - PEIPL</t>
        </is>
      </c>
      <c r="U1491" s="6" t="inlineStr">
        <is>
          <t>Glass Breakage</t>
        </is>
      </c>
      <c r="V1491" s="1" t="inlineStr">
        <is>
          <t>Inspection</t>
        </is>
      </c>
      <c r="W1491" s="1" t="inlineStr">
        <is>
          <t>WIP</t>
        </is>
      </c>
      <c r="X1491" s="12" t="n"/>
      <c r="Y1491" s="1">
        <f>IF(X1491="","",X1491-A1491)</f>
        <v/>
      </c>
      <c r="Z1491" s="5" t="n">
        <v>46190</v>
      </c>
      <c r="AA1491" s="3" t="n"/>
      <c r="AB1491" s="3" t="n"/>
      <c r="AE1491" s="146">
        <f>IF(AND(F1491="Closed",X1491&gt;=DATE(2026,6,1),X1491&lt;=DATE(2026,6,30)),"Closed in June","other")</f>
        <v/>
      </c>
    </row>
    <row r="1492" hidden="1">
      <c r="A1492" s="49" t="n">
        <v>46177</v>
      </c>
      <c r="B1492" s="1" t="n">
        <v>2026</v>
      </c>
      <c r="C1492" s="8" t="inlineStr">
        <is>
          <t>Ayana</t>
        </is>
      </c>
      <c r="D1492" s="11" t="inlineStr">
        <is>
          <t>Utility and C&amp;I</t>
        </is>
      </c>
      <c r="E1492" s="1" t="n"/>
      <c r="F1492" s="1" t="inlineStr">
        <is>
          <t>WIP</t>
        </is>
      </c>
      <c r="G1492" s="11" t="inlineStr">
        <is>
          <t>Vasu.N</t>
        </is>
      </c>
      <c r="H1492" s="8" t="n">
        <v>9578099893</v>
      </c>
      <c r="I1492" s="10" t="inlineStr">
        <is>
          <t>PE04062601</t>
        </is>
      </c>
      <c r="J1492" s="28" t="inlineStr">
        <is>
          <t>Module burnt</t>
        </is>
      </c>
      <c r="K1492" s="8" t="inlineStr">
        <is>
          <t>Jatavira</t>
        </is>
      </c>
      <c r="L1492" s="39" t="inlineStr">
        <is>
          <t>Gujarat</t>
        </is>
      </c>
      <c r="M1492" s="2" t="inlineStr">
        <is>
          <t xml:space="preserve">Back glass broken </t>
        </is>
      </c>
      <c r="N1492" s="6" t="inlineStr">
        <is>
          <t>Module Breakage</t>
        </is>
      </c>
      <c r="O1492" s="32" t="n">
        <v>585</v>
      </c>
      <c r="P1492" s="2" t="inlineStr">
        <is>
          <t>NSMI24090465220</t>
        </is>
      </c>
      <c r="Q1492" s="29">
        <f>MID(P1492,5,2)</f>
        <v/>
      </c>
      <c r="R1492" s="14">
        <f>MID(P1492,7,2)</f>
        <v/>
      </c>
      <c r="S1492" s="6" t="inlineStr">
        <is>
          <t>G2G</t>
        </is>
      </c>
      <c r="T1492" s="1" t="inlineStr">
        <is>
          <t>P4 - PEIPL</t>
        </is>
      </c>
      <c r="U1492" s="6" t="inlineStr">
        <is>
          <t>Glass Breakage</t>
        </is>
      </c>
      <c r="V1492" s="1" t="inlineStr">
        <is>
          <t>Inspection</t>
        </is>
      </c>
      <c r="W1492" s="1" t="inlineStr">
        <is>
          <t>WIP</t>
        </is>
      </c>
      <c r="X1492" s="12" t="n"/>
      <c r="Y1492" s="1">
        <f>IF(X1492="","",X1492-A1492)</f>
        <v/>
      </c>
      <c r="Z1492" s="5" t="n">
        <v>46190</v>
      </c>
      <c r="AA1492" s="3" t="n"/>
      <c r="AB1492" s="3" t="n"/>
      <c r="AE1492" s="146">
        <f>IF(AND(F1492="Closed",X1492&gt;=DATE(2026,6,1),X1492&lt;=DATE(2026,6,30)),"Closed in June","other")</f>
        <v/>
      </c>
    </row>
    <row r="1493" hidden="1">
      <c r="A1493" s="49" t="n">
        <v>46177</v>
      </c>
      <c r="B1493" s="1" t="n">
        <v>2026</v>
      </c>
      <c r="C1493" s="8" t="inlineStr">
        <is>
          <t>Ayana</t>
        </is>
      </c>
      <c r="D1493" s="11" t="inlineStr">
        <is>
          <t>Utility and C&amp;I</t>
        </is>
      </c>
      <c r="E1493" s="1" t="n"/>
      <c r="F1493" s="1" t="inlineStr">
        <is>
          <t>WIP</t>
        </is>
      </c>
      <c r="G1493" s="11" t="inlineStr">
        <is>
          <t>Vasu.N</t>
        </is>
      </c>
      <c r="H1493" s="8" t="n">
        <v>9578099893</v>
      </c>
      <c r="I1493" s="10" t="inlineStr">
        <is>
          <t>PE04062601</t>
        </is>
      </c>
      <c r="J1493" s="28" t="inlineStr">
        <is>
          <t>Module burnt</t>
        </is>
      </c>
      <c r="K1493" s="8" t="inlineStr">
        <is>
          <t>Jatavira</t>
        </is>
      </c>
      <c r="L1493" s="39" t="inlineStr">
        <is>
          <t>Gujarat</t>
        </is>
      </c>
      <c r="M1493" s="2" t="inlineStr">
        <is>
          <t xml:space="preserve">Back glass broken </t>
        </is>
      </c>
      <c r="N1493" s="6" t="inlineStr">
        <is>
          <t>Module Breakage</t>
        </is>
      </c>
      <c r="O1493" s="32" t="n">
        <v>585</v>
      </c>
      <c r="P1493" s="2" t="inlineStr">
        <is>
          <t>NSMI24090468386</t>
        </is>
      </c>
      <c r="Q1493" s="29">
        <f>MID(P1493,5,2)</f>
        <v/>
      </c>
      <c r="R1493" s="14">
        <f>MID(P1493,7,2)</f>
        <v/>
      </c>
      <c r="S1493" s="6" t="inlineStr">
        <is>
          <t>G2G</t>
        </is>
      </c>
      <c r="T1493" s="1" t="inlineStr">
        <is>
          <t>P4 - PEIPL</t>
        </is>
      </c>
      <c r="U1493" s="6" t="inlineStr">
        <is>
          <t>Glass Breakage</t>
        </is>
      </c>
      <c r="V1493" s="1" t="inlineStr">
        <is>
          <t>Inspection</t>
        </is>
      </c>
      <c r="W1493" s="1" t="inlineStr">
        <is>
          <t>WIP</t>
        </is>
      </c>
      <c r="X1493" s="12" t="n"/>
      <c r="Y1493" s="1">
        <f>IF(X1493="","",X1493-A1493)</f>
        <v/>
      </c>
      <c r="Z1493" s="5" t="n">
        <v>46190</v>
      </c>
      <c r="AA1493" s="3" t="n"/>
      <c r="AB1493" s="3" t="n"/>
      <c r="AE1493" s="146">
        <f>IF(AND(F1493="Closed",X1493&gt;=DATE(2026,6,1),X1493&lt;=DATE(2026,6,30)),"Closed in June","other")</f>
        <v/>
      </c>
    </row>
    <row r="1494" hidden="1">
      <c r="A1494" s="49" t="n">
        <v>46177</v>
      </c>
      <c r="B1494" s="1" t="n">
        <v>2026</v>
      </c>
      <c r="C1494" s="8" t="inlineStr">
        <is>
          <t>Ayana</t>
        </is>
      </c>
      <c r="D1494" s="11" t="inlineStr">
        <is>
          <t>Utility and C&amp;I</t>
        </is>
      </c>
      <c r="E1494" s="1" t="n"/>
      <c r="F1494" s="1" t="inlineStr">
        <is>
          <t>WIP</t>
        </is>
      </c>
      <c r="G1494" s="11" t="inlineStr">
        <is>
          <t>Vasu.N</t>
        </is>
      </c>
      <c r="H1494" s="8" t="n">
        <v>9578099893</v>
      </c>
      <c r="I1494" s="10" t="inlineStr">
        <is>
          <t>PE04062601</t>
        </is>
      </c>
      <c r="J1494" s="28" t="inlineStr">
        <is>
          <t>Module burnt</t>
        </is>
      </c>
      <c r="K1494" s="8" t="inlineStr">
        <is>
          <t>Jatavira</t>
        </is>
      </c>
      <c r="L1494" s="39" t="inlineStr">
        <is>
          <t>Gujarat</t>
        </is>
      </c>
      <c r="M1494" s="2" t="inlineStr">
        <is>
          <t xml:space="preserve">Back glass broken </t>
        </is>
      </c>
      <c r="N1494" s="6" t="inlineStr">
        <is>
          <t>Module Breakage</t>
        </is>
      </c>
      <c r="O1494" s="32" t="n">
        <v>585</v>
      </c>
      <c r="P1494" s="2" t="inlineStr">
        <is>
          <t>NSMI24090486962</t>
        </is>
      </c>
      <c r="Q1494" s="29">
        <f>MID(P1494,5,2)</f>
        <v/>
      </c>
      <c r="R1494" s="14">
        <f>MID(P1494,7,2)</f>
        <v/>
      </c>
      <c r="S1494" s="6" t="inlineStr">
        <is>
          <t>G2G</t>
        </is>
      </c>
      <c r="T1494" s="1" t="inlineStr">
        <is>
          <t>P4 - PEIPL</t>
        </is>
      </c>
      <c r="U1494" s="6" t="inlineStr">
        <is>
          <t>Glass Breakage</t>
        </is>
      </c>
      <c r="V1494" s="1" t="inlineStr">
        <is>
          <t>Inspection</t>
        </is>
      </c>
      <c r="W1494" s="1" t="inlineStr">
        <is>
          <t>WIP</t>
        </is>
      </c>
      <c r="X1494" s="12" t="n"/>
      <c r="Y1494" s="1">
        <f>IF(X1494="","",X1494-A1494)</f>
        <v/>
      </c>
      <c r="Z1494" s="5" t="n">
        <v>46190</v>
      </c>
      <c r="AA1494" s="3" t="n"/>
      <c r="AB1494" s="3" t="n"/>
      <c r="AE1494" s="146">
        <f>IF(AND(F1494="Closed",X1494&gt;=DATE(2026,6,1),X1494&lt;=DATE(2026,6,30)),"Closed in June","other")</f>
        <v/>
      </c>
    </row>
    <row r="1495" hidden="1">
      <c r="A1495" s="49" t="n">
        <v>46177</v>
      </c>
      <c r="B1495" s="1" t="n">
        <v>2026</v>
      </c>
      <c r="C1495" s="8" t="inlineStr">
        <is>
          <t>Ayana</t>
        </is>
      </c>
      <c r="D1495" s="11" t="inlineStr">
        <is>
          <t>Utility and C&amp;I</t>
        </is>
      </c>
      <c r="E1495" s="1" t="n"/>
      <c r="F1495" s="1" t="inlineStr">
        <is>
          <t>WIP</t>
        </is>
      </c>
      <c r="G1495" s="11" t="inlineStr">
        <is>
          <t>Vasu.N</t>
        </is>
      </c>
      <c r="H1495" s="8" t="n">
        <v>9578099893</v>
      </c>
      <c r="I1495" s="10" t="inlineStr">
        <is>
          <t>PE04062601</t>
        </is>
      </c>
      <c r="J1495" s="28" t="inlineStr">
        <is>
          <t>Module burnt</t>
        </is>
      </c>
      <c r="K1495" s="8" t="inlineStr">
        <is>
          <t>Jatavira</t>
        </is>
      </c>
      <c r="L1495" s="39" t="inlineStr">
        <is>
          <t>Gujarat</t>
        </is>
      </c>
      <c r="M1495" s="2" t="inlineStr">
        <is>
          <t xml:space="preserve">Back glass broken </t>
        </is>
      </c>
      <c r="N1495" s="6" t="inlineStr">
        <is>
          <t>Module Breakage</t>
        </is>
      </c>
      <c r="O1495" s="32" t="n">
        <v>585</v>
      </c>
      <c r="P1495" s="2" t="inlineStr">
        <is>
          <t>NSMI24090453011</t>
        </is>
      </c>
      <c r="Q1495" s="29">
        <f>MID(P1495,5,2)</f>
        <v/>
      </c>
      <c r="R1495" s="14">
        <f>MID(P1495,7,2)</f>
        <v/>
      </c>
      <c r="S1495" s="6" t="inlineStr">
        <is>
          <t>G2G</t>
        </is>
      </c>
      <c r="T1495" s="1" t="inlineStr">
        <is>
          <t>P4 - PEIPL</t>
        </is>
      </c>
      <c r="U1495" s="6" t="inlineStr">
        <is>
          <t>Glass Breakage</t>
        </is>
      </c>
      <c r="V1495" s="1" t="inlineStr">
        <is>
          <t>Inspection</t>
        </is>
      </c>
      <c r="W1495" s="1" t="inlineStr">
        <is>
          <t>WIP</t>
        </is>
      </c>
      <c r="X1495" s="12" t="n"/>
      <c r="Y1495" s="1">
        <f>IF(X1495="","",X1495-A1495)</f>
        <v/>
      </c>
      <c r="Z1495" s="5" t="n">
        <v>46190</v>
      </c>
      <c r="AA1495" s="3" t="n"/>
      <c r="AB1495" s="3" t="n"/>
      <c r="AE1495" s="146">
        <f>IF(AND(F1495="Closed",X1495&gt;=DATE(2026,6,1),X1495&lt;=DATE(2026,6,30)),"Closed in June","other")</f>
        <v/>
      </c>
    </row>
    <row r="1496" hidden="1">
      <c r="A1496" s="49" t="n">
        <v>46177</v>
      </c>
      <c r="B1496" s="1" t="n">
        <v>2026</v>
      </c>
      <c r="C1496" s="8" t="inlineStr">
        <is>
          <t>Ayana</t>
        </is>
      </c>
      <c r="D1496" s="11" t="inlineStr">
        <is>
          <t>Utility and C&amp;I</t>
        </is>
      </c>
      <c r="E1496" s="1" t="n"/>
      <c r="F1496" s="1" t="inlineStr">
        <is>
          <t>WIP</t>
        </is>
      </c>
      <c r="G1496" s="11" t="inlineStr">
        <is>
          <t>Vasu.N</t>
        </is>
      </c>
      <c r="H1496" s="8" t="n">
        <v>9578099893</v>
      </c>
      <c r="I1496" s="10" t="inlineStr">
        <is>
          <t>PE04062601</t>
        </is>
      </c>
      <c r="J1496" s="28" t="inlineStr">
        <is>
          <t>Module burnt</t>
        </is>
      </c>
      <c r="K1496" s="8" t="inlineStr">
        <is>
          <t>Jatavira</t>
        </is>
      </c>
      <c r="L1496" s="39" t="inlineStr">
        <is>
          <t>Gujarat</t>
        </is>
      </c>
      <c r="M1496" s="2" t="inlineStr">
        <is>
          <t xml:space="preserve">Back glass broken </t>
        </is>
      </c>
      <c r="N1496" s="6" t="inlineStr">
        <is>
          <t>Module Breakage</t>
        </is>
      </c>
      <c r="O1496" s="32" t="n">
        <v>585</v>
      </c>
      <c r="P1496" s="2" t="inlineStr">
        <is>
          <t>NSMI24090431480</t>
        </is>
      </c>
      <c r="Q1496" s="29">
        <f>MID(P1496,5,2)</f>
        <v/>
      </c>
      <c r="R1496" s="14">
        <f>MID(P1496,7,2)</f>
        <v/>
      </c>
      <c r="S1496" s="6" t="inlineStr">
        <is>
          <t>G2G</t>
        </is>
      </c>
      <c r="T1496" s="1" t="inlineStr">
        <is>
          <t>P4 - PEIPL</t>
        </is>
      </c>
      <c r="U1496" s="6" t="inlineStr">
        <is>
          <t>Glass Breakage</t>
        </is>
      </c>
      <c r="V1496" s="1" t="inlineStr">
        <is>
          <t>Inspection</t>
        </is>
      </c>
      <c r="W1496" s="1" t="inlineStr">
        <is>
          <t>WIP</t>
        </is>
      </c>
      <c r="X1496" s="12" t="n"/>
      <c r="Y1496" s="1">
        <f>IF(X1496="","",X1496-A1496)</f>
        <v/>
      </c>
      <c r="Z1496" s="5" t="n">
        <v>46190</v>
      </c>
      <c r="AA1496" s="3" t="n"/>
      <c r="AB1496" s="3" t="n"/>
      <c r="AE1496" s="146">
        <f>IF(AND(F1496="Closed",X1496&gt;=DATE(2026,6,1),X1496&lt;=DATE(2026,6,30)),"Closed in June","other")</f>
        <v/>
      </c>
    </row>
    <row r="1497" hidden="1">
      <c r="A1497" s="49" t="n">
        <v>46177</v>
      </c>
      <c r="B1497" s="1" t="n">
        <v>2026</v>
      </c>
      <c r="C1497" s="8" t="inlineStr">
        <is>
          <t>Ayana</t>
        </is>
      </c>
      <c r="D1497" s="11" t="inlineStr">
        <is>
          <t>Utility and C&amp;I</t>
        </is>
      </c>
      <c r="E1497" s="1" t="n"/>
      <c r="F1497" s="1" t="inlineStr">
        <is>
          <t>WIP</t>
        </is>
      </c>
      <c r="G1497" s="11" t="inlineStr">
        <is>
          <t>Vasu.N</t>
        </is>
      </c>
      <c r="H1497" s="8" t="n">
        <v>9578099893</v>
      </c>
      <c r="I1497" s="10" t="inlineStr">
        <is>
          <t>PE04062601</t>
        </is>
      </c>
      <c r="J1497" s="28" t="inlineStr">
        <is>
          <t>Module burnt</t>
        </is>
      </c>
      <c r="K1497" s="8" t="inlineStr">
        <is>
          <t>Jatavira</t>
        </is>
      </c>
      <c r="L1497" s="39" t="inlineStr">
        <is>
          <t>Gujarat</t>
        </is>
      </c>
      <c r="M1497" s="2" t="inlineStr">
        <is>
          <t xml:space="preserve">Back glass broken </t>
        </is>
      </c>
      <c r="N1497" s="6" t="inlineStr">
        <is>
          <t>Module Breakage</t>
        </is>
      </c>
      <c r="O1497" s="32" t="n">
        <v>585</v>
      </c>
      <c r="P1497" s="2" t="inlineStr">
        <is>
          <t>NSMI24090431440</t>
        </is>
      </c>
      <c r="Q1497" s="29">
        <f>MID(P1497,5,2)</f>
        <v/>
      </c>
      <c r="R1497" s="14">
        <f>MID(P1497,7,2)</f>
        <v/>
      </c>
      <c r="S1497" s="6" t="inlineStr">
        <is>
          <t>G2G</t>
        </is>
      </c>
      <c r="T1497" s="1" t="inlineStr">
        <is>
          <t>P4 - PEIPL</t>
        </is>
      </c>
      <c r="U1497" s="6" t="inlineStr">
        <is>
          <t>Glass Breakage</t>
        </is>
      </c>
      <c r="V1497" s="1" t="inlineStr">
        <is>
          <t>Inspection</t>
        </is>
      </c>
      <c r="W1497" s="1" t="inlineStr">
        <is>
          <t>WIP</t>
        </is>
      </c>
      <c r="X1497" s="12" t="n"/>
      <c r="Y1497" s="1">
        <f>IF(X1497="","",X1497-A1497)</f>
        <v/>
      </c>
      <c r="Z1497" s="5" t="n">
        <v>46190</v>
      </c>
      <c r="AA1497" s="3" t="n"/>
      <c r="AB1497" s="3" t="n"/>
      <c r="AE1497" s="146">
        <f>IF(AND(F1497="Closed",X1497&gt;=DATE(2026,6,1),X1497&lt;=DATE(2026,6,30)),"Closed in June","other")</f>
        <v/>
      </c>
    </row>
    <row r="1498" hidden="1">
      <c r="A1498" s="49" t="n">
        <v>46177</v>
      </c>
      <c r="B1498" s="1" t="n">
        <v>2026</v>
      </c>
      <c r="C1498" s="8" t="inlineStr">
        <is>
          <t>Ayana</t>
        </is>
      </c>
      <c r="D1498" s="11" t="inlineStr">
        <is>
          <t>Utility and C&amp;I</t>
        </is>
      </c>
      <c r="E1498" s="1" t="n"/>
      <c r="F1498" s="1" t="inlineStr">
        <is>
          <t>WIP</t>
        </is>
      </c>
      <c r="G1498" s="11" t="inlineStr">
        <is>
          <t>Vasu.N</t>
        </is>
      </c>
      <c r="H1498" s="8" t="n">
        <v>9578099893</v>
      </c>
      <c r="I1498" s="10" t="inlineStr">
        <is>
          <t>PE04062601</t>
        </is>
      </c>
      <c r="J1498" s="28" t="inlineStr">
        <is>
          <t>Module burnt</t>
        </is>
      </c>
      <c r="K1498" s="8" t="inlineStr">
        <is>
          <t>Jatavira</t>
        </is>
      </c>
      <c r="L1498" s="39" t="inlineStr">
        <is>
          <t>Gujarat</t>
        </is>
      </c>
      <c r="M1498" s="2" t="inlineStr">
        <is>
          <t xml:space="preserve">Back glass broken </t>
        </is>
      </c>
      <c r="N1498" s="6" t="inlineStr">
        <is>
          <t>Module Breakage</t>
        </is>
      </c>
      <c r="O1498" s="32" t="n">
        <v>585</v>
      </c>
      <c r="P1498" s="2" t="inlineStr">
        <is>
          <t>NSMI24090431463</t>
        </is>
      </c>
      <c r="Q1498" s="29">
        <f>MID(P1498,5,2)</f>
        <v/>
      </c>
      <c r="R1498" s="14">
        <f>MID(P1498,7,2)</f>
        <v/>
      </c>
      <c r="S1498" s="6" t="inlineStr">
        <is>
          <t>G2G</t>
        </is>
      </c>
      <c r="T1498" s="1" t="inlineStr">
        <is>
          <t>P4 - PEIPL</t>
        </is>
      </c>
      <c r="U1498" s="6" t="inlineStr">
        <is>
          <t>Glass Breakage</t>
        </is>
      </c>
      <c r="V1498" s="1" t="inlineStr">
        <is>
          <t>Inspection</t>
        </is>
      </c>
      <c r="W1498" s="1" t="inlineStr">
        <is>
          <t>WIP</t>
        </is>
      </c>
      <c r="X1498" s="12" t="n"/>
      <c r="Y1498" s="1">
        <f>IF(X1498="","",X1498-A1498)</f>
        <v/>
      </c>
      <c r="Z1498" s="5" t="n">
        <v>46190</v>
      </c>
      <c r="AA1498" s="3" t="n"/>
      <c r="AB1498" s="3" t="n"/>
      <c r="AE1498" s="146">
        <f>IF(AND(F1498="Closed",X1498&gt;=DATE(2026,6,1),X1498&lt;=DATE(2026,6,30)),"Closed in June","other")</f>
        <v/>
      </c>
    </row>
    <row r="1499" hidden="1">
      <c r="A1499" s="49" t="n">
        <v>46177</v>
      </c>
      <c r="B1499" s="1" t="n">
        <v>2026</v>
      </c>
      <c r="C1499" s="8" t="inlineStr">
        <is>
          <t>Ayana</t>
        </is>
      </c>
      <c r="D1499" s="11" t="inlineStr">
        <is>
          <t>Utility and C&amp;I</t>
        </is>
      </c>
      <c r="E1499" s="1" t="n"/>
      <c r="F1499" s="1" t="inlineStr">
        <is>
          <t>WIP</t>
        </is>
      </c>
      <c r="G1499" s="11" t="inlineStr">
        <is>
          <t>Vasu.N</t>
        </is>
      </c>
      <c r="H1499" s="8" t="n">
        <v>9578099893</v>
      </c>
      <c r="I1499" s="10" t="inlineStr">
        <is>
          <t>PE04062601</t>
        </is>
      </c>
      <c r="J1499" s="28" t="inlineStr">
        <is>
          <t>Module burnt</t>
        </is>
      </c>
      <c r="K1499" s="8" t="inlineStr">
        <is>
          <t>Jatavira</t>
        </is>
      </c>
      <c r="L1499" s="39" t="inlineStr">
        <is>
          <t>Gujarat</t>
        </is>
      </c>
      <c r="M1499" s="2" t="inlineStr">
        <is>
          <t xml:space="preserve">Back glass broken </t>
        </is>
      </c>
      <c r="N1499" s="6" t="inlineStr">
        <is>
          <t>Module Breakage</t>
        </is>
      </c>
      <c r="O1499" s="32" t="n">
        <v>585</v>
      </c>
      <c r="P1499" s="2" t="inlineStr">
        <is>
          <t>NSMI24090456655</t>
        </is>
      </c>
      <c r="Q1499" s="29">
        <f>MID(P1499,5,2)</f>
        <v/>
      </c>
      <c r="R1499" s="14">
        <f>MID(P1499,7,2)</f>
        <v/>
      </c>
      <c r="S1499" s="6" t="inlineStr">
        <is>
          <t>G2G</t>
        </is>
      </c>
      <c r="T1499" s="1" t="inlineStr">
        <is>
          <t>P4 - PEIPL</t>
        </is>
      </c>
      <c r="U1499" s="6" t="inlineStr">
        <is>
          <t>Glass Breakage</t>
        </is>
      </c>
      <c r="V1499" s="1" t="inlineStr">
        <is>
          <t>Inspection</t>
        </is>
      </c>
      <c r="W1499" s="1" t="inlineStr">
        <is>
          <t>WIP</t>
        </is>
      </c>
      <c r="X1499" s="12" t="n"/>
      <c r="Y1499" s="1">
        <f>IF(X1499="","",X1499-A1499)</f>
        <v/>
      </c>
      <c r="Z1499" s="5" t="n">
        <v>46190</v>
      </c>
      <c r="AA1499" s="3" t="n"/>
      <c r="AB1499" s="3" t="n"/>
      <c r="AE1499" s="146">
        <f>IF(AND(F1499="Closed",X1499&gt;=DATE(2026,6,1),X1499&lt;=DATE(2026,6,30)),"Closed in June","other")</f>
        <v/>
      </c>
    </row>
    <row r="1500" hidden="1">
      <c r="A1500" s="9" t="n">
        <v>46106</v>
      </c>
      <c r="B1500" s="1" t="n">
        <v>2026</v>
      </c>
      <c r="C1500" s="8" t="inlineStr">
        <is>
          <t>Asian Fab Tec Ltd</t>
        </is>
      </c>
      <c r="D1500" s="8" t="inlineStr">
        <is>
          <t>Utility and C&amp;I</t>
        </is>
      </c>
      <c r="E1500" s="1" t="n"/>
      <c r="F1500" s="1" t="inlineStr">
        <is>
          <t>Closed</t>
        </is>
      </c>
      <c r="G1500" s="8" t="inlineStr">
        <is>
          <t>Prakash Reddy</t>
        </is>
      </c>
      <c r="H1500" s="8" t="n">
        <v>9945239707</v>
      </c>
      <c r="I1500" s="26" t="inlineStr">
        <is>
          <t>PE25032602</t>
        </is>
      </c>
      <c r="J1500" s="42" t="inlineStr">
        <is>
          <t xml:space="preserve">Junction Box burnt </t>
        </is>
      </c>
      <c r="K1500" s="8" t="inlineStr">
        <is>
          <t>Bangalore</t>
        </is>
      </c>
      <c r="L1500" s="39" t="inlineStr">
        <is>
          <t>Karnataka</t>
        </is>
      </c>
      <c r="M1500" s="34" t="inlineStr">
        <is>
          <t>JB Replaced</t>
        </is>
      </c>
      <c r="N1500" s="6" t="inlineStr">
        <is>
          <t>JB Issue</t>
        </is>
      </c>
      <c r="O1500" s="39" t="inlineStr">
        <is>
          <t>NA</t>
        </is>
      </c>
      <c r="P1500" s="34" t="inlineStr">
        <is>
          <t>NSM191207583</t>
        </is>
      </c>
      <c r="Q1500" s="29">
        <f>MID(P1500,4,2)</f>
        <v/>
      </c>
      <c r="R1500" s="14">
        <f>MID(P1500,6,2)</f>
        <v/>
      </c>
      <c r="S1500" s="6" t="inlineStr">
        <is>
          <t>G2B</t>
        </is>
      </c>
      <c r="T1500" s="6" t="inlineStr">
        <is>
          <t>NA</t>
        </is>
      </c>
      <c r="U1500" s="6" t="inlineStr">
        <is>
          <t>JB Issue</t>
        </is>
      </c>
      <c r="V1500" s="1" t="inlineStr">
        <is>
          <t>Inspection</t>
        </is>
      </c>
      <c r="W1500" s="1" t="inlineStr">
        <is>
          <t>Repair</t>
        </is>
      </c>
      <c r="X1500" s="5" t="n">
        <v>46191</v>
      </c>
      <c r="Y1500" s="1">
        <f>IF(X1500="","",X1500-A1500)</f>
        <v/>
      </c>
      <c r="Z1500" s="5" t="n">
        <v>46191</v>
      </c>
      <c r="AA1500" s="3" t="n"/>
      <c r="AB1500" s="3" t="n"/>
      <c r="AE1500" s="146">
        <f>IF(AND(F1500="Closed",X1500&gt;=DATE(2026,6,1),X1500&lt;=DATE(2026,6,30)),"Closed in June","other")</f>
        <v/>
      </c>
    </row>
    <row r="1501" hidden="1">
      <c r="A1501" s="9" t="n">
        <v>46106</v>
      </c>
      <c r="B1501" s="1" t="n">
        <v>2026</v>
      </c>
      <c r="C1501" s="8" t="inlineStr">
        <is>
          <t>Asian Fab Tec Ltd</t>
        </is>
      </c>
      <c r="D1501" s="8" t="inlineStr">
        <is>
          <t>Utility and C&amp;I</t>
        </is>
      </c>
      <c r="E1501" s="1" t="n"/>
      <c r="F1501" s="1" t="inlineStr">
        <is>
          <t>Closed</t>
        </is>
      </c>
      <c r="G1501" s="8" t="inlineStr">
        <is>
          <t>Prakash Reddy</t>
        </is>
      </c>
      <c r="H1501" s="8" t="n">
        <v>9945239707</v>
      </c>
      <c r="I1501" s="26" t="inlineStr">
        <is>
          <t>PE25032602</t>
        </is>
      </c>
      <c r="J1501" s="42" t="inlineStr">
        <is>
          <t xml:space="preserve">Junction Box burnt </t>
        </is>
      </c>
      <c r="K1501" s="8" t="inlineStr">
        <is>
          <t>Bangalore</t>
        </is>
      </c>
      <c r="L1501" s="39" t="inlineStr">
        <is>
          <t>Karnataka</t>
        </is>
      </c>
      <c r="M1501" s="34" t="inlineStr">
        <is>
          <t>JB Replaced</t>
        </is>
      </c>
      <c r="N1501" s="6" t="inlineStr">
        <is>
          <t>JB Issue</t>
        </is>
      </c>
      <c r="O1501" s="39" t="inlineStr">
        <is>
          <t>NA</t>
        </is>
      </c>
      <c r="P1501" s="34" t="inlineStr">
        <is>
          <t>NSM191207783</t>
        </is>
      </c>
      <c r="Q1501" s="29">
        <f>MID(P1501,4,2)</f>
        <v/>
      </c>
      <c r="R1501" s="14">
        <f>MID(P1501,6,2)</f>
        <v/>
      </c>
      <c r="S1501" s="6" t="inlineStr">
        <is>
          <t>G2B</t>
        </is>
      </c>
      <c r="T1501" s="6" t="inlineStr">
        <is>
          <t>NA</t>
        </is>
      </c>
      <c r="U1501" s="6" t="inlineStr">
        <is>
          <t>JB Issue</t>
        </is>
      </c>
      <c r="V1501" s="1" t="inlineStr">
        <is>
          <t>Inspection</t>
        </is>
      </c>
      <c r="W1501" s="1" t="inlineStr">
        <is>
          <t>Repair</t>
        </is>
      </c>
      <c r="X1501" s="5" t="n">
        <v>46191</v>
      </c>
      <c r="Y1501" s="1">
        <f>IF(X1501="","",X1501-A1501)</f>
        <v/>
      </c>
      <c r="Z1501" s="5" t="n">
        <v>46191</v>
      </c>
      <c r="AA1501" s="3" t="n"/>
      <c r="AB1501" s="3" t="n"/>
      <c r="AE1501" s="146">
        <f>IF(AND(F1501="Closed",X1501&gt;=DATE(2026,6,1),X1501&lt;=DATE(2026,6,30)),"Closed in June","other")</f>
        <v/>
      </c>
    </row>
    <row r="1502" hidden="1">
      <c r="A1502" s="9" t="n">
        <v>46106</v>
      </c>
      <c r="B1502" s="1" t="n">
        <v>2026</v>
      </c>
      <c r="C1502" s="8" t="inlineStr">
        <is>
          <t>Asian Fab Tec Ltd</t>
        </is>
      </c>
      <c r="D1502" s="8" t="inlineStr">
        <is>
          <t>Utility and C&amp;I</t>
        </is>
      </c>
      <c r="E1502" s="1" t="n"/>
      <c r="F1502" s="1" t="inlineStr">
        <is>
          <t>Closed</t>
        </is>
      </c>
      <c r="G1502" s="8" t="inlineStr">
        <is>
          <t>Prakash Reddy</t>
        </is>
      </c>
      <c r="H1502" s="8" t="n">
        <v>9945239707</v>
      </c>
      <c r="I1502" s="26" t="inlineStr">
        <is>
          <t>PE25032602</t>
        </is>
      </c>
      <c r="J1502" s="42" t="inlineStr">
        <is>
          <t xml:space="preserve">Junction Box burnt </t>
        </is>
      </c>
      <c r="K1502" s="8" t="inlineStr">
        <is>
          <t>Bangalore</t>
        </is>
      </c>
      <c r="L1502" s="39" t="inlineStr">
        <is>
          <t>Karnataka</t>
        </is>
      </c>
      <c r="M1502" s="34" t="inlineStr">
        <is>
          <t>JB Replaced</t>
        </is>
      </c>
      <c r="N1502" s="6" t="inlineStr">
        <is>
          <t>JB Issue</t>
        </is>
      </c>
      <c r="O1502" s="39" t="inlineStr">
        <is>
          <t>NA</t>
        </is>
      </c>
      <c r="P1502" s="34" t="inlineStr">
        <is>
          <t>NSM191207579</t>
        </is>
      </c>
      <c r="Q1502" s="29">
        <f>MID(P1502,4,2)</f>
        <v/>
      </c>
      <c r="R1502" s="14">
        <f>MID(P1502,6,2)</f>
        <v/>
      </c>
      <c r="S1502" s="6" t="inlineStr">
        <is>
          <t>G2B</t>
        </is>
      </c>
      <c r="T1502" s="6" t="inlineStr">
        <is>
          <t>NA</t>
        </is>
      </c>
      <c r="U1502" s="6" t="inlineStr">
        <is>
          <t>JB Issue</t>
        </is>
      </c>
      <c r="V1502" s="1" t="inlineStr">
        <is>
          <t>Inspection</t>
        </is>
      </c>
      <c r="W1502" s="1" t="inlineStr">
        <is>
          <t>Repair</t>
        </is>
      </c>
      <c r="X1502" s="5" t="n">
        <v>46191</v>
      </c>
      <c r="Y1502" s="1">
        <f>IF(X1502="","",X1502-A1502)</f>
        <v/>
      </c>
      <c r="Z1502" s="5" t="n">
        <v>46191</v>
      </c>
      <c r="AA1502" s="3" t="n"/>
      <c r="AB1502" s="3" t="n"/>
      <c r="AE1502" s="146">
        <f>IF(AND(F1502="Closed",X1502&gt;=DATE(2026,6,1),X1502&lt;=DATE(2026,6,30)),"Closed in June","other")</f>
        <v/>
      </c>
    </row>
    <row r="1503" hidden="1">
      <c r="A1503" s="9" t="n">
        <v>46106</v>
      </c>
      <c r="B1503" s="1" t="n">
        <v>2026</v>
      </c>
      <c r="C1503" s="8" t="inlineStr">
        <is>
          <t>Asian Fab Tec Ltd</t>
        </is>
      </c>
      <c r="D1503" s="8" t="inlineStr">
        <is>
          <t>Utility and C&amp;I</t>
        </is>
      </c>
      <c r="E1503" s="1" t="n"/>
      <c r="F1503" s="1" t="inlineStr">
        <is>
          <t>Closed</t>
        </is>
      </c>
      <c r="G1503" s="8" t="inlineStr">
        <is>
          <t>Prakash Reddy</t>
        </is>
      </c>
      <c r="H1503" s="8" t="n">
        <v>9945239707</v>
      </c>
      <c r="I1503" s="26" t="inlineStr">
        <is>
          <t>PE25032602</t>
        </is>
      </c>
      <c r="J1503" s="42" t="inlineStr">
        <is>
          <t xml:space="preserve">Junction Box burnt </t>
        </is>
      </c>
      <c r="K1503" s="8" t="inlineStr">
        <is>
          <t>Bangalore</t>
        </is>
      </c>
      <c r="L1503" s="39" t="inlineStr">
        <is>
          <t>Karnataka</t>
        </is>
      </c>
      <c r="M1503" s="34" t="inlineStr">
        <is>
          <t>JB Replaced</t>
        </is>
      </c>
      <c r="N1503" s="6" t="inlineStr">
        <is>
          <t>JB Issue</t>
        </is>
      </c>
      <c r="O1503" s="39" t="inlineStr">
        <is>
          <t>NA</t>
        </is>
      </c>
      <c r="P1503" s="34" t="inlineStr">
        <is>
          <t>NSM191207241</t>
        </is>
      </c>
      <c r="Q1503" s="29">
        <f>MID(P1503,4,2)</f>
        <v/>
      </c>
      <c r="R1503" s="14">
        <f>MID(P1503,6,2)</f>
        <v/>
      </c>
      <c r="S1503" s="6" t="inlineStr">
        <is>
          <t>G2B</t>
        </is>
      </c>
      <c r="T1503" s="6" t="inlineStr">
        <is>
          <t>NA</t>
        </is>
      </c>
      <c r="U1503" s="6" t="inlineStr">
        <is>
          <t>JB Issue</t>
        </is>
      </c>
      <c r="V1503" s="1" t="inlineStr">
        <is>
          <t>Inspection</t>
        </is>
      </c>
      <c r="W1503" s="1" t="inlineStr">
        <is>
          <t>Repair</t>
        </is>
      </c>
      <c r="X1503" s="5" t="n">
        <v>46191</v>
      </c>
      <c r="Y1503" s="1">
        <f>IF(X1503="","",X1503-A1503)</f>
        <v/>
      </c>
      <c r="Z1503" s="5" t="n">
        <v>46191</v>
      </c>
      <c r="AA1503" s="3" t="n"/>
      <c r="AB1503" s="3" t="n"/>
      <c r="AE1503" s="146">
        <f>IF(AND(F1503="Closed",X1503&gt;=DATE(2026,6,1),X1503&lt;=DATE(2026,6,30)),"Closed in June","other")</f>
        <v/>
      </c>
    </row>
    <row r="1504" hidden="1">
      <c r="A1504" s="9" t="n">
        <v>46106</v>
      </c>
      <c r="B1504" s="1" t="n">
        <v>2026</v>
      </c>
      <c r="C1504" s="8" t="inlineStr">
        <is>
          <t>Asian Fab Tec Ltd</t>
        </is>
      </c>
      <c r="D1504" s="8" t="inlineStr">
        <is>
          <t>Utility and C&amp;I</t>
        </is>
      </c>
      <c r="E1504" s="1" t="n"/>
      <c r="F1504" s="1" t="inlineStr">
        <is>
          <t>Closed</t>
        </is>
      </c>
      <c r="G1504" s="8" t="inlineStr">
        <is>
          <t>Prakash Reddy</t>
        </is>
      </c>
      <c r="H1504" s="8" t="n">
        <v>9945239707</v>
      </c>
      <c r="I1504" s="26" t="inlineStr">
        <is>
          <t>PE25032602</t>
        </is>
      </c>
      <c r="J1504" s="42" t="inlineStr">
        <is>
          <t xml:space="preserve">Junction Box burnt </t>
        </is>
      </c>
      <c r="K1504" s="8" t="inlineStr">
        <is>
          <t>Bangalore</t>
        </is>
      </c>
      <c r="L1504" s="39" t="inlineStr">
        <is>
          <t>Karnataka</t>
        </is>
      </c>
      <c r="M1504" s="34" t="inlineStr">
        <is>
          <t>JB Replaced</t>
        </is>
      </c>
      <c r="N1504" s="6" t="inlineStr">
        <is>
          <t>JB Issue</t>
        </is>
      </c>
      <c r="O1504" s="39" t="inlineStr">
        <is>
          <t>NA</t>
        </is>
      </c>
      <c r="P1504" s="34" t="inlineStr">
        <is>
          <t>NSM191207550</t>
        </is>
      </c>
      <c r="Q1504" s="29">
        <f>MID(P1504,4,2)</f>
        <v/>
      </c>
      <c r="R1504" s="14">
        <f>MID(P1504,6,2)</f>
        <v/>
      </c>
      <c r="S1504" s="6" t="inlineStr">
        <is>
          <t>G2B</t>
        </is>
      </c>
      <c r="T1504" s="6" t="inlineStr">
        <is>
          <t>NA</t>
        </is>
      </c>
      <c r="U1504" s="6" t="inlineStr">
        <is>
          <t>JB Issue</t>
        </is>
      </c>
      <c r="V1504" s="1" t="inlineStr">
        <is>
          <t>Inspection</t>
        </is>
      </c>
      <c r="W1504" s="1" t="inlineStr">
        <is>
          <t>Repair</t>
        </is>
      </c>
      <c r="X1504" s="5" t="n">
        <v>46191</v>
      </c>
      <c r="Y1504" s="1">
        <f>IF(X1504="","",X1504-A1504)</f>
        <v/>
      </c>
      <c r="Z1504" s="5" t="n">
        <v>46191</v>
      </c>
      <c r="AA1504" s="3" t="n"/>
      <c r="AB1504" s="3" t="n"/>
      <c r="AE1504" s="146">
        <f>IF(AND(F1504="Closed",X1504&gt;=DATE(2026,6,1),X1504&lt;=DATE(2026,6,30)),"Closed in June","other")</f>
        <v/>
      </c>
    </row>
    <row r="1505" hidden="1">
      <c r="A1505" s="9" t="n">
        <v>46106</v>
      </c>
      <c r="B1505" s="1" t="n">
        <v>2026</v>
      </c>
      <c r="C1505" s="8" t="inlineStr">
        <is>
          <t>Asian Fab Tec Ltd</t>
        </is>
      </c>
      <c r="D1505" s="8" t="inlineStr">
        <is>
          <t>Utility and C&amp;I</t>
        </is>
      </c>
      <c r="E1505" s="1" t="n"/>
      <c r="F1505" s="1" t="inlineStr">
        <is>
          <t>Closed</t>
        </is>
      </c>
      <c r="G1505" s="8" t="inlineStr">
        <is>
          <t>Prakash Reddy</t>
        </is>
      </c>
      <c r="H1505" s="8" t="n">
        <v>9945239707</v>
      </c>
      <c r="I1505" s="26" t="inlineStr">
        <is>
          <t>PE25032602</t>
        </is>
      </c>
      <c r="J1505" s="42" t="inlineStr">
        <is>
          <t xml:space="preserve">Junction Box burnt </t>
        </is>
      </c>
      <c r="K1505" s="8" t="inlineStr">
        <is>
          <t>Bangalore</t>
        </is>
      </c>
      <c r="L1505" s="39" t="inlineStr">
        <is>
          <t>Karnataka</t>
        </is>
      </c>
      <c r="M1505" s="34" t="inlineStr">
        <is>
          <t>JB Replaced</t>
        </is>
      </c>
      <c r="N1505" s="6" t="inlineStr">
        <is>
          <t>JB Issue</t>
        </is>
      </c>
      <c r="O1505" s="39" t="inlineStr">
        <is>
          <t>NA</t>
        </is>
      </c>
      <c r="P1505" s="34" t="inlineStr">
        <is>
          <t>NSM191207555</t>
        </is>
      </c>
      <c r="Q1505" s="29">
        <f>MID(P1505,4,2)</f>
        <v/>
      </c>
      <c r="R1505" s="14">
        <f>MID(P1505,6,2)</f>
        <v/>
      </c>
      <c r="S1505" s="6" t="inlineStr">
        <is>
          <t>G2B</t>
        </is>
      </c>
      <c r="T1505" s="6" t="inlineStr">
        <is>
          <t>NA</t>
        </is>
      </c>
      <c r="U1505" s="6" t="inlineStr">
        <is>
          <t>JB Issue</t>
        </is>
      </c>
      <c r="V1505" s="1" t="inlineStr">
        <is>
          <t>Inspection</t>
        </is>
      </c>
      <c r="W1505" s="1" t="inlineStr">
        <is>
          <t>Repair</t>
        </is>
      </c>
      <c r="X1505" s="5" t="n">
        <v>46191</v>
      </c>
      <c r="Y1505" s="1">
        <f>IF(X1505="","",X1505-A1505)</f>
        <v/>
      </c>
      <c r="Z1505" s="5" t="n">
        <v>46191</v>
      </c>
      <c r="AA1505" s="3" t="n"/>
      <c r="AB1505" s="3" t="n"/>
      <c r="AE1505" s="146">
        <f>IF(AND(F1505="Closed",X1505&gt;=DATE(2026,6,1),X1505&lt;=DATE(2026,6,30)),"Closed in June","other")</f>
        <v/>
      </c>
    </row>
    <row r="1506" hidden="1">
      <c r="A1506" s="9" t="n">
        <v>46106</v>
      </c>
      <c r="B1506" s="1" t="n">
        <v>2026</v>
      </c>
      <c r="C1506" s="8" t="inlineStr">
        <is>
          <t>Asian Fab Tec Ltd</t>
        </is>
      </c>
      <c r="D1506" s="8" t="inlineStr">
        <is>
          <t>Utility and C&amp;I</t>
        </is>
      </c>
      <c r="E1506" s="1" t="n"/>
      <c r="F1506" s="1" t="inlineStr">
        <is>
          <t>Closed</t>
        </is>
      </c>
      <c r="G1506" s="8" t="inlineStr">
        <is>
          <t>Prakash Reddy</t>
        </is>
      </c>
      <c r="H1506" s="8" t="n">
        <v>9945239707</v>
      </c>
      <c r="I1506" s="26" t="inlineStr">
        <is>
          <t>PE25032602</t>
        </is>
      </c>
      <c r="J1506" s="42" t="inlineStr">
        <is>
          <t xml:space="preserve">Junction Box burnt </t>
        </is>
      </c>
      <c r="K1506" s="8" t="inlineStr">
        <is>
          <t>Bangalore</t>
        </is>
      </c>
      <c r="L1506" s="39" t="inlineStr">
        <is>
          <t>Karnataka</t>
        </is>
      </c>
      <c r="M1506" s="34" t="inlineStr">
        <is>
          <t>JB Replaced</t>
        </is>
      </c>
      <c r="N1506" s="6" t="inlineStr">
        <is>
          <t>JB Issue</t>
        </is>
      </c>
      <c r="O1506" s="39" t="inlineStr">
        <is>
          <t>NA</t>
        </is>
      </c>
      <c r="P1506" s="34" t="inlineStr">
        <is>
          <t>NSM191206471</t>
        </is>
      </c>
      <c r="Q1506" s="29">
        <f>MID(P1506,4,2)</f>
        <v/>
      </c>
      <c r="R1506" s="14">
        <f>MID(P1506,6,2)</f>
        <v/>
      </c>
      <c r="S1506" s="6" t="inlineStr">
        <is>
          <t>G2B</t>
        </is>
      </c>
      <c r="T1506" s="6" t="inlineStr">
        <is>
          <t>NA</t>
        </is>
      </c>
      <c r="U1506" s="6" t="inlineStr">
        <is>
          <t>JB Issue</t>
        </is>
      </c>
      <c r="V1506" s="1" t="inlineStr">
        <is>
          <t>Inspection</t>
        </is>
      </c>
      <c r="W1506" s="1" t="inlineStr">
        <is>
          <t>Repair</t>
        </is>
      </c>
      <c r="X1506" s="5" t="n">
        <v>46191</v>
      </c>
      <c r="Y1506" s="1">
        <f>IF(X1506="","",X1506-A1506)</f>
        <v/>
      </c>
      <c r="Z1506" s="5" t="n">
        <v>46191</v>
      </c>
      <c r="AA1506" s="3" t="n"/>
      <c r="AB1506" s="3" t="n"/>
      <c r="AE1506" s="146">
        <f>IF(AND(F1506="Closed",X1506&gt;=DATE(2026,6,1),X1506&lt;=DATE(2026,6,30)),"Closed in June","other")</f>
        <v/>
      </c>
    </row>
    <row r="1507" hidden="1">
      <c r="A1507" s="9" t="n">
        <v>46106</v>
      </c>
      <c r="B1507" s="1" t="n">
        <v>2026</v>
      </c>
      <c r="C1507" s="8" t="inlineStr">
        <is>
          <t>Asian Fab Tec Ltd</t>
        </is>
      </c>
      <c r="D1507" s="8" t="inlineStr">
        <is>
          <t>Utility and C&amp;I</t>
        </is>
      </c>
      <c r="E1507" s="1" t="n"/>
      <c r="F1507" s="1" t="inlineStr">
        <is>
          <t>Closed</t>
        </is>
      </c>
      <c r="G1507" s="8" t="inlineStr">
        <is>
          <t>Prakash Reddy</t>
        </is>
      </c>
      <c r="H1507" s="8" t="n">
        <v>9945239707</v>
      </c>
      <c r="I1507" s="26" t="inlineStr">
        <is>
          <t>PE25032602</t>
        </is>
      </c>
      <c r="J1507" s="42" t="inlineStr">
        <is>
          <t xml:space="preserve">Junction Box burnt </t>
        </is>
      </c>
      <c r="K1507" s="8" t="inlineStr">
        <is>
          <t>Bangalore</t>
        </is>
      </c>
      <c r="L1507" s="39" t="inlineStr">
        <is>
          <t>Karnataka</t>
        </is>
      </c>
      <c r="M1507" s="34" t="inlineStr">
        <is>
          <t>JB Replaced</t>
        </is>
      </c>
      <c r="N1507" s="6" t="inlineStr">
        <is>
          <t>JB Issue</t>
        </is>
      </c>
      <c r="O1507" s="39" t="inlineStr">
        <is>
          <t>NA</t>
        </is>
      </c>
      <c r="P1507" s="34" t="inlineStr">
        <is>
          <t>NSM191207912</t>
        </is>
      </c>
      <c r="Q1507" s="29">
        <f>MID(P1507,4,2)</f>
        <v/>
      </c>
      <c r="R1507" s="14">
        <f>MID(P1507,6,2)</f>
        <v/>
      </c>
      <c r="S1507" s="6" t="inlineStr">
        <is>
          <t>G2B</t>
        </is>
      </c>
      <c r="T1507" s="6" t="inlineStr">
        <is>
          <t>NA</t>
        </is>
      </c>
      <c r="U1507" s="6" t="inlineStr">
        <is>
          <t>JB Issue</t>
        </is>
      </c>
      <c r="V1507" s="1" t="inlineStr">
        <is>
          <t>Inspection</t>
        </is>
      </c>
      <c r="W1507" s="1" t="inlineStr">
        <is>
          <t>Repair</t>
        </is>
      </c>
      <c r="X1507" s="5" t="n">
        <v>46191</v>
      </c>
      <c r="Y1507" s="1">
        <f>IF(X1507="","",X1507-A1507)</f>
        <v/>
      </c>
      <c r="Z1507" s="5" t="n">
        <v>46191</v>
      </c>
      <c r="AA1507" s="3" t="n"/>
      <c r="AB1507" s="3" t="n"/>
      <c r="AE1507" s="146">
        <f>IF(AND(F1507="Closed",X1507&gt;=DATE(2026,6,1),X1507&lt;=DATE(2026,6,30)),"Closed in June","other")</f>
        <v/>
      </c>
    </row>
    <row r="1508" hidden="1">
      <c r="A1508" s="9" t="n">
        <v>46106</v>
      </c>
      <c r="B1508" s="1" t="n">
        <v>2026</v>
      </c>
      <c r="C1508" s="8" t="inlineStr">
        <is>
          <t>Asian Fab Tec Ltd</t>
        </is>
      </c>
      <c r="D1508" s="8" t="inlineStr">
        <is>
          <t>Utility and C&amp;I</t>
        </is>
      </c>
      <c r="E1508" s="1" t="n"/>
      <c r="F1508" s="1" t="inlineStr">
        <is>
          <t>Closed</t>
        </is>
      </c>
      <c r="G1508" s="8" t="inlineStr">
        <is>
          <t>Prakash Reddy</t>
        </is>
      </c>
      <c r="H1508" s="8" t="n">
        <v>9945239707</v>
      </c>
      <c r="I1508" s="26" t="inlineStr">
        <is>
          <t>PE25032602</t>
        </is>
      </c>
      <c r="J1508" s="42" t="inlineStr">
        <is>
          <t xml:space="preserve">Junction Box burnt </t>
        </is>
      </c>
      <c r="K1508" s="8" t="inlineStr">
        <is>
          <t>Bangalore</t>
        </is>
      </c>
      <c r="L1508" s="39" t="inlineStr">
        <is>
          <t>Karnataka</t>
        </is>
      </c>
      <c r="M1508" s="34" t="inlineStr">
        <is>
          <t>JB Replaced</t>
        </is>
      </c>
      <c r="N1508" s="6" t="inlineStr">
        <is>
          <t>JB Issue</t>
        </is>
      </c>
      <c r="O1508" s="39" t="inlineStr">
        <is>
          <t>NA</t>
        </is>
      </c>
      <c r="P1508" s="34" t="inlineStr">
        <is>
          <t>NSM191207910</t>
        </is>
      </c>
      <c r="Q1508" s="29">
        <f>MID(P1508,4,2)</f>
        <v/>
      </c>
      <c r="R1508" s="14">
        <f>MID(P1508,6,2)</f>
        <v/>
      </c>
      <c r="S1508" s="6" t="inlineStr">
        <is>
          <t>G2B</t>
        </is>
      </c>
      <c r="T1508" s="6" t="inlineStr">
        <is>
          <t>NA</t>
        </is>
      </c>
      <c r="U1508" s="6" t="inlineStr">
        <is>
          <t>JB Issue</t>
        </is>
      </c>
      <c r="V1508" s="1" t="inlineStr">
        <is>
          <t>Inspection</t>
        </is>
      </c>
      <c r="W1508" s="1" t="inlineStr">
        <is>
          <t>Repair</t>
        </is>
      </c>
      <c r="X1508" s="5" t="n">
        <v>46191</v>
      </c>
      <c r="Y1508" s="1">
        <f>IF(X1508="","",X1508-A1508)</f>
        <v/>
      </c>
      <c r="Z1508" s="5" t="n">
        <v>46191</v>
      </c>
      <c r="AA1508" s="3" t="n"/>
      <c r="AB1508" s="3" t="n"/>
      <c r="AE1508" s="146">
        <f>IF(AND(F1508="Closed",X1508&gt;=DATE(2026,6,1),X1508&lt;=DATE(2026,6,30)),"Closed in June","other")</f>
        <v/>
      </c>
    </row>
    <row r="1509" hidden="1">
      <c r="A1509" s="9" t="n">
        <v>46106</v>
      </c>
      <c r="B1509" s="1" t="n">
        <v>2026</v>
      </c>
      <c r="C1509" s="8" t="inlineStr">
        <is>
          <t>Asian Fab Tec Ltd</t>
        </is>
      </c>
      <c r="D1509" s="8" t="inlineStr">
        <is>
          <t>Utility and C&amp;I</t>
        </is>
      </c>
      <c r="E1509" s="1" t="n"/>
      <c r="F1509" s="1" t="inlineStr">
        <is>
          <t>Closed</t>
        </is>
      </c>
      <c r="G1509" s="8" t="inlineStr">
        <is>
          <t>Prakash Reddy</t>
        </is>
      </c>
      <c r="H1509" s="8" t="n">
        <v>9945239707</v>
      </c>
      <c r="I1509" s="26" t="inlineStr">
        <is>
          <t>PE25032602</t>
        </is>
      </c>
      <c r="J1509" s="42" t="inlineStr">
        <is>
          <t xml:space="preserve">Junction Box burnt </t>
        </is>
      </c>
      <c r="K1509" s="8" t="inlineStr">
        <is>
          <t>Bangalore</t>
        </is>
      </c>
      <c r="L1509" s="39" t="inlineStr">
        <is>
          <t>Karnataka</t>
        </is>
      </c>
      <c r="M1509" s="34" t="inlineStr">
        <is>
          <t>JB Replaced</t>
        </is>
      </c>
      <c r="N1509" s="6" t="inlineStr">
        <is>
          <t>JB Issue</t>
        </is>
      </c>
      <c r="O1509" s="39" t="inlineStr">
        <is>
          <t>NA</t>
        </is>
      </c>
      <c r="P1509" s="34" t="inlineStr">
        <is>
          <t>NSM191207505</t>
        </is>
      </c>
      <c r="Q1509" s="29">
        <f>MID(P1509,4,2)</f>
        <v/>
      </c>
      <c r="R1509" s="14">
        <f>MID(P1509,6,2)</f>
        <v/>
      </c>
      <c r="S1509" s="6" t="inlineStr">
        <is>
          <t>G2B</t>
        </is>
      </c>
      <c r="T1509" s="6" t="inlineStr">
        <is>
          <t>NA</t>
        </is>
      </c>
      <c r="U1509" s="6" t="inlineStr">
        <is>
          <t>JB Issue</t>
        </is>
      </c>
      <c r="V1509" s="1" t="inlineStr">
        <is>
          <t>Inspection</t>
        </is>
      </c>
      <c r="W1509" s="1" t="inlineStr">
        <is>
          <t>Repair</t>
        </is>
      </c>
      <c r="X1509" s="5" t="n">
        <v>46191</v>
      </c>
      <c r="Y1509" s="1">
        <f>IF(X1509="","",X1509-A1509)</f>
        <v/>
      </c>
      <c r="Z1509" s="5" t="n">
        <v>46191</v>
      </c>
      <c r="AA1509" s="3" t="n"/>
      <c r="AB1509" s="3" t="n"/>
      <c r="AE1509" s="146">
        <f>IF(AND(F1509="Closed",X1509&gt;=DATE(2026,6,1),X1509&lt;=DATE(2026,6,30)),"Closed in June","other")</f>
        <v/>
      </c>
    </row>
    <row r="1510" hidden="1">
      <c r="A1510" s="9" t="n">
        <v>46106</v>
      </c>
      <c r="B1510" s="1" t="n">
        <v>2026</v>
      </c>
      <c r="C1510" s="8" t="inlineStr">
        <is>
          <t>Asian Fab Tec Ltd</t>
        </is>
      </c>
      <c r="D1510" s="8" t="inlineStr">
        <is>
          <t>Utility and C&amp;I</t>
        </is>
      </c>
      <c r="E1510" s="1" t="n"/>
      <c r="F1510" s="1" t="inlineStr">
        <is>
          <t>Closed</t>
        </is>
      </c>
      <c r="G1510" s="8" t="inlineStr">
        <is>
          <t>Prakash Reddy</t>
        </is>
      </c>
      <c r="H1510" s="8" t="n">
        <v>9945239707</v>
      </c>
      <c r="I1510" s="26" t="inlineStr">
        <is>
          <t>PE25032602</t>
        </is>
      </c>
      <c r="J1510" s="42" t="inlineStr">
        <is>
          <t xml:space="preserve">Junction Box burnt </t>
        </is>
      </c>
      <c r="K1510" s="8" t="inlineStr">
        <is>
          <t>Bangalore</t>
        </is>
      </c>
      <c r="L1510" s="39" t="inlineStr">
        <is>
          <t>Karnataka</t>
        </is>
      </c>
      <c r="M1510" s="34" t="inlineStr">
        <is>
          <t>JB Replaced</t>
        </is>
      </c>
      <c r="N1510" s="6" t="inlineStr">
        <is>
          <t>JB Issue</t>
        </is>
      </c>
      <c r="O1510" s="39" t="inlineStr">
        <is>
          <t>NA</t>
        </is>
      </c>
      <c r="P1510" s="34" t="inlineStr">
        <is>
          <t>NSM191207900</t>
        </is>
      </c>
      <c r="Q1510" s="29">
        <f>MID(P1510,4,2)</f>
        <v/>
      </c>
      <c r="R1510" s="14">
        <f>MID(P1510,6,2)</f>
        <v/>
      </c>
      <c r="S1510" s="6" t="inlineStr">
        <is>
          <t>G2B</t>
        </is>
      </c>
      <c r="T1510" s="6" t="inlineStr">
        <is>
          <t>NA</t>
        </is>
      </c>
      <c r="U1510" s="6" t="inlineStr">
        <is>
          <t>JB Issue</t>
        </is>
      </c>
      <c r="V1510" s="1" t="inlineStr">
        <is>
          <t>Inspection</t>
        </is>
      </c>
      <c r="W1510" s="1" t="inlineStr">
        <is>
          <t>Repair</t>
        </is>
      </c>
      <c r="X1510" s="5" t="n">
        <v>46191</v>
      </c>
      <c r="Y1510" s="1">
        <f>IF(X1510="","",X1510-A1510)</f>
        <v/>
      </c>
      <c r="Z1510" s="5" t="n">
        <v>46191</v>
      </c>
      <c r="AA1510" s="3" t="n"/>
      <c r="AB1510" s="3" t="n"/>
      <c r="AE1510" s="146">
        <f>IF(AND(F1510="Closed",X1510&gt;=DATE(2026,6,1),X1510&lt;=DATE(2026,6,30)),"Closed in June","other")</f>
        <v/>
      </c>
    </row>
    <row r="1511" hidden="1">
      <c r="A1511" s="9" t="n">
        <v>46106</v>
      </c>
      <c r="B1511" s="1" t="n">
        <v>2026</v>
      </c>
      <c r="C1511" s="8" t="inlineStr">
        <is>
          <t>Asian Fab Tec Ltd</t>
        </is>
      </c>
      <c r="D1511" s="8" t="inlineStr">
        <is>
          <t>Utility and C&amp;I</t>
        </is>
      </c>
      <c r="E1511" s="1" t="n"/>
      <c r="F1511" s="1" t="inlineStr">
        <is>
          <t>Closed</t>
        </is>
      </c>
      <c r="G1511" s="8" t="inlineStr">
        <is>
          <t>Prakash Reddy</t>
        </is>
      </c>
      <c r="H1511" s="8" t="n">
        <v>9945239707</v>
      </c>
      <c r="I1511" s="26" t="inlineStr">
        <is>
          <t>PE25032602</t>
        </is>
      </c>
      <c r="J1511" s="42" t="inlineStr">
        <is>
          <t xml:space="preserve">Junction Box burnt </t>
        </is>
      </c>
      <c r="K1511" s="8" t="inlineStr">
        <is>
          <t>Bangalore</t>
        </is>
      </c>
      <c r="L1511" s="39" t="inlineStr">
        <is>
          <t>Karnataka</t>
        </is>
      </c>
      <c r="M1511" s="34" t="inlineStr">
        <is>
          <t>JB Replaced</t>
        </is>
      </c>
      <c r="N1511" s="6" t="inlineStr">
        <is>
          <t>JB Issue</t>
        </is>
      </c>
      <c r="O1511" s="39" t="inlineStr">
        <is>
          <t>NA</t>
        </is>
      </c>
      <c r="P1511" s="34" t="inlineStr">
        <is>
          <t>NSM191206343</t>
        </is>
      </c>
      <c r="Q1511" s="29">
        <f>MID(P1511,4,2)</f>
        <v/>
      </c>
      <c r="R1511" s="14">
        <f>MID(P1511,6,2)</f>
        <v/>
      </c>
      <c r="S1511" s="6" t="inlineStr">
        <is>
          <t>G2B</t>
        </is>
      </c>
      <c r="T1511" s="6" t="inlineStr">
        <is>
          <t>NA</t>
        </is>
      </c>
      <c r="U1511" s="6" t="inlineStr">
        <is>
          <t>JB Issue</t>
        </is>
      </c>
      <c r="V1511" s="1" t="inlineStr">
        <is>
          <t>Inspection</t>
        </is>
      </c>
      <c r="W1511" s="1" t="inlineStr">
        <is>
          <t>Repair</t>
        </is>
      </c>
      <c r="X1511" s="5" t="n">
        <v>46191</v>
      </c>
      <c r="Y1511" s="1">
        <f>IF(X1511="","",X1511-A1511)</f>
        <v/>
      </c>
      <c r="Z1511" s="5" t="n">
        <v>46191</v>
      </c>
      <c r="AA1511" s="3" t="n"/>
      <c r="AB1511" s="3" t="n"/>
      <c r="AE1511" s="146">
        <f>IF(AND(F1511="Closed",X1511&gt;=DATE(2026,6,1),X1511&lt;=DATE(2026,6,30)),"Closed in June","other")</f>
        <v/>
      </c>
    </row>
    <row r="1512" hidden="1">
      <c r="A1512" s="9" t="n">
        <v>46106</v>
      </c>
      <c r="B1512" s="1" t="n">
        <v>2026</v>
      </c>
      <c r="C1512" s="8" t="inlineStr">
        <is>
          <t>Asian Fab Tec Ltd</t>
        </is>
      </c>
      <c r="D1512" s="8" t="inlineStr">
        <is>
          <t>Utility and C&amp;I</t>
        </is>
      </c>
      <c r="E1512" s="1" t="n"/>
      <c r="F1512" s="1" t="inlineStr">
        <is>
          <t>Closed</t>
        </is>
      </c>
      <c r="G1512" s="8" t="inlineStr">
        <is>
          <t>Prakash Reddy</t>
        </is>
      </c>
      <c r="H1512" s="8" t="n">
        <v>9945239707</v>
      </c>
      <c r="I1512" s="26" t="inlineStr">
        <is>
          <t>PE25032602</t>
        </is>
      </c>
      <c r="J1512" s="42" t="inlineStr">
        <is>
          <t xml:space="preserve">Junction Box burnt </t>
        </is>
      </c>
      <c r="K1512" s="8" t="inlineStr">
        <is>
          <t>Bangalore</t>
        </is>
      </c>
      <c r="L1512" s="39" t="inlineStr">
        <is>
          <t>Karnataka</t>
        </is>
      </c>
      <c r="M1512" s="34" t="inlineStr">
        <is>
          <t>JB Replaced</t>
        </is>
      </c>
      <c r="N1512" s="6" t="inlineStr">
        <is>
          <t>JB Issue</t>
        </is>
      </c>
      <c r="O1512" s="39" t="inlineStr">
        <is>
          <t>NA</t>
        </is>
      </c>
      <c r="P1512" s="34" t="inlineStr">
        <is>
          <t>NSM191207557</t>
        </is>
      </c>
      <c r="Q1512" s="29">
        <f>MID(P1512,4,2)</f>
        <v/>
      </c>
      <c r="R1512" s="14">
        <f>MID(P1512,6,2)</f>
        <v/>
      </c>
      <c r="S1512" s="6" t="inlineStr">
        <is>
          <t>G2B</t>
        </is>
      </c>
      <c r="T1512" s="6" t="inlineStr">
        <is>
          <t>NA</t>
        </is>
      </c>
      <c r="U1512" s="6" t="inlineStr">
        <is>
          <t>JB Issue</t>
        </is>
      </c>
      <c r="V1512" s="1" t="inlineStr">
        <is>
          <t>Inspection</t>
        </is>
      </c>
      <c r="W1512" s="1" t="inlineStr">
        <is>
          <t>Repair</t>
        </is>
      </c>
      <c r="X1512" s="5" t="n">
        <v>46191</v>
      </c>
      <c r="Y1512" s="1">
        <f>IF(X1512="","",X1512-A1512)</f>
        <v/>
      </c>
      <c r="Z1512" s="5" t="n">
        <v>46191</v>
      </c>
      <c r="AA1512" s="3" t="n"/>
      <c r="AB1512" s="3" t="n"/>
      <c r="AE1512" s="146">
        <f>IF(AND(F1512="Closed",X1512&gt;=DATE(2026,6,1),X1512&lt;=DATE(2026,6,30)),"Closed in June","other")</f>
        <v/>
      </c>
    </row>
    <row r="1513" hidden="1">
      <c r="A1513" s="9" t="n">
        <v>46106</v>
      </c>
      <c r="B1513" s="1" t="n">
        <v>2026</v>
      </c>
      <c r="C1513" s="8" t="inlineStr">
        <is>
          <t>Asian Fab Tec Ltd</t>
        </is>
      </c>
      <c r="D1513" s="8" t="inlineStr">
        <is>
          <t>Utility and C&amp;I</t>
        </is>
      </c>
      <c r="E1513" s="1" t="n"/>
      <c r="F1513" s="1" t="inlineStr">
        <is>
          <t>Closed</t>
        </is>
      </c>
      <c r="G1513" s="8" t="inlineStr">
        <is>
          <t>Prakash Reddy</t>
        </is>
      </c>
      <c r="H1513" s="8" t="n">
        <v>9945239707</v>
      </c>
      <c r="I1513" s="26" t="inlineStr">
        <is>
          <t>PE25032602</t>
        </is>
      </c>
      <c r="J1513" s="42" t="inlineStr">
        <is>
          <t xml:space="preserve">Junction Box burnt </t>
        </is>
      </c>
      <c r="K1513" s="8" t="inlineStr">
        <is>
          <t>Bangalore</t>
        </is>
      </c>
      <c r="L1513" s="39" t="inlineStr">
        <is>
          <t>Karnataka</t>
        </is>
      </c>
      <c r="M1513" s="34" t="inlineStr">
        <is>
          <t>JB Replaced</t>
        </is>
      </c>
      <c r="N1513" s="6" t="inlineStr">
        <is>
          <t>JB Issue</t>
        </is>
      </c>
      <c r="O1513" s="39" t="inlineStr">
        <is>
          <t>NA</t>
        </is>
      </c>
      <c r="P1513" s="34" t="inlineStr">
        <is>
          <t>NSM191206040</t>
        </is>
      </c>
      <c r="Q1513" s="29">
        <f>MID(P1513,4,2)</f>
        <v/>
      </c>
      <c r="R1513" s="14">
        <f>MID(P1513,6,2)</f>
        <v/>
      </c>
      <c r="S1513" s="6" t="inlineStr">
        <is>
          <t>G2B</t>
        </is>
      </c>
      <c r="T1513" s="6" t="inlineStr">
        <is>
          <t>NA</t>
        </is>
      </c>
      <c r="U1513" s="6" t="inlineStr">
        <is>
          <t>JB Issue</t>
        </is>
      </c>
      <c r="V1513" s="1" t="inlineStr">
        <is>
          <t>Inspection</t>
        </is>
      </c>
      <c r="W1513" s="1" t="inlineStr">
        <is>
          <t>Repair</t>
        </is>
      </c>
      <c r="X1513" s="5" t="n">
        <v>46191</v>
      </c>
      <c r="Y1513" s="1">
        <f>IF(X1513="","",X1513-A1513)</f>
        <v/>
      </c>
      <c r="Z1513" s="5" t="n">
        <v>46191</v>
      </c>
      <c r="AA1513" s="3" t="n"/>
      <c r="AB1513" s="3" t="n"/>
      <c r="AE1513" s="146">
        <f>IF(AND(F1513="Closed",X1513&gt;=DATE(2026,6,1),X1513&lt;=DATE(2026,6,30)),"Closed in June","other")</f>
        <v/>
      </c>
    </row>
    <row r="1514" hidden="1">
      <c r="A1514" s="9" t="n">
        <v>46106</v>
      </c>
      <c r="B1514" s="1" t="n">
        <v>2026</v>
      </c>
      <c r="C1514" s="8" t="inlineStr">
        <is>
          <t>Asian Fab Tec Ltd</t>
        </is>
      </c>
      <c r="D1514" s="8" t="inlineStr">
        <is>
          <t>Utility and C&amp;I</t>
        </is>
      </c>
      <c r="E1514" s="1" t="n"/>
      <c r="F1514" s="1" t="inlineStr">
        <is>
          <t>Closed</t>
        </is>
      </c>
      <c r="G1514" s="8" t="inlineStr">
        <is>
          <t>Prakash Reddy</t>
        </is>
      </c>
      <c r="H1514" s="8" t="n">
        <v>9945239707</v>
      </c>
      <c r="I1514" s="26" t="inlineStr">
        <is>
          <t>PE25032602</t>
        </is>
      </c>
      <c r="J1514" s="42" t="inlineStr">
        <is>
          <t xml:space="preserve">Junction Box burnt </t>
        </is>
      </c>
      <c r="K1514" s="8" t="inlineStr">
        <is>
          <t>Bangalore</t>
        </is>
      </c>
      <c r="L1514" s="39" t="inlineStr">
        <is>
          <t>Karnataka</t>
        </is>
      </c>
      <c r="M1514" s="34" t="inlineStr">
        <is>
          <t>JB Replaced</t>
        </is>
      </c>
      <c r="N1514" s="6" t="inlineStr">
        <is>
          <t>JB Issue</t>
        </is>
      </c>
      <c r="O1514" s="39" t="inlineStr">
        <is>
          <t>NA</t>
        </is>
      </c>
      <c r="P1514" s="34" t="inlineStr">
        <is>
          <t>NSM191206318</t>
        </is>
      </c>
      <c r="Q1514" s="29">
        <f>MID(P1514,4,2)</f>
        <v/>
      </c>
      <c r="R1514" s="14">
        <f>MID(P1514,6,2)</f>
        <v/>
      </c>
      <c r="S1514" s="6" t="inlineStr">
        <is>
          <t>G2B</t>
        </is>
      </c>
      <c r="T1514" s="6" t="inlineStr">
        <is>
          <t>NA</t>
        </is>
      </c>
      <c r="U1514" s="6" t="inlineStr">
        <is>
          <t>JB Issue</t>
        </is>
      </c>
      <c r="V1514" s="1" t="inlineStr">
        <is>
          <t>Inspection</t>
        </is>
      </c>
      <c r="W1514" s="1" t="inlineStr">
        <is>
          <t>Repair</t>
        </is>
      </c>
      <c r="X1514" s="5" t="n">
        <v>46191</v>
      </c>
      <c r="Y1514" s="1">
        <f>IF(X1514="","",X1514-A1514)</f>
        <v/>
      </c>
      <c r="Z1514" s="5" t="n">
        <v>46191</v>
      </c>
      <c r="AA1514" s="3" t="n"/>
      <c r="AB1514" s="3" t="n"/>
      <c r="AE1514" s="146">
        <f>IF(AND(F1514="Closed",X1514&gt;=DATE(2026,6,1),X1514&lt;=DATE(2026,6,30)),"Closed in June","other")</f>
        <v/>
      </c>
    </row>
    <row r="1515" hidden="1">
      <c r="A1515" s="9" t="n">
        <v>46106</v>
      </c>
      <c r="B1515" s="1" t="n">
        <v>2026</v>
      </c>
      <c r="C1515" s="8" t="inlineStr">
        <is>
          <t>Asian Fab Tec Ltd</t>
        </is>
      </c>
      <c r="D1515" s="8" t="inlineStr">
        <is>
          <t>Utility and C&amp;I</t>
        </is>
      </c>
      <c r="E1515" s="1" t="n"/>
      <c r="F1515" s="1" t="inlineStr">
        <is>
          <t>Closed</t>
        </is>
      </c>
      <c r="G1515" s="8" t="inlineStr">
        <is>
          <t>Prakash Reddy</t>
        </is>
      </c>
      <c r="H1515" s="8" t="n">
        <v>9945239707</v>
      </c>
      <c r="I1515" s="26" t="inlineStr">
        <is>
          <t>PE25032602</t>
        </is>
      </c>
      <c r="J1515" s="42" t="inlineStr">
        <is>
          <t xml:space="preserve">Junction Box burnt </t>
        </is>
      </c>
      <c r="K1515" s="8" t="inlineStr">
        <is>
          <t>Bangalore</t>
        </is>
      </c>
      <c r="L1515" s="39" t="inlineStr">
        <is>
          <t>Karnataka</t>
        </is>
      </c>
      <c r="M1515" s="34" t="inlineStr">
        <is>
          <t>JB Replaced</t>
        </is>
      </c>
      <c r="N1515" s="6" t="inlineStr">
        <is>
          <t>JB Issue</t>
        </is>
      </c>
      <c r="O1515" s="39" t="inlineStr">
        <is>
          <t>NA</t>
        </is>
      </c>
      <c r="P1515" s="34" t="inlineStr">
        <is>
          <t>NSM191207724</t>
        </is>
      </c>
      <c r="Q1515" s="29">
        <f>MID(P1515,4,2)</f>
        <v/>
      </c>
      <c r="R1515" s="14">
        <f>MID(P1515,6,2)</f>
        <v/>
      </c>
      <c r="S1515" s="6" t="inlineStr">
        <is>
          <t>G2B</t>
        </is>
      </c>
      <c r="T1515" s="6" t="inlineStr">
        <is>
          <t>NA</t>
        </is>
      </c>
      <c r="U1515" s="6" t="inlineStr">
        <is>
          <t>JB Issue</t>
        </is>
      </c>
      <c r="V1515" s="1" t="inlineStr">
        <is>
          <t>Inspection</t>
        </is>
      </c>
      <c r="W1515" s="1" t="inlineStr">
        <is>
          <t>Repair</t>
        </is>
      </c>
      <c r="X1515" s="5" t="n">
        <v>46191</v>
      </c>
      <c r="Y1515" s="1">
        <f>IF(X1515="","",X1515-A1515)</f>
        <v/>
      </c>
      <c r="Z1515" s="5" t="n">
        <v>46191</v>
      </c>
      <c r="AA1515" s="3" t="n"/>
      <c r="AB1515" s="3" t="n"/>
      <c r="AE1515" s="146">
        <f>IF(AND(F1515="Closed",X1515&gt;=DATE(2026,6,1),X1515&lt;=DATE(2026,6,30)),"Closed in June","other")</f>
        <v/>
      </c>
    </row>
    <row r="1516" hidden="1">
      <c r="A1516" s="9" t="n">
        <v>46106</v>
      </c>
      <c r="B1516" s="1" t="n">
        <v>2026</v>
      </c>
      <c r="C1516" s="8" t="inlineStr">
        <is>
          <t>Asian Fab Tec Ltd</t>
        </is>
      </c>
      <c r="D1516" s="8" t="inlineStr">
        <is>
          <t>Utility and C&amp;I</t>
        </is>
      </c>
      <c r="E1516" s="1" t="n"/>
      <c r="F1516" s="1" t="inlineStr">
        <is>
          <t>Closed</t>
        </is>
      </c>
      <c r="G1516" s="8" t="inlineStr">
        <is>
          <t>Prakash Reddy</t>
        </is>
      </c>
      <c r="H1516" s="8" t="n">
        <v>9945239707</v>
      </c>
      <c r="I1516" s="26" t="inlineStr">
        <is>
          <t>PE25032602</t>
        </is>
      </c>
      <c r="J1516" s="42" t="inlineStr">
        <is>
          <t xml:space="preserve">Junction Box burnt </t>
        </is>
      </c>
      <c r="K1516" s="8" t="inlineStr">
        <is>
          <t>Bangalore</t>
        </is>
      </c>
      <c r="L1516" s="39" t="inlineStr">
        <is>
          <t>Karnataka</t>
        </is>
      </c>
      <c r="M1516" s="34" t="inlineStr">
        <is>
          <t>JB Replaced</t>
        </is>
      </c>
      <c r="N1516" s="6" t="inlineStr">
        <is>
          <t>JB Issue</t>
        </is>
      </c>
      <c r="O1516" s="39" t="inlineStr">
        <is>
          <t>NA</t>
        </is>
      </c>
      <c r="P1516" s="34" t="inlineStr">
        <is>
          <t>NSM191207661</t>
        </is>
      </c>
      <c r="Q1516" s="29">
        <f>MID(P1516,4,2)</f>
        <v/>
      </c>
      <c r="R1516" s="14">
        <f>MID(P1516,6,2)</f>
        <v/>
      </c>
      <c r="S1516" s="6" t="inlineStr">
        <is>
          <t>G2B</t>
        </is>
      </c>
      <c r="T1516" s="6" t="inlineStr">
        <is>
          <t>NA</t>
        </is>
      </c>
      <c r="U1516" s="6" t="inlineStr">
        <is>
          <t>JB Issue</t>
        </is>
      </c>
      <c r="V1516" s="1" t="inlineStr">
        <is>
          <t>Inspection</t>
        </is>
      </c>
      <c r="W1516" s="1" t="inlineStr">
        <is>
          <t>Repair</t>
        </is>
      </c>
      <c r="X1516" s="5" t="n">
        <v>46191</v>
      </c>
      <c r="Y1516" s="1">
        <f>IF(X1516="","",X1516-A1516)</f>
        <v/>
      </c>
      <c r="Z1516" s="5" t="n">
        <v>46191</v>
      </c>
      <c r="AA1516" s="3" t="n"/>
      <c r="AB1516" s="3" t="n"/>
      <c r="AE1516" s="146">
        <f>IF(AND(F1516="Closed",X1516&gt;=DATE(2026,6,1),X1516&lt;=DATE(2026,6,30)),"Closed in June","other")</f>
        <v/>
      </c>
    </row>
    <row r="1517" hidden="1">
      <c r="A1517" s="9" t="n">
        <v>46106</v>
      </c>
      <c r="B1517" s="1" t="n">
        <v>2026</v>
      </c>
      <c r="C1517" s="8" t="inlineStr">
        <is>
          <t>Asian Fab Tec Ltd</t>
        </is>
      </c>
      <c r="D1517" s="8" t="inlineStr">
        <is>
          <t>Utility and C&amp;I</t>
        </is>
      </c>
      <c r="E1517" s="1" t="n"/>
      <c r="F1517" s="1" t="inlineStr">
        <is>
          <t>Closed</t>
        </is>
      </c>
      <c r="G1517" s="8" t="inlineStr">
        <is>
          <t>Prakash Reddy</t>
        </is>
      </c>
      <c r="H1517" s="8" t="n">
        <v>9945239707</v>
      </c>
      <c r="I1517" s="26" t="inlineStr">
        <is>
          <t>PE25032602</t>
        </is>
      </c>
      <c r="J1517" s="42" t="inlineStr">
        <is>
          <t xml:space="preserve">Junction Box burnt </t>
        </is>
      </c>
      <c r="K1517" s="8" t="inlineStr">
        <is>
          <t>Bangalore</t>
        </is>
      </c>
      <c r="L1517" s="39" t="inlineStr">
        <is>
          <t>Karnataka</t>
        </is>
      </c>
      <c r="M1517" s="34" t="inlineStr">
        <is>
          <t>JB Replaced</t>
        </is>
      </c>
      <c r="N1517" s="6" t="inlineStr">
        <is>
          <t>JB Issue</t>
        </is>
      </c>
      <c r="O1517" s="39" t="inlineStr">
        <is>
          <t>NA</t>
        </is>
      </c>
      <c r="P1517" s="34" t="inlineStr">
        <is>
          <t>NSM191207240</t>
        </is>
      </c>
      <c r="Q1517" s="29">
        <f>MID(P1517,4,2)</f>
        <v/>
      </c>
      <c r="R1517" s="14">
        <f>MID(P1517,6,2)</f>
        <v/>
      </c>
      <c r="S1517" s="6" t="inlineStr">
        <is>
          <t>G2B</t>
        </is>
      </c>
      <c r="T1517" s="6" t="inlineStr">
        <is>
          <t>NA</t>
        </is>
      </c>
      <c r="U1517" s="6" t="inlineStr">
        <is>
          <t>JB Issue</t>
        </is>
      </c>
      <c r="V1517" s="1" t="inlineStr">
        <is>
          <t>Inspection</t>
        </is>
      </c>
      <c r="W1517" s="1" t="inlineStr">
        <is>
          <t>Repair</t>
        </is>
      </c>
      <c r="X1517" s="5" t="n">
        <v>46191</v>
      </c>
      <c r="Y1517" s="1">
        <f>IF(X1517="","",X1517-A1517)</f>
        <v/>
      </c>
      <c r="Z1517" s="5" t="n">
        <v>46191</v>
      </c>
      <c r="AA1517" s="3" t="n"/>
      <c r="AB1517" s="3" t="n"/>
      <c r="AE1517" s="146">
        <f>IF(AND(F1517="Closed",X1517&gt;=DATE(2026,6,1),X1517&lt;=DATE(2026,6,30)),"Closed in June","other")</f>
        <v/>
      </c>
    </row>
    <row r="1518" hidden="1">
      <c r="A1518" s="9" t="n">
        <v>46106</v>
      </c>
      <c r="B1518" s="1" t="n">
        <v>2026</v>
      </c>
      <c r="C1518" s="8" t="inlineStr">
        <is>
          <t>Asian Fab Tec Ltd</t>
        </is>
      </c>
      <c r="D1518" s="8" t="inlineStr">
        <is>
          <t>Utility and C&amp;I</t>
        </is>
      </c>
      <c r="E1518" s="1" t="n"/>
      <c r="F1518" s="1" t="inlineStr">
        <is>
          <t>Closed</t>
        </is>
      </c>
      <c r="G1518" s="8" t="inlineStr">
        <is>
          <t>Prakash Reddy</t>
        </is>
      </c>
      <c r="H1518" s="8" t="n">
        <v>9945239707</v>
      </c>
      <c r="I1518" s="26" t="inlineStr">
        <is>
          <t>PE25032602</t>
        </is>
      </c>
      <c r="J1518" s="42" t="inlineStr">
        <is>
          <t xml:space="preserve">Junction Box burnt </t>
        </is>
      </c>
      <c r="K1518" s="8" t="inlineStr">
        <is>
          <t>Bangalore</t>
        </is>
      </c>
      <c r="L1518" s="39" t="inlineStr">
        <is>
          <t>Karnataka</t>
        </is>
      </c>
      <c r="M1518" s="34" t="inlineStr">
        <is>
          <t>JB Replaced</t>
        </is>
      </c>
      <c r="N1518" s="6" t="inlineStr">
        <is>
          <t>JB Issue</t>
        </is>
      </c>
      <c r="O1518" s="39" t="inlineStr">
        <is>
          <t>NA</t>
        </is>
      </c>
      <c r="P1518" s="34" t="inlineStr">
        <is>
          <t>NSM191207242</t>
        </is>
      </c>
      <c r="Q1518" s="29">
        <f>MID(P1518,4,2)</f>
        <v/>
      </c>
      <c r="R1518" s="14">
        <f>MID(P1518,6,2)</f>
        <v/>
      </c>
      <c r="S1518" s="6" t="inlineStr">
        <is>
          <t>G2B</t>
        </is>
      </c>
      <c r="T1518" s="6" t="inlineStr">
        <is>
          <t>NA</t>
        </is>
      </c>
      <c r="U1518" s="6" t="inlineStr">
        <is>
          <t>JB Issue</t>
        </is>
      </c>
      <c r="V1518" s="1" t="inlineStr">
        <is>
          <t>Inspection</t>
        </is>
      </c>
      <c r="W1518" s="1" t="inlineStr">
        <is>
          <t>Repair</t>
        </is>
      </c>
      <c r="X1518" s="5" t="n">
        <v>46191</v>
      </c>
      <c r="Y1518" s="1">
        <f>IF(X1518="","",X1518-A1518)</f>
        <v/>
      </c>
      <c r="Z1518" s="5" t="n">
        <v>46191</v>
      </c>
      <c r="AA1518" s="3" t="n"/>
      <c r="AB1518" s="3" t="n"/>
      <c r="AE1518" s="146">
        <f>IF(AND(F1518="Closed",X1518&gt;=DATE(2026,6,1),X1518&lt;=DATE(2026,6,30)),"Closed in June","other")</f>
        <v/>
      </c>
    </row>
    <row r="1519" hidden="1">
      <c r="A1519" s="9" t="n">
        <v>46106</v>
      </c>
      <c r="B1519" s="1" t="n">
        <v>2026</v>
      </c>
      <c r="C1519" s="8" t="inlineStr">
        <is>
          <t>Asian Fab Tec Ltd</t>
        </is>
      </c>
      <c r="D1519" s="8" t="inlineStr">
        <is>
          <t>Utility and C&amp;I</t>
        </is>
      </c>
      <c r="E1519" s="1" t="n"/>
      <c r="F1519" s="1" t="inlineStr">
        <is>
          <t>Closed</t>
        </is>
      </c>
      <c r="G1519" s="8" t="inlineStr">
        <is>
          <t>Prakash Reddy</t>
        </is>
      </c>
      <c r="H1519" s="8" t="n">
        <v>9945239707</v>
      </c>
      <c r="I1519" s="26" t="inlineStr">
        <is>
          <t>PE25032602</t>
        </is>
      </c>
      <c r="J1519" s="42" t="inlineStr">
        <is>
          <t xml:space="preserve">Junction Box burnt </t>
        </is>
      </c>
      <c r="K1519" s="8" t="inlineStr">
        <is>
          <t>Bangalore</t>
        </is>
      </c>
      <c r="L1519" s="39" t="inlineStr">
        <is>
          <t>Karnataka</t>
        </is>
      </c>
      <c r="M1519" s="34" t="inlineStr">
        <is>
          <t>JB Replaced</t>
        </is>
      </c>
      <c r="N1519" s="6" t="inlineStr">
        <is>
          <t>JB Issue</t>
        </is>
      </c>
      <c r="O1519" s="39" t="inlineStr">
        <is>
          <t>NA</t>
        </is>
      </c>
      <c r="P1519" s="34" t="inlineStr">
        <is>
          <t>NSM191206927</t>
        </is>
      </c>
      <c r="Q1519" s="29">
        <f>MID(P1519,4,2)</f>
        <v/>
      </c>
      <c r="R1519" s="14">
        <f>MID(P1519,6,2)</f>
        <v/>
      </c>
      <c r="S1519" s="6" t="inlineStr">
        <is>
          <t>G2B</t>
        </is>
      </c>
      <c r="T1519" s="6" t="inlineStr">
        <is>
          <t>NA</t>
        </is>
      </c>
      <c r="U1519" s="6" t="inlineStr">
        <is>
          <t>JB Issue</t>
        </is>
      </c>
      <c r="V1519" s="1" t="inlineStr">
        <is>
          <t>Inspection</t>
        </is>
      </c>
      <c r="W1519" s="1" t="inlineStr">
        <is>
          <t>Repair</t>
        </is>
      </c>
      <c r="X1519" s="5" t="n">
        <v>46191</v>
      </c>
      <c r="Y1519" s="1">
        <f>IF(X1519="","",X1519-A1519)</f>
        <v/>
      </c>
      <c r="Z1519" s="5" t="n">
        <v>46191</v>
      </c>
      <c r="AA1519" s="3" t="n"/>
      <c r="AB1519" s="3" t="n"/>
      <c r="AE1519" s="146">
        <f>IF(AND(F1519="Closed",X1519&gt;=DATE(2026,6,1),X1519&lt;=DATE(2026,6,30)),"Closed in June","other")</f>
        <v/>
      </c>
    </row>
    <row r="1520" hidden="1">
      <c r="A1520" s="9" t="n">
        <v>46106</v>
      </c>
      <c r="B1520" s="1" t="n">
        <v>2026</v>
      </c>
      <c r="C1520" s="8" t="inlineStr">
        <is>
          <t>Asian Fab Tec Ltd</t>
        </is>
      </c>
      <c r="D1520" s="8" t="inlineStr">
        <is>
          <t>Utility and C&amp;I</t>
        </is>
      </c>
      <c r="E1520" s="1" t="n"/>
      <c r="F1520" s="1" t="inlineStr">
        <is>
          <t>Closed</t>
        </is>
      </c>
      <c r="G1520" s="8" t="inlineStr">
        <is>
          <t>Prakash Reddy</t>
        </is>
      </c>
      <c r="H1520" s="8" t="n">
        <v>9945239707</v>
      </c>
      <c r="I1520" s="26" t="inlineStr">
        <is>
          <t>PE25032602</t>
        </is>
      </c>
      <c r="J1520" s="42" t="inlineStr">
        <is>
          <t xml:space="preserve">Junction Box burnt </t>
        </is>
      </c>
      <c r="K1520" s="8" t="inlineStr">
        <is>
          <t>Bangalore</t>
        </is>
      </c>
      <c r="L1520" s="39" t="inlineStr">
        <is>
          <t>Karnataka</t>
        </is>
      </c>
      <c r="M1520" s="34" t="inlineStr">
        <is>
          <t>JB Replaced</t>
        </is>
      </c>
      <c r="N1520" s="6" t="inlineStr">
        <is>
          <t>JB Issue</t>
        </is>
      </c>
      <c r="O1520" s="39" t="inlineStr">
        <is>
          <t>NA</t>
        </is>
      </c>
      <c r="P1520" s="34" t="inlineStr">
        <is>
          <t>NSM191207253</t>
        </is>
      </c>
      <c r="Q1520" s="29">
        <f>MID(P1520,4,2)</f>
        <v/>
      </c>
      <c r="R1520" s="14">
        <f>MID(P1520,6,2)</f>
        <v/>
      </c>
      <c r="S1520" s="6" t="inlineStr">
        <is>
          <t>G2B</t>
        </is>
      </c>
      <c r="T1520" s="6" t="inlineStr">
        <is>
          <t>NA</t>
        </is>
      </c>
      <c r="U1520" s="6" t="inlineStr">
        <is>
          <t>JB Issue</t>
        </is>
      </c>
      <c r="V1520" s="1" t="inlineStr">
        <is>
          <t>Inspection</t>
        </is>
      </c>
      <c r="W1520" s="1" t="inlineStr">
        <is>
          <t>Repair</t>
        </is>
      </c>
      <c r="X1520" s="5" t="n">
        <v>46191</v>
      </c>
      <c r="Y1520" s="1">
        <f>IF(X1520="","",X1520-A1520)</f>
        <v/>
      </c>
      <c r="Z1520" s="5" t="n">
        <v>46191</v>
      </c>
      <c r="AA1520" s="3" t="n"/>
      <c r="AB1520" s="3" t="n"/>
      <c r="AE1520" s="146">
        <f>IF(AND(F1520="Closed",X1520&gt;=DATE(2026,6,1),X1520&lt;=DATE(2026,6,30)),"Closed in June","other")</f>
        <v/>
      </c>
    </row>
    <row r="1521" hidden="1">
      <c r="A1521" s="9" t="n">
        <v>46106</v>
      </c>
      <c r="B1521" s="1" t="n">
        <v>2026</v>
      </c>
      <c r="C1521" s="8" t="inlineStr">
        <is>
          <t>Asian Fab Tec Ltd</t>
        </is>
      </c>
      <c r="D1521" s="8" t="inlineStr">
        <is>
          <t>Utility and C&amp;I</t>
        </is>
      </c>
      <c r="E1521" s="1" t="n"/>
      <c r="F1521" s="1" t="inlineStr">
        <is>
          <t>Closed</t>
        </is>
      </c>
      <c r="G1521" s="8" t="inlineStr">
        <is>
          <t>Prakash Reddy</t>
        </is>
      </c>
      <c r="H1521" s="8" t="n">
        <v>9945239707</v>
      </c>
      <c r="I1521" s="26" t="inlineStr">
        <is>
          <t>PE25032602</t>
        </is>
      </c>
      <c r="J1521" s="42" t="inlineStr">
        <is>
          <t xml:space="preserve">Junction Box burnt </t>
        </is>
      </c>
      <c r="K1521" s="8" t="inlineStr">
        <is>
          <t>Bangalore</t>
        </is>
      </c>
      <c r="L1521" s="39" t="inlineStr">
        <is>
          <t>Karnataka</t>
        </is>
      </c>
      <c r="M1521" s="34" t="inlineStr">
        <is>
          <t>JB Replaced</t>
        </is>
      </c>
      <c r="N1521" s="6" t="inlineStr">
        <is>
          <t>JB Issue</t>
        </is>
      </c>
      <c r="O1521" s="39" t="inlineStr">
        <is>
          <t>NA</t>
        </is>
      </c>
      <c r="P1521" s="34" t="inlineStr">
        <is>
          <t>NSM191207251</t>
        </is>
      </c>
      <c r="Q1521" s="29">
        <f>MID(P1521,4,2)</f>
        <v/>
      </c>
      <c r="R1521" s="14">
        <f>MID(P1521,6,2)</f>
        <v/>
      </c>
      <c r="S1521" s="6" t="inlineStr">
        <is>
          <t>G2B</t>
        </is>
      </c>
      <c r="T1521" s="6" t="inlineStr">
        <is>
          <t>NA</t>
        </is>
      </c>
      <c r="U1521" s="6" t="inlineStr">
        <is>
          <t>JB Issue</t>
        </is>
      </c>
      <c r="V1521" s="1" t="inlineStr">
        <is>
          <t>Inspection</t>
        </is>
      </c>
      <c r="W1521" s="1" t="inlineStr">
        <is>
          <t>Repair</t>
        </is>
      </c>
      <c r="X1521" s="5" t="n">
        <v>46191</v>
      </c>
      <c r="Y1521" s="1">
        <f>IF(X1521="","",X1521-A1521)</f>
        <v/>
      </c>
      <c r="Z1521" s="5" t="n">
        <v>46191</v>
      </c>
      <c r="AA1521" s="3" t="n"/>
      <c r="AB1521" s="3" t="n"/>
      <c r="AE1521" s="146">
        <f>IF(AND(F1521="Closed",X1521&gt;=DATE(2026,6,1),X1521&lt;=DATE(2026,6,30)),"Closed in June","other")</f>
        <v/>
      </c>
    </row>
    <row r="1522" hidden="1">
      <c r="A1522" s="9" t="n">
        <v>46106</v>
      </c>
      <c r="B1522" s="1" t="n">
        <v>2026</v>
      </c>
      <c r="C1522" s="8" t="inlineStr">
        <is>
          <t>Asian Fab Tec Ltd</t>
        </is>
      </c>
      <c r="D1522" s="8" t="inlineStr">
        <is>
          <t>Utility and C&amp;I</t>
        </is>
      </c>
      <c r="E1522" s="1" t="n"/>
      <c r="F1522" s="1" t="inlineStr">
        <is>
          <t>Closed</t>
        </is>
      </c>
      <c r="G1522" s="8" t="inlineStr">
        <is>
          <t>Prakash Reddy</t>
        </is>
      </c>
      <c r="H1522" s="8" t="n">
        <v>9945239707</v>
      </c>
      <c r="I1522" s="26" t="inlineStr">
        <is>
          <t>PE25032602</t>
        </is>
      </c>
      <c r="J1522" s="42" t="inlineStr">
        <is>
          <t xml:space="preserve">Junction Box burnt </t>
        </is>
      </c>
      <c r="K1522" s="8" t="inlineStr">
        <is>
          <t>Bangalore</t>
        </is>
      </c>
      <c r="L1522" s="39" t="inlineStr">
        <is>
          <t>Karnataka</t>
        </is>
      </c>
      <c r="M1522" s="34" t="inlineStr">
        <is>
          <t>JB Replaced</t>
        </is>
      </c>
      <c r="N1522" s="6" t="inlineStr">
        <is>
          <t>JB Issue</t>
        </is>
      </c>
      <c r="O1522" s="39" t="inlineStr">
        <is>
          <t>NA</t>
        </is>
      </c>
      <c r="P1522" s="34" t="inlineStr">
        <is>
          <t>NSM191207037</t>
        </is>
      </c>
      <c r="Q1522" s="29">
        <f>MID(P1522,4,2)</f>
        <v/>
      </c>
      <c r="R1522" s="14">
        <f>MID(P1522,6,2)</f>
        <v/>
      </c>
      <c r="S1522" s="6" t="inlineStr">
        <is>
          <t>G2B</t>
        </is>
      </c>
      <c r="T1522" s="6" t="inlineStr">
        <is>
          <t>NA</t>
        </is>
      </c>
      <c r="U1522" s="6" t="inlineStr">
        <is>
          <t>JB Issue</t>
        </is>
      </c>
      <c r="V1522" s="1" t="inlineStr">
        <is>
          <t>Inspection</t>
        </is>
      </c>
      <c r="W1522" s="1" t="inlineStr">
        <is>
          <t>Repair</t>
        </is>
      </c>
      <c r="X1522" s="5" t="n">
        <v>46191</v>
      </c>
      <c r="Y1522" s="1">
        <f>IF(X1522="","",X1522-A1522)</f>
        <v/>
      </c>
      <c r="Z1522" s="5" t="n">
        <v>46191</v>
      </c>
      <c r="AA1522" s="3" t="n"/>
      <c r="AB1522" s="3" t="n"/>
      <c r="AE1522" s="146">
        <f>IF(AND(F1522="Closed",X1522&gt;=DATE(2026,6,1),X1522&lt;=DATE(2026,6,30)),"Closed in June","other")</f>
        <v/>
      </c>
    </row>
    <row r="1523" hidden="1">
      <c r="A1523" s="9" t="n">
        <v>46106</v>
      </c>
      <c r="B1523" s="1" t="n">
        <v>2026</v>
      </c>
      <c r="C1523" s="8" t="inlineStr">
        <is>
          <t>Asian Fab Tec Ltd</t>
        </is>
      </c>
      <c r="D1523" s="8" t="inlineStr">
        <is>
          <t>Utility and C&amp;I</t>
        </is>
      </c>
      <c r="E1523" s="1" t="n"/>
      <c r="F1523" s="1" t="inlineStr">
        <is>
          <t>Closed</t>
        </is>
      </c>
      <c r="G1523" s="8" t="inlineStr">
        <is>
          <t>Prakash Reddy</t>
        </is>
      </c>
      <c r="H1523" s="8" t="n">
        <v>9945239707</v>
      </c>
      <c r="I1523" s="26" t="inlineStr">
        <is>
          <t>PE25032602</t>
        </is>
      </c>
      <c r="J1523" s="42" t="inlineStr">
        <is>
          <t xml:space="preserve">Junction Box burnt </t>
        </is>
      </c>
      <c r="K1523" s="8" t="inlineStr">
        <is>
          <t>Bangalore</t>
        </is>
      </c>
      <c r="L1523" s="39" t="inlineStr">
        <is>
          <t>Karnataka</t>
        </is>
      </c>
      <c r="M1523" s="34" t="inlineStr">
        <is>
          <t>JB Replaced</t>
        </is>
      </c>
      <c r="N1523" s="6" t="inlineStr">
        <is>
          <t>JB Issue</t>
        </is>
      </c>
      <c r="O1523" s="39" t="inlineStr">
        <is>
          <t>NA</t>
        </is>
      </c>
      <c r="P1523" s="34" t="inlineStr">
        <is>
          <t>NSM191207028</t>
        </is>
      </c>
      <c r="Q1523" s="29">
        <f>MID(P1523,4,2)</f>
        <v/>
      </c>
      <c r="R1523" s="14">
        <f>MID(P1523,6,2)</f>
        <v/>
      </c>
      <c r="S1523" s="6" t="inlineStr">
        <is>
          <t>G2B</t>
        </is>
      </c>
      <c r="T1523" s="6" t="inlineStr">
        <is>
          <t>NA</t>
        </is>
      </c>
      <c r="U1523" s="6" t="inlineStr">
        <is>
          <t>JB Issue</t>
        </is>
      </c>
      <c r="V1523" s="1" t="inlineStr">
        <is>
          <t>Inspection</t>
        </is>
      </c>
      <c r="W1523" s="1" t="inlineStr">
        <is>
          <t>Repair</t>
        </is>
      </c>
      <c r="X1523" s="5" t="n">
        <v>46191</v>
      </c>
      <c r="Y1523" s="1">
        <f>IF(X1523="","",X1523-A1523)</f>
        <v/>
      </c>
      <c r="Z1523" s="5" t="n">
        <v>46191</v>
      </c>
      <c r="AA1523" s="3" t="n"/>
      <c r="AB1523" s="3" t="n"/>
      <c r="AE1523" s="146">
        <f>IF(AND(F1523="Closed",X1523&gt;=DATE(2026,6,1),X1523&lt;=DATE(2026,6,30)),"Closed in June","other")</f>
        <v/>
      </c>
    </row>
    <row r="1524" hidden="1">
      <c r="A1524" s="9" t="n">
        <v>46106</v>
      </c>
      <c r="B1524" s="1" t="n">
        <v>2026</v>
      </c>
      <c r="C1524" s="8" t="inlineStr">
        <is>
          <t>Asian Fab Tec Ltd</t>
        </is>
      </c>
      <c r="D1524" s="8" t="inlineStr">
        <is>
          <t>Utility and C&amp;I</t>
        </is>
      </c>
      <c r="E1524" s="1" t="n"/>
      <c r="F1524" s="1" t="inlineStr">
        <is>
          <t>Closed</t>
        </is>
      </c>
      <c r="G1524" s="8" t="inlineStr">
        <is>
          <t>Prakash Reddy</t>
        </is>
      </c>
      <c r="H1524" s="8" t="n">
        <v>9945239707</v>
      </c>
      <c r="I1524" s="26" t="inlineStr">
        <is>
          <t>PE25032602</t>
        </is>
      </c>
      <c r="J1524" s="42" t="inlineStr">
        <is>
          <t xml:space="preserve">Junction Box burnt </t>
        </is>
      </c>
      <c r="K1524" s="8" t="inlineStr">
        <is>
          <t>Bangalore</t>
        </is>
      </c>
      <c r="L1524" s="39" t="inlineStr">
        <is>
          <t>Karnataka</t>
        </is>
      </c>
      <c r="M1524" s="34" t="inlineStr">
        <is>
          <t>JB Replaced</t>
        </is>
      </c>
      <c r="N1524" s="6" t="inlineStr">
        <is>
          <t>JB Issue</t>
        </is>
      </c>
      <c r="O1524" s="39" t="inlineStr">
        <is>
          <t>NA</t>
        </is>
      </c>
      <c r="P1524" s="34" t="inlineStr">
        <is>
          <t>NSM191207039</t>
        </is>
      </c>
      <c r="Q1524" s="29">
        <f>MID(P1524,4,2)</f>
        <v/>
      </c>
      <c r="R1524" s="14">
        <f>MID(P1524,6,2)</f>
        <v/>
      </c>
      <c r="S1524" s="6" t="inlineStr">
        <is>
          <t>G2B</t>
        </is>
      </c>
      <c r="T1524" s="6" t="inlineStr">
        <is>
          <t>NA</t>
        </is>
      </c>
      <c r="U1524" s="6" t="inlineStr">
        <is>
          <t>JB Issue</t>
        </is>
      </c>
      <c r="V1524" s="1" t="inlineStr">
        <is>
          <t>Inspection</t>
        </is>
      </c>
      <c r="W1524" s="1" t="inlineStr">
        <is>
          <t>Repair</t>
        </is>
      </c>
      <c r="X1524" s="5" t="n">
        <v>46191</v>
      </c>
      <c r="Y1524" s="1">
        <f>IF(X1524="","",X1524-A1524)</f>
        <v/>
      </c>
      <c r="Z1524" s="5" t="n">
        <v>46191</v>
      </c>
      <c r="AA1524" s="3" t="n"/>
      <c r="AB1524" s="3" t="n"/>
      <c r="AE1524" s="146">
        <f>IF(AND(F1524="Closed",X1524&gt;=DATE(2026,6,1),X1524&lt;=DATE(2026,6,30)),"Closed in June","other")</f>
        <v/>
      </c>
    </row>
    <row r="1525" hidden="1">
      <c r="A1525" s="9" t="n">
        <v>46106</v>
      </c>
      <c r="B1525" s="1" t="n">
        <v>2026</v>
      </c>
      <c r="C1525" s="8" t="inlineStr">
        <is>
          <t>Asian Fab Tec Ltd</t>
        </is>
      </c>
      <c r="D1525" s="8" t="inlineStr">
        <is>
          <t>Utility and C&amp;I</t>
        </is>
      </c>
      <c r="E1525" s="1" t="n"/>
      <c r="F1525" s="1" t="inlineStr">
        <is>
          <t>Closed</t>
        </is>
      </c>
      <c r="G1525" s="8" t="inlineStr">
        <is>
          <t>Prakash Reddy</t>
        </is>
      </c>
      <c r="H1525" s="8" t="n">
        <v>9945239707</v>
      </c>
      <c r="I1525" s="26" t="inlineStr">
        <is>
          <t>PE25032602</t>
        </is>
      </c>
      <c r="J1525" s="42" t="inlineStr">
        <is>
          <t xml:space="preserve">Junction Box burnt </t>
        </is>
      </c>
      <c r="K1525" s="8" t="inlineStr">
        <is>
          <t>Bangalore</t>
        </is>
      </c>
      <c r="L1525" s="39" t="inlineStr">
        <is>
          <t>Karnataka</t>
        </is>
      </c>
      <c r="M1525" s="34" t="inlineStr">
        <is>
          <t>JB Replaced</t>
        </is>
      </c>
      <c r="N1525" s="6" t="inlineStr">
        <is>
          <t>JB Issue</t>
        </is>
      </c>
      <c r="O1525" s="39" t="inlineStr">
        <is>
          <t>NA</t>
        </is>
      </c>
      <c r="P1525" s="34" t="inlineStr">
        <is>
          <t>NSM191207072</t>
        </is>
      </c>
      <c r="Q1525" s="29">
        <f>MID(P1525,4,2)</f>
        <v/>
      </c>
      <c r="R1525" s="14">
        <f>MID(P1525,6,2)</f>
        <v/>
      </c>
      <c r="S1525" s="6" t="inlineStr">
        <is>
          <t>G2B</t>
        </is>
      </c>
      <c r="T1525" s="6" t="inlineStr">
        <is>
          <t>NA</t>
        </is>
      </c>
      <c r="U1525" s="6" t="inlineStr">
        <is>
          <t>JB Issue</t>
        </is>
      </c>
      <c r="V1525" s="1" t="inlineStr">
        <is>
          <t>Inspection</t>
        </is>
      </c>
      <c r="W1525" s="1" t="inlineStr">
        <is>
          <t>Repair</t>
        </is>
      </c>
      <c r="X1525" s="5" t="n">
        <v>46191</v>
      </c>
      <c r="Y1525" s="1">
        <f>IF(X1525="","",X1525-A1525)</f>
        <v/>
      </c>
      <c r="Z1525" s="5" t="n">
        <v>46191</v>
      </c>
      <c r="AA1525" s="3" t="n"/>
      <c r="AB1525" s="3" t="n"/>
      <c r="AE1525" s="146">
        <f>IF(AND(F1525="Closed",X1525&gt;=DATE(2026,6,1),X1525&lt;=DATE(2026,6,30)),"Closed in June","other")</f>
        <v/>
      </c>
    </row>
    <row r="1526" hidden="1">
      <c r="A1526" s="9" t="n">
        <v>46106</v>
      </c>
      <c r="B1526" s="1" t="n">
        <v>2026</v>
      </c>
      <c r="C1526" s="8" t="inlineStr">
        <is>
          <t>Asian Fab Tec Ltd</t>
        </is>
      </c>
      <c r="D1526" s="8" t="inlineStr">
        <is>
          <t>Utility and C&amp;I</t>
        </is>
      </c>
      <c r="E1526" s="1" t="n"/>
      <c r="F1526" s="1" t="inlineStr">
        <is>
          <t>Closed</t>
        </is>
      </c>
      <c r="G1526" s="8" t="inlineStr">
        <is>
          <t>Prakash Reddy</t>
        </is>
      </c>
      <c r="H1526" s="8" t="n">
        <v>9945239707</v>
      </c>
      <c r="I1526" s="26" t="inlineStr">
        <is>
          <t>PE25032602</t>
        </is>
      </c>
      <c r="J1526" s="42" t="inlineStr">
        <is>
          <t xml:space="preserve">Junction Box burnt </t>
        </is>
      </c>
      <c r="K1526" s="8" t="inlineStr">
        <is>
          <t>Bangalore</t>
        </is>
      </c>
      <c r="L1526" s="39" t="inlineStr">
        <is>
          <t>Karnataka</t>
        </is>
      </c>
      <c r="M1526" s="34" t="inlineStr">
        <is>
          <t>JB Replaced</t>
        </is>
      </c>
      <c r="N1526" s="6" t="inlineStr">
        <is>
          <t>JB Issue</t>
        </is>
      </c>
      <c r="O1526" s="39" t="inlineStr">
        <is>
          <t>NA</t>
        </is>
      </c>
      <c r="P1526" s="34" t="inlineStr">
        <is>
          <t>NSM191207034</t>
        </is>
      </c>
      <c r="Q1526" s="29">
        <f>MID(P1526,4,2)</f>
        <v/>
      </c>
      <c r="R1526" s="14">
        <f>MID(P1526,6,2)</f>
        <v/>
      </c>
      <c r="S1526" s="6" t="inlineStr">
        <is>
          <t>G2B</t>
        </is>
      </c>
      <c r="T1526" s="6" t="inlineStr">
        <is>
          <t>NA</t>
        </is>
      </c>
      <c r="U1526" s="6" t="inlineStr">
        <is>
          <t>JB Issue</t>
        </is>
      </c>
      <c r="V1526" s="1" t="inlineStr">
        <is>
          <t>Inspection</t>
        </is>
      </c>
      <c r="W1526" s="1" t="inlineStr">
        <is>
          <t>Repair</t>
        </is>
      </c>
      <c r="X1526" s="5" t="n">
        <v>46191</v>
      </c>
      <c r="Y1526" s="1">
        <f>IF(X1526="","",X1526-A1526)</f>
        <v/>
      </c>
      <c r="Z1526" s="5" t="n">
        <v>46191</v>
      </c>
      <c r="AA1526" s="3" t="n"/>
      <c r="AB1526" s="3" t="n"/>
      <c r="AE1526" s="146">
        <f>IF(AND(F1526="Closed",X1526&gt;=DATE(2026,6,1),X1526&lt;=DATE(2026,6,30)),"Closed in June","other")</f>
        <v/>
      </c>
    </row>
    <row r="1527" hidden="1">
      <c r="A1527" s="9" t="n">
        <v>46106</v>
      </c>
      <c r="B1527" s="1" t="n">
        <v>2026</v>
      </c>
      <c r="C1527" s="8" t="inlineStr">
        <is>
          <t>Asian Fab Tec Ltd</t>
        </is>
      </c>
      <c r="D1527" s="8" t="inlineStr">
        <is>
          <t>Utility and C&amp;I</t>
        </is>
      </c>
      <c r="E1527" s="1" t="n"/>
      <c r="F1527" s="1" t="inlineStr">
        <is>
          <t>Closed</t>
        </is>
      </c>
      <c r="G1527" s="8" t="inlineStr">
        <is>
          <t>Prakash Reddy</t>
        </is>
      </c>
      <c r="H1527" s="8" t="n">
        <v>9945239707</v>
      </c>
      <c r="I1527" s="26" t="inlineStr">
        <is>
          <t>PE25032602</t>
        </is>
      </c>
      <c r="J1527" s="42" t="inlineStr">
        <is>
          <t xml:space="preserve">Junction Box burnt </t>
        </is>
      </c>
      <c r="K1527" s="8" t="inlineStr">
        <is>
          <t>Bangalore</t>
        </is>
      </c>
      <c r="L1527" s="39" t="inlineStr">
        <is>
          <t>Karnataka</t>
        </is>
      </c>
      <c r="M1527" s="34" t="inlineStr">
        <is>
          <t>JB Replaced</t>
        </is>
      </c>
      <c r="N1527" s="6" t="inlineStr">
        <is>
          <t>JB Issue</t>
        </is>
      </c>
      <c r="O1527" s="39" t="inlineStr">
        <is>
          <t>NA</t>
        </is>
      </c>
      <c r="P1527" s="34" t="inlineStr">
        <is>
          <t>NSM191207065</t>
        </is>
      </c>
      <c r="Q1527" s="29">
        <f>MID(P1527,4,2)</f>
        <v/>
      </c>
      <c r="R1527" s="14">
        <f>MID(P1527,6,2)</f>
        <v/>
      </c>
      <c r="S1527" s="6" t="inlineStr">
        <is>
          <t>G2B</t>
        </is>
      </c>
      <c r="T1527" s="6" t="inlineStr">
        <is>
          <t>NA</t>
        </is>
      </c>
      <c r="U1527" s="6" t="inlineStr">
        <is>
          <t>JB Issue</t>
        </is>
      </c>
      <c r="V1527" s="1" t="inlineStr">
        <is>
          <t>Inspection</t>
        </is>
      </c>
      <c r="W1527" s="1" t="inlineStr">
        <is>
          <t>Repair</t>
        </is>
      </c>
      <c r="X1527" s="5" t="n">
        <v>46191</v>
      </c>
      <c r="Y1527" s="1">
        <f>IF(X1527="","",X1527-A1527)</f>
        <v/>
      </c>
      <c r="Z1527" s="5" t="n">
        <v>46191</v>
      </c>
      <c r="AA1527" s="3" t="n"/>
      <c r="AB1527" s="3" t="n"/>
      <c r="AE1527" s="146">
        <f>IF(AND(F1527="Closed",X1527&gt;=DATE(2026,6,1),X1527&lt;=DATE(2026,6,30)),"Closed in June","other")</f>
        <v/>
      </c>
    </row>
    <row r="1528" hidden="1">
      <c r="A1528" s="9" t="n">
        <v>46106</v>
      </c>
      <c r="B1528" s="1" t="n">
        <v>2026</v>
      </c>
      <c r="C1528" s="8" t="inlineStr">
        <is>
          <t>Asian Fab Tec Ltd</t>
        </is>
      </c>
      <c r="D1528" s="8" t="inlineStr">
        <is>
          <t>Utility and C&amp;I</t>
        </is>
      </c>
      <c r="E1528" s="1" t="n"/>
      <c r="F1528" s="1" t="inlineStr">
        <is>
          <t>Closed</t>
        </is>
      </c>
      <c r="G1528" s="8" t="inlineStr">
        <is>
          <t>Prakash Reddy</t>
        </is>
      </c>
      <c r="H1528" s="8" t="n">
        <v>9945239707</v>
      </c>
      <c r="I1528" s="26" t="inlineStr">
        <is>
          <t>PE25032602</t>
        </is>
      </c>
      <c r="J1528" s="42" t="inlineStr">
        <is>
          <t xml:space="preserve">Junction Box burnt </t>
        </is>
      </c>
      <c r="K1528" s="8" t="inlineStr">
        <is>
          <t>Bangalore</t>
        </is>
      </c>
      <c r="L1528" s="39" t="inlineStr">
        <is>
          <t>Karnataka</t>
        </is>
      </c>
      <c r="M1528" s="34" t="inlineStr">
        <is>
          <t>JB Replaced</t>
        </is>
      </c>
      <c r="N1528" s="6" t="inlineStr">
        <is>
          <t>JB Issue</t>
        </is>
      </c>
      <c r="O1528" s="39" t="inlineStr">
        <is>
          <t>NA</t>
        </is>
      </c>
      <c r="P1528" s="34" t="inlineStr">
        <is>
          <t>NSM191206460</t>
        </is>
      </c>
      <c r="Q1528" s="29">
        <f>MID(P1528,4,2)</f>
        <v/>
      </c>
      <c r="R1528" s="14">
        <f>MID(P1528,6,2)</f>
        <v/>
      </c>
      <c r="S1528" s="6" t="inlineStr">
        <is>
          <t>G2B</t>
        </is>
      </c>
      <c r="T1528" s="6" t="inlineStr">
        <is>
          <t>NA</t>
        </is>
      </c>
      <c r="U1528" s="6" t="inlineStr">
        <is>
          <t>JB Issue</t>
        </is>
      </c>
      <c r="V1528" s="1" t="inlineStr">
        <is>
          <t>Inspection</t>
        </is>
      </c>
      <c r="W1528" s="1" t="inlineStr">
        <is>
          <t>Repair</t>
        </is>
      </c>
      <c r="X1528" s="5" t="n">
        <v>46191</v>
      </c>
      <c r="Y1528" s="1">
        <f>IF(X1528="","",X1528-A1528)</f>
        <v/>
      </c>
      <c r="Z1528" s="5" t="n">
        <v>46191</v>
      </c>
      <c r="AA1528" s="3" t="n"/>
      <c r="AB1528" s="3" t="n"/>
      <c r="AE1528" s="146">
        <f>IF(AND(F1528="Closed",X1528&gt;=DATE(2026,6,1),X1528&lt;=DATE(2026,6,30)),"Closed in June","other")</f>
        <v/>
      </c>
    </row>
    <row r="1529" hidden="1">
      <c r="A1529" s="9" t="n">
        <v>46106</v>
      </c>
      <c r="B1529" s="1" t="n">
        <v>2026</v>
      </c>
      <c r="C1529" s="8" t="inlineStr">
        <is>
          <t>Asian Fab Tec Ltd</t>
        </is>
      </c>
      <c r="D1529" s="8" t="inlineStr">
        <is>
          <t>Utility and C&amp;I</t>
        </is>
      </c>
      <c r="E1529" s="1" t="n"/>
      <c r="F1529" s="1" t="inlineStr">
        <is>
          <t>Closed</t>
        </is>
      </c>
      <c r="G1529" s="8" t="inlineStr">
        <is>
          <t>Prakash Reddy</t>
        </is>
      </c>
      <c r="H1529" s="8" t="n">
        <v>9945239707</v>
      </c>
      <c r="I1529" s="26" t="inlineStr">
        <is>
          <t>PE25032602</t>
        </is>
      </c>
      <c r="J1529" s="42" t="inlineStr">
        <is>
          <t xml:space="preserve">Junction Box burnt </t>
        </is>
      </c>
      <c r="K1529" s="8" t="inlineStr">
        <is>
          <t>Bangalore</t>
        </is>
      </c>
      <c r="L1529" s="39" t="inlineStr">
        <is>
          <t>Karnataka</t>
        </is>
      </c>
      <c r="M1529" s="34" t="inlineStr">
        <is>
          <t>JB Replaced</t>
        </is>
      </c>
      <c r="N1529" s="6" t="inlineStr">
        <is>
          <t>JB Issue</t>
        </is>
      </c>
      <c r="O1529" s="39" t="inlineStr">
        <is>
          <t>NA</t>
        </is>
      </c>
      <c r="P1529" s="34" t="inlineStr">
        <is>
          <t>NSM191207208</t>
        </is>
      </c>
      <c r="Q1529" s="29">
        <f>MID(P1529,4,2)</f>
        <v/>
      </c>
      <c r="R1529" s="14">
        <f>MID(P1529,6,2)</f>
        <v/>
      </c>
      <c r="S1529" s="6" t="inlineStr">
        <is>
          <t>G2B</t>
        </is>
      </c>
      <c r="T1529" s="6" t="inlineStr">
        <is>
          <t>NA</t>
        </is>
      </c>
      <c r="U1529" s="6" t="inlineStr">
        <is>
          <t>JB Issue</t>
        </is>
      </c>
      <c r="V1529" s="1" t="inlineStr">
        <is>
          <t>Inspection</t>
        </is>
      </c>
      <c r="W1529" s="1" t="inlineStr">
        <is>
          <t>Repair</t>
        </is>
      </c>
      <c r="X1529" s="5" t="n">
        <v>46191</v>
      </c>
      <c r="Y1529" s="1">
        <f>IF(X1529="","",X1529-A1529)</f>
        <v/>
      </c>
      <c r="Z1529" s="5" t="n">
        <v>46191</v>
      </c>
      <c r="AA1529" s="3" t="n"/>
      <c r="AB1529" s="3" t="n"/>
      <c r="AE1529" s="146">
        <f>IF(AND(F1529="Closed",X1529&gt;=DATE(2026,6,1),X1529&lt;=DATE(2026,6,30)),"Closed in June","other")</f>
        <v/>
      </c>
    </row>
    <row r="1530" hidden="1">
      <c r="A1530" s="9" t="n">
        <v>46106</v>
      </c>
      <c r="B1530" s="1" t="n">
        <v>2026</v>
      </c>
      <c r="C1530" s="8" t="inlineStr">
        <is>
          <t>Asian Fab Tec Ltd</t>
        </is>
      </c>
      <c r="D1530" s="8" t="inlineStr">
        <is>
          <t>Utility and C&amp;I</t>
        </is>
      </c>
      <c r="E1530" s="1" t="n"/>
      <c r="F1530" s="1" t="inlineStr">
        <is>
          <t>Closed</t>
        </is>
      </c>
      <c r="G1530" s="8" t="inlineStr">
        <is>
          <t>Prakash Reddy</t>
        </is>
      </c>
      <c r="H1530" s="8" t="n">
        <v>9945239707</v>
      </c>
      <c r="I1530" s="26" t="inlineStr">
        <is>
          <t>PE25032602</t>
        </is>
      </c>
      <c r="J1530" s="42" t="inlineStr">
        <is>
          <t xml:space="preserve">Junction Box burnt </t>
        </is>
      </c>
      <c r="K1530" s="8" t="inlineStr">
        <is>
          <t>Bangalore</t>
        </is>
      </c>
      <c r="L1530" s="39" t="inlineStr">
        <is>
          <t>Karnataka</t>
        </is>
      </c>
      <c r="M1530" s="34" t="inlineStr">
        <is>
          <t>JB Replaced</t>
        </is>
      </c>
      <c r="N1530" s="6" t="inlineStr">
        <is>
          <t>JB Issue</t>
        </is>
      </c>
      <c r="O1530" s="39" t="inlineStr">
        <is>
          <t>NA</t>
        </is>
      </c>
      <c r="P1530" s="34" t="inlineStr">
        <is>
          <t>NSM191207644</t>
        </is>
      </c>
      <c r="Q1530" s="29">
        <f>MID(P1530,4,2)</f>
        <v/>
      </c>
      <c r="R1530" s="14">
        <f>MID(P1530,6,2)</f>
        <v/>
      </c>
      <c r="S1530" s="6" t="inlineStr">
        <is>
          <t>G2B</t>
        </is>
      </c>
      <c r="T1530" s="6" t="inlineStr">
        <is>
          <t>NA</t>
        </is>
      </c>
      <c r="U1530" s="6" t="inlineStr">
        <is>
          <t>JB Issue</t>
        </is>
      </c>
      <c r="V1530" s="1" t="inlineStr">
        <is>
          <t>Inspection</t>
        </is>
      </c>
      <c r="W1530" s="1" t="inlineStr">
        <is>
          <t>Repair</t>
        </is>
      </c>
      <c r="X1530" s="5" t="n">
        <v>46191</v>
      </c>
      <c r="Y1530" s="1">
        <f>IF(X1530="","",X1530-A1530)</f>
        <v/>
      </c>
      <c r="Z1530" s="5" t="n">
        <v>46191</v>
      </c>
      <c r="AA1530" s="3" t="n"/>
      <c r="AB1530" s="3" t="n"/>
      <c r="AE1530" s="146">
        <f>IF(AND(F1530="Closed",X1530&gt;=DATE(2026,6,1),X1530&lt;=DATE(2026,6,30)),"Closed in June","other")</f>
        <v/>
      </c>
    </row>
    <row r="1531" hidden="1">
      <c r="A1531" s="9" t="n">
        <v>46106</v>
      </c>
      <c r="B1531" s="1" t="n">
        <v>2026</v>
      </c>
      <c r="C1531" s="8" t="inlineStr">
        <is>
          <t>Asian Fab Tec Ltd</t>
        </is>
      </c>
      <c r="D1531" s="8" t="inlineStr">
        <is>
          <t>Utility and C&amp;I</t>
        </is>
      </c>
      <c r="E1531" s="1" t="n"/>
      <c r="F1531" s="1" t="inlineStr">
        <is>
          <t>Closed</t>
        </is>
      </c>
      <c r="G1531" s="8" t="inlineStr">
        <is>
          <t>Prakash Reddy</t>
        </is>
      </c>
      <c r="H1531" s="8" t="n">
        <v>9945239707</v>
      </c>
      <c r="I1531" s="26" t="inlineStr">
        <is>
          <t>PE25032602</t>
        </is>
      </c>
      <c r="J1531" s="42" t="inlineStr">
        <is>
          <t xml:space="preserve">Junction Box burnt </t>
        </is>
      </c>
      <c r="K1531" s="8" t="inlineStr">
        <is>
          <t>Bangalore</t>
        </is>
      </c>
      <c r="L1531" s="39" t="inlineStr">
        <is>
          <t>Karnataka</t>
        </is>
      </c>
      <c r="M1531" s="34" t="inlineStr">
        <is>
          <t>JB Replaced</t>
        </is>
      </c>
      <c r="N1531" s="6" t="inlineStr">
        <is>
          <t>JB Issue</t>
        </is>
      </c>
      <c r="O1531" s="39" t="inlineStr">
        <is>
          <t>NA</t>
        </is>
      </c>
      <c r="P1531" s="34" t="inlineStr">
        <is>
          <t>NSM191207298</t>
        </is>
      </c>
      <c r="Q1531" s="29">
        <f>MID(P1531,4,2)</f>
        <v/>
      </c>
      <c r="R1531" s="14">
        <f>MID(P1531,6,2)</f>
        <v/>
      </c>
      <c r="S1531" s="6" t="inlineStr">
        <is>
          <t>G2B</t>
        </is>
      </c>
      <c r="T1531" s="6" t="inlineStr">
        <is>
          <t>NA</t>
        </is>
      </c>
      <c r="U1531" s="6" t="inlineStr">
        <is>
          <t>JB Issue</t>
        </is>
      </c>
      <c r="V1531" s="1" t="inlineStr">
        <is>
          <t>Inspection</t>
        </is>
      </c>
      <c r="W1531" s="1" t="inlineStr">
        <is>
          <t>Repair</t>
        </is>
      </c>
      <c r="X1531" s="5" t="n">
        <v>46191</v>
      </c>
      <c r="Y1531" s="1">
        <f>IF(X1531="","",X1531-A1531)</f>
        <v/>
      </c>
      <c r="Z1531" s="5" t="n">
        <v>46191</v>
      </c>
      <c r="AA1531" s="3" t="n"/>
      <c r="AB1531" s="3" t="n"/>
      <c r="AE1531" s="146">
        <f>IF(AND(F1531="Closed",X1531&gt;=DATE(2026,6,1),X1531&lt;=DATE(2026,6,30)),"Closed in June","other")</f>
        <v/>
      </c>
    </row>
    <row r="1532" hidden="1">
      <c r="A1532" s="9" t="n">
        <v>46106</v>
      </c>
      <c r="B1532" s="1" t="n">
        <v>2026</v>
      </c>
      <c r="C1532" s="8" t="inlineStr">
        <is>
          <t>Asian Fab Tec Ltd</t>
        </is>
      </c>
      <c r="D1532" s="8" t="inlineStr">
        <is>
          <t>Utility and C&amp;I</t>
        </is>
      </c>
      <c r="E1532" s="1" t="n"/>
      <c r="F1532" s="1" t="inlineStr">
        <is>
          <t>Closed</t>
        </is>
      </c>
      <c r="G1532" s="8" t="inlineStr">
        <is>
          <t>Prakash Reddy</t>
        </is>
      </c>
      <c r="H1532" s="8" t="n">
        <v>9945239707</v>
      </c>
      <c r="I1532" s="26" t="inlineStr">
        <is>
          <t>PE25032602</t>
        </is>
      </c>
      <c r="J1532" s="42" t="inlineStr">
        <is>
          <t xml:space="preserve">Junction Box burnt </t>
        </is>
      </c>
      <c r="K1532" s="8" t="inlineStr">
        <is>
          <t>Bangalore</t>
        </is>
      </c>
      <c r="L1532" s="39" t="inlineStr">
        <is>
          <t>Karnataka</t>
        </is>
      </c>
      <c r="M1532" s="34" t="inlineStr">
        <is>
          <t>JB Replaced</t>
        </is>
      </c>
      <c r="N1532" s="6" t="inlineStr">
        <is>
          <t>JB Issue</t>
        </is>
      </c>
      <c r="O1532" s="39" t="inlineStr">
        <is>
          <t>NA</t>
        </is>
      </c>
      <c r="P1532" s="34" t="inlineStr">
        <is>
          <t>NSM191207071</t>
        </is>
      </c>
      <c r="Q1532" s="29">
        <f>MID(P1532,4,2)</f>
        <v/>
      </c>
      <c r="R1532" s="14">
        <f>MID(P1532,6,2)</f>
        <v/>
      </c>
      <c r="S1532" s="6" t="inlineStr">
        <is>
          <t>G2B</t>
        </is>
      </c>
      <c r="T1532" s="6" t="inlineStr">
        <is>
          <t>NA</t>
        </is>
      </c>
      <c r="U1532" s="6" t="inlineStr">
        <is>
          <t>JB Issue</t>
        </is>
      </c>
      <c r="V1532" s="1" t="inlineStr">
        <is>
          <t>Inspection</t>
        </is>
      </c>
      <c r="W1532" s="1" t="inlineStr">
        <is>
          <t>Repair</t>
        </is>
      </c>
      <c r="X1532" s="5" t="n">
        <v>46191</v>
      </c>
      <c r="Y1532" s="1">
        <f>IF(X1532="","",X1532-A1532)</f>
        <v/>
      </c>
      <c r="Z1532" s="5" t="n">
        <v>46191</v>
      </c>
      <c r="AA1532" s="3" t="n"/>
      <c r="AB1532" s="3" t="n"/>
      <c r="AE1532" s="146">
        <f>IF(AND(F1532="Closed",X1532&gt;=DATE(2026,6,1),X1532&lt;=DATE(2026,6,30)),"Closed in June","other")</f>
        <v/>
      </c>
    </row>
    <row r="1533" hidden="1">
      <c r="A1533" s="9" t="n">
        <v>46106</v>
      </c>
      <c r="B1533" s="1" t="n">
        <v>2026</v>
      </c>
      <c r="C1533" s="8" t="inlineStr">
        <is>
          <t>Asian Fab Tec Ltd</t>
        </is>
      </c>
      <c r="D1533" s="8" t="inlineStr">
        <is>
          <t>Utility and C&amp;I</t>
        </is>
      </c>
      <c r="E1533" s="1" t="n"/>
      <c r="F1533" s="1" t="inlineStr">
        <is>
          <t>Closed</t>
        </is>
      </c>
      <c r="G1533" s="8" t="inlineStr">
        <is>
          <t>Prakash Reddy</t>
        </is>
      </c>
      <c r="H1533" s="8" t="n">
        <v>9945239707</v>
      </c>
      <c r="I1533" s="26" t="inlineStr">
        <is>
          <t>PE25032602</t>
        </is>
      </c>
      <c r="J1533" s="42" t="inlineStr">
        <is>
          <t xml:space="preserve">Junction Box burnt </t>
        </is>
      </c>
      <c r="K1533" s="8" t="inlineStr">
        <is>
          <t>Bangalore</t>
        </is>
      </c>
      <c r="L1533" s="39" t="inlineStr">
        <is>
          <t>Karnataka</t>
        </is>
      </c>
      <c r="M1533" s="34" t="inlineStr">
        <is>
          <t>JB Replaced</t>
        </is>
      </c>
      <c r="N1533" s="6" t="inlineStr">
        <is>
          <t>JB Issue</t>
        </is>
      </c>
      <c r="O1533" s="39" t="inlineStr">
        <is>
          <t>NA</t>
        </is>
      </c>
      <c r="P1533" s="34" t="inlineStr">
        <is>
          <t>NSM191207074</t>
        </is>
      </c>
      <c r="Q1533" s="29">
        <f>MID(P1533,4,2)</f>
        <v/>
      </c>
      <c r="R1533" s="14">
        <f>MID(P1533,6,2)</f>
        <v/>
      </c>
      <c r="S1533" s="6" t="inlineStr">
        <is>
          <t>G2B</t>
        </is>
      </c>
      <c r="T1533" s="6" t="inlineStr">
        <is>
          <t>NA</t>
        </is>
      </c>
      <c r="U1533" s="6" t="inlineStr">
        <is>
          <t>JB Issue</t>
        </is>
      </c>
      <c r="V1533" s="1" t="inlineStr">
        <is>
          <t>Inspection</t>
        </is>
      </c>
      <c r="W1533" s="1" t="inlineStr">
        <is>
          <t>Repair</t>
        </is>
      </c>
      <c r="X1533" s="5" t="n">
        <v>46191</v>
      </c>
      <c r="Y1533" s="1">
        <f>IF(X1533="","",X1533-A1533)</f>
        <v/>
      </c>
      <c r="Z1533" s="5" t="n">
        <v>46191</v>
      </c>
      <c r="AA1533" s="3" t="n"/>
      <c r="AB1533" s="3" t="n"/>
      <c r="AE1533" s="146">
        <f>IF(AND(F1533="Closed",X1533&gt;=DATE(2026,6,1),X1533&lt;=DATE(2026,6,30)),"Closed in June","other")</f>
        <v/>
      </c>
    </row>
    <row r="1534" hidden="1">
      <c r="A1534" s="9" t="n">
        <v>46106</v>
      </c>
      <c r="B1534" s="1" t="n">
        <v>2026</v>
      </c>
      <c r="C1534" s="8" t="inlineStr">
        <is>
          <t>Asian Fab Tec Ltd</t>
        </is>
      </c>
      <c r="D1534" s="8" t="inlineStr">
        <is>
          <t>Utility and C&amp;I</t>
        </is>
      </c>
      <c r="E1534" s="1" t="n"/>
      <c r="F1534" s="1" t="inlineStr">
        <is>
          <t>Closed</t>
        </is>
      </c>
      <c r="G1534" s="8" t="inlineStr">
        <is>
          <t>Prakash Reddy</t>
        </is>
      </c>
      <c r="H1534" s="8" t="n">
        <v>9945239707</v>
      </c>
      <c r="I1534" s="26" t="inlineStr">
        <is>
          <t>PE25032602</t>
        </is>
      </c>
      <c r="J1534" s="42" t="inlineStr">
        <is>
          <t xml:space="preserve">Junction Box burnt </t>
        </is>
      </c>
      <c r="K1534" s="8" t="inlineStr">
        <is>
          <t>Bangalore</t>
        </is>
      </c>
      <c r="L1534" s="39" t="inlineStr">
        <is>
          <t>Karnataka</t>
        </is>
      </c>
      <c r="M1534" s="34" t="inlineStr">
        <is>
          <t>JB Replaced</t>
        </is>
      </c>
      <c r="N1534" s="6" t="inlineStr">
        <is>
          <t>JB Issue</t>
        </is>
      </c>
      <c r="O1534" s="39" t="inlineStr">
        <is>
          <t>NA</t>
        </is>
      </c>
      <c r="P1534" s="34" t="inlineStr">
        <is>
          <t>NSM191207043</t>
        </is>
      </c>
      <c r="Q1534" s="29">
        <f>MID(P1534,4,2)</f>
        <v/>
      </c>
      <c r="R1534" s="14">
        <f>MID(P1534,6,2)</f>
        <v/>
      </c>
      <c r="S1534" s="6" t="inlineStr">
        <is>
          <t>G2B</t>
        </is>
      </c>
      <c r="T1534" s="6" t="inlineStr">
        <is>
          <t>NA</t>
        </is>
      </c>
      <c r="U1534" s="6" t="inlineStr">
        <is>
          <t>JB Issue</t>
        </is>
      </c>
      <c r="V1534" s="1" t="inlineStr">
        <is>
          <t>Inspection</t>
        </is>
      </c>
      <c r="W1534" s="1" t="inlineStr">
        <is>
          <t>Repair</t>
        </is>
      </c>
      <c r="X1534" s="5" t="n">
        <v>46191</v>
      </c>
      <c r="Y1534" s="1">
        <f>IF(X1534="","",X1534-A1534)</f>
        <v/>
      </c>
      <c r="Z1534" s="5" t="n">
        <v>46191</v>
      </c>
      <c r="AA1534" s="3" t="n"/>
      <c r="AB1534" s="3" t="n"/>
      <c r="AE1534" s="146">
        <f>IF(AND(F1534="Closed",X1534&gt;=DATE(2026,6,1),X1534&lt;=DATE(2026,6,30)),"Closed in June","other")</f>
        <v/>
      </c>
    </row>
    <row r="1535" hidden="1">
      <c r="A1535" s="9" t="n">
        <v>46106</v>
      </c>
      <c r="B1535" s="1" t="n">
        <v>2026</v>
      </c>
      <c r="C1535" s="8" t="inlineStr">
        <is>
          <t>Asian Fab Tec Ltd</t>
        </is>
      </c>
      <c r="D1535" s="8" t="inlineStr">
        <is>
          <t>Utility and C&amp;I</t>
        </is>
      </c>
      <c r="E1535" s="1" t="n"/>
      <c r="F1535" s="1" t="inlineStr">
        <is>
          <t>Closed</t>
        </is>
      </c>
      <c r="G1535" s="8" t="inlineStr">
        <is>
          <t>Prakash Reddy</t>
        </is>
      </c>
      <c r="H1535" s="8" t="n">
        <v>9945239707</v>
      </c>
      <c r="I1535" s="26" t="inlineStr">
        <is>
          <t>PE25032602</t>
        </is>
      </c>
      <c r="J1535" s="42" t="inlineStr">
        <is>
          <t xml:space="preserve">Junction Box burnt </t>
        </is>
      </c>
      <c r="K1535" s="8" t="inlineStr">
        <is>
          <t>Bangalore</t>
        </is>
      </c>
      <c r="L1535" s="39" t="inlineStr">
        <is>
          <t>Karnataka</t>
        </is>
      </c>
      <c r="M1535" s="34" t="inlineStr">
        <is>
          <t>JB Replaced</t>
        </is>
      </c>
      <c r="N1535" s="6" t="inlineStr">
        <is>
          <t>JB Issue</t>
        </is>
      </c>
      <c r="O1535" s="39" t="inlineStr">
        <is>
          <t>NA</t>
        </is>
      </c>
      <c r="P1535" s="34" t="inlineStr">
        <is>
          <t>NSM191207069</t>
        </is>
      </c>
      <c r="Q1535" s="29">
        <f>MID(P1535,4,2)</f>
        <v/>
      </c>
      <c r="R1535" s="14">
        <f>MID(P1535,6,2)</f>
        <v/>
      </c>
      <c r="S1535" s="6" t="inlineStr">
        <is>
          <t>G2B</t>
        </is>
      </c>
      <c r="T1535" s="6" t="inlineStr">
        <is>
          <t>NA</t>
        </is>
      </c>
      <c r="U1535" s="6" t="inlineStr">
        <is>
          <t>JB Issue</t>
        </is>
      </c>
      <c r="V1535" s="1" t="inlineStr">
        <is>
          <t>Inspection</t>
        </is>
      </c>
      <c r="W1535" s="1" t="inlineStr">
        <is>
          <t>Repair</t>
        </is>
      </c>
      <c r="X1535" s="5" t="n">
        <v>46191</v>
      </c>
      <c r="Y1535" s="1">
        <f>IF(X1535="","",X1535-A1535)</f>
        <v/>
      </c>
      <c r="Z1535" s="5" t="n">
        <v>46191</v>
      </c>
      <c r="AA1535" s="3" t="n"/>
      <c r="AB1535" s="3" t="n"/>
      <c r="AE1535" s="146">
        <f>IF(AND(F1535="Closed",X1535&gt;=DATE(2026,6,1),X1535&lt;=DATE(2026,6,30)),"Closed in June","other")</f>
        <v/>
      </c>
    </row>
    <row r="1536" hidden="1">
      <c r="A1536" s="9" t="n">
        <v>46106</v>
      </c>
      <c r="B1536" s="1" t="n">
        <v>2026</v>
      </c>
      <c r="C1536" s="8" t="inlineStr">
        <is>
          <t>Asian Fab Tec Ltd</t>
        </is>
      </c>
      <c r="D1536" s="8" t="inlineStr">
        <is>
          <t>Utility and C&amp;I</t>
        </is>
      </c>
      <c r="E1536" s="1" t="n"/>
      <c r="F1536" s="1" t="inlineStr">
        <is>
          <t>Closed</t>
        </is>
      </c>
      <c r="G1536" s="8" t="inlineStr">
        <is>
          <t>Prakash Reddy</t>
        </is>
      </c>
      <c r="H1536" s="8" t="n">
        <v>9945239707</v>
      </c>
      <c r="I1536" s="26" t="inlineStr">
        <is>
          <t>PE25032602</t>
        </is>
      </c>
      <c r="J1536" s="42" t="inlineStr">
        <is>
          <t xml:space="preserve">Junction Box burnt </t>
        </is>
      </c>
      <c r="K1536" s="8" t="inlineStr">
        <is>
          <t>Bangalore</t>
        </is>
      </c>
      <c r="L1536" s="39" t="inlineStr">
        <is>
          <t>Karnataka</t>
        </is>
      </c>
      <c r="M1536" s="34" t="inlineStr">
        <is>
          <t>JB Replaced</t>
        </is>
      </c>
      <c r="N1536" s="6" t="inlineStr">
        <is>
          <t>JB Issue</t>
        </is>
      </c>
      <c r="O1536" s="39" t="inlineStr">
        <is>
          <t>NA</t>
        </is>
      </c>
      <c r="P1536" s="34" t="inlineStr">
        <is>
          <t>NSM191207029</t>
        </is>
      </c>
      <c r="Q1536" s="29">
        <f>MID(P1536,4,2)</f>
        <v/>
      </c>
      <c r="R1536" s="14">
        <f>MID(P1536,6,2)</f>
        <v/>
      </c>
      <c r="S1536" s="6" t="inlineStr">
        <is>
          <t>G2B</t>
        </is>
      </c>
      <c r="T1536" s="6" t="inlineStr">
        <is>
          <t>NA</t>
        </is>
      </c>
      <c r="U1536" s="6" t="inlineStr">
        <is>
          <t>JB Issue</t>
        </is>
      </c>
      <c r="V1536" s="1" t="inlineStr">
        <is>
          <t>Inspection</t>
        </is>
      </c>
      <c r="W1536" s="1" t="inlineStr">
        <is>
          <t>Repair</t>
        </is>
      </c>
      <c r="X1536" s="5" t="n">
        <v>46191</v>
      </c>
      <c r="Y1536" s="1">
        <f>IF(X1536="","",X1536-A1536)</f>
        <v/>
      </c>
      <c r="Z1536" s="5" t="n">
        <v>46191</v>
      </c>
      <c r="AA1536" s="3" t="n"/>
      <c r="AB1536" s="3" t="n"/>
      <c r="AE1536" s="146">
        <f>IF(AND(F1536="Closed",X1536&gt;=DATE(2026,6,1),X1536&lt;=DATE(2026,6,30)),"Closed in June","other")</f>
        <v/>
      </c>
    </row>
    <row r="1537" hidden="1">
      <c r="A1537" s="9" t="n">
        <v>46106</v>
      </c>
      <c r="B1537" s="1" t="n">
        <v>2026</v>
      </c>
      <c r="C1537" s="8" t="inlineStr">
        <is>
          <t>Asian Fab Tec Ltd</t>
        </is>
      </c>
      <c r="D1537" s="8" t="inlineStr">
        <is>
          <t>Utility and C&amp;I</t>
        </is>
      </c>
      <c r="E1537" s="1" t="n"/>
      <c r="F1537" s="1" t="inlineStr">
        <is>
          <t>Closed</t>
        </is>
      </c>
      <c r="G1537" s="8" t="inlineStr">
        <is>
          <t>Prakash Reddy</t>
        </is>
      </c>
      <c r="H1537" s="8" t="n">
        <v>9945239707</v>
      </c>
      <c r="I1537" s="26" t="inlineStr">
        <is>
          <t>PE25032602</t>
        </is>
      </c>
      <c r="J1537" s="42" t="inlineStr">
        <is>
          <t xml:space="preserve">Junction Box burnt </t>
        </is>
      </c>
      <c r="K1537" s="8" t="inlineStr">
        <is>
          <t>Bangalore</t>
        </is>
      </c>
      <c r="L1537" s="39" t="inlineStr">
        <is>
          <t>Karnataka</t>
        </is>
      </c>
      <c r="M1537" s="34" t="inlineStr">
        <is>
          <t>JB Replaced</t>
        </is>
      </c>
      <c r="N1537" s="6" t="inlineStr">
        <is>
          <t>JB Issue</t>
        </is>
      </c>
      <c r="O1537" s="39" t="inlineStr">
        <is>
          <t>NA</t>
        </is>
      </c>
      <c r="P1537" s="34" t="inlineStr">
        <is>
          <t>NSM191207016</t>
        </is>
      </c>
      <c r="Q1537" s="29">
        <f>MID(P1537,4,2)</f>
        <v/>
      </c>
      <c r="R1537" s="14">
        <f>MID(P1537,6,2)</f>
        <v/>
      </c>
      <c r="S1537" s="6" t="inlineStr">
        <is>
          <t>G2B</t>
        </is>
      </c>
      <c r="T1537" s="6" t="inlineStr">
        <is>
          <t>NA</t>
        </is>
      </c>
      <c r="U1537" s="6" t="inlineStr">
        <is>
          <t>JB Issue</t>
        </is>
      </c>
      <c r="V1537" s="1" t="inlineStr">
        <is>
          <t>Inspection</t>
        </is>
      </c>
      <c r="W1537" s="1" t="inlineStr">
        <is>
          <t>Repair</t>
        </is>
      </c>
      <c r="X1537" s="5" t="n">
        <v>46191</v>
      </c>
      <c r="Y1537" s="1">
        <f>IF(X1537="","",X1537-A1537)</f>
        <v/>
      </c>
      <c r="Z1537" s="5" t="n">
        <v>46191</v>
      </c>
      <c r="AA1537" s="3" t="n"/>
      <c r="AB1537" s="3" t="n"/>
      <c r="AE1537" s="146">
        <f>IF(AND(F1537="Closed",X1537&gt;=DATE(2026,6,1),X1537&lt;=DATE(2026,6,30)),"Closed in June","other")</f>
        <v/>
      </c>
    </row>
    <row r="1538" hidden="1">
      <c r="A1538" s="9" t="n">
        <v>46106</v>
      </c>
      <c r="B1538" s="1" t="n">
        <v>2026</v>
      </c>
      <c r="C1538" s="8" t="inlineStr">
        <is>
          <t>Asian Fab Tec Ltd</t>
        </is>
      </c>
      <c r="D1538" s="8" t="inlineStr">
        <is>
          <t>Utility and C&amp;I</t>
        </is>
      </c>
      <c r="E1538" s="1" t="n"/>
      <c r="F1538" s="1" t="inlineStr">
        <is>
          <t>Closed</t>
        </is>
      </c>
      <c r="G1538" s="8" t="inlineStr">
        <is>
          <t>Prakash Reddy</t>
        </is>
      </c>
      <c r="H1538" s="8" t="n">
        <v>9945239707</v>
      </c>
      <c r="I1538" s="26" t="inlineStr">
        <is>
          <t>PE25032602</t>
        </is>
      </c>
      <c r="J1538" s="42" t="inlineStr">
        <is>
          <t xml:space="preserve">Junction Box burnt </t>
        </is>
      </c>
      <c r="K1538" s="8" t="inlineStr">
        <is>
          <t>Bangalore</t>
        </is>
      </c>
      <c r="L1538" s="39" t="inlineStr">
        <is>
          <t>Karnataka</t>
        </is>
      </c>
      <c r="M1538" s="34" t="inlineStr">
        <is>
          <t>JB Replaced</t>
        </is>
      </c>
      <c r="N1538" s="6" t="inlineStr">
        <is>
          <t>JB Issue</t>
        </is>
      </c>
      <c r="O1538" s="39" t="inlineStr">
        <is>
          <t>NA</t>
        </is>
      </c>
      <c r="P1538" s="34" t="inlineStr">
        <is>
          <t>NSM191207040</t>
        </is>
      </c>
      <c r="Q1538" s="29">
        <f>MID(P1538,4,2)</f>
        <v/>
      </c>
      <c r="R1538" s="14">
        <f>MID(P1538,6,2)</f>
        <v/>
      </c>
      <c r="S1538" s="6" t="inlineStr">
        <is>
          <t>G2B</t>
        </is>
      </c>
      <c r="T1538" s="6" t="inlineStr">
        <is>
          <t>NA</t>
        </is>
      </c>
      <c r="U1538" s="6" t="inlineStr">
        <is>
          <t>JB Issue</t>
        </is>
      </c>
      <c r="V1538" s="1" t="inlineStr">
        <is>
          <t>Inspection</t>
        </is>
      </c>
      <c r="W1538" s="1" t="inlineStr">
        <is>
          <t>Repair</t>
        </is>
      </c>
      <c r="X1538" s="5" t="n">
        <v>46191</v>
      </c>
      <c r="Y1538" s="1">
        <f>IF(X1538="","",X1538-A1538)</f>
        <v/>
      </c>
      <c r="Z1538" s="5" t="n">
        <v>46191</v>
      </c>
      <c r="AA1538" s="3" t="n"/>
      <c r="AB1538" s="3" t="n"/>
      <c r="AE1538" s="146">
        <f>IF(AND(F1538="Closed",X1538&gt;=DATE(2026,6,1),X1538&lt;=DATE(2026,6,30)),"Closed in June","other")</f>
        <v/>
      </c>
    </row>
    <row r="1539" hidden="1">
      <c r="A1539" s="9" t="n">
        <v>46106</v>
      </c>
      <c r="B1539" s="1" t="n">
        <v>2026</v>
      </c>
      <c r="C1539" s="8" t="inlineStr">
        <is>
          <t>Asian Fab Tec Ltd</t>
        </is>
      </c>
      <c r="D1539" s="8" t="inlineStr">
        <is>
          <t>Utility and C&amp;I</t>
        </is>
      </c>
      <c r="E1539" s="1" t="n"/>
      <c r="F1539" s="1" t="inlineStr">
        <is>
          <t>Closed</t>
        </is>
      </c>
      <c r="G1539" s="8" t="inlineStr">
        <is>
          <t>Prakash Reddy</t>
        </is>
      </c>
      <c r="H1539" s="8" t="n">
        <v>9945239707</v>
      </c>
      <c r="I1539" s="26" t="inlineStr">
        <is>
          <t>PE25032602</t>
        </is>
      </c>
      <c r="J1539" s="42" t="inlineStr">
        <is>
          <t xml:space="preserve">Junction Box burnt </t>
        </is>
      </c>
      <c r="K1539" s="8" t="inlineStr">
        <is>
          <t>Bangalore</t>
        </is>
      </c>
      <c r="L1539" s="39" t="inlineStr">
        <is>
          <t>Karnataka</t>
        </is>
      </c>
      <c r="M1539" s="34" t="inlineStr">
        <is>
          <t>JB Replaced</t>
        </is>
      </c>
      <c r="N1539" s="6" t="inlineStr">
        <is>
          <t>JB Issue</t>
        </is>
      </c>
      <c r="O1539" s="39" t="inlineStr">
        <is>
          <t>NA</t>
        </is>
      </c>
      <c r="P1539" s="34" t="inlineStr">
        <is>
          <t>NSM191206375</t>
        </is>
      </c>
      <c r="Q1539" s="29">
        <f>MID(P1539,4,2)</f>
        <v/>
      </c>
      <c r="R1539" s="14">
        <f>MID(P1539,6,2)</f>
        <v/>
      </c>
      <c r="S1539" s="6" t="inlineStr">
        <is>
          <t>G2B</t>
        </is>
      </c>
      <c r="T1539" s="6" t="inlineStr">
        <is>
          <t>NA</t>
        </is>
      </c>
      <c r="U1539" s="6" t="inlineStr">
        <is>
          <t>JB Issue</t>
        </is>
      </c>
      <c r="V1539" s="1" t="inlineStr">
        <is>
          <t>Inspection</t>
        </is>
      </c>
      <c r="W1539" s="1" t="inlineStr">
        <is>
          <t>Repair</t>
        </is>
      </c>
      <c r="X1539" s="5" t="n">
        <v>46191</v>
      </c>
      <c r="Y1539" s="1">
        <f>IF(X1539="","",X1539-A1539)</f>
        <v/>
      </c>
      <c r="Z1539" s="5" t="n">
        <v>46191</v>
      </c>
      <c r="AA1539" s="3" t="n"/>
      <c r="AB1539" s="3" t="n"/>
      <c r="AE1539" s="146">
        <f>IF(AND(F1539="Closed",X1539&gt;=DATE(2026,6,1),X1539&lt;=DATE(2026,6,30)),"Closed in June","other")</f>
        <v/>
      </c>
    </row>
    <row r="1540" hidden="1">
      <c r="A1540" s="49" t="n">
        <v>46177</v>
      </c>
      <c r="B1540" s="1" t="n">
        <v>2026</v>
      </c>
      <c r="C1540" s="8" t="inlineStr">
        <is>
          <t>Ayana</t>
        </is>
      </c>
      <c r="D1540" s="11" t="inlineStr">
        <is>
          <t>Utility and C&amp;I</t>
        </is>
      </c>
      <c r="E1540" s="1" t="n"/>
      <c r="F1540" s="1" t="inlineStr">
        <is>
          <t>WIP</t>
        </is>
      </c>
      <c r="G1540" s="11" t="inlineStr">
        <is>
          <t>Vasu.N</t>
        </is>
      </c>
      <c r="H1540" s="8" t="n">
        <v>9578099893</v>
      </c>
      <c r="I1540" s="10" t="inlineStr">
        <is>
          <t>PE04062601</t>
        </is>
      </c>
      <c r="J1540" s="28" t="inlineStr">
        <is>
          <t>Module burnt</t>
        </is>
      </c>
      <c r="K1540" s="8" t="inlineStr">
        <is>
          <t>Jatavira</t>
        </is>
      </c>
      <c r="L1540" s="39" t="inlineStr">
        <is>
          <t>Gujarat</t>
        </is>
      </c>
      <c r="M1540" s="2" t="inlineStr">
        <is>
          <t xml:space="preserve">Black glass broken at shorter frem </t>
        </is>
      </c>
      <c r="N1540" s="6" t="inlineStr">
        <is>
          <t>Module Breakage</t>
        </is>
      </c>
      <c r="O1540" s="32" t="n">
        <v>585</v>
      </c>
      <c r="P1540" s="2" t="inlineStr">
        <is>
          <t>NSMI24100579945</t>
        </is>
      </c>
      <c r="Q1540" s="29">
        <f>MID(P1540,5,2)</f>
        <v/>
      </c>
      <c r="R1540" s="14">
        <f>MID(P1540,7,2)</f>
        <v/>
      </c>
      <c r="S1540" s="6" t="inlineStr">
        <is>
          <t>G2G</t>
        </is>
      </c>
      <c r="T1540" s="1" t="inlineStr">
        <is>
          <t>P4 - PEIPL</t>
        </is>
      </c>
      <c r="U1540" s="6" t="inlineStr">
        <is>
          <t>Glass Breakage</t>
        </is>
      </c>
      <c r="V1540" s="1" t="inlineStr">
        <is>
          <t>Inspection</t>
        </is>
      </c>
      <c r="W1540" s="1" t="inlineStr">
        <is>
          <t>WIP</t>
        </is>
      </c>
      <c r="X1540" s="12" t="n"/>
      <c r="Y1540" s="1">
        <f>IF(X1540="","",X1540-A1540)</f>
        <v/>
      </c>
      <c r="Z1540" s="5" t="n">
        <v>46191</v>
      </c>
      <c r="AA1540" s="3" t="n"/>
      <c r="AB1540" s="3" t="n"/>
      <c r="AE1540" s="146">
        <f>IF(AND(F1540="Closed",X1540&gt;=DATE(2026,6,1),X1540&lt;=DATE(2026,6,30)),"Closed in June","other")</f>
        <v/>
      </c>
    </row>
    <row r="1541" hidden="1">
      <c r="A1541" s="49" t="n">
        <v>46177</v>
      </c>
      <c r="B1541" s="1" t="n">
        <v>2026</v>
      </c>
      <c r="C1541" s="8" t="inlineStr">
        <is>
          <t>Ayana</t>
        </is>
      </c>
      <c r="D1541" s="11" t="inlineStr">
        <is>
          <t>Utility and C&amp;I</t>
        </is>
      </c>
      <c r="E1541" s="1" t="n"/>
      <c r="F1541" s="1" t="inlineStr">
        <is>
          <t>WIP</t>
        </is>
      </c>
      <c r="G1541" s="11" t="inlineStr">
        <is>
          <t>Vasu.N</t>
        </is>
      </c>
      <c r="H1541" s="8" t="n">
        <v>9578099893</v>
      </c>
      <c r="I1541" s="10" t="inlineStr">
        <is>
          <t>PE04062601</t>
        </is>
      </c>
      <c r="J1541" s="28" t="inlineStr">
        <is>
          <t>Module burnt</t>
        </is>
      </c>
      <c r="K1541" s="8" t="inlineStr">
        <is>
          <t>Jatavira</t>
        </is>
      </c>
      <c r="L1541" s="39" t="inlineStr">
        <is>
          <t>Gujarat</t>
        </is>
      </c>
      <c r="M1541" s="2" t="inlineStr">
        <is>
          <t xml:space="preserve">Black glass broken at shorter frem </t>
        </is>
      </c>
      <c r="N1541" s="6" t="inlineStr">
        <is>
          <t>Module Breakage</t>
        </is>
      </c>
      <c r="O1541" s="32" t="n">
        <v>585</v>
      </c>
      <c r="P1541" s="2" t="inlineStr">
        <is>
          <t>NSMI24100579922</t>
        </is>
      </c>
      <c r="Q1541" s="29">
        <f>MID(P1541,5,2)</f>
        <v/>
      </c>
      <c r="R1541" s="14">
        <f>MID(P1541,7,2)</f>
        <v/>
      </c>
      <c r="S1541" s="6" t="inlineStr">
        <is>
          <t>G2G</t>
        </is>
      </c>
      <c r="T1541" s="1" t="inlineStr">
        <is>
          <t>P4 - PEIPL</t>
        </is>
      </c>
      <c r="U1541" s="6" t="inlineStr">
        <is>
          <t>Glass Breakage</t>
        </is>
      </c>
      <c r="V1541" s="1" t="inlineStr">
        <is>
          <t>Inspection</t>
        </is>
      </c>
      <c r="W1541" s="1" t="inlineStr">
        <is>
          <t>WIP</t>
        </is>
      </c>
      <c r="X1541" s="12" t="n"/>
      <c r="Y1541" s="1">
        <f>IF(X1541="","",X1541-A1541)</f>
        <v/>
      </c>
      <c r="Z1541" s="5" t="n">
        <v>46191</v>
      </c>
      <c r="AA1541" s="3" t="n"/>
      <c r="AB1541" s="3" t="n"/>
      <c r="AE1541" s="146">
        <f>IF(AND(F1541="Closed",X1541&gt;=DATE(2026,6,1),X1541&lt;=DATE(2026,6,30)),"Closed in June","other")</f>
        <v/>
      </c>
    </row>
    <row r="1542" hidden="1">
      <c r="A1542" s="49" t="n">
        <v>46177</v>
      </c>
      <c r="B1542" s="1" t="n">
        <v>2026</v>
      </c>
      <c r="C1542" s="8" t="inlineStr">
        <is>
          <t>Ayana</t>
        </is>
      </c>
      <c r="D1542" s="11" t="inlineStr">
        <is>
          <t>Utility and C&amp;I</t>
        </is>
      </c>
      <c r="E1542" s="1" t="n"/>
      <c r="F1542" s="1" t="inlineStr">
        <is>
          <t>WIP</t>
        </is>
      </c>
      <c r="G1542" s="11" t="inlineStr">
        <is>
          <t>Vasu.N</t>
        </is>
      </c>
      <c r="H1542" s="8" t="n">
        <v>9578099893</v>
      </c>
      <c r="I1542" s="10" t="inlineStr">
        <is>
          <t>PE04062601</t>
        </is>
      </c>
      <c r="J1542" s="28" t="inlineStr">
        <is>
          <t>Module burnt</t>
        </is>
      </c>
      <c r="K1542" s="8" t="inlineStr">
        <is>
          <t>Jatavira</t>
        </is>
      </c>
      <c r="L1542" s="39" t="inlineStr">
        <is>
          <t>Gujarat</t>
        </is>
      </c>
      <c r="M1542" s="2" t="inlineStr">
        <is>
          <t xml:space="preserve">Back glass broken </t>
        </is>
      </c>
      <c r="N1542" s="6" t="inlineStr">
        <is>
          <t>Module Breakage</t>
        </is>
      </c>
      <c r="O1542" s="32" t="n">
        <v>585</v>
      </c>
      <c r="P1542" s="2" t="inlineStr">
        <is>
          <t>NSMI24100579718</t>
        </is>
      </c>
      <c r="Q1542" s="29">
        <f>MID(P1542,5,2)</f>
        <v/>
      </c>
      <c r="R1542" s="14">
        <f>MID(P1542,7,2)</f>
        <v/>
      </c>
      <c r="S1542" s="6" t="inlineStr">
        <is>
          <t>G2G</t>
        </is>
      </c>
      <c r="T1542" s="1" t="inlineStr">
        <is>
          <t>P4 - PEIPL</t>
        </is>
      </c>
      <c r="U1542" s="6" t="inlineStr">
        <is>
          <t>Glass Breakage</t>
        </is>
      </c>
      <c r="V1542" s="1" t="inlineStr">
        <is>
          <t>Inspection</t>
        </is>
      </c>
      <c r="W1542" s="1" t="inlineStr">
        <is>
          <t>WIP</t>
        </is>
      </c>
      <c r="X1542" s="12" t="n"/>
      <c r="Y1542" s="1">
        <f>IF(X1542="","",X1542-A1542)</f>
        <v/>
      </c>
      <c r="Z1542" s="5" t="n">
        <v>46191</v>
      </c>
      <c r="AA1542" s="3" t="n"/>
      <c r="AB1542" s="3" t="n"/>
      <c r="AE1542" s="146">
        <f>IF(AND(F1542="Closed",X1542&gt;=DATE(2026,6,1),X1542&lt;=DATE(2026,6,30)),"Closed in June","other")</f>
        <v/>
      </c>
    </row>
    <row r="1543" hidden="1">
      <c r="A1543" s="49" t="n">
        <v>46177</v>
      </c>
      <c r="B1543" s="1" t="n">
        <v>2026</v>
      </c>
      <c r="C1543" s="8" t="inlineStr">
        <is>
          <t>Ayana</t>
        </is>
      </c>
      <c r="D1543" s="11" t="inlineStr">
        <is>
          <t>Utility and C&amp;I</t>
        </is>
      </c>
      <c r="E1543" s="1" t="n"/>
      <c r="F1543" s="1" t="inlineStr">
        <is>
          <t>WIP</t>
        </is>
      </c>
      <c r="G1543" s="11" t="inlineStr">
        <is>
          <t>Vasu.N</t>
        </is>
      </c>
      <c r="H1543" s="8" t="n">
        <v>9578099893</v>
      </c>
      <c r="I1543" s="10" t="inlineStr">
        <is>
          <t>PE04062601</t>
        </is>
      </c>
      <c r="J1543" s="28" t="inlineStr">
        <is>
          <t>Module burnt</t>
        </is>
      </c>
      <c r="K1543" s="8" t="inlineStr">
        <is>
          <t>Jatavira</t>
        </is>
      </c>
      <c r="L1543" s="39" t="inlineStr">
        <is>
          <t>Gujarat</t>
        </is>
      </c>
      <c r="M1543" s="2" t="inlineStr">
        <is>
          <t xml:space="preserve">Back glass broken </t>
        </is>
      </c>
      <c r="N1543" s="6" t="inlineStr">
        <is>
          <t>Module Breakage</t>
        </is>
      </c>
      <c r="O1543" s="32" t="n">
        <v>585</v>
      </c>
      <c r="P1543" s="2" t="inlineStr">
        <is>
          <t>NSMI24100583693</t>
        </is>
      </c>
      <c r="Q1543" s="29">
        <f>MID(P1543,5,2)</f>
        <v/>
      </c>
      <c r="R1543" s="14">
        <f>MID(P1543,7,2)</f>
        <v/>
      </c>
      <c r="S1543" s="6" t="inlineStr">
        <is>
          <t>G2G</t>
        </is>
      </c>
      <c r="T1543" s="1" t="inlineStr">
        <is>
          <t>P4 - PEIPL</t>
        </is>
      </c>
      <c r="U1543" s="6" t="inlineStr">
        <is>
          <t>Glass Breakage</t>
        </is>
      </c>
      <c r="V1543" s="1" t="inlineStr">
        <is>
          <t>Inspection</t>
        </is>
      </c>
      <c r="W1543" s="1" t="inlineStr">
        <is>
          <t>WIP</t>
        </is>
      </c>
      <c r="X1543" s="12" t="n"/>
      <c r="Y1543" s="1">
        <f>IF(X1543="","",X1543-A1543)</f>
        <v/>
      </c>
      <c r="Z1543" s="5" t="n">
        <v>46191</v>
      </c>
      <c r="AA1543" s="3" t="n"/>
      <c r="AB1543" s="3" t="n"/>
      <c r="AE1543" s="146">
        <f>IF(AND(F1543="Closed",X1543&gt;=DATE(2026,6,1),X1543&lt;=DATE(2026,6,30)),"Closed in June","other")</f>
        <v/>
      </c>
    </row>
    <row r="1544" hidden="1">
      <c r="A1544" s="49" t="n">
        <v>46177</v>
      </c>
      <c r="B1544" s="1" t="n">
        <v>2026</v>
      </c>
      <c r="C1544" s="8" t="inlineStr">
        <is>
          <t>Ayana</t>
        </is>
      </c>
      <c r="D1544" s="11" t="inlineStr">
        <is>
          <t>Utility and C&amp;I</t>
        </is>
      </c>
      <c r="E1544" s="1" t="n"/>
      <c r="F1544" s="1" t="inlineStr">
        <is>
          <t>WIP</t>
        </is>
      </c>
      <c r="G1544" s="11" t="inlineStr">
        <is>
          <t>Vasu.N</t>
        </is>
      </c>
      <c r="H1544" s="8" t="n">
        <v>9578099893</v>
      </c>
      <c r="I1544" s="10" t="inlineStr">
        <is>
          <t>PE04062601</t>
        </is>
      </c>
      <c r="J1544" s="28" t="inlineStr">
        <is>
          <t>Module burnt</t>
        </is>
      </c>
      <c r="K1544" s="8" t="inlineStr">
        <is>
          <t>Jatavira</t>
        </is>
      </c>
      <c r="L1544" s="39" t="inlineStr">
        <is>
          <t>Gujarat</t>
        </is>
      </c>
      <c r="M1544" s="2" t="inlineStr">
        <is>
          <t xml:space="preserve">Back glass broken </t>
        </is>
      </c>
      <c r="N1544" s="6" t="inlineStr">
        <is>
          <t>Module Breakage</t>
        </is>
      </c>
      <c r="O1544" s="32" t="n">
        <v>585</v>
      </c>
      <c r="P1544" s="2" t="inlineStr">
        <is>
          <t>NSMI24100583701</t>
        </is>
      </c>
      <c r="Q1544" s="29">
        <f>MID(P1544,5,2)</f>
        <v/>
      </c>
      <c r="R1544" s="14">
        <f>MID(P1544,7,2)</f>
        <v/>
      </c>
      <c r="S1544" s="6" t="inlineStr">
        <is>
          <t>G2G</t>
        </is>
      </c>
      <c r="T1544" s="1" t="inlineStr">
        <is>
          <t>P4 - PEIPL</t>
        </is>
      </c>
      <c r="U1544" s="6" t="inlineStr">
        <is>
          <t>Glass Breakage</t>
        </is>
      </c>
      <c r="V1544" s="1" t="inlineStr">
        <is>
          <t>Inspection</t>
        </is>
      </c>
      <c r="W1544" s="1" t="inlineStr">
        <is>
          <t>WIP</t>
        </is>
      </c>
      <c r="X1544" s="12" t="n"/>
      <c r="Y1544" s="1">
        <f>IF(X1544="","",X1544-A1544)</f>
        <v/>
      </c>
      <c r="Z1544" s="5" t="n">
        <v>46191</v>
      </c>
      <c r="AA1544" s="3" t="n"/>
      <c r="AB1544" s="3" t="n"/>
      <c r="AE1544" s="146">
        <f>IF(AND(F1544="Closed",X1544&gt;=DATE(2026,6,1),X1544&lt;=DATE(2026,6,30)),"Closed in June","other")</f>
        <v/>
      </c>
    </row>
    <row r="1545" hidden="1">
      <c r="A1545" s="49" t="n">
        <v>46177</v>
      </c>
      <c r="B1545" s="1" t="n">
        <v>2026</v>
      </c>
      <c r="C1545" s="8" t="inlineStr">
        <is>
          <t>Ayana</t>
        </is>
      </c>
      <c r="D1545" s="11" t="inlineStr">
        <is>
          <t>Utility and C&amp;I</t>
        </is>
      </c>
      <c r="E1545" s="1" t="n"/>
      <c r="F1545" s="1" t="inlineStr">
        <is>
          <t>WIP</t>
        </is>
      </c>
      <c r="G1545" s="11" t="inlineStr">
        <is>
          <t>Vasu.N</t>
        </is>
      </c>
      <c r="H1545" s="8" t="n">
        <v>9578099893</v>
      </c>
      <c r="I1545" s="10" t="inlineStr">
        <is>
          <t>PE04062601</t>
        </is>
      </c>
      <c r="J1545" s="28" t="inlineStr">
        <is>
          <t>Module burnt</t>
        </is>
      </c>
      <c r="K1545" s="8" t="inlineStr">
        <is>
          <t>Jatavira</t>
        </is>
      </c>
      <c r="L1545" s="39" t="inlineStr">
        <is>
          <t>Gujarat</t>
        </is>
      </c>
      <c r="M1545" s="2" t="inlineStr">
        <is>
          <t xml:space="preserve">Back glass broken </t>
        </is>
      </c>
      <c r="N1545" s="6" t="inlineStr">
        <is>
          <t>Module Breakage</t>
        </is>
      </c>
      <c r="O1545" s="32" t="n">
        <v>585</v>
      </c>
      <c r="P1545" s="2" t="inlineStr">
        <is>
          <t>NSMI24090468445</t>
        </is>
      </c>
      <c r="Q1545" s="29">
        <f>MID(P1545,5,2)</f>
        <v/>
      </c>
      <c r="R1545" s="14">
        <f>MID(P1545,7,2)</f>
        <v/>
      </c>
      <c r="S1545" s="6" t="inlineStr">
        <is>
          <t>G2G</t>
        </is>
      </c>
      <c r="T1545" s="1" t="inlineStr">
        <is>
          <t>P4 - PEIPL</t>
        </is>
      </c>
      <c r="U1545" s="6" t="inlineStr">
        <is>
          <t>Glass Breakage</t>
        </is>
      </c>
      <c r="V1545" s="1" t="inlineStr">
        <is>
          <t>Inspection</t>
        </is>
      </c>
      <c r="W1545" s="1" t="inlineStr">
        <is>
          <t>WIP</t>
        </is>
      </c>
      <c r="X1545" s="12" t="n"/>
      <c r="Y1545" s="1">
        <f>IF(X1545="","",X1545-A1545)</f>
        <v/>
      </c>
      <c r="Z1545" s="5" t="n">
        <v>46191</v>
      </c>
      <c r="AA1545" s="3" t="n"/>
      <c r="AB1545" s="3" t="n"/>
      <c r="AE1545" s="146">
        <f>IF(AND(F1545="Closed",X1545&gt;=DATE(2026,6,1),X1545&lt;=DATE(2026,6,30)),"Closed in June","other")</f>
        <v/>
      </c>
    </row>
    <row r="1546" hidden="1">
      <c r="A1546" s="49" t="n">
        <v>46177</v>
      </c>
      <c r="B1546" s="1" t="n">
        <v>2026</v>
      </c>
      <c r="C1546" s="8" t="inlineStr">
        <is>
          <t>Ayana</t>
        </is>
      </c>
      <c r="D1546" s="11" t="inlineStr">
        <is>
          <t>Utility and C&amp;I</t>
        </is>
      </c>
      <c r="E1546" s="1" t="n"/>
      <c r="F1546" s="1" t="inlineStr">
        <is>
          <t>WIP</t>
        </is>
      </c>
      <c r="G1546" s="11" t="inlineStr">
        <is>
          <t>Vasu.N</t>
        </is>
      </c>
      <c r="H1546" s="8" t="n">
        <v>9578099893</v>
      </c>
      <c r="I1546" s="10" t="inlineStr">
        <is>
          <t>PE04062601</t>
        </is>
      </c>
      <c r="J1546" s="28" t="inlineStr">
        <is>
          <t>Module burnt</t>
        </is>
      </c>
      <c r="K1546" s="8" t="inlineStr">
        <is>
          <t>Jatavira</t>
        </is>
      </c>
      <c r="L1546" s="39" t="inlineStr">
        <is>
          <t>Gujarat</t>
        </is>
      </c>
      <c r="M1546" s="2" t="inlineStr">
        <is>
          <t xml:space="preserve">Back glass broken </t>
        </is>
      </c>
      <c r="N1546" s="6" t="inlineStr">
        <is>
          <t>Module Breakage</t>
        </is>
      </c>
      <c r="O1546" s="32" t="n">
        <v>585</v>
      </c>
      <c r="P1546" s="2" t="inlineStr">
        <is>
          <t>NSMI24090468181</t>
        </is>
      </c>
      <c r="Q1546" s="29">
        <f>MID(P1546,5,2)</f>
        <v/>
      </c>
      <c r="R1546" s="14">
        <f>MID(P1546,7,2)</f>
        <v/>
      </c>
      <c r="S1546" s="6" t="inlineStr">
        <is>
          <t>G2G</t>
        </is>
      </c>
      <c r="T1546" s="1" t="inlineStr">
        <is>
          <t>P4 - PEIPL</t>
        </is>
      </c>
      <c r="U1546" s="6" t="inlineStr">
        <is>
          <t>Glass Breakage</t>
        </is>
      </c>
      <c r="V1546" s="1" t="inlineStr">
        <is>
          <t>Inspection</t>
        </is>
      </c>
      <c r="W1546" s="1" t="inlineStr">
        <is>
          <t>WIP</t>
        </is>
      </c>
      <c r="X1546" s="12" t="n"/>
      <c r="Y1546" s="1">
        <f>IF(X1546="","",X1546-A1546)</f>
        <v/>
      </c>
      <c r="Z1546" s="5" t="n">
        <v>46191</v>
      </c>
      <c r="AA1546" s="3" t="n"/>
      <c r="AB1546" s="3" t="n"/>
      <c r="AE1546" s="146">
        <f>IF(AND(F1546="Closed",X1546&gt;=DATE(2026,6,1),X1546&lt;=DATE(2026,6,30)),"Closed in June","other")</f>
        <v/>
      </c>
    </row>
    <row r="1547" hidden="1">
      <c r="A1547" s="49" t="n">
        <v>46177</v>
      </c>
      <c r="B1547" s="1" t="n">
        <v>2026</v>
      </c>
      <c r="C1547" s="8" t="inlineStr">
        <is>
          <t>Ayana</t>
        </is>
      </c>
      <c r="D1547" s="11" t="inlineStr">
        <is>
          <t>Utility and C&amp;I</t>
        </is>
      </c>
      <c r="E1547" s="1" t="n"/>
      <c r="F1547" s="1" t="inlineStr">
        <is>
          <t>WIP</t>
        </is>
      </c>
      <c r="G1547" s="11" t="inlineStr">
        <is>
          <t>Vasu.N</t>
        </is>
      </c>
      <c r="H1547" s="8" t="n">
        <v>9578099893</v>
      </c>
      <c r="I1547" s="10" t="inlineStr">
        <is>
          <t>PE04062601</t>
        </is>
      </c>
      <c r="J1547" s="28" t="inlineStr">
        <is>
          <t>Module burnt</t>
        </is>
      </c>
      <c r="K1547" s="8" t="inlineStr">
        <is>
          <t>Jatavira</t>
        </is>
      </c>
      <c r="L1547" s="39" t="inlineStr">
        <is>
          <t>Gujarat</t>
        </is>
      </c>
      <c r="M1547" s="2" t="inlineStr">
        <is>
          <t xml:space="preserve">Back glass broken </t>
        </is>
      </c>
      <c r="N1547" s="6" t="inlineStr">
        <is>
          <t>Module Breakage</t>
        </is>
      </c>
      <c r="O1547" s="32" t="n">
        <v>585</v>
      </c>
      <c r="P1547" s="2" t="inlineStr">
        <is>
          <t>NSMI24090468364</t>
        </is>
      </c>
      <c r="Q1547" s="29">
        <f>MID(P1547,5,2)</f>
        <v/>
      </c>
      <c r="R1547" s="14">
        <f>MID(P1547,7,2)</f>
        <v/>
      </c>
      <c r="S1547" s="6" t="inlineStr">
        <is>
          <t>G2G</t>
        </is>
      </c>
      <c r="T1547" s="1" t="inlineStr">
        <is>
          <t>P4 - PEIPL</t>
        </is>
      </c>
      <c r="U1547" s="6" t="inlineStr">
        <is>
          <t>Glass Breakage</t>
        </is>
      </c>
      <c r="V1547" s="1" t="inlineStr">
        <is>
          <t>Inspection</t>
        </is>
      </c>
      <c r="W1547" s="1" t="inlineStr">
        <is>
          <t>WIP</t>
        </is>
      </c>
      <c r="X1547" s="12" t="n"/>
      <c r="Y1547" s="1">
        <f>IF(X1547="","",X1547-A1547)</f>
        <v/>
      </c>
      <c r="Z1547" s="5" t="n">
        <v>46191</v>
      </c>
      <c r="AA1547" s="3" t="n"/>
      <c r="AB1547" s="3" t="n"/>
      <c r="AE1547" s="146">
        <f>IF(AND(F1547="Closed",X1547&gt;=DATE(2026,6,1),X1547&lt;=DATE(2026,6,30)),"Closed in June","other")</f>
        <v/>
      </c>
    </row>
    <row r="1548" hidden="1">
      <c r="A1548" s="49" t="n">
        <v>46177</v>
      </c>
      <c r="B1548" s="1" t="n">
        <v>2026</v>
      </c>
      <c r="C1548" s="8" t="inlineStr">
        <is>
          <t>Ayana</t>
        </is>
      </c>
      <c r="D1548" s="11" t="inlineStr">
        <is>
          <t>Utility and C&amp;I</t>
        </is>
      </c>
      <c r="E1548" s="1" t="n"/>
      <c r="F1548" s="1" t="inlineStr">
        <is>
          <t>WIP</t>
        </is>
      </c>
      <c r="G1548" s="11" t="inlineStr">
        <is>
          <t>Vasu.N</t>
        </is>
      </c>
      <c r="H1548" s="8" t="n">
        <v>9578099893</v>
      </c>
      <c r="I1548" s="10" t="inlineStr">
        <is>
          <t>PE04062601</t>
        </is>
      </c>
      <c r="J1548" s="28" t="inlineStr">
        <is>
          <t>Module burnt</t>
        </is>
      </c>
      <c r="K1548" s="8" t="inlineStr">
        <is>
          <t>Jatavira</t>
        </is>
      </c>
      <c r="L1548" s="39" t="inlineStr">
        <is>
          <t>Gujarat</t>
        </is>
      </c>
      <c r="M1548" s="2" t="inlineStr">
        <is>
          <t xml:space="preserve">Back glass broken </t>
        </is>
      </c>
      <c r="N1548" s="6" t="inlineStr">
        <is>
          <t>Module Breakage</t>
        </is>
      </c>
      <c r="O1548" s="32" t="n">
        <v>585</v>
      </c>
      <c r="P1548" s="2" t="inlineStr">
        <is>
          <t>NSMI24090483231</t>
        </is>
      </c>
      <c r="Q1548" s="29">
        <f>MID(P1548,5,2)</f>
        <v/>
      </c>
      <c r="R1548" s="14">
        <f>MID(P1548,7,2)</f>
        <v/>
      </c>
      <c r="S1548" s="6" t="inlineStr">
        <is>
          <t>G2G</t>
        </is>
      </c>
      <c r="T1548" s="1" t="inlineStr">
        <is>
          <t>P4 - PEIPL</t>
        </is>
      </c>
      <c r="U1548" s="6" t="inlineStr">
        <is>
          <t>Glass Breakage</t>
        </is>
      </c>
      <c r="V1548" s="1" t="inlineStr">
        <is>
          <t>Inspection</t>
        </is>
      </c>
      <c r="W1548" s="1" t="inlineStr">
        <is>
          <t>WIP</t>
        </is>
      </c>
      <c r="X1548" s="12" t="n"/>
      <c r="Y1548" s="1">
        <f>IF(X1548="","",X1548-A1548)</f>
        <v/>
      </c>
      <c r="Z1548" s="5" t="n">
        <v>46191</v>
      </c>
      <c r="AA1548" s="3" t="n"/>
      <c r="AB1548" s="3" t="n"/>
      <c r="AE1548" s="146">
        <f>IF(AND(F1548="Closed",X1548&gt;=DATE(2026,6,1),X1548&lt;=DATE(2026,6,30)),"Closed in June","other")</f>
        <v/>
      </c>
    </row>
    <row r="1549" hidden="1">
      <c r="A1549" s="49" t="n">
        <v>46177</v>
      </c>
      <c r="B1549" s="1" t="n">
        <v>2026</v>
      </c>
      <c r="C1549" s="8" t="inlineStr">
        <is>
          <t>Ayana</t>
        </is>
      </c>
      <c r="D1549" s="11" t="inlineStr">
        <is>
          <t>Utility and C&amp;I</t>
        </is>
      </c>
      <c r="E1549" s="1" t="n"/>
      <c r="F1549" s="1" t="inlineStr">
        <is>
          <t>WIP</t>
        </is>
      </c>
      <c r="G1549" s="11" t="inlineStr">
        <is>
          <t>Vasu.N</t>
        </is>
      </c>
      <c r="H1549" s="8" t="n">
        <v>9578099893</v>
      </c>
      <c r="I1549" s="10" t="inlineStr">
        <is>
          <t>PE04062601</t>
        </is>
      </c>
      <c r="J1549" s="28" t="inlineStr">
        <is>
          <t>Module burnt</t>
        </is>
      </c>
      <c r="K1549" s="8" t="inlineStr">
        <is>
          <t>Jatavira</t>
        </is>
      </c>
      <c r="L1549" s="39" t="inlineStr">
        <is>
          <t>Gujarat</t>
        </is>
      </c>
      <c r="M1549" s="2" t="inlineStr">
        <is>
          <t xml:space="preserve">Back glass broken </t>
        </is>
      </c>
      <c r="N1549" s="6" t="inlineStr">
        <is>
          <t>Module Breakage</t>
        </is>
      </c>
      <c r="O1549" s="32" t="n">
        <v>585</v>
      </c>
      <c r="P1549" s="2" t="inlineStr">
        <is>
          <t>NSMI24090486344</t>
        </is>
      </c>
      <c r="Q1549" s="29">
        <f>MID(P1549,5,2)</f>
        <v/>
      </c>
      <c r="R1549" s="14">
        <f>MID(P1549,7,2)</f>
        <v/>
      </c>
      <c r="S1549" s="6" t="inlineStr">
        <is>
          <t>G2G</t>
        </is>
      </c>
      <c r="T1549" s="1" t="inlineStr">
        <is>
          <t>P4 - PEIPL</t>
        </is>
      </c>
      <c r="U1549" s="6" t="inlineStr">
        <is>
          <t>Glass Breakage</t>
        </is>
      </c>
      <c r="V1549" s="1" t="inlineStr">
        <is>
          <t>Inspection</t>
        </is>
      </c>
      <c r="W1549" s="1" t="inlineStr">
        <is>
          <t>WIP</t>
        </is>
      </c>
      <c r="X1549" s="12" t="n"/>
      <c r="Y1549" s="1">
        <f>IF(X1549="","",X1549-A1549)</f>
        <v/>
      </c>
      <c r="Z1549" s="5" t="n">
        <v>46191</v>
      </c>
      <c r="AA1549" s="3" t="n"/>
      <c r="AB1549" s="3" t="n"/>
      <c r="AE1549" s="146">
        <f>IF(AND(F1549="Closed",X1549&gt;=DATE(2026,6,1),X1549&lt;=DATE(2026,6,30)),"Closed in June","other")</f>
        <v/>
      </c>
    </row>
    <row r="1550" hidden="1">
      <c r="A1550" s="49" t="n">
        <v>46177</v>
      </c>
      <c r="B1550" s="1" t="n">
        <v>2026</v>
      </c>
      <c r="C1550" s="8" t="inlineStr">
        <is>
          <t>Ayana</t>
        </is>
      </c>
      <c r="D1550" s="11" t="inlineStr">
        <is>
          <t>Utility and C&amp;I</t>
        </is>
      </c>
      <c r="E1550" s="1" t="n"/>
      <c r="F1550" s="1" t="inlineStr">
        <is>
          <t>WIP</t>
        </is>
      </c>
      <c r="G1550" s="11" t="inlineStr">
        <is>
          <t>Vasu.N</t>
        </is>
      </c>
      <c r="H1550" s="8" t="n">
        <v>9578099893</v>
      </c>
      <c r="I1550" s="10" t="inlineStr">
        <is>
          <t>PE04062601</t>
        </is>
      </c>
      <c r="J1550" s="28" t="inlineStr">
        <is>
          <t>Module burnt</t>
        </is>
      </c>
      <c r="K1550" s="8" t="inlineStr">
        <is>
          <t>Jatavira</t>
        </is>
      </c>
      <c r="L1550" s="39" t="inlineStr">
        <is>
          <t>Gujarat</t>
        </is>
      </c>
      <c r="M1550" s="2" t="inlineStr">
        <is>
          <t xml:space="preserve">Back glass broken </t>
        </is>
      </c>
      <c r="N1550" s="6" t="inlineStr">
        <is>
          <t>Module Breakage</t>
        </is>
      </c>
      <c r="O1550" s="32" t="n">
        <v>585</v>
      </c>
      <c r="P1550" s="2" t="inlineStr">
        <is>
          <t>NSMI24090486303</t>
        </is>
      </c>
      <c r="Q1550" s="29">
        <f>MID(P1550,5,2)</f>
        <v/>
      </c>
      <c r="R1550" s="14">
        <f>MID(P1550,7,2)</f>
        <v/>
      </c>
      <c r="S1550" s="6" t="inlineStr">
        <is>
          <t>G2G</t>
        </is>
      </c>
      <c r="T1550" s="1" t="inlineStr">
        <is>
          <t>P4 - PEIPL</t>
        </is>
      </c>
      <c r="U1550" s="6" t="inlineStr">
        <is>
          <t>Glass Breakage</t>
        </is>
      </c>
      <c r="V1550" s="1" t="inlineStr">
        <is>
          <t>Inspection</t>
        </is>
      </c>
      <c r="W1550" s="1" t="inlineStr">
        <is>
          <t>WIP</t>
        </is>
      </c>
      <c r="X1550" s="12" t="n"/>
      <c r="Y1550" s="1">
        <f>IF(X1550="","",X1550-A1550)</f>
        <v/>
      </c>
      <c r="Z1550" s="5" t="n">
        <v>46191</v>
      </c>
      <c r="AA1550" s="3" t="n"/>
      <c r="AB1550" s="3" t="n"/>
      <c r="AE1550" s="146">
        <f>IF(AND(F1550="Closed",X1550&gt;=DATE(2026,6,1),X1550&lt;=DATE(2026,6,30)),"Closed in June","other")</f>
        <v/>
      </c>
    </row>
    <row r="1551" hidden="1">
      <c r="A1551" s="49" t="n">
        <v>46177</v>
      </c>
      <c r="B1551" s="1" t="n">
        <v>2026</v>
      </c>
      <c r="C1551" s="8" t="inlineStr">
        <is>
          <t>Ayana</t>
        </is>
      </c>
      <c r="D1551" s="11" t="inlineStr">
        <is>
          <t>Utility and C&amp;I</t>
        </is>
      </c>
      <c r="E1551" s="1" t="n"/>
      <c r="F1551" s="1" t="inlineStr">
        <is>
          <t>WIP</t>
        </is>
      </c>
      <c r="G1551" s="11" t="inlineStr">
        <is>
          <t>Vasu.N</t>
        </is>
      </c>
      <c r="H1551" s="8" t="n">
        <v>9578099893</v>
      </c>
      <c r="I1551" s="10" t="inlineStr">
        <is>
          <t>PE04062601</t>
        </is>
      </c>
      <c r="J1551" s="28" t="inlineStr">
        <is>
          <t>Module burnt</t>
        </is>
      </c>
      <c r="K1551" s="8" t="inlineStr">
        <is>
          <t>Jatavira</t>
        </is>
      </c>
      <c r="L1551" s="39" t="inlineStr">
        <is>
          <t>Gujarat</t>
        </is>
      </c>
      <c r="M1551" s="2" t="inlineStr">
        <is>
          <t xml:space="preserve">Back glass broken </t>
        </is>
      </c>
      <c r="N1551" s="6" t="inlineStr">
        <is>
          <t>Module Breakage</t>
        </is>
      </c>
      <c r="O1551" s="32" t="n">
        <v>585</v>
      </c>
      <c r="P1551" s="2" t="inlineStr">
        <is>
          <t>NSMI24090486292</t>
        </is>
      </c>
      <c r="Q1551" s="29">
        <f>MID(P1551,5,2)</f>
        <v/>
      </c>
      <c r="R1551" s="14">
        <f>MID(P1551,7,2)</f>
        <v/>
      </c>
      <c r="S1551" s="6" t="inlineStr">
        <is>
          <t>G2G</t>
        </is>
      </c>
      <c r="T1551" s="1" t="inlineStr">
        <is>
          <t>P4 - PEIPL</t>
        </is>
      </c>
      <c r="U1551" s="6" t="inlineStr">
        <is>
          <t>Glass Breakage</t>
        </is>
      </c>
      <c r="V1551" s="1" t="inlineStr">
        <is>
          <t>Inspection</t>
        </is>
      </c>
      <c r="W1551" s="1" t="inlineStr">
        <is>
          <t>WIP</t>
        </is>
      </c>
      <c r="X1551" s="12" t="n"/>
      <c r="Y1551" s="1">
        <f>IF(X1551="","",X1551-A1551)</f>
        <v/>
      </c>
      <c r="Z1551" s="5" t="n">
        <v>46191</v>
      </c>
      <c r="AA1551" s="3" t="n"/>
      <c r="AB1551" s="3" t="n"/>
      <c r="AE1551" s="146">
        <f>IF(AND(F1551="Closed",X1551&gt;=DATE(2026,6,1),X1551&lt;=DATE(2026,6,30)),"Closed in June","other")</f>
        <v/>
      </c>
    </row>
    <row r="1552" hidden="1">
      <c r="A1552" s="49" t="n">
        <v>46177</v>
      </c>
      <c r="B1552" s="1" t="n">
        <v>2026</v>
      </c>
      <c r="C1552" s="8" t="inlineStr">
        <is>
          <t>Ayana</t>
        </is>
      </c>
      <c r="D1552" s="11" t="inlineStr">
        <is>
          <t>Utility and C&amp;I</t>
        </is>
      </c>
      <c r="E1552" s="1" t="n"/>
      <c r="F1552" s="1" t="inlineStr">
        <is>
          <t>WIP</t>
        </is>
      </c>
      <c r="G1552" s="11" t="inlineStr">
        <is>
          <t>Vasu.N</t>
        </is>
      </c>
      <c r="H1552" s="8" t="n">
        <v>9578099893</v>
      </c>
      <c r="I1552" s="10" t="inlineStr">
        <is>
          <t>PE04062601</t>
        </is>
      </c>
      <c r="J1552" s="28" t="inlineStr">
        <is>
          <t>Module burnt</t>
        </is>
      </c>
      <c r="K1552" s="8" t="inlineStr">
        <is>
          <t>Jatavira</t>
        </is>
      </c>
      <c r="L1552" s="39" t="inlineStr">
        <is>
          <t>Gujarat</t>
        </is>
      </c>
      <c r="M1552" s="2" t="inlineStr">
        <is>
          <t xml:space="preserve">Back glass broken </t>
        </is>
      </c>
      <c r="N1552" s="6" t="inlineStr">
        <is>
          <t>Module Breakage</t>
        </is>
      </c>
      <c r="O1552" s="32" t="n">
        <v>585</v>
      </c>
      <c r="P1552" s="2" t="inlineStr">
        <is>
          <t>NSMI24090486297</t>
        </is>
      </c>
      <c r="Q1552" s="29">
        <f>MID(P1552,5,2)</f>
        <v/>
      </c>
      <c r="R1552" s="14">
        <f>MID(P1552,7,2)</f>
        <v/>
      </c>
      <c r="S1552" s="6" t="inlineStr">
        <is>
          <t>G2G</t>
        </is>
      </c>
      <c r="T1552" s="1" t="inlineStr">
        <is>
          <t>P4 - PEIPL</t>
        </is>
      </c>
      <c r="U1552" s="6" t="inlineStr">
        <is>
          <t>Glass Breakage</t>
        </is>
      </c>
      <c r="V1552" s="1" t="inlineStr">
        <is>
          <t>Inspection</t>
        </is>
      </c>
      <c r="W1552" s="1" t="inlineStr">
        <is>
          <t>WIP</t>
        </is>
      </c>
      <c r="X1552" s="12" t="n"/>
      <c r="Y1552" s="1">
        <f>IF(X1552="","",X1552-A1552)</f>
        <v/>
      </c>
      <c r="Z1552" s="5" t="n">
        <v>46191</v>
      </c>
      <c r="AA1552" s="3" t="n"/>
      <c r="AB1552" s="3" t="n"/>
      <c r="AE1552" s="146">
        <f>IF(AND(F1552="Closed",X1552&gt;=DATE(2026,6,1),X1552&lt;=DATE(2026,6,30)),"Closed in June","other")</f>
        <v/>
      </c>
    </row>
    <row r="1553" hidden="1">
      <c r="A1553" s="49" t="n">
        <v>46177</v>
      </c>
      <c r="B1553" s="1" t="n">
        <v>2026</v>
      </c>
      <c r="C1553" s="8" t="inlineStr">
        <is>
          <t>Ayana</t>
        </is>
      </c>
      <c r="D1553" s="11" t="inlineStr">
        <is>
          <t>Utility and C&amp;I</t>
        </is>
      </c>
      <c r="E1553" s="1" t="n"/>
      <c r="F1553" s="1" t="inlineStr">
        <is>
          <t>WIP</t>
        </is>
      </c>
      <c r="G1553" s="11" t="inlineStr">
        <is>
          <t>Vasu.N</t>
        </is>
      </c>
      <c r="H1553" s="8" t="n">
        <v>9578099893</v>
      </c>
      <c r="I1553" s="10" t="inlineStr">
        <is>
          <t>PE04062601</t>
        </is>
      </c>
      <c r="J1553" s="28" t="inlineStr">
        <is>
          <t>Module burnt</t>
        </is>
      </c>
      <c r="K1553" s="8" t="inlineStr">
        <is>
          <t>Jatavira</t>
        </is>
      </c>
      <c r="L1553" s="39" t="inlineStr">
        <is>
          <t>Gujarat</t>
        </is>
      </c>
      <c r="M1553" s="2" t="inlineStr">
        <is>
          <t xml:space="preserve">Back glass broken </t>
        </is>
      </c>
      <c r="N1553" s="6" t="inlineStr">
        <is>
          <t>Module Breakage</t>
        </is>
      </c>
      <c r="O1553" s="32" t="n">
        <v>585</v>
      </c>
      <c r="P1553" s="2" t="inlineStr">
        <is>
          <t>NSMI24090519170</t>
        </is>
      </c>
      <c r="Q1553" s="29">
        <f>MID(P1553,5,2)</f>
        <v/>
      </c>
      <c r="R1553" s="14">
        <f>MID(P1553,7,2)</f>
        <v/>
      </c>
      <c r="S1553" s="6" t="inlineStr">
        <is>
          <t>G2G</t>
        </is>
      </c>
      <c r="T1553" s="1" t="inlineStr">
        <is>
          <t>P4 - PEIPL</t>
        </is>
      </c>
      <c r="U1553" s="6" t="inlineStr">
        <is>
          <t>Glass Breakage</t>
        </is>
      </c>
      <c r="V1553" s="1" t="inlineStr">
        <is>
          <t>Inspection</t>
        </is>
      </c>
      <c r="W1553" s="1" t="inlineStr">
        <is>
          <t>WIP</t>
        </is>
      </c>
      <c r="X1553" s="12" t="n"/>
      <c r="Y1553" s="1">
        <f>IF(X1553="","",X1553-A1553)</f>
        <v/>
      </c>
      <c r="Z1553" s="5" t="n">
        <v>46191</v>
      </c>
      <c r="AA1553" s="3" t="n"/>
      <c r="AB1553" s="3" t="n"/>
      <c r="AE1553" s="146">
        <f>IF(AND(F1553="Closed",X1553&gt;=DATE(2026,6,1),X1553&lt;=DATE(2026,6,30)),"Closed in June","other")</f>
        <v/>
      </c>
    </row>
    <row r="1554" hidden="1">
      <c r="A1554" s="49" t="n">
        <v>46177</v>
      </c>
      <c r="B1554" s="1" t="n">
        <v>2026</v>
      </c>
      <c r="C1554" s="8" t="inlineStr">
        <is>
          <t>Ayana</t>
        </is>
      </c>
      <c r="D1554" s="11" t="inlineStr">
        <is>
          <t>Utility and C&amp;I</t>
        </is>
      </c>
      <c r="E1554" s="1" t="n"/>
      <c r="F1554" s="1" t="inlineStr">
        <is>
          <t>WIP</t>
        </is>
      </c>
      <c r="G1554" s="11" t="inlineStr">
        <is>
          <t>Vasu.N</t>
        </is>
      </c>
      <c r="H1554" s="8" t="n">
        <v>9578099893</v>
      </c>
      <c r="I1554" s="10" t="inlineStr">
        <is>
          <t>PE04062601</t>
        </is>
      </c>
      <c r="J1554" s="28" t="inlineStr">
        <is>
          <t>Module burnt</t>
        </is>
      </c>
      <c r="K1554" s="8" t="inlineStr">
        <is>
          <t>Jatavira</t>
        </is>
      </c>
      <c r="L1554" s="39" t="inlineStr">
        <is>
          <t>Gujarat</t>
        </is>
      </c>
      <c r="M1554" s="2" t="inlineStr">
        <is>
          <t xml:space="preserve">Back glass broken </t>
        </is>
      </c>
      <c r="N1554" s="6" t="inlineStr">
        <is>
          <t>Module Breakage</t>
        </is>
      </c>
      <c r="O1554" s="32" t="n">
        <v>585</v>
      </c>
      <c r="P1554" s="2" t="inlineStr">
        <is>
          <t>NSMI24090519128</t>
        </is>
      </c>
      <c r="Q1554" s="29">
        <f>MID(P1554,5,2)</f>
        <v/>
      </c>
      <c r="R1554" s="14">
        <f>MID(P1554,7,2)</f>
        <v/>
      </c>
      <c r="S1554" s="6" t="inlineStr">
        <is>
          <t>G2G</t>
        </is>
      </c>
      <c r="T1554" s="1" t="inlineStr">
        <is>
          <t>P4 - PEIPL</t>
        </is>
      </c>
      <c r="U1554" s="6" t="inlineStr">
        <is>
          <t>Glass Breakage</t>
        </is>
      </c>
      <c r="V1554" s="1" t="inlineStr">
        <is>
          <t>Inspection</t>
        </is>
      </c>
      <c r="W1554" s="1" t="inlineStr">
        <is>
          <t>WIP</t>
        </is>
      </c>
      <c r="X1554" s="12" t="n"/>
      <c r="Y1554" s="1">
        <f>IF(X1554="","",X1554-A1554)</f>
        <v/>
      </c>
      <c r="Z1554" s="5" t="n">
        <v>46191</v>
      </c>
      <c r="AA1554" s="3" t="n"/>
      <c r="AB1554" s="3" t="n"/>
      <c r="AE1554" s="146">
        <f>IF(AND(F1554="Closed",X1554&gt;=DATE(2026,6,1),X1554&lt;=DATE(2026,6,30)),"Closed in June","other")</f>
        <v/>
      </c>
    </row>
    <row r="1555" hidden="1">
      <c r="A1555" s="49" t="n">
        <v>46177</v>
      </c>
      <c r="B1555" s="1" t="n">
        <v>2026</v>
      </c>
      <c r="C1555" s="8" t="inlineStr">
        <is>
          <t>Ayana</t>
        </is>
      </c>
      <c r="D1555" s="11" t="inlineStr">
        <is>
          <t>Utility and C&amp;I</t>
        </is>
      </c>
      <c r="E1555" s="1" t="n"/>
      <c r="F1555" s="1" t="inlineStr">
        <is>
          <t>WIP</t>
        </is>
      </c>
      <c r="G1555" s="11" t="inlineStr">
        <is>
          <t>Vasu.N</t>
        </is>
      </c>
      <c r="H1555" s="8" t="n">
        <v>9578099893</v>
      </c>
      <c r="I1555" s="10" t="inlineStr">
        <is>
          <t>PE04062601</t>
        </is>
      </c>
      <c r="J1555" s="28" t="inlineStr">
        <is>
          <t>Module burnt</t>
        </is>
      </c>
      <c r="K1555" s="8" t="inlineStr">
        <is>
          <t>Jatavira</t>
        </is>
      </c>
      <c r="L1555" s="39" t="inlineStr">
        <is>
          <t>Gujarat</t>
        </is>
      </c>
      <c r="M1555" s="2" t="inlineStr">
        <is>
          <t xml:space="preserve">Back glass broken </t>
        </is>
      </c>
      <c r="N1555" s="6" t="inlineStr">
        <is>
          <t>Module Breakage</t>
        </is>
      </c>
      <c r="O1555" s="32" t="n">
        <v>585</v>
      </c>
      <c r="P1555" s="2" t="inlineStr">
        <is>
          <t>NSMI24090519329</t>
        </is>
      </c>
      <c r="Q1555" s="29">
        <f>MID(P1555,5,2)</f>
        <v/>
      </c>
      <c r="R1555" s="14">
        <f>MID(P1555,7,2)</f>
        <v/>
      </c>
      <c r="S1555" s="6" t="inlineStr">
        <is>
          <t>G2G</t>
        </is>
      </c>
      <c r="T1555" s="1" t="inlineStr">
        <is>
          <t>P4 - PEIPL</t>
        </is>
      </c>
      <c r="U1555" s="6" t="inlineStr">
        <is>
          <t>Glass Breakage</t>
        </is>
      </c>
      <c r="V1555" s="1" t="inlineStr">
        <is>
          <t>Inspection</t>
        </is>
      </c>
      <c r="W1555" s="1" t="inlineStr">
        <is>
          <t>WIP</t>
        </is>
      </c>
      <c r="X1555" s="12" t="n"/>
      <c r="Y1555" s="1">
        <f>IF(X1555="","",X1555-A1555)</f>
        <v/>
      </c>
      <c r="Z1555" s="5" t="n">
        <v>46191</v>
      </c>
      <c r="AA1555" s="3" t="n"/>
      <c r="AB1555" s="3" t="n"/>
      <c r="AE1555" s="146">
        <f>IF(AND(F1555="Closed",X1555&gt;=DATE(2026,6,1),X1555&lt;=DATE(2026,6,30)),"Closed in June","other")</f>
        <v/>
      </c>
    </row>
    <row r="1556" hidden="1">
      <c r="A1556" s="49" t="n">
        <v>46177</v>
      </c>
      <c r="B1556" s="1" t="n">
        <v>2026</v>
      </c>
      <c r="C1556" s="8" t="inlineStr">
        <is>
          <t>Ayana</t>
        </is>
      </c>
      <c r="D1556" s="11" t="inlineStr">
        <is>
          <t>Utility and C&amp;I</t>
        </is>
      </c>
      <c r="E1556" s="1" t="n"/>
      <c r="F1556" s="1" t="inlineStr">
        <is>
          <t>WIP</t>
        </is>
      </c>
      <c r="G1556" s="11" t="inlineStr">
        <is>
          <t>Vasu.N</t>
        </is>
      </c>
      <c r="H1556" s="8" t="n">
        <v>9578099893</v>
      </c>
      <c r="I1556" s="10" t="inlineStr">
        <is>
          <t>PE04062601</t>
        </is>
      </c>
      <c r="J1556" s="28" t="inlineStr">
        <is>
          <t>Module burnt</t>
        </is>
      </c>
      <c r="K1556" s="8" t="inlineStr">
        <is>
          <t>Jatavira</t>
        </is>
      </c>
      <c r="L1556" s="39" t="inlineStr">
        <is>
          <t>Gujarat</t>
        </is>
      </c>
      <c r="M1556" s="2" t="inlineStr">
        <is>
          <t xml:space="preserve">Back glass broken </t>
        </is>
      </c>
      <c r="N1556" s="6" t="inlineStr">
        <is>
          <t>Module Breakage</t>
        </is>
      </c>
      <c r="O1556" s="32" t="n">
        <v>585</v>
      </c>
      <c r="P1556" s="2" t="inlineStr">
        <is>
          <t>NSMI24090504702</t>
        </is>
      </c>
      <c r="Q1556" s="29">
        <f>MID(P1556,5,2)</f>
        <v/>
      </c>
      <c r="R1556" s="14">
        <f>MID(P1556,7,2)</f>
        <v/>
      </c>
      <c r="S1556" s="6" t="inlineStr">
        <is>
          <t>G2G</t>
        </is>
      </c>
      <c r="T1556" s="1" t="inlineStr">
        <is>
          <t>P4 - PEIPL</t>
        </is>
      </c>
      <c r="U1556" s="6" t="inlineStr">
        <is>
          <t>Glass Breakage</t>
        </is>
      </c>
      <c r="V1556" s="1" t="inlineStr">
        <is>
          <t>Inspection</t>
        </is>
      </c>
      <c r="W1556" s="1" t="inlineStr">
        <is>
          <t>WIP</t>
        </is>
      </c>
      <c r="X1556" s="12" t="n"/>
      <c r="Y1556" s="1">
        <f>IF(X1556="","",X1556-A1556)</f>
        <v/>
      </c>
      <c r="Z1556" s="5" t="n">
        <v>46191</v>
      </c>
      <c r="AA1556" s="3" t="n"/>
      <c r="AB1556" s="3" t="n"/>
      <c r="AE1556" s="146">
        <f>IF(AND(F1556="Closed",X1556&gt;=DATE(2026,6,1),X1556&lt;=DATE(2026,6,30)),"Closed in June","other")</f>
        <v/>
      </c>
    </row>
    <row r="1557" hidden="1">
      <c r="A1557" s="49" t="n">
        <v>46177</v>
      </c>
      <c r="B1557" s="1" t="n">
        <v>2026</v>
      </c>
      <c r="C1557" s="8" t="inlineStr">
        <is>
          <t>Ayana</t>
        </is>
      </c>
      <c r="D1557" s="11" t="inlineStr">
        <is>
          <t>Utility and C&amp;I</t>
        </is>
      </c>
      <c r="E1557" s="1" t="n"/>
      <c r="F1557" s="1" t="inlineStr">
        <is>
          <t>WIP</t>
        </is>
      </c>
      <c r="G1557" s="11" t="inlineStr">
        <is>
          <t>Vasu.N</t>
        </is>
      </c>
      <c r="H1557" s="8" t="n">
        <v>9578099893</v>
      </c>
      <c r="I1557" s="10" t="inlineStr">
        <is>
          <t>PE04062601</t>
        </is>
      </c>
      <c r="J1557" s="28" t="inlineStr">
        <is>
          <t>Module burnt</t>
        </is>
      </c>
      <c r="K1557" s="8" t="inlineStr">
        <is>
          <t>Jatavira</t>
        </is>
      </c>
      <c r="L1557" s="39" t="inlineStr">
        <is>
          <t>Gujarat</t>
        </is>
      </c>
      <c r="M1557" s="2" t="inlineStr">
        <is>
          <t xml:space="preserve">Back glass broken </t>
        </is>
      </c>
      <c r="N1557" s="6" t="inlineStr">
        <is>
          <t>Module Breakage</t>
        </is>
      </c>
      <c r="O1557" s="32" t="n">
        <v>585</v>
      </c>
      <c r="P1557" s="2" t="inlineStr">
        <is>
          <t>NSMI24090468565</t>
        </is>
      </c>
      <c r="Q1557" s="29">
        <f>MID(P1557,5,2)</f>
        <v/>
      </c>
      <c r="R1557" s="14">
        <f>MID(P1557,7,2)</f>
        <v/>
      </c>
      <c r="S1557" s="6" t="inlineStr">
        <is>
          <t>G2G</t>
        </is>
      </c>
      <c r="T1557" s="1" t="inlineStr">
        <is>
          <t>P4 - PEIPL</t>
        </is>
      </c>
      <c r="U1557" s="6" t="inlineStr">
        <is>
          <t>Glass Breakage</t>
        </is>
      </c>
      <c r="V1557" s="1" t="inlineStr">
        <is>
          <t>Inspection</t>
        </is>
      </c>
      <c r="W1557" s="1" t="inlineStr">
        <is>
          <t>WIP</t>
        </is>
      </c>
      <c r="X1557" s="12" t="n"/>
      <c r="Y1557" s="1">
        <f>IF(X1557="","",X1557-A1557)</f>
        <v/>
      </c>
      <c r="Z1557" s="5" t="n">
        <v>46191</v>
      </c>
      <c r="AA1557" s="3" t="n"/>
      <c r="AB1557" s="3" t="n"/>
      <c r="AE1557" s="146">
        <f>IF(AND(F1557="Closed",X1557&gt;=DATE(2026,6,1),X1557&lt;=DATE(2026,6,30)),"Closed in June","other")</f>
        <v/>
      </c>
    </row>
    <row r="1558" hidden="1">
      <c r="A1558" s="49" t="n">
        <v>46177</v>
      </c>
      <c r="B1558" s="1" t="n">
        <v>2026</v>
      </c>
      <c r="C1558" s="8" t="inlineStr">
        <is>
          <t>Ayana</t>
        </is>
      </c>
      <c r="D1558" s="11" t="inlineStr">
        <is>
          <t>Utility and C&amp;I</t>
        </is>
      </c>
      <c r="E1558" s="1" t="n"/>
      <c r="F1558" s="1" t="inlineStr">
        <is>
          <t>WIP</t>
        </is>
      </c>
      <c r="G1558" s="11" t="inlineStr">
        <is>
          <t>Vasu.N</t>
        </is>
      </c>
      <c r="H1558" s="8" t="n">
        <v>9578099893</v>
      </c>
      <c r="I1558" s="10" t="inlineStr">
        <is>
          <t>PE04062601</t>
        </is>
      </c>
      <c r="J1558" s="28" t="inlineStr">
        <is>
          <t>Module burnt</t>
        </is>
      </c>
      <c r="K1558" s="8" t="inlineStr">
        <is>
          <t>Jatavira</t>
        </is>
      </c>
      <c r="L1558" s="39" t="inlineStr">
        <is>
          <t>Gujarat</t>
        </is>
      </c>
      <c r="M1558" s="2" t="inlineStr">
        <is>
          <t xml:space="preserve">Back glass broken </t>
        </is>
      </c>
      <c r="N1558" s="6" t="inlineStr">
        <is>
          <t>Module Breakage</t>
        </is>
      </c>
      <c r="O1558" s="32" t="n">
        <v>585</v>
      </c>
      <c r="P1558" s="2" t="inlineStr">
        <is>
          <t>NSMI24090501473</t>
        </is>
      </c>
      <c r="Q1558" s="29">
        <f>MID(P1558,5,2)</f>
        <v/>
      </c>
      <c r="R1558" s="14">
        <f>MID(P1558,7,2)</f>
        <v/>
      </c>
      <c r="S1558" s="6" t="inlineStr">
        <is>
          <t>G2G</t>
        </is>
      </c>
      <c r="T1558" s="1" t="inlineStr">
        <is>
          <t>P4 - PEIPL</t>
        </is>
      </c>
      <c r="U1558" s="6" t="inlineStr">
        <is>
          <t>Glass Breakage</t>
        </is>
      </c>
      <c r="V1558" s="1" t="inlineStr">
        <is>
          <t>Inspection</t>
        </is>
      </c>
      <c r="W1558" s="1" t="inlineStr">
        <is>
          <t>WIP</t>
        </is>
      </c>
      <c r="X1558" s="12" t="n"/>
      <c r="Y1558" s="1">
        <f>IF(X1558="","",X1558-A1558)</f>
        <v/>
      </c>
      <c r="Z1558" s="5" t="n">
        <v>46191</v>
      </c>
      <c r="AA1558" s="3" t="n"/>
      <c r="AB1558" s="3" t="n"/>
      <c r="AE1558" s="146">
        <f>IF(AND(F1558="Closed",X1558&gt;=DATE(2026,6,1),X1558&lt;=DATE(2026,6,30)),"Closed in June","other")</f>
        <v/>
      </c>
    </row>
    <row r="1559" hidden="1">
      <c r="A1559" s="49" t="n">
        <v>46177</v>
      </c>
      <c r="B1559" s="1" t="n">
        <v>2026</v>
      </c>
      <c r="C1559" s="8" t="inlineStr">
        <is>
          <t>Ayana</t>
        </is>
      </c>
      <c r="D1559" s="11" t="inlineStr">
        <is>
          <t>Utility and C&amp;I</t>
        </is>
      </c>
      <c r="E1559" s="1" t="n"/>
      <c r="F1559" s="1" t="inlineStr">
        <is>
          <t>WIP</t>
        </is>
      </c>
      <c r="G1559" s="11" t="inlineStr">
        <is>
          <t>Vasu.N</t>
        </is>
      </c>
      <c r="H1559" s="8" t="n">
        <v>9578099893</v>
      </c>
      <c r="I1559" s="10" t="inlineStr">
        <is>
          <t>PE04062601</t>
        </is>
      </c>
      <c r="J1559" s="28" t="inlineStr">
        <is>
          <t>Module burnt</t>
        </is>
      </c>
      <c r="K1559" s="8" t="inlineStr">
        <is>
          <t>Jatavira</t>
        </is>
      </c>
      <c r="L1559" s="39" t="inlineStr">
        <is>
          <t>Gujarat</t>
        </is>
      </c>
      <c r="M1559" s="2" t="inlineStr">
        <is>
          <t xml:space="preserve">Back glass broken </t>
        </is>
      </c>
      <c r="N1559" s="6" t="inlineStr">
        <is>
          <t>Module Breakage</t>
        </is>
      </c>
      <c r="O1559" s="32" t="n">
        <v>585</v>
      </c>
      <c r="P1559" s="2" t="inlineStr">
        <is>
          <t>NSMI24090503280</t>
        </is>
      </c>
      <c r="Q1559" s="29">
        <f>MID(P1559,5,2)</f>
        <v/>
      </c>
      <c r="R1559" s="14">
        <f>MID(P1559,7,2)</f>
        <v/>
      </c>
      <c r="S1559" s="6" t="inlineStr">
        <is>
          <t>G2G</t>
        </is>
      </c>
      <c r="T1559" s="1" t="inlineStr">
        <is>
          <t>P4 - PEIPL</t>
        </is>
      </c>
      <c r="U1559" s="6" t="inlineStr">
        <is>
          <t>Glass Breakage</t>
        </is>
      </c>
      <c r="V1559" s="1" t="inlineStr">
        <is>
          <t>Inspection</t>
        </is>
      </c>
      <c r="W1559" s="1" t="inlineStr">
        <is>
          <t>WIP</t>
        </is>
      </c>
      <c r="X1559" s="12" t="n"/>
      <c r="Y1559" s="1">
        <f>IF(X1559="","",X1559-A1559)</f>
        <v/>
      </c>
      <c r="Z1559" s="5" t="n">
        <v>46191</v>
      </c>
      <c r="AA1559" s="3" t="n"/>
      <c r="AB1559" s="3" t="n"/>
      <c r="AE1559" s="146">
        <f>IF(AND(F1559="Closed",X1559&gt;=DATE(2026,6,1),X1559&lt;=DATE(2026,6,30)),"Closed in June","other")</f>
        <v/>
      </c>
    </row>
    <row r="1560" hidden="1">
      <c r="A1560" s="49" t="n">
        <v>46177</v>
      </c>
      <c r="B1560" s="1" t="n">
        <v>2026</v>
      </c>
      <c r="C1560" s="8" t="inlineStr">
        <is>
          <t>Ayana</t>
        </is>
      </c>
      <c r="D1560" s="11" t="inlineStr">
        <is>
          <t>Utility and C&amp;I</t>
        </is>
      </c>
      <c r="E1560" s="1" t="n"/>
      <c r="F1560" s="1" t="inlineStr">
        <is>
          <t>WIP</t>
        </is>
      </c>
      <c r="G1560" s="11" t="inlineStr">
        <is>
          <t>Vasu.N</t>
        </is>
      </c>
      <c r="H1560" s="8" t="n">
        <v>9578099893</v>
      </c>
      <c r="I1560" s="10" t="inlineStr">
        <is>
          <t>PE04062601</t>
        </is>
      </c>
      <c r="J1560" s="28" t="inlineStr">
        <is>
          <t>Module burnt</t>
        </is>
      </c>
      <c r="K1560" s="8" t="inlineStr">
        <is>
          <t>Jatavira</t>
        </is>
      </c>
      <c r="L1560" s="39" t="inlineStr">
        <is>
          <t>Gujarat</t>
        </is>
      </c>
      <c r="M1560" s="2" t="inlineStr">
        <is>
          <t xml:space="preserve">Black glass broken at shorter frem </t>
        </is>
      </c>
      <c r="N1560" s="6" t="inlineStr">
        <is>
          <t>Module Breakage</t>
        </is>
      </c>
      <c r="O1560" s="32" t="n">
        <v>585</v>
      </c>
      <c r="P1560" s="2" t="inlineStr">
        <is>
          <t>NSMI24090483370</t>
        </is>
      </c>
      <c r="Q1560" s="29">
        <f>MID(P1560,5,2)</f>
        <v/>
      </c>
      <c r="R1560" s="14">
        <f>MID(P1560,7,2)</f>
        <v/>
      </c>
      <c r="S1560" s="6" t="inlineStr">
        <is>
          <t>G2G</t>
        </is>
      </c>
      <c r="T1560" s="1" t="inlineStr">
        <is>
          <t>P4 - PEIPL</t>
        </is>
      </c>
      <c r="U1560" s="6" t="inlineStr">
        <is>
          <t>Glass Breakage</t>
        </is>
      </c>
      <c r="V1560" s="1" t="inlineStr">
        <is>
          <t>Inspection</t>
        </is>
      </c>
      <c r="W1560" s="1" t="inlineStr">
        <is>
          <t>WIP</t>
        </is>
      </c>
      <c r="X1560" s="12" t="n"/>
      <c r="Y1560" s="1">
        <f>IF(X1560="","",X1560-A1560)</f>
        <v/>
      </c>
      <c r="Z1560" s="5" t="n">
        <v>46191</v>
      </c>
      <c r="AA1560" s="3" t="n"/>
      <c r="AB1560" s="3" t="n"/>
      <c r="AE1560" s="146">
        <f>IF(AND(F1560="Closed",X1560&gt;=DATE(2026,6,1),X1560&lt;=DATE(2026,6,30)),"Closed in June","other")</f>
        <v/>
      </c>
    </row>
    <row r="1561" hidden="1">
      <c r="A1561" s="49" t="n">
        <v>46177</v>
      </c>
      <c r="B1561" s="1" t="n">
        <v>2026</v>
      </c>
      <c r="C1561" s="8" t="inlineStr">
        <is>
          <t>Ayana</t>
        </is>
      </c>
      <c r="D1561" s="11" t="inlineStr">
        <is>
          <t>Utility and C&amp;I</t>
        </is>
      </c>
      <c r="E1561" s="1" t="n"/>
      <c r="F1561" s="1" t="inlineStr">
        <is>
          <t>WIP</t>
        </is>
      </c>
      <c r="G1561" s="11" t="inlineStr">
        <is>
          <t>Vasu.N</t>
        </is>
      </c>
      <c r="H1561" s="8" t="n">
        <v>9578099893</v>
      </c>
      <c r="I1561" s="10" t="inlineStr">
        <is>
          <t>PE04062601</t>
        </is>
      </c>
      <c r="J1561" s="28" t="inlineStr">
        <is>
          <t>Module burnt</t>
        </is>
      </c>
      <c r="K1561" s="8" t="inlineStr">
        <is>
          <t>Jatavira</t>
        </is>
      </c>
      <c r="L1561" s="39" t="inlineStr">
        <is>
          <t>Gujarat</t>
        </is>
      </c>
      <c r="M1561" s="2" t="inlineStr">
        <is>
          <t xml:space="preserve">Back glass broken </t>
        </is>
      </c>
      <c r="N1561" s="6" t="inlineStr">
        <is>
          <t>Module Breakage</t>
        </is>
      </c>
      <c r="O1561" s="32" t="n">
        <v>585</v>
      </c>
      <c r="P1561" s="2" t="inlineStr">
        <is>
          <t>NSMI24090519307</t>
        </is>
      </c>
      <c r="Q1561" s="29">
        <f>MID(P1561,5,2)</f>
        <v/>
      </c>
      <c r="R1561" s="14">
        <f>MID(P1561,7,2)</f>
        <v/>
      </c>
      <c r="S1561" s="6" t="inlineStr">
        <is>
          <t>G2G</t>
        </is>
      </c>
      <c r="T1561" s="1" t="inlineStr">
        <is>
          <t>P4 - PEIPL</t>
        </is>
      </c>
      <c r="U1561" s="6" t="inlineStr">
        <is>
          <t>Glass Breakage</t>
        </is>
      </c>
      <c r="V1561" s="1" t="inlineStr">
        <is>
          <t>Inspection</t>
        </is>
      </c>
      <c r="W1561" s="1" t="inlineStr">
        <is>
          <t>WIP</t>
        </is>
      </c>
      <c r="X1561" s="12" t="n"/>
      <c r="Y1561" s="1">
        <f>IF(X1561="","",X1561-A1561)</f>
        <v/>
      </c>
      <c r="Z1561" s="5" t="n">
        <v>46191</v>
      </c>
      <c r="AA1561" s="3" t="n"/>
      <c r="AB1561" s="3" t="n"/>
      <c r="AE1561" s="146">
        <f>IF(AND(F1561="Closed",X1561&gt;=DATE(2026,6,1),X1561&lt;=DATE(2026,6,30)),"Closed in June","other")</f>
        <v/>
      </c>
    </row>
    <row r="1562" hidden="1">
      <c r="A1562" s="49" t="n">
        <v>46177</v>
      </c>
      <c r="B1562" s="1" t="n">
        <v>2026</v>
      </c>
      <c r="C1562" s="8" t="inlineStr">
        <is>
          <t>Ayana</t>
        </is>
      </c>
      <c r="D1562" s="11" t="inlineStr">
        <is>
          <t>Utility and C&amp;I</t>
        </is>
      </c>
      <c r="E1562" s="1" t="n"/>
      <c r="F1562" s="1" t="inlineStr">
        <is>
          <t>WIP</t>
        </is>
      </c>
      <c r="G1562" s="11" t="inlineStr">
        <is>
          <t>Vasu.N</t>
        </is>
      </c>
      <c r="H1562" s="8" t="n">
        <v>9578099893</v>
      </c>
      <c r="I1562" s="10" t="inlineStr">
        <is>
          <t>PE04062601</t>
        </is>
      </c>
      <c r="J1562" s="28" t="inlineStr">
        <is>
          <t>Module burnt</t>
        </is>
      </c>
      <c r="K1562" s="8" t="inlineStr">
        <is>
          <t>Jatavira</t>
        </is>
      </c>
      <c r="L1562" s="39" t="inlineStr">
        <is>
          <t>Gujarat</t>
        </is>
      </c>
      <c r="M1562" s="2" t="inlineStr">
        <is>
          <t>Both glass broken</t>
        </is>
      </c>
      <c r="N1562" s="6" t="inlineStr">
        <is>
          <t>Module Breakage</t>
        </is>
      </c>
      <c r="O1562" s="32" t="n">
        <v>585</v>
      </c>
      <c r="P1562" s="2" t="inlineStr">
        <is>
          <t>NSMI24100551146</t>
        </is>
      </c>
      <c r="Q1562" s="29">
        <f>MID(P1562,5,2)</f>
        <v/>
      </c>
      <c r="R1562" s="14">
        <f>MID(P1562,7,2)</f>
        <v/>
      </c>
      <c r="S1562" s="6" t="inlineStr">
        <is>
          <t>G2G</t>
        </is>
      </c>
      <c r="T1562" s="1" t="inlineStr">
        <is>
          <t>P4 - PEIPL</t>
        </is>
      </c>
      <c r="U1562" s="6" t="inlineStr">
        <is>
          <t>Glass Breakage</t>
        </is>
      </c>
      <c r="V1562" s="1" t="inlineStr">
        <is>
          <t>Inspection</t>
        </is>
      </c>
      <c r="W1562" s="1" t="inlineStr">
        <is>
          <t>WIP</t>
        </is>
      </c>
      <c r="X1562" s="12" t="n"/>
      <c r="Y1562" s="1">
        <f>IF(X1562="","",X1562-A1562)</f>
        <v/>
      </c>
      <c r="Z1562" s="5" t="n">
        <v>46191</v>
      </c>
      <c r="AA1562" s="3" t="n"/>
      <c r="AB1562" s="3" t="n"/>
      <c r="AE1562" s="146">
        <f>IF(AND(F1562="Closed",X1562&gt;=DATE(2026,6,1),X1562&lt;=DATE(2026,6,30)),"Closed in June","other")</f>
        <v/>
      </c>
    </row>
    <row r="1563" hidden="1">
      <c r="A1563" s="49" t="n">
        <v>46177</v>
      </c>
      <c r="B1563" s="1" t="n">
        <v>2026</v>
      </c>
      <c r="C1563" s="8" t="inlineStr">
        <is>
          <t>Ayana</t>
        </is>
      </c>
      <c r="D1563" s="11" t="inlineStr">
        <is>
          <t>Utility and C&amp;I</t>
        </is>
      </c>
      <c r="E1563" s="1" t="n"/>
      <c r="F1563" s="1" t="inlineStr">
        <is>
          <t>WIP</t>
        </is>
      </c>
      <c r="G1563" s="11" t="inlineStr">
        <is>
          <t>Vasu.N</t>
        </is>
      </c>
      <c r="H1563" s="8" t="n">
        <v>9578099893</v>
      </c>
      <c r="I1563" s="10" t="inlineStr">
        <is>
          <t>PE04062601</t>
        </is>
      </c>
      <c r="J1563" s="28" t="inlineStr">
        <is>
          <t>Module burnt</t>
        </is>
      </c>
      <c r="K1563" s="8" t="inlineStr">
        <is>
          <t>Jatavira</t>
        </is>
      </c>
      <c r="L1563" s="39" t="inlineStr">
        <is>
          <t>Gujarat</t>
        </is>
      </c>
      <c r="M1563" s="2" t="inlineStr">
        <is>
          <t>Both glass broken</t>
        </is>
      </c>
      <c r="N1563" s="6" t="inlineStr">
        <is>
          <t>Module Breakage</t>
        </is>
      </c>
      <c r="O1563" s="32" t="n">
        <v>585</v>
      </c>
      <c r="P1563" s="2" t="inlineStr">
        <is>
          <t>NSMI24100550067</t>
        </is>
      </c>
      <c r="Q1563" s="29">
        <f>MID(P1563,5,2)</f>
        <v/>
      </c>
      <c r="R1563" s="14">
        <f>MID(P1563,7,2)</f>
        <v/>
      </c>
      <c r="S1563" s="6" t="inlineStr">
        <is>
          <t>G2G</t>
        </is>
      </c>
      <c r="T1563" s="1" t="inlineStr">
        <is>
          <t>P4 - PEIPL</t>
        </is>
      </c>
      <c r="U1563" s="6" t="inlineStr">
        <is>
          <t>Glass Breakage</t>
        </is>
      </c>
      <c r="V1563" s="1" t="inlineStr">
        <is>
          <t>Inspection</t>
        </is>
      </c>
      <c r="W1563" s="1" t="inlineStr">
        <is>
          <t>WIP</t>
        </is>
      </c>
      <c r="X1563" s="12" t="n"/>
      <c r="Y1563" s="1">
        <f>IF(X1563="","",X1563-A1563)</f>
        <v/>
      </c>
      <c r="Z1563" s="5" t="n">
        <v>46191</v>
      </c>
      <c r="AA1563" s="3" t="n"/>
      <c r="AB1563" s="3" t="n"/>
      <c r="AE1563" s="146">
        <f>IF(AND(F1563="Closed",X1563&gt;=DATE(2026,6,1),X1563&lt;=DATE(2026,6,30)),"Closed in June","other")</f>
        <v/>
      </c>
    </row>
    <row r="1564" hidden="1">
      <c r="A1564" s="49" t="n">
        <v>46177</v>
      </c>
      <c r="B1564" s="1" t="n">
        <v>2026</v>
      </c>
      <c r="C1564" s="8" t="inlineStr">
        <is>
          <t>Ayana</t>
        </is>
      </c>
      <c r="D1564" s="11" t="inlineStr">
        <is>
          <t>Utility and C&amp;I</t>
        </is>
      </c>
      <c r="E1564" s="1" t="n"/>
      <c r="F1564" s="1" t="inlineStr">
        <is>
          <t>WIP</t>
        </is>
      </c>
      <c r="G1564" s="11" t="inlineStr">
        <is>
          <t>Vasu.N</t>
        </is>
      </c>
      <c r="H1564" s="8" t="n">
        <v>9578099893</v>
      </c>
      <c r="I1564" s="10" t="inlineStr">
        <is>
          <t>PE04062601</t>
        </is>
      </c>
      <c r="J1564" s="28" t="inlineStr">
        <is>
          <t>Module burnt</t>
        </is>
      </c>
      <c r="K1564" s="8" t="inlineStr">
        <is>
          <t>Jatavira</t>
        </is>
      </c>
      <c r="L1564" s="39" t="inlineStr">
        <is>
          <t>Gujarat</t>
        </is>
      </c>
      <c r="M1564" s="2" t="inlineStr">
        <is>
          <t>Both glass broken</t>
        </is>
      </c>
      <c r="N1564" s="6" t="inlineStr">
        <is>
          <t>Module Breakage</t>
        </is>
      </c>
      <c r="O1564" s="32" t="n">
        <v>585</v>
      </c>
      <c r="P1564" s="2" t="inlineStr">
        <is>
          <t>NSMI24090486034</t>
        </is>
      </c>
      <c r="Q1564" s="29">
        <f>MID(P1564,5,2)</f>
        <v/>
      </c>
      <c r="R1564" s="14">
        <f>MID(P1564,7,2)</f>
        <v/>
      </c>
      <c r="S1564" s="6" t="inlineStr">
        <is>
          <t>G2G</t>
        </is>
      </c>
      <c r="T1564" s="1" t="inlineStr">
        <is>
          <t>P4 - PEIPL</t>
        </is>
      </c>
      <c r="U1564" s="6" t="inlineStr">
        <is>
          <t>Glass Breakage</t>
        </is>
      </c>
      <c r="V1564" s="1" t="inlineStr">
        <is>
          <t>Inspection</t>
        </is>
      </c>
      <c r="W1564" s="1" t="inlineStr">
        <is>
          <t>WIP</t>
        </is>
      </c>
      <c r="X1564" s="12" t="n"/>
      <c r="Y1564" s="1">
        <f>IF(X1564="","",X1564-A1564)</f>
        <v/>
      </c>
      <c r="Z1564" s="5" t="n">
        <v>46191</v>
      </c>
      <c r="AA1564" s="3" t="n"/>
      <c r="AB1564" s="3" t="n"/>
      <c r="AE1564" s="146">
        <f>IF(AND(F1564="Closed",X1564&gt;=DATE(2026,6,1),X1564&lt;=DATE(2026,6,30)),"Closed in June","other")</f>
        <v/>
      </c>
    </row>
    <row r="1565" hidden="1">
      <c r="A1565" s="49" t="n">
        <v>46177</v>
      </c>
      <c r="B1565" s="1" t="n">
        <v>2026</v>
      </c>
      <c r="C1565" s="8" t="inlineStr">
        <is>
          <t>Ayana</t>
        </is>
      </c>
      <c r="D1565" s="11" t="inlineStr">
        <is>
          <t>Utility and C&amp;I</t>
        </is>
      </c>
      <c r="E1565" s="1" t="n"/>
      <c r="F1565" s="1" t="inlineStr">
        <is>
          <t>WIP</t>
        </is>
      </c>
      <c r="G1565" s="11" t="inlineStr">
        <is>
          <t>Vasu.N</t>
        </is>
      </c>
      <c r="H1565" s="8" t="n">
        <v>9578099893</v>
      </c>
      <c r="I1565" s="10" t="inlineStr">
        <is>
          <t>PE04062601</t>
        </is>
      </c>
      <c r="J1565" s="28" t="inlineStr">
        <is>
          <t>Module burnt</t>
        </is>
      </c>
      <c r="K1565" s="8" t="inlineStr">
        <is>
          <t>Jatavira</t>
        </is>
      </c>
      <c r="L1565" s="39" t="inlineStr">
        <is>
          <t>Gujarat</t>
        </is>
      </c>
      <c r="M1565" s="2" t="inlineStr">
        <is>
          <t xml:space="preserve">Back glass broken </t>
        </is>
      </c>
      <c r="N1565" s="6" t="inlineStr">
        <is>
          <t>Module Breakage</t>
        </is>
      </c>
      <c r="O1565" s="32" t="n">
        <v>585</v>
      </c>
      <c r="P1565" s="2" t="inlineStr">
        <is>
          <t>NSMI24090537411</t>
        </is>
      </c>
      <c r="Q1565" s="29">
        <f>MID(P1565,5,2)</f>
        <v/>
      </c>
      <c r="R1565" s="14">
        <f>MID(P1565,7,2)</f>
        <v/>
      </c>
      <c r="S1565" s="6" t="inlineStr">
        <is>
          <t>G2G</t>
        </is>
      </c>
      <c r="T1565" s="1" t="inlineStr">
        <is>
          <t>P4 - PEIPL</t>
        </is>
      </c>
      <c r="U1565" s="6" t="inlineStr">
        <is>
          <t>Glass Breakage</t>
        </is>
      </c>
      <c r="V1565" s="1" t="inlineStr">
        <is>
          <t>Inspection</t>
        </is>
      </c>
      <c r="W1565" s="1" t="inlineStr">
        <is>
          <t>WIP</t>
        </is>
      </c>
      <c r="X1565" s="12" t="n"/>
      <c r="Y1565" s="1">
        <f>IF(X1565="","",X1565-A1565)</f>
        <v/>
      </c>
      <c r="Z1565" s="5" t="n">
        <v>46191</v>
      </c>
      <c r="AA1565" s="3" t="n"/>
      <c r="AB1565" s="3" t="n"/>
      <c r="AE1565" s="146">
        <f>IF(AND(F1565="Closed",X1565&gt;=DATE(2026,6,1),X1565&lt;=DATE(2026,6,30)),"Closed in June","other")</f>
        <v/>
      </c>
    </row>
    <row r="1566" hidden="1">
      <c r="A1566" s="49" t="n">
        <v>46177</v>
      </c>
      <c r="B1566" s="1" t="n">
        <v>2026</v>
      </c>
      <c r="C1566" s="8" t="inlineStr">
        <is>
          <t>Ayana</t>
        </is>
      </c>
      <c r="D1566" s="11" t="inlineStr">
        <is>
          <t>Utility and C&amp;I</t>
        </is>
      </c>
      <c r="E1566" s="1" t="n"/>
      <c r="F1566" s="1" t="inlineStr">
        <is>
          <t>WIP</t>
        </is>
      </c>
      <c r="G1566" s="11" t="inlineStr">
        <is>
          <t>Vasu.N</t>
        </is>
      </c>
      <c r="H1566" s="8" t="n">
        <v>9578099893</v>
      </c>
      <c r="I1566" s="10" t="inlineStr">
        <is>
          <t>PE04062601</t>
        </is>
      </c>
      <c r="J1566" s="28" t="inlineStr">
        <is>
          <t>Module burnt</t>
        </is>
      </c>
      <c r="K1566" s="8" t="inlineStr">
        <is>
          <t>Jatavira</t>
        </is>
      </c>
      <c r="L1566" s="39" t="inlineStr">
        <is>
          <t>Gujarat</t>
        </is>
      </c>
      <c r="M1566" s="2" t="inlineStr">
        <is>
          <t xml:space="preserve">Black glass broken at shorter frem </t>
        </is>
      </c>
      <c r="N1566" s="6" t="inlineStr">
        <is>
          <t>Module Breakage</t>
        </is>
      </c>
      <c r="O1566" s="32" t="n">
        <v>585</v>
      </c>
      <c r="P1566" s="2" t="inlineStr">
        <is>
          <t>NSMI24090540440</t>
        </is>
      </c>
      <c r="Q1566" s="29">
        <f>MID(P1566,5,2)</f>
        <v/>
      </c>
      <c r="R1566" s="14">
        <f>MID(P1566,7,2)</f>
        <v/>
      </c>
      <c r="S1566" s="6" t="inlineStr">
        <is>
          <t>G2G</t>
        </is>
      </c>
      <c r="T1566" s="1" t="inlineStr">
        <is>
          <t>P4 - PEIPL</t>
        </is>
      </c>
      <c r="U1566" s="6" t="inlineStr">
        <is>
          <t>Glass Breakage</t>
        </is>
      </c>
      <c r="V1566" s="1" t="inlineStr">
        <is>
          <t>Inspection</t>
        </is>
      </c>
      <c r="W1566" s="1" t="inlineStr">
        <is>
          <t>WIP</t>
        </is>
      </c>
      <c r="X1566" s="12" t="n"/>
      <c r="Y1566" s="1">
        <f>IF(X1566="","",X1566-A1566)</f>
        <v/>
      </c>
      <c r="Z1566" s="5" t="n">
        <v>46191</v>
      </c>
      <c r="AA1566" s="3" t="n"/>
      <c r="AB1566" s="3" t="n"/>
      <c r="AE1566" s="146">
        <f>IF(AND(F1566="Closed",X1566&gt;=DATE(2026,6,1),X1566&lt;=DATE(2026,6,30)),"Closed in June","other")</f>
        <v/>
      </c>
    </row>
    <row r="1567" hidden="1">
      <c r="A1567" s="49" t="n">
        <v>46177</v>
      </c>
      <c r="B1567" s="1" t="n">
        <v>2026</v>
      </c>
      <c r="C1567" s="8" t="inlineStr">
        <is>
          <t>Ayana</t>
        </is>
      </c>
      <c r="D1567" s="11" t="inlineStr">
        <is>
          <t>Utility and C&amp;I</t>
        </is>
      </c>
      <c r="E1567" s="1" t="n"/>
      <c r="F1567" s="1" t="inlineStr">
        <is>
          <t>WIP</t>
        </is>
      </c>
      <c r="G1567" s="11" t="inlineStr">
        <is>
          <t>Vasu.N</t>
        </is>
      </c>
      <c r="H1567" s="8" t="n">
        <v>9578099893</v>
      </c>
      <c r="I1567" s="10" t="inlineStr">
        <is>
          <t>PE04062601</t>
        </is>
      </c>
      <c r="J1567" s="28" t="inlineStr">
        <is>
          <t>Module burnt</t>
        </is>
      </c>
      <c r="K1567" s="8" t="inlineStr">
        <is>
          <t>Jatavira</t>
        </is>
      </c>
      <c r="L1567" s="39" t="inlineStr">
        <is>
          <t>Gujarat</t>
        </is>
      </c>
      <c r="M1567" s="2" t="inlineStr">
        <is>
          <t>Both glass broken</t>
        </is>
      </c>
      <c r="N1567" s="6" t="inlineStr">
        <is>
          <t>Module Breakage</t>
        </is>
      </c>
      <c r="O1567" s="32" t="n">
        <v>585</v>
      </c>
      <c r="P1567" s="2" t="inlineStr">
        <is>
          <t>NSMI24090542026</t>
        </is>
      </c>
      <c r="Q1567" s="29">
        <f>MID(P1567,5,2)</f>
        <v/>
      </c>
      <c r="R1567" s="14">
        <f>MID(P1567,7,2)</f>
        <v/>
      </c>
      <c r="S1567" s="6" t="inlineStr">
        <is>
          <t>G2G</t>
        </is>
      </c>
      <c r="T1567" s="1" t="inlineStr">
        <is>
          <t>P4 - PEIPL</t>
        </is>
      </c>
      <c r="U1567" s="6" t="inlineStr">
        <is>
          <t>Glass Breakage</t>
        </is>
      </c>
      <c r="V1567" s="1" t="inlineStr">
        <is>
          <t>Inspection</t>
        </is>
      </c>
      <c r="W1567" s="1" t="inlineStr">
        <is>
          <t>WIP</t>
        </is>
      </c>
      <c r="X1567" s="12" t="n"/>
      <c r="Y1567" s="1">
        <f>IF(X1567="","",X1567-A1567)</f>
        <v/>
      </c>
      <c r="Z1567" s="5" t="n">
        <v>46191</v>
      </c>
      <c r="AA1567" s="3" t="n"/>
      <c r="AB1567" s="3" t="n"/>
      <c r="AE1567" s="146">
        <f>IF(AND(F1567="Closed",X1567&gt;=DATE(2026,6,1),X1567&lt;=DATE(2026,6,30)),"Closed in June","other")</f>
        <v/>
      </c>
    </row>
    <row r="1568" hidden="1">
      <c r="A1568" s="49" t="n">
        <v>46177</v>
      </c>
      <c r="B1568" s="1" t="n">
        <v>2026</v>
      </c>
      <c r="C1568" s="8" t="inlineStr">
        <is>
          <t>Ayana</t>
        </is>
      </c>
      <c r="D1568" s="11" t="inlineStr">
        <is>
          <t>Utility and C&amp;I</t>
        </is>
      </c>
      <c r="E1568" s="1" t="n"/>
      <c r="F1568" s="1" t="inlineStr">
        <is>
          <t>WIP</t>
        </is>
      </c>
      <c r="G1568" s="11" t="inlineStr">
        <is>
          <t>Vasu.N</t>
        </is>
      </c>
      <c r="H1568" s="8" t="n">
        <v>9578099893</v>
      </c>
      <c r="I1568" s="10" t="inlineStr">
        <is>
          <t>PE04062601</t>
        </is>
      </c>
      <c r="J1568" s="28" t="inlineStr">
        <is>
          <t>Module burnt</t>
        </is>
      </c>
      <c r="K1568" s="8" t="inlineStr">
        <is>
          <t>Jatavira</t>
        </is>
      </c>
      <c r="L1568" s="39" t="inlineStr">
        <is>
          <t>Gujarat</t>
        </is>
      </c>
      <c r="M1568" s="2" t="inlineStr">
        <is>
          <t xml:space="preserve">Black glass broken at shorter frem </t>
        </is>
      </c>
      <c r="N1568" s="6" t="inlineStr">
        <is>
          <t>Module Breakage</t>
        </is>
      </c>
      <c r="O1568" s="32" t="n">
        <v>585</v>
      </c>
      <c r="P1568" s="2" t="inlineStr">
        <is>
          <t>NSMI24090542001</t>
        </is>
      </c>
      <c r="Q1568" s="29">
        <f>MID(P1568,5,2)</f>
        <v/>
      </c>
      <c r="R1568" s="14">
        <f>MID(P1568,7,2)</f>
        <v/>
      </c>
      <c r="S1568" s="6" t="inlineStr">
        <is>
          <t>G2G</t>
        </is>
      </c>
      <c r="T1568" s="1" t="inlineStr">
        <is>
          <t>P4 - PEIPL</t>
        </is>
      </c>
      <c r="U1568" s="6" t="inlineStr">
        <is>
          <t>Glass Breakage</t>
        </is>
      </c>
      <c r="V1568" s="1" t="inlineStr">
        <is>
          <t>Inspection</t>
        </is>
      </c>
      <c r="W1568" s="1" t="inlineStr">
        <is>
          <t>WIP</t>
        </is>
      </c>
      <c r="X1568" s="12" t="n"/>
      <c r="Y1568" s="1">
        <f>IF(X1568="","",X1568-A1568)</f>
        <v/>
      </c>
      <c r="Z1568" s="5" t="n">
        <v>46191</v>
      </c>
      <c r="AA1568" s="3" t="n"/>
      <c r="AB1568" s="3" t="n"/>
      <c r="AE1568" s="146">
        <f>IF(AND(F1568="Closed",X1568&gt;=DATE(2026,6,1),X1568&lt;=DATE(2026,6,30)),"Closed in June","other")</f>
        <v/>
      </c>
    </row>
    <row r="1569" hidden="1">
      <c r="A1569" s="49" t="n">
        <v>46177</v>
      </c>
      <c r="B1569" s="1" t="n">
        <v>2026</v>
      </c>
      <c r="C1569" s="8" t="inlineStr">
        <is>
          <t>Ayana</t>
        </is>
      </c>
      <c r="D1569" s="11" t="inlineStr">
        <is>
          <t>Utility and C&amp;I</t>
        </is>
      </c>
      <c r="E1569" s="1" t="n"/>
      <c r="F1569" s="1" t="inlineStr">
        <is>
          <t>WIP</t>
        </is>
      </c>
      <c r="G1569" s="11" t="inlineStr">
        <is>
          <t>Vasu.N</t>
        </is>
      </c>
      <c r="H1569" s="8" t="n">
        <v>9578099893</v>
      </c>
      <c r="I1569" s="10" t="inlineStr">
        <is>
          <t>PE04062601</t>
        </is>
      </c>
      <c r="J1569" s="28" t="inlineStr">
        <is>
          <t>Module burnt</t>
        </is>
      </c>
      <c r="K1569" s="8" t="inlineStr">
        <is>
          <t>Jatavira</t>
        </is>
      </c>
      <c r="L1569" s="39" t="inlineStr">
        <is>
          <t>Gujarat</t>
        </is>
      </c>
      <c r="M1569" s="2" t="inlineStr">
        <is>
          <t xml:space="preserve">Back glass broken </t>
        </is>
      </c>
      <c r="N1569" s="6" t="inlineStr">
        <is>
          <t>Module Breakage</t>
        </is>
      </c>
      <c r="O1569" s="32" t="n">
        <v>585</v>
      </c>
      <c r="P1569" s="2" t="inlineStr">
        <is>
          <t>NSMI24090522621</t>
        </is>
      </c>
      <c r="Q1569" s="29">
        <f>MID(P1569,5,2)</f>
        <v/>
      </c>
      <c r="R1569" s="14">
        <f>MID(P1569,7,2)</f>
        <v/>
      </c>
      <c r="S1569" s="6" t="inlineStr">
        <is>
          <t>G2G</t>
        </is>
      </c>
      <c r="T1569" s="1" t="inlineStr">
        <is>
          <t>P4 - PEIPL</t>
        </is>
      </c>
      <c r="U1569" s="6" t="inlineStr">
        <is>
          <t>Glass Breakage</t>
        </is>
      </c>
      <c r="V1569" s="1" t="inlineStr">
        <is>
          <t>Inspection</t>
        </is>
      </c>
      <c r="W1569" s="1" t="inlineStr">
        <is>
          <t>WIP</t>
        </is>
      </c>
      <c r="X1569" s="12" t="n"/>
      <c r="Y1569" s="1">
        <f>IF(X1569="","",X1569-A1569)</f>
        <v/>
      </c>
      <c r="Z1569" s="5" t="n">
        <v>46191</v>
      </c>
      <c r="AA1569" s="3" t="n"/>
      <c r="AB1569" s="3" t="n"/>
      <c r="AE1569" s="146">
        <f>IF(AND(F1569="Closed",X1569&gt;=DATE(2026,6,1),X1569&lt;=DATE(2026,6,30)),"Closed in June","other")</f>
        <v/>
      </c>
    </row>
    <row r="1570" hidden="1">
      <c r="A1570" s="49" t="n">
        <v>46177</v>
      </c>
      <c r="B1570" s="1" t="n">
        <v>2026</v>
      </c>
      <c r="C1570" s="8" t="inlineStr">
        <is>
          <t>Ayana</t>
        </is>
      </c>
      <c r="D1570" s="11" t="inlineStr">
        <is>
          <t>Utility and C&amp;I</t>
        </is>
      </c>
      <c r="E1570" s="1" t="n"/>
      <c r="F1570" s="1" t="inlineStr">
        <is>
          <t>WIP</t>
        </is>
      </c>
      <c r="G1570" s="11" t="inlineStr">
        <is>
          <t>Vasu.N</t>
        </is>
      </c>
      <c r="H1570" s="8" t="n">
        <v>9578099893</v>
      </c>
      <c r="I1570" s="10" t="inlineStr">
        <is>
          <t>PE04062601</t>
        </is>
      </c>
      <c r="J1570" s="28" t="inlineStr">
        <is>
          <t>Module burnt</t>
        </is>
      </c>
      <c r="K1570" s="8" t="inlineStr">
        <is>
          <t>Jatavira</t>
        </is>
      </c>
      <c r="L1570" s="39" t="inlineStr">
        <is>
          <t>Gujarat</t>
        </is>
      </c>
      <c r="M1570" s="2" t="inlineStr">
        <is>
          <t xml:space="preserve">Black glass broken at shorter frem </t>
        </is>
      </c>
      <c r="N1570" s="6" t="inlineStr">
        <is>
          <t>Module Breakage</t>
        </is>
      </c>
      <c r="O1570" s="32" t="n">
        <v>585</v>
      </c>
      <c r="P1570" s="2" t="inlineStr">
        <is>
          <t>NSMI24090541480</t>
        </is>
      </c>
      <c r="Q1570" s="29">
        <f>MID(P1570,5,2)</f>
        <v/>
      </c>
      <c r="R1570" s="14">
        <f>MID(P1570,7,2)</f>
        <v/>
      </c>
      <c r="S1570" s="6" t="inlineStr">
        <is>
          <t>G2G</t>
        </is>
      </c>
      <c r="T1570" s="1" t="inlineStr">
        <is>
          <t>P4 - PEIPL</t>
        </is>
      </c>
      <c r="U1570" s="6" t="inlineStr">
        <is>
          <t>Glass Breakage</t>
        </is>
      </c>
      <c r="V1570" s="1" t="inlineStr">
        <is>
          <t>Inspection</t>
        </is>
      </c>
      <c r="W1570" s="1" t="inlineStr">
        <is>
          <t>WIP</t>
        </is>
      </c>
      <c r="X1570" s="12" t="n"/>
      <c r="Y1570" s="1">
        <f>IF(X1570="","",X1570-A1570)</f>
        <v/>
      </c>
      <c r="Z1570" s="5" t="n">
        <v>46191</v>
      </c>
      <c r="AA1570" s="3" t="n"/>
      <c r="AB1570" s="3" t="n"/>
      <c r="AE1570" s="146">
        <f>IF(AND(F1570="Closed",X1570&gt;=DATE(2026,6,1),X1570&lt;=DATE(2026,6,30)),"Closed in June","other")</f>
        <v/>
      </c>
    </row>
    <row r="1571" hidden="1">
      <c r="A1571" s="49" t="n">
        <v>46177</v>
      </c>
      <c r="B1571" s="1" t="n">
        <v>2026</v>
      </c>
      <c r="C1571" s="8" t="inlineStr">
        <is>
          <t>Ayana</t>
        </is>
      </c>
      <c r="D1571" s="11" t="inlineStr">
        <is>
          <t>Utility and C&amp;I</t>
        </is>
      </c>
      <c r="E1571" s="1" t="n"/>
      <c r="F1571" s="1" t="inlineStr">
        <is>
          <t>WIP</t>
        </is>
      </c>
      <c r="G1571" s="11" t="inlineStr">
        <is>
          <t>Vasu.N</t>
        </is>
      </c>
      <c r="H1571" s="8" t="n">
        <v>9578099893</v>
      </c>
      <c r="I1571" s="10" t="inlineStr">
        <is>
          <t>PE04062601</t>
        </is>
      </c>
      <c r="J1571" s="28" t="inlineStr">
        <is>
          <t>Module burnt</t>
        </is>
      </c>
      <c r="K1571" s="8" t="inlineStr">
        <is>
          <t>Jatavira</t>
        </is>
      </c>
      <c r="L1571" s="39" t="inlineStr">
        <is>
          <t>Gujarat</t>
        </is>
      </c>
      <c r="M1571" s="2" t="inlineStr">
        <is>
          <t xml:space="preserve">Back glass broken </t>
        </is>
      </c>
      <c r="N1571" s="6" t="inlineStr">
        <is>
          <t>Module Breakage</t>
        </is>
      </c>
      <c r="O1571" s="32" t="n">
        <v>585</v>
      </c>
      <c r="P1571" s="2" t="inlineStr">
        <is>
          <t>NSMI24090541463</t>
        </is>
      </c>
      <c r="Q1571" s="29">
        <f>MID(P1571,5,2)</f>
        <v/>
      </c>
      <c r="R1571" s="14">
        <f>MID(P1571,7,2)</f>
        <v/>
      </c>
      <c r="S1571" s="6" t="inlineStr">
        <is>
          <t>G2G</t>
        </is>
      </c>
      <c r="T1571" s="1" t="inlineStr">
        <is>
          <t>P4 - PEIPL</t>
        </is>
      </c>
      <c r="U1571" s="6" t="inlineStr">
        <is>
          <t>Glass Breakage</t>
        </is>
      </c>
      <c r="V1571" s="1" t="inlineStr">
        <is>
          <t>Inspection</t>
        </is>
      </c>
      <c r="W1571" s="1" t="inlineStr">
        <is>
          <t>WIP</t>
        </is>
      </c>
      <c r="X1571" s="12" t="n"/>
      <c r="Y1571" s="1">
        <f>IF(X1571="","",X1571-A1571)</f>
        <v/>
      </c>
      <c r="Z1571" s="5" t="n">
        <v>46191</v>
      </c>
      <c r="AA1571" s="3" t="n"/>
      <c r="AB1571" s="3" t="n"/>
      <c r="AE1571" s="146">
        <f>IF(AND(F1571="Closed",X1571&gt;=DATE(2026,6,1),X1571&lt;=DATE(2026,6,30)),"Closed in June","other")</f>
        <v/>
      </c>
    </row>
    <row r="1572" hidden="1">
      <c r="A1572" s="49" t="n">
        <v>46177</v>
      </c>
      <c r="B1572" s="1" t="n">
        <v>2026</v>
      </c>
      <c r="C1572" s="8" t="inlineStr">
        <is>
          <t>Ayana</t>
        </is>
      </c>
      <c r="D1572" s="11" t="inlineStr">
        <is>
          <t>Utility and C&amp;I</t>
        </is>
      </c>
      <c r="E1572" s="1" t="n"/>
      <c r="F1572" s="1" t="inlineStr">
        <is>
          <t>WIP</t>
        </is>
      </c>
      <c r="G1572" s="11" t="inlineStr">
        <is>
          <t>Vasu.N</t>
        </is>
      </c>
      <c r="H1572" s="8" t="n">
        <v>9578099893</v>
      </c>
      <c r="I1572" s="10" t="inlineStr">
        <is>
          <t>PE04062601</t>
        </is>
      </c>
      <c r="J1572" s="28" t="inlineStr">
        <is>
          <t>Module burnt</t>
        </is>
      </c>
      <c r="K1572" s="8" t="inlineStr">
        <is>
          <t>Jatavira</t>
        </is>
      </c>
      <c r="L1572" s="39" t="inlineStr">
        <is>
          <t>Gujarat</t>
        </is>
      </c>
      <c r="M1572" s="2" t="inlineStr">
        <is>
          <t xml:space="preserve">Back glass broken </t>
        </is>
      </c>
      <c r="N1572" s="6" t="inlineStr">
        <is>
          <t>Module Breakage</t>
        </is>
      </c>
      <c r="O1572" s="32" t="n">
        <v>585</v>
      </c>
      <c r="P1572" s="2" t="inlineStr">
        <is>
          <t>NSMI24090541310</t>
        </is>
      </c>
      <c r="Q1572" s="29">
        <f>MID(P1572,5,2)</f>
        <v/>
      </c>
      <c r="R1572" s="14">
        <f>MID(P1572,7,2)</f>
        <v/>
      </c>
      <c r="S1572" s="6" t="inlineStr">
        <is>
          <t>G2G</t>
        </is>
      </c>
      <c r="T1572" s="1" t="inlineStr">
        <is>
          <t>P4 - PEIPL</t>
        </is>
      </c>
      <c r="U1572" s="6" t="inlineStr">
        <is>
          <t>Glass Breakage</t>
        </is>
      </c>
      <c r="V1572" s="1" t="inlineStr">
        <is>
          <t>Inspection</t>
        </is>
      </c>
      <c r="W1572" s="1" t="inlineStr">
        <is>
          <t>WIP</t>
        </is>
      </c>
      <c r="X1572" s="12" t="n"/>
      <c r="Y1572" s="1">
        <f>IF(X1572="","",X1572-A1572)</f>
        <v/>
      </c>
      <c r="Z1572" s="5" t="n">
        <v>46191</v>
      </c>
      <c r="AA1572" s="3" t="n"/>
      <c r="AB1572" s="3" t="n"/>
      <c r="AE1572" s="146">
        <f>IF(AND(F1572="Closed",X1572&gt;=DATE(2026,6,1),X1572&lt;=DATE(2026,6,30)),"Closed in June","other")</f>
        <v/>
      </c>
    </row>
    <row r="1573" hidden="1">
      <c r="A1573" s="49" t="n">
        <v>46177</v>
      </c>
      <c r="B1573" s="1" t="n">
        <v>2026</v>
      </c>
      <c r="C1573" s="8" t="inlineStr">
        <is>
          <t>Ayana</t>
        </is>
      </c>
      <c r="D1573" s="11" t="inlineStr">
        <is>
          <t>Utility and C&amp;I</t>
        </is>
      </c>
      <c r="E1573" s="1" t="n"/>
      <c r="F1573" s="1" t="inlineStr">
        <is>
          <t>WIP</t>
        </is>
      </c>
      <c r="G1573" s="11" t="inlineStr">
        <is>
          <t>Vasu.N</t>
        </is>
      </c>
      <c r="H1573" s="8" t="n">
        <v>9578099893</v>
      </c>
      <c r="I1573" s="10" t="inlineStr">
        <is>
          <t>PE04062601</t>
        </is>
      </c>
      <c r="J1573" s="28" t="inlineStr">
        <is>
          <t>Module burnt</t>
        </is>
      </c>
      <c r="K1573" s="8" t="inlineStr">
        <is>
          <t>Jatavira</t>
        </is>
      </c>
      <c r="L1573" s="39" t="inlineStr">
        <is>
          <t>Gujarat</t>
        </is>
      </c>
      <c r="M1573" s="2" t="inlineStr">
        <is>
          <t xml:space="preserve">Back glass broken </t>
        </is>
      </c>
      <c r="N1573" s="6" t="inlineStr">
        <is>
          <t>Module Breakage</t>
        </is>
      </c>
      <c r="O1573" s="32" t="n">
        <v>585</v>
      </c>
      <c r="P1573" s="2" t="inlineStr">
        <is>
          <t>NSMI24100545259</t>
        </is>
      </c>
      <c r="Q1573" s="29">
        <f>MID(P1573,5,2)</f>
        <v/>
      </c>
      <c r="R1573" s="14">
        <f>MID(P1573,7,2)</f>
        <v/>
      </c>
      <c r="S1573" s="6" t="inlineStr">
        <is>
          <t>G2G</t>
        </is>
      </c>
      <c r="T1573" s="1" t="inlineStr">
        <is>
          <t>P4 - PEIPL</t>
        </is>
      </c>
      <c r="U1573" s="6" t="inlineStr">
        <is>
          <t>Glass Breakage</t>
        </is>
      </c>
      <c r="V1573" s="1" t="inlineStr">
        <is>
          <t>Inspection</t>
        </is>
      </c>
      <c r="W1573" s="1" t="inlineStr">
        <is>
          <t>WIP</t>
        </is>
      </c>
      <c r="X1573" s="12" t="n"/>
      <c r="Y1573" s="1">
        <f>IF(X1573="","",X1573-A1573)</f>
        <v/>
      </c>
      <c r="Z1573" s="5" t="n">
        <v>46191</v>
      </c>
      <c r="AA1573" s="3" t="n"/>
      <c r="AB1573" s="3" t="n"/>
      <c r="AE1573" s="146">
        <f>IF(AND(F1573="Closed",X1573&gt;=DATE(2026,6,1),X1573&lt;=DATE(2026,6,30)),"Closed in June","other")</f>
        <v/>
      </c>
    </row>
    <row r="1574" hidden="1">
      <c r="A1574" s="49" t="n">
        <v>46177</v>
      </c>
      <c r="B1574" s="1" t="n">
        <v>2026</v>
      </c>
      <c r="C1574" s="8" t="inlineStr">
        <is>
          <t>Ayana</t>
        </is>
      </c>
      <c r="D1574" s="11" t="inlineStr">
        <is>
          <t>Utility and C&amp;I</t>
        </is>
      </c>
      <c r="E1574" s="1" t="n"/>
      <c r="F1574" s="1" t="inlineStr">
        <is>
          <t>WIP</t>
        </is>
      </c>
      <c r="G1574" s="11" t="inlineStr">
        <is>
          <t>Vasu.N</t>
        </is>
      </c>
      <c r="H1574" s="8" t="n">
        <v>9578099893</v>
      </c>
      <c r="I1574" s="10" t="inlineStr">
        <is>
          <t>PE04062601</t>
        </is>
      </c>
      <c r="J1574" s="28" t="inlineStr">
        <is>
          <t>Module burnt</t>
        </is>
      </c>
      <c r="K1574" s="8" t="inlineStr">
        <is>
          <t>Jatavira</t>
        </is>
      </c>
      <c r="L1574" s="39" t="inlineStr">
        <is>
          <t>Gujarat</t>
        </is>
      </c>
      <c r="M1574" s="2" t="inlineStr">
        <is>
          <t xml:space="preserve">Back glass broken </t>
        </is>
      </c>
      <c r="N1574" s="6" t="inlineStr">
        <is>
          <t>Module Breakage</t>
        </is>
      </c>
      <c r="O1574" s="32" t="n">
        <v>585</v>
      </c>
      <c r="P1574" s="2" t="inlineStr">
        <is>
          <t>NSMI24090541586</t>
        </is>
      </c>
      <c r="Q1574" s="29">
        <f>MID(P1574,5,2)</f>
        <v/>
      </c>
      <c r="R1574" s="14">
        <f>MID(P1574,7,2)</f>
        <v/>
      </c>
      <c r="S1574" s="6" t="inlineStr">
        <is>
          <t>G2G</t>
        </is>
      </c>
      <c r="T1574" s="1" t="inlineStr">
        <is>
          <t>P4 - PEIPL</t>
        </is>
      </c>
      <c r="U1574" s="6" t="inlineStr">
        <is>
          <t>Glass Breakage</t>
        </is>
      </c>
      <c r="V1574" s="1" t="inlineStr">
        <is>
          <t>Inspection</t>
        </is>
      </c>
      <c r="W1574" s="1" t="inlineStr">
        <is>
          <t>WIP</t>
        </is>
      </c>
      <c r="X1574" s="12" t="n"/>
      <c r="Y1574" s="1">
        <f>IF(X1574="","",X1574-A1574)</f>
        <v/>
      </c>
      <c r="Z1574" s="5" t="n">
        <v>46191</v>
      </c>
      <c r="AA1574" s="3" t="n"/>
      <c r="AB1574" s="3" t="n"/>
      <c r="AE1574" s="146">
        <f>IF(AND(F1574="Closed",X1574&gt;=DATE(2026,6,1),X1574&lt;=DATE(2026,6,30)),"Closed in June","other")</f>
        <v/>
      </c>
    </row>
    <row r="1575" hidden="1">
      <c r="A1575" s="49" t="n">
        <v>46177</v>
      </c>
      <c r="B1575" s="1" t="n">
        <v>2026</v>
      </c>
      <c r="C1575" s="8" t="inlineStr">
        <is>
          <t>Ayana</t>
        </is>
      </c>
      <c r="D1575" s="11" t="inlineStr">
        <is>
          <t>Utility and C&amp;I</t>
        </is>
      </c>
      <c r="E1575" s="1" t="n"/>
      <c r="F1575" s="1" t="inlineStr">
        <is>
          <t>WIP</t>
        </is>
      </c>
      <c r="G1575" s="11" t="inlineStr">
        <is>
          <t>Vasu.N</t>
        </is>
      </c>
      <c r="H1575" s="8" t="n">
        <v>9578099893</v>
      </c>
      <c r="I1575" s="10" t="inlineStr">
        <is>
          <t>PE04062601</t>
        </is>
      </c>
      <c r="J1575" s="28" t="inlineStr">
        <is>
          <t>Module burnt</t>
        </is>
      </c>
      <c r="K1575" s="8" t="inlineStr">
        <is>
          <t>Jatavira</t>
        </is>
      </c>
      <c r="L1575" s="39" t="inlineStr">
        <is>
          <t>Gujarat</t>
        </is>
      </c>
      <c r="M1575" s="2" t="inlineStr">
        <is>
          <t xml:space="preserve">Back glass broken </t>
        </is>
      </c>
      <c r="N1575" s="6" t="inlineStr">
        <is>
          <t>Module Breakage</t>
        </is>
      </c>
      <c r="O1575" s="32" t="n">
        <v>585</v>
      </c>
      <c r="P1575" s="2" t="inlineStr">
        <is>
          <t>NSMI24090452599</t>
        </is>
      </c>
      <c r="Q1575" s="29">
        <f>MID(P1575,5,2)</f>
        <v/>
      </c>
      <c r="R1575" s="14">
        <f>MID(P1575,7,2)</f>
        <v/>
      </c>
      <c r="S1575" s="6" t="inlineStr">
        <is>
          <t>G2G</t>
        </is>
      </c>
      <c r="T1575" s="1" t="inlineStr">
        <is>
          <t>P4 - PEIPL</t>
        </is>
      </c>
      <c r="U1575" s="6" t="inlineStr">
        <is>
          <t>Glass Breakage</t>
        </is>
      </c>
      <c r="V1575" s="1" t="inlineStr">
        <is>
          <t>Inspection</t>
        </is>
      </c>
      <c r="W1575" s="1" t="inlineStr">
        <is>
          <t>WIP</t>
        </is>
      </c>
      <c r="X1575" s="12" t="n"/>
      <c r="Y1575" s="1">
        <f>IF(X1575="","",X1575-A1575)</f>
        <v/>
      </c>
      <c r="Z1575" s="5" t="n">
        <v>46191</v>
      </c>
      <c r="AA1575" s="3" t="n"/>
      <c r="AB1575" s="3" t="n"/>
      <c r="AE1575" s="146">
        <f>IF(AND(F1575="Closed",X1575&gt;=DATE(2026,6,1),X1575&lt;=DATE(2026,6,30)),"Closed in June","other")</f>
        <v/>
      </c>
    </row>
    <row r="1576" hidden="1">
      <c r="A1576" s="49" t="n">
        <v>46177</v>
      </c>
      <c r="B1576" s="1" t="n">
        <v>2026</v>
      </c>
      <c r="C1576" s="8" t="inlineStr">
        <is>
          <t>Ayana</t>
        </is>
      </c>
      <c r="D1576" s="11" t="inlineStr">
        <is>
          <t>Utility and C&amp;I</t>
        </is>
      </c>
      <c r="E1576" s="1" t="n"/>
      <c r="F1576" s="1" t="inlineStr">
        <is>
          <t>WIP</t>
        </is>
      </c>
      <c r="G1576" s="11" t="inlineStr">
        <is>
          <t>Vasu.N</t>
        </is>
      </c>
      <c r="H1576" s="8" t="n">
        <v>9578099893</v>
      </c>
      <c r="I1576" s="10" t="inlineStr">
        <is>
          <t>PE04062601</t>
        </is>
      </c>
      <c r="J1576" s="28" t="inlineStr">
        <is>
          <t>Module burnt</t>
        </is>
      </c>
      <c r="K1576" s="8" t="inlineStr">
        <is>
          <t>Jatavira</t>
        </is>
      </c>
      <c r="L1576" s="39" t="inlineStr">
        <is>
          <t>Gujarat</t>
        </is>
      </c>
      <c r="M1576" s="2" t="inlineStr">
        <is>
          <t xml:space="preserve">Back glass broken </t>
        </is>
      </c>
      <c r="N1576" s="6" t="inlineStr">
        <is>
          <t>Module Breakage</t>
        </is>
      </c>
      <c r="O1576" s="32" t="n">
        <v>585</v>
      </c>
      <c r="P1576" s="2" t="inlineStr">
        <is>
          <t>NSMI24090452485</t>
        </is>
      </c>
      <c r="Q1576" s="29">
        <f>MID(P1576,5,2)</f>
        <v/>
      </c>
      <c r="R1576" s="14">
        <f>MID(P1576,7,2)</f>
        <v/>
      </c>
      <c r="S1576" s="6" t="inlineStr">
        <is>
          <t>G2G</t>
        </is>
      </c>
      <c r="T1576" s="1" t="inlineStr">
        <is>
          <t>P4 - PEIPL</t>
        </is>
      </c>
      <c r="U1576" s="6" t="inlineStr">
        <is>
          <t>Glass Breakage</t>
        </is>
      </c>
      <c r="V1576" s="1" t="inlineStr">
        <is>
          <t>Inspection</t>
        </is>
      </c>
      <c r="W1576" s="1" t="inlineStr">
        <is>
          <t>WIP</t>
        </is>
      </c>
      <c r="X1576" s="12" t="n"/>
      <c r="Y1576" s="1">
        <f>IF(X1576="","",X1576-A1576)</f>
        <v/>
      </c>
      <c r="Z1576" s="5" t="n">
        <v>46191</v>
      </c>
      <c r="AA1576" s="3" t="n"/>
      <c r="AB1576" s="3" t="n"/>
      <c r="AE1576" s="146">
        <f>IF(AND(F1576="Closed",X1576&gt;=DATE(2026,6,1),X1576&lt;=DATE(2026,6,30)),"Closed in June","other")</f>
        <v/>
      </c>
    </row>
    <row r="1577" hidden="1">
      <c r="A1577" s="49" t="n">
        <v>46177</v>
      </c>
      <c r="B1577" s="1" t="n">
        <v>2026</v>
      </c>
      <c r="C1577" s="8" t="inlineStr">
        <is>
          <t>Ayana</t>
        </is>
      </c>
      <c r="D1577" s="11" t="inlineStr">
        <is>
          <t>Utility and C&amp;I</t>
        </is>
      </c>
      <c r="E1577" s="1" t="n"/>
      <c r="F1577" s="1" t="inlineStr">
        <is>
          <t>WIP</t>
        </is>
      </c>
      <c r="G1577" s="11" t="inlineStr">
        <is>
          <t>Vasu.N</t>
        </is>
      </c>
      <c r="H1577" s="8" t="n">
        <v>9578099893</v>
      </c>
      <c r="I1577" s="10" t="inlineStr">
        <is>
          <t>PE04062601</t>
        </is>
      </c>
      <c r="J1577" s="28" t="inlineStr">
        <is>
          <t>Module burnt</t>
        </is>
      </c>
      <c r="K1577" s="8" t="inlineStr">
        <is>
          <t>Jatavira</t>
        </is>
      </c>
      <c r="L1577" s="39" t="inlineStr">
        <is>
          <t>Gujarat</t>
        </is>
      </c>
      <c r="M1577" s="2" t="inlineStr">
        <is>
          <t xml:space="preserve">Back glass broken </t>
        </is>
      </c>
      <c r="N1577" s="6" t="inlineStr">
        <is>
          <t>Module Breakage</t>
        </is>
      </c>
      <c r="O1577" s="32" t="n">
        <v>585</v>
      </c>
      <c r="P1577" s="2" t="inlineStr">
        <is>
          <t>NSMI24090452593</t>
        </is>
      </c>
      <c r="Q1577" s="29">
        <f>MID(P1577,5,2)</f>
        <v/>
      </c>
      <c r="R1577" s="14">
        <f>MID(P1577,7,2)</f>
        <v/>
      </c>
      <c r="S1577" s="6" t="inlineStr">
        <is>
          <t>G2G</t>
        </is>
      </c>
      <c r="T1577" s="1" t="inlineStr">
        <is>
          <t>P4 - PEIPL</t>
        </is>
      </c>
      <c r="U1577" s="6" t="inlineStr">
        <is>
          <t>Glass Breakage</t>
        </is>
      </c>
      <c r="V1577" s="1" t="inlineStr">
        <is>
          <t>Inspection</t>
        </is>
      </c>
      <c r="W1577" s="1" t="inlineStr">
        <is>
          <t>WIP</t>
        </is>
      </c>
      <c r="X1577" s="12" t="n"/>
      <c r="Y1577" s="1">
        <f>IF(X1577="","",X1577-A1577)</f>
        <v/>
      </c>
      <c r="Z1577" s="5" t="n">
        <v>46191</v>
      </c>
      <c r="AA1577" s="3" t="n"/>
      <c r="AB1577" s="3" t="n"/>
      <c r="AE1577" s="146">
        <f>IF(AND(F1577="Closed",X1577&gt;=DATE(2026,6,1),X1577&lt;=DATE(2026,6,30)),"Closed in June","other")</f>
        <v/>
      </c>
    </row>
    <row r="1578" hidden="1">
      <c r="A1578" s="49" t="n">
        <v>46177</v>
      </c>
      <c r="B1578" s="1" t="n">
        <v>2026</v>
      </c>
      <c r="C1578" s="8" t="inlineStr">
        <is>
          <t>Ayana</t>
        </is>
      </c>
      <c r="D1578" s="11" t="inlineStr">
        <is>
          <t>Utility and C&amp;I</t>
        </is>
      </c>
      <c r="E1578" s="1" t="n"/>
      <c r="F1578" s="1" t="inlineStr">
        <is>
          <t>WIP</t>
        </is>
      </c>
      <c r="G1578" s="11" t="inlineStr">
        <is>
          <t>Vasu.N</t>
        </is>
      </c>
      <c r="H1578" s="8" t="n">
        <v>9578099893</v>
      </c>
      <c r="I1578" s="10" t="inlineStr">
        <is>
          <t>PE04062601</t>
        </is>
      </c>
      <c r="J1578" s="28" t="inlineStr">
        <is>
          <t>Module burnt</t>
        </is>
      </c>
      <c r="K1578" s="8" t="inlineStr">
        <is>
          <t>Jatavira</t>
        </is>
      </c>
      <c r="L1578" s="39" t="inlineStr">
        <is>
          <t>Gujarat</t>
        </is>
      </c>
      <c r="M1578" s="2" t="inlineStr">
        <is>
          <t xml:space="preserve">Back glass broken </t>
        </is>
      </c>
      <c r="N1578" s="6" t="inlineStr">
        <is>
          <t>Module Breakage</t>
        </is>
      </c>
      <c r="O1578" s="32" t="n">
        <v>585</v>
      </c>
      <c r="P1578" s="2" t="inlineStr">
        <is>
          <t>NSMI24090452652</t>
        </is>
      </c>
      <c r="Q1578" s="29">
        <f>MID(P1578,5,2)</f>
        <v/>
      </c>
      <c r="R1578" s="14">
        <f>MID(P1578,7,2)</f>
        <v/>
      </c>
      <c r="S1578" s="6" t="inlineStr">
        <is>
          <t>G2G</t>
        </is>
      </c>
      <c r="T1578" s="1" t="inlineStr">
        <is>
          <t>P4 - PEIPL</t>
        </is>
      </c>
      <c r="U1578" s="6" t="inlineStr">
        <is>
          <t>Glass Breakage</t>
        </is>
      </c>
      <c r="V1578" s="1" t="inlineStr">
        <is>
          <t>Inspection</t>
        </is>
      </c>
      <c r="W1578" s="1" t="inlineStr">
        <is>
          <t>WIP</t>
        </is>
      </c>
      <c r="X1578" s="12" t="n"/>
      <c r="Y1578" s="1">
        <f>IF(X1578="","",X1578-A1578)</f>
        <v/>
      </c>
      <c r="Z1578" s="5" t="n">
        <v>46191</v>
      </c>
      <c r="AA1578" s="3" t="n"/>
      <c r="AB1578" s="3" t="n"/>
      <c r="AE1578" s="146">
        <f>IF(AND(F1578="Closed",X1578&gt;=DATE(2026,6,1),X1578&lt;=DATE(2026,6,30)),"Closed in June","other")</f>
        <v/>
      </c>
    </row>
    <row r="1579" hidden="1">
      <c r="A1579" s="49" t="n">
        <v>46177</v>
      </c>
      <c r="B1579" s="1" t="n">
        <v>2026</v>
      </c>
      <c r="C1579" s="8" t="inlineStr">
        <is>
          <t>Ayana</t>
        </is>
      </c>
      <c r="D1579" s="11" t="inlineStr">
        <is>
          <t>Utility and C&amp;I</t>
        </is>
      </c>
      <c r="E1579" s="1" t="n"/>
      <c r="F1579" s="1" t="inlineStr">
        <is>
          <t>WIP</t>
        </is>
      </c>
      <c r="G1579" s="11" t="inlineStr">
        <is>
          <t>Vasu.N</t>
        </is>
      </c>
      <c r="H1579" s="8" t="n">
        <v>9578099893</v>
      </c>
      <c r="I1579" s="10" t="inlineStr">
        <is>
          <t>PE04062601</t>
        </is>
      </c>
      <c r="J1579" s="28" t="inlineStr">
        <is>
          <t>Module burnt</t>
        </is>
      </c>
      <c r="K1579" s="8" t="inlineStr">
        <is>
          <t>Jatavira</t>
        </is>
      </c>
      <c r="L1579" s="39" t="inlineStr">
        <is>
          <t>Gujarat</t>
        </is>
      </c>
      <c r="M1579" s="2" t="inlineStr">
        <is>
          <t xml:space="preserve">Black glass broken at shorter frem </t>
        </is>
      </c>
      <c r="N1579" s="6" t="inlineStr">
        <is>
          <t>Module Breakage</t>
        </is>
      </c>
      <c r="O1579" s="32" t="n">
        <v>585</v>
      </c>
      <c r="P1579" s="2" t="inlineStr">
        <is>
          <t>NSMI24090541444</t>
        </is>
      </c>
      <c r="Q1579" s="29">
        <f>MID(P1579,5,2)</f>
        <v/>
      </c>
      <c r="R1579" s="14">
        <f>MID(P1579,7,2)</f>
        <v/>
      </c>
      <c r="S1579" s="6" t="inlineStr">
        <is>
          <t>G2G</t>
        </is>
      </c>
      <c r="T1579" s="1" t="inlineStr">
        <is>
          <t>P4 - PEIPL</t>
        </is>
      </c>
      <c r="U1579" s="6" t="inlineStr">
        <is>
          <t>Glass Breakage</t>
        </is>
      </c>
      <c r="V1579" s="1" t="inlineStr">
        <is>
          <t>Inspection</t>
        </is>
      </c>
      <c r="W1579" s="1" t="inlineStr">
        <is>
          <t>WIP</t>
        </is>
      </c>
      <c r="X1579" s="12" t="n"/>
      <c r="Y1579" s="1">
        <f>IF(X1579="","",X1579-A1579)</f>
        <v/>
      </c>
      <c r="Z1579" s="5" t="n">
        <v>46191</v>
      </c>
      <c r="AA1579" s="3" t="n"/>
      <c r="AB1579" s="3" t="n"/>
      <c r="AE1579" s="146">
        <f>IF(AND(F1579="Closed",X1579&gt;=DATE(2026,6,1),X1579&lt;=DATE(2026,6,30)),"Closed in June","other")</f>
        <v/>
      </c>
    </row>
    <row r="1580" hidden="1">
      <c r="A1580" s="49" t="n">
        <v>46177</v>
      </c>
      <c r="B1580" s="1" t="n">
        <v>2026</v>
      </c>
      <c r="C1580" s="8" t="inlineStr">
        <is>
          <t>Ayana</t>
        </is>
      </c>
      <c r="D1580" s="11" t="inlineStr">
        <is>
          <t>Utility and C&amp;I</t>
        </is>
      </c>
      <c r="E1580" s="1" t="n"/>
      <c r="F1580" s="1" t="inlineStr">
        <is>
          <t>Closed</t>
        </is>
      </c>
      <c r="G1580" s="11" t="inlineStr">
        <is>
          <t>Vasu.N</t>
        </is>
      </c>
      <c r="H1580" s="8" t="n">
        <v>9578099893</v>
      </c>
      <c r="I1580" s="10" t="inlineStr">
        <is>
          <t>PE04062601</t>
        </is>
      </c>
      <c r="J1580" s="6" t="inlineStr">
        <is>
          <t>Diode issue</t>
        </is>
      </c>
      <c r="K1580" s="8" t="inlineStr">
        <is>
          <t>Jatavira</t>
        </is>
      </c>
      <c r="L1580" s="39" t="inlineStr">
        <is>
          <t>Gujarat</t>
        </is>
      </c>
      <c r="M1580" s="2" t="inlineStr">
        <is>
          <t>PR</t>
        </is>
      </c>
      <c r="N1580" s="1" t="inlineStr">
        <is>
          <t>JB Issue</t>
        </is>
      </c>
      <c r="O1580" s="32" t="n">
        <v>585</v>
      </c>
      <c r="P1580" s="2" t="inlineStr">
        <is>
          <t>NSMI24090483069</t>
        </is>
      </c>
      <c r="Q1580" s="29">
        <f>MID(P1580,5,2)</f>
        <v/>
      </c>
      <c r="R1580" s="14">
        <f>MID(P1580,7,2)</f>
        <v/>
      </c>
      <c r="S1580" s="6" t="inlineStr">
        <is>
          <t>G2G</t>
        </is>
      </c>
      <c r="T1580" s="1" t="inlineStr">
        <is>
          <t>P4 - PEIPL</t>
        </is>
      </c>
      <c r="U1580" s="6" t="inlineStr">
        <is>
          <t>P JB Issue</t>
        </is>
      </c>
      <c r="V1580" s="1" t="inlineStr">
        <is>
          <t>Inspection</t>
        </is>
      </c>
      <c r="W1580" s="1" t="inlineStr">
        <is>
          <t>Repair</t>
        </is>
      </c>
      <c r="X1580" s="5" t="n">
        <v>46191</v>
      </c>
      <c r="Y1580" s="1">
        <f>IF(X1580="","",X1580-A1580)</f>
        <v/>
      </c>
      <c r="Z1580" s="5" t="n">
        <v>46191</v>
      </c>
      <c r="AA1580" s="3" t="n"/>
      <c r="AB1580" s="3" t="n"/>
      <c r="AE1580" s="146">
        <f>IF(AND(F1580="Closed",X1580&gt;=DATE(2026,6,1),X1580&lt;=DATE(2026,6,30)),"Closed in June","other")</f>
        <v/>
      </c>
    </row>
    <row r="1581" hidden="1">
      <c r="A1581" s="49" t="n">
        <v>46177</v>
      </c>
      <c r="B1581" s="1" t="n">
        <v>2026</v>
      </c>
      <c r="C1581" s="8" t="inlineStr">
        <is>
          <t>Ayana</t>
        </is>
      </c>
      <c r="D1581" s="11" t="inlineStr">
        <is>
          <t>Utility and C&amp;I</t>
        </is>
      </c>
      <c r="E1581" s="1" t="n"/>
      <c r="F1581" s="1" t="inlineStr">
        <is>
          <t>Closed</t>
        </is>
      </c>
      <c r="G1581" s="11" t="inlineStr">
        <is>
          <t>Vasu.N</t>
        </is>
      </c>
      <c r="H1581" s="8" t="n">
        <v>9578099893</v>
      </c>
      <c r="I1581" s="10" t="inlineStr">
        <is>
          <t>PE04062601</t>
        </is>
      </c>
      <c r="J1581" s="6" t="inlineStr">
        <is>
          <t>Diode issue</t>
        </is>
      </c>
      <c r="K1581" s="8" t="inlineStr">
        <is>
          <t>Jatavira</t>
        </is>
      </c>
      <c r="L1581" s="39" t="inlineStr">
        <is>
          <t>Gujarat</t>
        </is>
      </c>
      <c r="M1581" s="2" t="inlineStr">
        <is>
          <t>PS</t>
        </is>
      </c>
      <c r="N1581" s="1" t="inlineStr">
        <is>
          <t>Cold Soldering</t>
        </is>
      </c>
      <c r="O1581" s="32" t="n">
        <v>585</v>
      </c>
      <c r="P1581" s="2" t="inlineStr">
        <is>
          <t>NSMI24100548884</t>
        </is>
      </c>
      <c r="Q1581" s="29">
        <f>MID(P1581,5,2)</f>
        <v/>
      </c>
      <c r="R1581" s="14">
        <f>MID(P1581,7,2)</f>
        <v/>
      </c>
      <c r="S1581" s="6" t="inlineStr">
        <is>
          <t>G2G</t>
        </is>
      </c>
      <c r="T1581" s="1" t="inlineStr">
        <is>
          <t>P4 - PEIPL</t>
        </is>
      </c>
      <c r="U1581" s="1" t="inlineStr">
        <is>
          <t>P JB Cold Soldering</t>
        </is>
      </c>
      <c r="V1581" s="1" t="inlineStr">
        <is>
          <t>Inspection</t>
        </is>
      </c>
      <c r="W1581" s="1" t="inlineStr">
        <is>
          <t>Repair</t>
        </is>
      </c>
      <c r="X1581" s="5" t="n">
        <v>46191</v>
      </c>
      <c r="Y1581" s="1">
        <f>IF(X1581="","",X1581-A1581)</f>
        <v/>
      </c>
      <c r="Z1581" s="5" t="n">
        <v>46191</v>
      </c>
      <c r="AA1581" s="3" t="n"/>
      <c r="AB1581" s="3" t="n"/>
      <c r="AE1581" s="146">
        <f>IF(AND(F1581="Closed",X1581&gt;=DATE(2026,6,1),X1581&lt;=DATE(2026,6,30)),"Closed in June","other")</f>
        <v/>
      </c>
    </row>
    <row r="1582" hidden="1">
      <c r="A1582" s="49" t="n">
        <v>46177</v>
      </c>
      <c r="B1582" s="1" t="n">
        <v>2026</v>
      </c>
      <c r="C1582" s="8" t="inlineStr">
        <is>
          <t>Ayana</t>
        </is>
      </c>
      <c r="D1582" s="11" t="inlineStr">
        <is>
          <t>Utility and C&amp;I</t>
        </is>
      </c>
      <c r="E1582" s="1" t="n"/>
      <c r="F1582" s="1" t="inlineStr">
        <is>
          <t>Closed</t>
        </is>
      </c>
      <c r="G1582" s="11" t="inlineStr">
        <is>
          <t>Vasu.N</t>
        </is>
      </c>
      <c r="H1582" s="8" t="n">
        <v>9578099893</v>
      </c>
      <c r="I1582" s="10" t="inlineStr">
        <is>
          <t>PE04062601</t>
        </is>
      </c>
      <c r="J1582" s="6" t="inlineStr">
        <is>
          <t>Diode issue</t>
        </is>
      </c>
      <c r="K1582" s="8" t="inlineStr">
        <is>
          <t>Jatavira</t>
        </is>
      </c>
      <c r="L1582" s="39" t="inlineStr">
        <is>
          <t>Gujarat</t>
        </is>
      </c>
      <c r="M1582" s="2" t="inlineStr">
        <is>
          <t>PS</t>
        </is>
      </c>
      <c r="N1582" s="1" t="inlineStr">
        <is>
          <t>Cold Soldering</t>
        </is>
      </c>
      <c r="O1582" s="32" t="n">
        <v>585</v>
      </c>
      <c r="P1582" s="2" t="inlineStr">
        <is>
          <t>NSMI24090517831</t>
        </is>
      </c>
      <c r="Q1582" s="29">
        <f>MID(P1582,5,2)</f>
        <v/>
      </c>
      <c r="R1582" s="14">
        <f>MID(P1582,7,2)</f>
        <v/>
      </c>
      <c r="S1582" s="6" t="inlineStr">
        <is>
          <t>G2G</t>
        </is>
      </c>
      <c r="T1582" s="1" t="inlineStr">
        <is>
          <t>P4 - PEIPL</t>
        </is>
      </c>
      <c r="U1582" s="1" t="inlineStr">
        <is>
          <t>P JB Cold Soldering</t>
        </is>
      </c>
      <c r="V1582" s="1" t="inlineStr">
        <is>
          <t>Inspection</t>
        </is>
      </c>
      <c r="W1582" s="1" t="inlineStr">
        <is>
          <t>Repair</t>
        </is>
      </c>
      <c r="X1582" s="5" t="n">
        <v>46191</v>
      </c>
      <c r="Y1582" s="1">
        <f>IF(X1582="","",X1582-A1582)</f>
        <v/>
      </c>
      <c r="Z1582" s="5" t="n">
        <v>46191</v>
      </c>
      <c r="AA1582" s="3" t="n"/>
      <c r="AB1582" s="3" t="n"/>
      <c r="AE1582" s="146">
        <f>IF(AND(F1582="Closed",X1582&gt;=DATE(2026,6,1),X1582&lt;=DATE(2026,6,30)),"Closed in June","other")</f>
        <v/>
      </c>
    </row>
    <row r="1583" hidden="1">
      <c r="A1583" s="49" t="n">
        <v>46177</v>
      </c>
      <c r="B1583" s="1" t="n">
        <v>2026</v>
      </c>
      <c r="C1583" s="8" t="inlineStr">
        <is>
          <t>Ayana</t>
        </is>
      </c>
      <c r="D1583" s="11" t="inlineStr">
        <is>
          <t>Utility and C&amp;I</t>
        </is>
      </c>
      <c r="E1583" s="1" t="n"/>
      <c r="F1583" s="1" t="inlineStr">
        <is>
          <t>Closed</t>
        </is>
      </c>
      <c r="G1583" s="11" t="inlineStr">
        <is>
          <t>Vasu.N</t>
        </is>
      </c>
      <c r="H1583" s="8" t="n">
        <v>9578099893</v>
      </c>
      <c r="I1583" s="10" t="inlineStr">
        <is>
          <t>PE04062601</t>
        </is>
      </c>
      <c r="J1583" s="6" t="inlineStr">
        <is>
          <t>Diode issue</t>
        </is>
      </c>
      <c r="K1583" s="8" t="inlineStr">
        <is>
          <t>Jatavira</t>
        </is>
      </c>
      <c r="L1583" s="39" t="inlineStr">
        <is>
          <t>Gujarat</t>
        </is>
      </c>
      <c r="M1583" s="2" t="inlineStr">
        <is>
          <t>PS</t>
        </is>
      </c>
      <c r="N1583" s="1" t="inlineStr">
        <is>
          <t>Cold Soldering</t>
        </is>
      </c>
      <c r="O1583" s="32" t="n">
        <v>585</v>
      </c>
      <c r="P1583" s="2" t="inlineStr">
        <is>
          <t>NSMI24090540066</t>
        </is>
      </c>
      <c r="Q1583" s="29">
        <f>MID(P1583,5,2)</f>
        <v/>
      </c>
      <c r="R1583" s="14">
        <f>MID(P1583,7,2)</f>
        <v/>
      </c>
      <c r="S1583" s="6" t="inlineStr">
        <is>
          <t>G2G</t>
        </is>
      </c>
      <c r="T1583" s="1" t="inlineStr">
        <is>
          <t>P4 - PEIPL</t>
        </is>
      </c>
      <c r="U1583" s="1" t="inlineStr">
        <is>
          <t>P JB Cold Soldering</t>
        </is>
      </c>
      <c r="V1583" s="1" t="inlineStr">
        <is>
          <t>Inspection</t>
        </is>
      </c>
      <c r="W1583" s="1" t="inlineStr">
        <is>
          <t>Repair</t>
        </is>
      </c>
      <c r="X1583" s="5" t="n">
        <v>46191</v>
      </c>
      <c r="Y1583" s="1">
        <f>IF(X1583="","",X1583-A1583)</f>
        <v/>
      </c>
      <c r="Z1583" s="5" t="n">
        <v>46191</v>
      </c>
      <c r="AA1583" s="3" t="n"/>
      <c r="AB1583" s="3" t="n"/>
      <c r="AE1583" s="146">
        <f>IF(AND(F1583="Closed",X1583&gt;=DATE(2026,6,1),X1583&lt;=DATE(2026,6,30)),"Closed in June","other")</f>
        <v/>
      </c>
    </row>
    <row r="1584" hidden="1">
      <c r="A1584" s="49" t="n">
        <v>46177</v>
      </c>
      <c r="B1584" s="1" t="n">
        <v>2026</v>
      </c>
      <c r="C1584" s="8" t="inlineStr">
        <is>
          <t>Ayana</t>
        </is>
      </c>
      <c r="D1584" s="11" t="inlineStr">
        <is>
          <t>Utility and C&amp;I</t>
        </is>
      </c>
      <c r="E1584" s="1" t="n"/>
      <c r="F1584" s="1" t="inlineStr">
        <is>
          <t>Closed</t>
        </is>
      </c>
      <c r="G1584" s="11" t="inlineStr">
        <is>
          <t>Vasu.N</t>
        </is>
      </c>
      <c r="H1584" s="8" t="n">
        <v>9578099893</v>
      </c>
      <c r="I1584" s="10" t="inlineStr">
        <is>
          <t>PE04062601</t>
        </is>
      </c>
      <c r="J1584" s="6" t="inlineStr">
        <is>
          <t>Diode issue</t>
        </is>
      </c>
      <c r="K1584" s="8" t="inlineStr">
        <is>
          <t>Jatavira</t>
        </is>
      </c>
      <c r="L1584" s="39" t="inlineStr">
        <is>
          <t>Gujarat</t>
        </is>
      </c>
      <c r="M1584" s="2" t="inlineStr">
        <is>
          <t>PS</t>
        </is>
      </c>
      <c r="N1584" s="1" t="inlineStr">
        <is>
          <t>Cold Soldering</t>
        </is>
      </c>
      <c r="O1584" s="32" t="n">
        <v>585</v>
      </c>
      <c r="P1584" s="2" t="inlineStr">
        <is>
          <t>NSMI24090537486</t>
        </is>
      </c>
      <c r="Q1584" s="29">
        <f>MID(P1584,5,2)</f>
        <v/>
      </c>
      <c r="R1584" s="14">
        <f>MID(P1584,7,2)</f>
        <v/>
      </c>
      <c r="S1584" s="6" t="inlineStr">
        <is>
          <t>G2G</t>
        </is>
      </c>
      <c r="T1584" s="1" t="inlineStr">
        <is>
          <t>P4 - PEIPL</t>
        </is>
      </c>
      <c r="U1584" s="1" t="inlineStr">
        <is>
          <t>P JB Cold Soldering</t>
        </is>
      </c>
      <c r="V1584" s="1" t="inlineStr">
        <is>
          <t>Inspection</t>
        </is>
      </c>
      <c r="W1584" s="1" t="inlineStr">
        <is>
          <t>Repair</t>
        </is>
      </c>
      <c r="X1584" s="5" t="n">
        <v>46191</v>
      </c>
      <c r="Y1584" s="1">
        <f>IF(X1584="","",X1584-A1584)</f>
        <v/>
      </c>
      <c r="Z1584" s="5" t="n">
        <v>46191</v>
      </c>
      <c r="AA1584" s="3" t="n"/>
      <c r="AB1584" s="3" t="n"/>
      <c r="AE1584" s="146">
        <f>IF(AND(F1584="Closed",X1584&gt;=DATE(2026,6,1),X1584&lt;=DATE(2026,6,30)),"Closed in June","other")</f>
        <v/>
      </c>
    </row>
    <row r="1585" hidden="1">
      <c r="A1585" s="49" t="n">
        <v>46177</v>
      </c>
      <c r="B1585" s="1" t="n">
        <v>2026</v>
      </c>
      <c r="C1585" s="8" t="inlineStr">
        <is>
          <t>Ayana</t>
        </is>
      </c>
      <c r="D1585" s="11" t="inlineStr">
        <is>
          <t>Utility and C&amp;I</t>
        </is>
      </c>
      <c r="E1585" s="1" t="n"/>
      <c r="F1585" s="1" t="inlineStr">
        <is>
          <t>Closed</t>
        </is>
      </c>
      <c r="G1585" s="11" t="inlineStr">
        <is>
          <t>Vasu.N</t>
        </is>
      </c>
      <c r="H1585" s="8" t="n">
        <v>9578099893</v>
      </c>
      <c r="I1585" s="10" t="inlineStr">
        <is>
          <t>PE04062601</t>
        </is>
      </c>
      <c r="J1585" s="6" t="inlineStr">
        <is>
          <t>Diode issue</t>
        </is>
      </c>
      <c r="K1585" s="8" t="inlineStr">
        <is>
          <t>Jatavira</t>
        </is>
      </c>
      <c r="L1585" s="39" t="inlineStr">
        <is>
          <t>Gujarat</t>
        </is>
      </c>
      <c r="M1585" s="2" t="inlineStr">
        <is>
          <t>PS</t>
        </is>
      </c>
      <c r="N1585" s="1" t="inlineStr">
        <is>
          <t>Cold Soldering</t>
        </is>
      </c>
      <c r="O1585" s="32" t="n">
        <v>585</v>
      </c>
      <c r="P1585" s="2" t="inlineStr">
        <is>
          <t>NSMI24090520097</t>
        </is>
      </c>
      <c r="Q1585" s="29">
        <f>MID(P1585,5,2)</f>
        <v/>
      </c>
      <c r="R1585" s="14">
        <f>MID(P1585,7,2)</f>
        <v/>
      </c>
      <c r="S1585" s="6" t="inlineStr">
        <is>
          <t>G2G</t>
        </is>
      </c>
      <c r="T1585" s="1" t="inlineStr">
        <is>
          <t>P4 - PEIPL</t>
        </is>
      </c>
      <c r="U1585" s="1" t="inlineStr">
        <is>
          <t>P JB Cold Soldering</t>
        </is>
      </c>
      <c r="V1585" s="1" t="inlineStr">
        <is>
          <t>Inspection</t>
        </is>
      </c>
      <c r="W1585" s="1" t="inlineStr">
        <is>
          <t>Repair</t>
        </is>
      </c>
      <c r="X1585" s="5" t="n">
        <v>46191</v>
      </c>
      <c r="Y1585" s="1">
        <f>IF(X1585="","",X1585-A1585)</f>
        <v/>
      </c>
      <c r="Z1585" s="5" t="n">
        <v>46191</v>
      </c>
      <c r="AA1585" s="3" t="n"/>
      <c r="AB1585" s="3" t="n"/>
      <c r="AE1585" s="146">
        <f>IF(AND(F1585="Closed",X1585&gt;=DATE(2026,6,1),X1585&lt;=DATE(2026,6,30)),"Closed in June","other")</f>
        <v/>
      </c>
    </row>
    <row r="1586" hidden="1">
      <c r="A1586" s="49" t="n">
        <v>46177</v>
      </c>
      <c r="B1586" s="1" t="n">
        <v>2026</v>
      </c>
      <c r="C1586" s="8" t="inlineStr">
        <is>
          <t>Ayana</t>
        </is>
      </c>
      <c r="D1586" s="11" t="inlineStr">
        <is>
          <t>Utility and C&amp;I</t>
        </is>
      </c>
      <c r="E1586" s="1" t="n"/>
      <c r="F1586" s="1" t="inlineStr">
        <is>
          <t>Closed</t>
        </is>
      </c>
      <c r="G1586" s="11" t="inlineStr">
        <is>
          <t>Vasu.N</t>
        </is>
      </c>
      <c r="H1586" s="8" t="n">
        <v>9578099893</v>
      </c>
      <c r="I1586" s="10" t="inlineStr">
        <is>
          <t>PE04062601</t>
        </is>
      </c>
      <c r="J1586" s="6" t="inlineStr">
        <is>
          <t>Diode issue</t>
        </is>
      </c>
      <c r="K1586" s="8" t="inlineStr">
        <is>
          <t>Jatavira</t>
        </is>
      </c>
      <c r="L1586" s="39" t="inlineStr">
        <is>
          <t>Gujarat</t>
        </is>
      </c>
      <c r="M1586" s="2" t="inlineStr">
        <is>
          <t>PR</t>
        </is>
      </c>
      <c r="N1586" s="1" t="inlineStr">
        <is>
          <t>JB Issue</t>
        </is>
      </c>
      <c r="O1586" s="32" t="n">
        <v>585</v>
      </c>
      <c r="P1586" s="2" t="inlineStr">
        <is>
          <t>NSMI24090521147</t>
        </is>
      </c>
      <c r="Q1586" s="29">
        <f>MID(P1586,5,2)</f>
        <v/>
      </c>
      <c r="R1586" s="14">
        <f>MID(P1586,7,2)</f>
        <v/>
      </c>
      <c r="S1586" s="6" t="inlineStr">
        <is>
          <t>G2G</t>
        </is>
      </c>
      <c r="T1586" s="1" t="inlineStr">
        <is>
          <t>P4 - PEIPL</t>
        </is>
      </c>
      <c r="U1586" s="6" t="inlineStr">
        <is>
          <t>P JB Issue</t>
        </is>
      </c>
      <c r="V1586" s="1" t="inlineStr">
        <is>
          <t>Inspection</t>
        </is>
      </c>
      <c r="W1586" s="1" t="inlineStr">
        <is>
          <t>Repair</t>
        </is>
      </c>
      <c r="X1586" s="5" t="n">
        <v>46191</v>
      </c>
      <c r="Y1586" s="1">
        <f>IF(X1586="","",X1586-A1586)</f>
        <v/>
      </c>
      <c r="Z1586" s="5" t="n">
        <v>46191</v>
      </c>
      <c r="AA1586" s="3" t="n"/>
      <c r="AB1586" s="3" t="n"/>
      <c r="AE1586" s="146">
        <f>IF(AND(F1586="Closed",X1586&gt;=DATE(2026,6,1),X1586&lt;=DATE(2026,6,30)),"Closed in June","other")</f>
        <v/>
      </c>
    </row>
    <row r="1587" hidden="1">
      <c r="A1587" s="49" t="n">
        <v>46177</v>
      </c>
      <c r="B1587" s="1" t="n">
        <v>2026</v>
      </c>
      <c r="C1587" s="8" t="inlineStr">
        <is>
          <t>Ayana</t>
        </is>
      </c>
      <c r="D1587" s="11" t="inlineStr">
        <is>
          <t>Utility and C&amp;I</t>
        </is>
      </c>
      <c r="E1587" s="1" t="n"/>
      <c r="F1587" s="1" t="inlineStr">
        <is>
          <t>Closed</t>
        </is>
      </c>
      <c r="G1587" s="11" t="inlineStr">
        <is>
          <t>Vasu.N</t>
        </is>
      </c>
      <c r="H1587" s="8" t="n">
        <v>9578099893</v>
      </c>
      <c r="I1587" s="10" t="inlineStr">
        <is>
          <t>PE04062601</t>
        </is>
      </c>
      <c r="J1587" s="6" t="inlineStr">
        <is>
          <t>Diode issue</t>
        </is>
      </c>
      <c r="K1587" s="8" t="inlineStr">
        <is>
          <t>Jatavira</t>
        </is>
      </c>
      <c r="L1587" s="39" t="inlineStr">
        <is>
          <t>Gujarat</t>
        </is>
      </c>
      <c r="M1587" s="2" t="inlineStr">
        <is>
          <t>PS</t>
        </is>
      </c>
      <c r="N1587" s="1" t="inlineStr">
        <is>
          <t>Cold Soldering</t>
        </is>
      </c>
      <c r="O1587" s="32" t="n">
        <v>585</v>
      </c>
      <c r="P1587" s="2" t="inlineStr">
        <is>
          <t>NSMI24090520680</t>
        </is>
      </c>
      <c r="Q1587" s="29">
        <f>MID(P1587,5,2)</f>
        <v/>
      </c>
      <c r="R1587" s="14">
        <f>MID(P1587,7,2)</f>
        <v/>
      </c>
      <c r="S1587" s="6" t="inlineStr">
        <is>
          <t>G2G</t>
        </is>
      </c>
      <c r="T1587" s="1" t="inlineStr">
        <is>
          <t>P4 - PEIPL</t>
        </is>
      </c>
      <c r="U1587" s="1" t="inlineStr">
        <is>
          <t>P JB Cold Soldering</t>
        </is>
      </c>
      <c r="V1587" s="1" t="inlineStr">
        <is>
          <t>Inspection</t>
        </is>
      </c>
      <c r="W1587" s="1" t="inlineStr">
        <is>
          <t>Repair</t>
        </is>
      </c>
      <c r="X1587" s="5" t="n">
        <v>46191</v>
      </c>
      <c r="Y1587" s="1">
        <f>IF(X1587="","",X1587-A1587)</f>
        <v/>
      </c>
      <c r="Z1587" s="5" t="n">
        <v>46191</v>
      </c>
      <c r="AA1587" s="3" t="n"/>
      <c r="AB1587" s="3" t="n"/>
      <c r="AE1587" s="146">
        <f>IF(AND(F1587="Closed",X1587&gt;=DATE(2026,6,1),X1587&lt;=DATE(2026,6,30)),"Closed in June","other")</f>
        <v/>
      </c>
    </row>
    <row r="1588" hidden="1">
      <c r="A1588" s="49" t="n">
        <v>46177</v>
      </c>
      <c r="B1588" s="1" t="n">
        <v>2026</v>
      </c>
      <c r="C1588" s="8" t="inlineStr">
        <is>
          <t>Ayana</t>
        </is>
      </c>
      <c r="D1588" s="11" t="inlineStr">
        <is>
          <t>Utility and C&amp;I</t>
        </is>
      </c>
      <c r="E1588" s="1" t="n"/>
      <c r="F1588" s="1" t="inlineStr">
        <is>
          <t>Closed</t>
        </is>
      </c>
      <c r="G1588" s="11" t="inlineStr">
        <is>
          <t>Vasu.N</t>
        </is>
      </c>
      <c r="H1588" s="8" t="n">
        <v>9578099893</v>
      </c>
      <c r="I1588" s="10" t="inlineStr">
        <is>
          <t>PE04062601</t>
        </is>
      </c>
      <c r="J1588" s="6" t="inlineStr">
        <is>
          <t>Diode issue</t>
        </is>
      </c>
      <c r="K1588" s="8" t="inlineStr">
        <is>
          <t>Jatavira</t>
        </is>
      </c>
      <c r="L1588" s="39" t="inlineStr">
        <is>
          <t>Gujarat</t>
        </is>
      </c>
      <c r="M1588" s="2" t="inlineStr">
        <is>
          <t>PS</t>
        </is>
      </c>
      <c r="N1588" s="1" t="inlineStr">
        <is>
          <t>Cold Soldering</t>
        </is>
      </c>
      <c r="O1588" s="32" t="n">
        <v>585</v>
      </c>
      <c r="P1588" s="2" t="inlineStr">
        <is>
          <t>NSMI24090543641</t>
        </is>
      </c>
      <c r="Q1588" s="29">
        <f>MID(P1588,5,2)</f>
        <v/>
      </c>
      <c r="R1588" s="14">
        <f>MID(P1588,7,2)</f>
        <v/>
      </c>
      <c r="S1588" s="6" t="inlineStr">
        <is>
          <t>G2G</t>
        </is>
      </c>
      <c r="T1588" s="1" t="inlineStr">
        <is>
          <t>P4 - PEIPL</t>
        </is>
      </c>
      <c r="U1588" s="1" t="inlineStr">
        <is>
          <t>P JB Cold Soldering</t>
        </is>
      </c>
      <c r="V1588" s="1" t="inlineStr">
        <is>
          <t>Inspection</t>
        </is>
      </c>
      <c r="W1588" s="1" t="inlineStr">
        <is>
          <t>Repair</t>
        </is>
      </c>
      <c r="X1588" s="5" t="n">
        <v>46191</v>
      </c>
      <c r="Y1588" s="1">
        <f>IF(X1588="","",X1588-A1588)</f>
        <v/>
      </c>
      <c r="Z1588" s="5" t="n">
        <v>46191</v>
      </c>
      <c r="AA1588" s="3" t="n"/>
      <c r="AB1588" s="3" t="n"/>
      <c r="AE1588" s="146">
        <f>IF(AND(F1588="Closed",X1588&gt;=DATE(2026,6,1),X1588&lt;=DATE(2026,6,30)),"Closed in June","other")</f>
        <v/>
      </c>
    </row>
    <row r="1589" hidden="1">
      <c r="A1589" s="49" t="n">
        <v>46177</v>
      </c>
      <c r="B1589" s="1" t="n">
        <v>2026</v>
      </c>
      <c r="C1589" s="8" t="inlineStr">
        <is>
          <t>Ayana</t>
        </is>
      </c>
      <c r="D1589" s="11" t="inlineStr">
        <is>
          <t>Utility and C&amp;I</t>
        </is>
      </c>
      <c r="E1589" s="1" t="n"/>
      <c r="F1589" s="1" t="inlineStr">
        <is>
          <t>Closed</t>
        </is>
      </c>
      <c r="G1589" s="11" t="inlineStr">
        <is>
          <t>Vasu.N</t>
        </is>
      </c>
      <c r="H1589" s="8" t="n">
        <v>9578099893</v>
      </c>
      <c r="I1589" s="10" t="inlineStr">
        <is>
          <t>PE04062601</t>
        </is>
      </c>
      <c r="J1589" s="6" t="inlineStr">
        <is>
          <t>Diode issue</t>
        </is>
      </c>
      <c r="K1589" s="8" t="inlineStr">
        <is>
          <t>Jatavira</t>
        </is>
      </c>
      <c r="L1589" s="39" t="inlineStr">
        <is>
          <t>Gujarat</t>
        </is>
      </c>
      <c r="M1589" s="2" t="inlineStr">
        <is>
          <t>PS</t>
        </is>
      </c>
      <c r="N1589" s="1" t="inlineStr">
        <is>
          <t>Cold Soldering</t>
        </is>
      </c>
      <c r="O1589" s="32" t="n">
        <v>585</v>
      </c>
      <c r="P1589" s="2" t="inlineStr">
        <is>
          <t>NSMI24090521832</t>
        </is>
      </c>
      <c r="Q1589" s="29">
        <f>MID(P1589,5,2)</f>
        <v/>
      </c>
      <c r="R1589" s="14">
        <f>MID(P1589,7,2)</f>
        <v/>
      </c>
      <c r="S1589" s="6" t="inlineStr">
        <is>
          <t>G2G</t>
        </is>
      </c>
      <c r="T1589" s="1" t="inlineStr">
        <is>
          <t>P4 - PEIPL</t>
        </is>
      </c>
      <c r="U1589" s="1" t="inlineStr">
        <is>
          <t>P JB Cold Soldering</t>
        </is>
      </c>
      <c r="V1589" s="1" t="inlineStr">
        <is>
          <t>Inspection</t>
        </is>
      </c>
      <c r="W1589" s="1" t="inlineStr">
        <is>
          <t>Repair</t>
        </is>
      </c>
      <c r="X1589" s="5" t="n">
        <v>46191</v>
      </c>
      <c r="Y1589" s="1">
        <f>IF(X1589="","",X1589-A1589)</f>
        <v/>
      </c>
      <c r="Z1589" s="5" t="n">
        <v>46191</v>
      </c>
      <c r="AA1589" s="3" t="n"/>
      <c r="AB1589" s="3" t="n"/>
      <c r="AE1589" s="146">
        <f>IF(AND(F1589="Closed",X1589&gt;=DATE(2026,6,1),X1589&lt;=DATE(2026,6,30)),"Closed in June","other")</f>
        <v/>
      </c>
    </row>
    <row r="1590" hidden="1">
      <c r="A1590" s="49" t="n">
        <v>46177</v>
      </c>
      <c r="B1590" s="1" t="n">
        <v>2026</v>
      </c>
      <c r="C1590" s="8" t="inlineStr">
        <is>
          <t>Ayana</t>
        </is>
      </c>
      <c r="D1590" s="11" t="inlineStr">
        <is>
          <t>Utility and C&amp;I</t>
        </is>
      </c>
      <c r="E1590" s="1" t="n"/>
      <c r="F1590" s="1" t="inlineStr">
        <is>
          <t>Closed</t>
        </is>
      </c>
      <c r="G1590" s="11" t="inlineStr">
        <is>
          <t>Vasu.N</t>
        </is>
      </c>
      <c r="H1590" s="8" t="n">
        <v>9578099893</v>
      </c>
      <c r="I1590" s="10" t="inlineStr">
        <is>
          <t>PE04062601</t>
        </is>
      </c>
      <c r="J1590" s="6" t="inlineStr">
        <is>
          <t>Diode issue</t>
        </is>
      </c>
      <c r="K1590" s="8" t="inlineStr">
        <is>
          <t>Jatavira</t>
        </is>
      </c>
      <c r="L1590" s="39" t="inlineStr">
        <is>
          <t>Gujarat</t>
        </is>
      </c>
      <c r="M1590" s="2" t="inlineStr">
        <is>
          <t>PS</t>
        </is>
      </c>
      <c r="N1590" s="1" t="inlineStr">
        <is>
          <t>Cold Soldering</t>
        </is>
      </c>
      <c r="O1590" s="32" t="n">
        <v>585</v>
      </c>
      <c r="P1590" s="2" t="inlineStr">
        <is>
          <t>NSMI24090543605</t>
        </is>
      </c>
      <c r="Q1590" s="29">
        <f>MID(P1590,5,2)</f>
        <v/>
      </c>
      <c r="R1590" s="14">
        <f>MID(P1590,7,2)</f>
        <v/>
      </c>
      <c r="S1590" s="6" t="inlineStr">
        <is>
          <t>G2G</t>
        </is>
      </c>
      <c r="T1590" s="1" t="inlineStr">
        <is>
          <t>P4 - PEIPL</t>
        </is>
      </c>
      <c r="U1590" s="1" t="inlineStr">
        <is>
          <t>P JB Cold Soldering</t>
        </is>
      </c>
      <c r="V1590" s="1" t="inlineStr">
        <is>
          <t>Inspection</t>
        </is>
      </c>
      <c r="W1590" s="1" t="inlineStr">
        <is>
          <t>Repair</t>
        </is>
      </c>
      <c r="X1590" s="5" t="n">
        <v>46191</v>
      </c>
      <c r="Y1590" s="1">
        <f>IF(X1590="","",X1590-A1590)</f>
        <v/>
      </c>
      <c r="Z1590" s="5" t="n">
        <v>46191</v>
      </c>
      <c r="AA1590" s="3" t="n"/>
      <c r="AB1590" s="3" t="n"/>
      <c r="AE1590" s="146">
        <f>IF(AND(F1590="Closed",X1590&gt;=DATE(2026,6,1),X1590&lt;=DATE(2026,6,30)),"Closed in June","other")</f>
        <v/>
      </c>
    </row>
    <row r="1591" hidden="1">
      <c r="A1591" s="49" t="n">
        <v>46177</v>
      </c>
      <c r="B1591" s="1" t="n">
        <v>2026</v>
      </c>
      <c r="C1591" s="8" t="inlineStr">
        <is>
          <t>Ayana</t>
        </is>
      </c>
      <c r="D1591" s="11" t="inlineStr">
        <is>
          <t>Utility and C&amp;I</t>
        </is>
      </c>
      <c r="E1591" s="1" t="n"/>
      <c r="F1591" s="1" t="inlineStr">
        <is>
          <t>Closed</t>
        </is>
      </c>
      <c r="G1591" s="11" t="inlineStr">
        <is>
          <t>Vasu.N</t>
        </is>
      </c>
      <c r="H1591" s="8" t="n">
        <v>9578099893</v>
      </c>
      <c r="I1591" s="10" t="inlineStr">
        <is>
          <t>PE04062601</t>
        </is>
      </c>
      <c r="J1591" s="6" t="inlineStr">
        <is>
          <t>Diode issue</t>
        </is>
      </c>
      <c r="K1591" s="8" t="inlineStr">
        <is>
          <t>Jatavira</t>
        </is>
      </c>
      <c r="L1591" s="39" t="inlineStr">
        <is>
          <t>Gujarat</t>
        </is>
      </c>
      <c r="M1591" s="2" t="inlineStr">
        <is>
          <t>PR</t>
        </is>
      </c>
      <c r="N1591" s="1" t="inlineStr">
        <is>
          <t>JB Issue</t>
        </is>
      </c>
      <c r="O1591" s="32" t="n">
        <v>585</v>
      </c>
      <c r="P1591" s="2" t="inlineStr">
        <is>
          <t>NSMI24090537064</t>
        </is>
      </c>
      <c r="Q1591" s="29">
        <f>MID(P1591,5,2)</f>
        <v/>
      </c>
      <c r="R1591" s="14">
        <f>MID(P1591,7,2)</f>
        <v/>
      </c>
      <c r="S1591" s="6" t="inlineStr">
        <is>
          <t>G2G</t>
        </is>
      </c>
      <c r="T1591" s="1" t="inlineStr">
        <is>
          <t>P4 - PEIPL</t>
        </is>
      </c>
      <c r="U1591" s="6" t="inlineStr">
        <is>
          <t>P JB Issue</t>
        </is>
      </c>
      <c r="V1591" s="1" t="inlineStr">
        <is>
          <t>Inspection</t>
        </is>
      </c>
      <c r="W1591" s="1" t="inlineStr">
        <is>
          <t>Repair</t>
        </is>
      </c>
      <c r="X1591" s="5" t="n">
        <v>46191</v>
      </c>
      <c r="Y1591" s="1">
        <f>IF(X1591="","",X1591-A1591)</f>
        <v/>
      </c>
      <c r="Z1591" s="5" t="n">
        <v>46191</v>
      </c>
      <c r="AA1591" s="3" t="n"/>
      <c r="AB1591" s="3" t="n"/>
      <c r="AE1591" s="146">
        <f>IF(AND(F1591="Closed",X1591&gt;=DATE(2026,6,1),X1591&lt;=DATE(2026,6,30)),"Closed in June","other")</f>
        <v/>
      </c>
    </row>
    <row r="1592" hidden="1">
      <c r="A1592" s="49" t="n">
        <v>46177</v>
      </c>
      <c r="B1592" s="1" t="n">
        <v>2026</v>
      </c>
      <c r="C1592" s="8" t="inlineStr">
        <is>
          <t>Ayana</t>
        </is>
      </c>
      <c r="D1592" s="11" t="inlineStr">
        <is>
          <t>Utility and C&amp;I</t>
        </is>
      </c>
      <c r="E1592" s="1" t="n"/>
      <c r="F1592" s="1" t="inlineStr">
        <is>
          <t>Closed</t>
        </is>
      </c>
      <c r="G1592" s="11" t="inlineStr">
        <is>
          <t>Vasu.N</t>
        </is>
      </c>
      <c r="H1592" s="8" t="n">
        <v>9578099893</v>
      </c>
      <c r="I1592" s="10" t="inlineStr">
        <is>
          <t>PE04062601</t>
        </is>
      </c>
      <c r="J1592" s="6" t="inlineStr">
        <is>
          <t>Diode issue</t>
        </is>
      </c>
      <c r="K1592" s="8" t="inlineStr">
        <is>
          <t>Jatavira</t>
        </is>
      </c>
      <c r="L1592" s="39" t="inlineStr">
        <is>
          <t>Gujarat</t>
        </is>
      </c>
      <c r="M1592" s="2" t="inlineStr">
        <is>
          <t>PS</t>
        </is>
      </c>
      <c r="N1592" s="1" t="inlineStr">
        <is>
          <t>Cold Soldering</t>
        </is>
      </c>
      <c r="O1592" s="32" t="n">
        <v>585</v>
      </c>
      <c r="P1592" s="2" t="inlineStr">
        <is>
          <t>NSMI24100544145</t>
        </is>
      </c>
      <c r="Q1592" s="29">
        <f>MID(P1592,5,2)</f>
        <v/>
      </c>
      <c r="R1592" s="14">
        <f>MID(P1592,7,2)</f>
        <v/>
      </c>
      <c r="S1592" s="6" t="inlineStr">
        <is>
          <t>G2G</t>
        </is>
      </c>
      <c r="T1592" s="1" t="inlineStr">
        <is>
          <t>P4 - PEIPL</t>
        </is>
      </c>
      <c r="U1592" s="1" t="inlineStr">
        <is>
          <t>P JB Cold Soldering</t>
        </is>
      </c>
      <c r="V1592" s="1" t="inlineStr">
        <is>
          <t>Inspection</t>
        </is>
      </c>
      <c r="W1592" s="1" t="inlineStr">
        <is>
          <t>Repair</t>
        </is>
      </c>
      <c r="X1592" s="5" t="n">
        <v>46191</v>
      </c>
      <c r="Y1592" s="1">
        <f>IF(X1592="","",X1592-A1592)</f>
        <v/>
      </c>
      <c r="Z1592" s="5" t="n">
        <v>46191</v>
      </c>
      <c r="AA1592" s="3" t="n"/>
      <c r="AB1592" s="3" t="n"/>
      <c r="AE1592" s="146">
        <f>IF(AND(F1592="Closed",X1592&gt;=DATE(2026,6,1),X1592&lt;=DATE(2026,6,30)),"Closed in June","other")</f>
        <v/>
      </c>
    </row>
    <row r="1593" hidden="1">
      <c r="A1593" s="49" t="n">
        <v>46177</v>
      </c>
      <c r="B1593" s="1" t="n">
        <v>2026</v>
      </c>
      <c r="C1593" s="8" t="inlineStr">
        <is>
          <t>Ayana</t>
        </is>
      </c>
      <c r="D1593" s="11" t="inlineStr">
        <is>
          <t>Utility and C&amp;I</t>
        </is>
      </c>
      <c r="E1593" s="1" t="n"/>
      <c r="F1593" s="1" t="inlineStr">
        <is>
          <t>Closed</t>
        </is>
      </c>
      <c r="G1593" s="11" t="inlineStr">
        <is>
          <t>Vasu.N</t>
        </is>
      </c>
      <c r="H1593" s="8" t="n">
        <v>9578099893</v>
      </c>
      <c r="I1593" s="10" t="inlineStr">
        <is>
          <t>PE04062601</t>
        </is>
      </c>
      <c r="J1593" s="6" t="inlineStr">
        <is>
          <t>Diode issue</t>
        </is>
      </c>
      <c r="K1593" s="8" t="inlineStr">
        <is>
          <t>Jatavira</t>
        </is>
      </c>
      <c r="L1593" s="39" t="inlineStr">
        <is>
          <t>Gujarat</t>
        </is>
      </c>
      <c r="M1593" s="2" t="inlineStr">
        <is>
          <t>PS</t>
        </is>
      </c>
      <c r="N1593" s="1" t="inlineStr">
        <is>
          <t>Cold Soldering</t>
        </is>
      </c>
      <c r="O1593" s="32" t="n">
        <v>585</v>
      </c>
      <c r="P1593" s="2" t="inlineStr">
        <is>
          <t>NSMI24090429067</t>
        </is>
      </c>
      <c r="Q1593" s="29">
        <f>MID(P1593,5,2)</f>
        <v/>
      </c>
      <c r="R1593" s="14">
        <f>MID(P1593,7,2)</f>
        <v/>
      </c>
      <c r="S1593" s="6" t="inlineStr">
        <is>
          <t>G2G</t>
        </is>
      </c>
      <c r="T1593" s="1" t="inlineStr">
        <is>
          <t>P4 - PEIPL</t>
        </is>
      </c>
      <c r="U1593" s="1" t="inlineStr">
        <is>
          <t>P JB Cold Soldering</t>
        </is>
      </c>
      <c r="V1593" s="1" t="inlineStr">
        <is>
          <t>Inspection</t>
        </is>
      </c>
      <c r="W1593" s="1" t="inlineStr">
        <is>
          <t>Repair</t>
        </is>
      </c>
      <c r="X1593" s="5" t="n">
        <v>46191</v>
      </c>
      <c r="Y1593" s="1">
        <f>IF(X1593="","",X1593-A1593)</f>
        <v/>
      </c>
      <c r="Z1593" s="5" t="n">
        <v>46191</v>
      </c>
      <c r="AA1593" s="3" t="n"/>
      <c r="AB1593" s="3" t="n"/>
      <c r="AE1593" s="146">
        <f>IF(AND(F1593="Closed",X1593&gt;=DATE(2026,6,1),X1593&lt;=DATE(2026,6,30)),"Closed in June","other")</f>
        <v/>
      </c>
    </row>
    <row r="1594" hidden="1">
      <c r="A1594" s="49" t="n">
        <v>46177</v>
      </c>
      <c r="B1594" s="1" t="n">
        <v>2026</v>
      </c>
      <c r="C1594" s="8" t="inlineStr">
        <is>
          <t>Ayana</t>
        </is>
      </c>
      <c r="D1594" s="11" t="inlineStr">
        <is>
          <t>Utility and C&amp;I</t>
        </is>
      </c>
      <c r="E1594" s="1" t="n"/>
      <c r="F1594" s="1" t="inlineStr">
        <is>
          <t>Closed</t>
        </is>
      </c>
      <c r="G1594" s="11" t="inlineStr">
        <is>
          <t>Vasu.N</t>
        </is>
      </c>
      <c r="H1594" s="8" t="n">
        <v>9578099893</v>
      </c>
      <c r="I1594" s="10" t="inlineStr">
        <is>
          <t>PE04062601</t>
        </is>
      </c>
      <c r="J1594" s="6" t="inlineStr">
        <is>
          <t>Diode issue</t>
        </is>
      </c>
      <c r="K1594" s="8" t="inlineStr">
        <is>
          <t>Jatavira</t>
        </is>
      </c>
      <c r="L1594" s="39" t="inlineStr">
        <is>
          <t>Gujarat</t>
        </is>
      </c>
      <c r="M1594" s="2" t="inlineStr">
        <is>
          <t>PS</t>
        </is>
      </c>
      <c r="N1594" s="1" t="inlineStr">
        <is>
          <t>Cold Soldering</t>
        </is>
      </c>
      <c r="O1594" s="32" t="n">
        <v>585</v>
      </c>
      <c r="P1594" s="2" t="inlineStr">
        <is>
          <t>NSMI24090537447</t>
        </is>
      </c>
      <c r="Q1594" s="29">
        <f>MID(P1594,5,2)</f>
        <v/>
      </c>
      <c r="R1594" s="14">
        <f>MID(P1594,7,2)</f>
        <v/>
      </c>
      <c r="S1594" s="6" t="inlineStr">
        <is>
          <t>G2G</t>
        </is>
      </c>
      <c r="T1594" s="1" t="inlineStr">
        <is>
          <t>P4 - PEIPL</t>
        </is>
      </c>
      <c r="U1594" s="1" t="inlineStr">
        <is>
          <t>P JB Cold Soldering</t>
        </is>
      </c>
      <c r="V1594" s="1" t="inlineStr">
        <is>
          <t>Inspection</t>
        </is>
      </c>
      <c r="W1594" s="1" t="inlineStr">
        <is>
          <t>Repair</t>
        </is>
      </c>
      <c r="X1594" s="5" t="n">
        <v>46191</v>
      </c>
      <c r="Y1594" s="1">
        <f>IF(X1594="","",X1594-A1594)</f>
        <v/>
      </c>
      <c r="Z1594" s="5" t="n">
        <v>46191</v>
      </c>
      <c r="AA1594" s="3" t="n"/>
      <c r="AB1594" s="3" t="n"/>
      <c r="AE1594" s="146">
        <f>IF(AND(F1594="Closed",X1594&gt;=DATE(2026,6,1),X1594&lt;=DATE(2026,6,30)),"Closed in June","other")</f>
        <v/>
      </c>
    </row>
    <row r="1595" hidden="1">
      <c r="A1595" s="49" t="n">
        <v>46177</v>
      </c>
      <c r="B1595" s="1" t="n">
        <v>2026</v>
      </c>
      <c r="C1595" s="8" t="inlineStr">
        <is>
          <t>Ayana</t>
        </is>
      </c>
      <c r="D1595" s="11" t="inlineStr">
        <is>
          <t>Utility and C&amp;I</t>
        </is>
      </c>
      <c r="E1595" s="1" t="n"/>
      <c r="F1595" s="1" t="inlineStr">
        <is>
          <t>Closed</t>
        </is>
      </c>
      <c r="G1595" s="11" t="inlineStr">
        <is>
          <t>Vasu.N</t>
        </is>
      </c>
      <c r="H1595" s="8" t="n">
        <v>9578099893</v>
      </c>
      <c r="I1595" s="10" t="inlineStr">
        <is>
          <t>PE04062601</t>
        </is>
      </c>
      <c r="J1595" s="6" t="inlineStr">
        <is>
          <t>Diode issue</t>
        </is>
      </c>
      <c r="K1595" s="8" t="inlineStr">
        <is>
          <t>Jatavira</t>
        </is>
      </c>
      <c r="L1595" s="39" t="inlineStr">
        <is>
          <t>Gujarat</t>
        </is>
      </c>
      <c r="M1595" s="2" t="inlineStr">
        <is>
          <t>NS</t>
        </is>
      </c>
      <c r="N1595" s="1" t="inlineStr">
        <is>
          <t>Cold Soldering</t>
        </is>
      </c>
      <c r="O1595" s="32" t="n">
        <v>585</v>
      </c>
      <c r="P1595" s="2" t="inlineStr">
        <is>
          <t>NSMI24090452752</t>
        </is>
      </c>
      <c r="Q1595" s="29">
        <f>MID(P1595,5,2)</f>
        <v/>
      </c>
      <c r="R1595" s="14">
        <f>MID(P1595,7,2)</f>
        <v/>
      </c>
      <c r="S1595" s="6" t="inlineStr">
        <is>
          <t>G2G</t>
        </is>
      </c>
      <c r="T1595" s="1" t="inlineStr">
        <is>
          <t>P4 - PEIPL</t>
        </is>
      </c>
      <c r="U1595" s="6" t="inlineStr">
        <is>
          <t>N JB Cold Soldering</t>
        </is>
      </c>
      <c r="V1595" s="1" t="inlineStr">
        <is>
          <t>Inspection</t>
        </is>
      </c>
      <c r="W1595" s="1" t="inlineStr">
        <is>
          <t>Repair</t>
        </is>
      </c>
      <c r="X1595" s="5" t="n">
        <v>46191</v>
      </c>
      <c r="Y1595" s="1">
        <f>IF(X1595="","",X1595-A1595)</f>
        <v/>
      </c>
      <c r="Z1595" s="5" t="n">
        <v>46191</v>
      </c>
      <c r="AA1595" s="3" t="n"/>
      <c r="AB1595" s="3" t="n"/>
      <c r="AE1595" s="146">
        <f>IF(AND(F1595="Closed",X1595&gt;=DATE(2026,6,1),X1595&lt;=DATE(2026,6,30)),"Closed in June","other")</f>
        <v/>
      </c>
    </row>
    <row r="1596" hidden="1">
      <c r="A1596" s="49" t="n">
        <v>46177</v>
      </c>
      <c r="B1596" s="1" t="n">
        <v>2026</v>
      </c>
      <c r="C1596" s="8" t="inlineStr">
        <is>
          <t>Ayana</t>
        </is>
      </c>
      <c r="D1596" s="11" t="inlineStr">
        <is>
          <t>Utility and C&amp;I</t>
        </is>
      </c>
      <c r="E1596" s="1" t="n"/>
      <c r="F1596" s="1" t="inlineStr">
        <is>
          <t>Closed</t>
        </is>
      </c>
      <c r="G1596" s="11" t="inlineStr">
        <is>
          <t>Vasu.N</t>
        </is>
      </c>
      <c r="H1596" s="8" t="n">
        <v>9578099893</v>
      </c>
      <c r="I1596" s="10" t="inlineStr">
        <is>
          <t>PE04062601</t>
        </is>
      </c>
      <c r="J1596" s="6" t="inlineStr">
        <is>
          <t>Diode issue</t>
        </is>
      </c>
      <c r="K1596" s="8" t="inlineStr">
        <is>
          <t>Jatavira</t>
        </is>
      </c>
      <c r="L1596" s="39" t="inlineStr">
        <is>
          <t>Gujarat</t>
        </is>
      </c>
      <c r="M1596" s="2" t="inlineStr">
        <is>
          <t>PS</t>
        </is>
      </c>
      <c r="N1596" s="1" t="inlineStr">
        <is>
          <t>Cold Soldering</t>
        </is>
      </c>
      <c r="O1596" s="32" t="n">
        <v>585</v>
      </c>
      <c r="P1596" s="2" t="inlineStr">
        <is>
          <t>NSMI24090464390</t>
        </is>
      </c>
      <c r="Q1596" s="29">
        <f>MID(P1596,5,2)</f>
        <v/>
      </c>
      <c r="R1596" s="14">
        <f>MID(P1596,7,2)</f>
        <v/>
      </c>
      <c r="S1596" s="6" t="inlineStr">
        <is>
          <t>G2G</t>
        </is>
      </c>
      <c r="T1596" s="1" t="inlineStr">
        <is>
          <t>P4 - PEIPL</t>
        </is>
      </c>
      <c r="U1596" s="1" t="inlineStr">
        <is>
          <t>P JB Cold Soldering</t>
        </is>
      </c>
      <c r="V1596" s="1" t="inlineStr">
        <is>
          <t>Inspection</t>
        </is>
      </c>
      <c r="W1596" s="1" t="inlineStr">
        <is>
          <t>Repair</t>
        </is>
      </c>
      <c r="X1596" s="5" t="n">
        <v>46191</v>
      </c>
      <c r="Y1596" s="1">
        <f>IF(X1596="","",X1596-A1596)</f>
        <v/>
      </c>
      <c r="Z1596" s="5" t="n">
        <v>46191</v>
      </c>
      <c r="AA1596" s="3" t="n"/>
      <c r="AB1596" s="3" t="n"/>
      <c r="AE1596" s="146">
        <f>IF(AND(F1596="Closed",X1596&gt;=DATE(2026,6,1),X1596&lt;=DATE(2026,6,30)),"Closed in June","other")</f>
        <v/>
      </c>
    </row>
    <row r="1597" hidden="1">
      <c r="A1597" s="49" t="n">
        <v>46177</v>
      </c>
      <c r="B1597" s="1" t="n">
        <v>2026</v>
      </c>
      <c r="C1597" s="8" t="inlineStr">
        <is>
          <t>Ayana</t>
        </is>
      </c>
      <c r="D1597" s="11" t="inlineStr">
        <is>
          <t>Utility and C&amp;I</t>
        </is>
      </c>
      <c r="E1597" s="1" t="n"/>
      <c r="F1597" s="1" t="inlineStr">
        <is>
          <t>Closed</t>
        </is>
      </c>
      <c r="G1597" s="11" t="inlineStr">
        <is>
          <t>Vasu.N</t>
        </is>
      </c>
      <c r="H1597" s="8" t="n">
        <v>9578099893</v>
      </c>
      <c r="I1597" s="10" t="inlineStr">
        <is>
          <t>PE04062601</t>
        </is>
      </c>
      <c r="J1597" s="6" t="inlineStr">
        <is>
          <t>Diode issue</t>
        </is>
      </c>
      <c r="K1597" s="8" t="inlineStr">
        <is>
          <t>Jatavira</t>
        </is>
      </c>
      <c r="L1597" s="39" t="inlineStr">
        <is>
          <t>Gujarat</t>
        </is>
      </c>
      <c r="M1597" s="2" t="inlineStr">
        <is>
          <t>PS</t>
        </is>
      </c>
      <c r="N1597" s="1" t="inlineStr">
        <is>
          <t>Cold Soldering</t>
        </is>
      </c>
      <c r="O1597" s="32" t="n">
        <v>585</v>
      </c>
      <c r="P1597" s="2" t="inlineStr">
        <is>
          <t>NSMI24090521992</t>
        </is>
      </c>
      <c r="Q1597" s="29">
        <f>MID(P1597,5,2)</f>
        <v/>
      </c>
      <c r="R1597" s="14">
        <f>MID(P1597,7,2)</f>
        <v/>
      </c>
      <c r="S1597" s="6" t="inlineStr">
        <is>
          <t>G2G</t>
        </is>
      </c>
      <c r="T1597" s="1" t="inlineStr">
        <is>
          <t>P4 - PEIPL</t>
        </is>
      </c>
      <c r="U1597" s="1" t="inlineStr">
        <is>
          <t>P JB Cold Soldering</t>
        </is>
      </c>
      <c r="V1597" s="1" t="inlineStr">
        <is>
          <t>Inspection</t>
        </is>
      </c>
      <c r="W1597" s="1" t="inlineStr">
        <is>
          <t>Repair</t>
        </is>
      </c>
      <c r="X1597" s="5" t="n">
        <v>46191</v>
      </c>
      <c r="Y1597" s="1">
        <f>IF(X1597="","",X1597-A1597)</f>
        <v/>
      </c>
      <c r="Z1597" s="5" t="n">
        <v>46191</v>
      </c>
      <c r="AA1597" s="3" t="n"/>
      <c r="AB1597" s="3" t="n"/>
      <c r="AE1597" s="146">
        <f>IF(AND(F1597="Closed",X1597&gt;=DATE(2026,6,1),X1597&lt;=DATE(2026,6,30)),"Closed in June","other")</f>
        <v/>
      </c>
    </row>
    <row r="1598" hidden="1">
      <c r="A1598" s="49" t="n">
        <v>46177</v>
      </c>
      <c r="B1598" s="1" t="n">
        <v>2026</v>
      </c>
      <c r="C1598" s="8" t="inlineStr">
        <is>
          <t>Ayana</t>
        </is>
      </c>
      <c r="D1598" s="11" t="inlineStr">
        <is>
          <t>Utility and C&amp;I</t>
        </is>
      </c>
      <c r="E1598" s="1" t="n"/>
      <c r="F1598" s="1" t="inlineStr">
        <is>
          <t>Closed</t>
        </is>
      </c>
      <c r="G1598" s="11" t="inlineStr">
        <is>
          <t>Vasu.N</t>
        </is>
      </c>
      <c r="H1598" s="8" t="n">
        <v>9578099893</v>
      </c>
      <c r="I1598" s="10" t="inlineStr">
        <is>
          <t>PE04062601</t>
        </is>
      </c>
      <c r="J1598" s="6" t="inlineStr">
        <is>
          <t>Diode issue</t>
        </is>
      </c>
      <c r="K1598" s="8" t="inlineStr">
        <is>
          <t>Jatavira</t>
        </is>
      </c>
      <c r="L1598" s="39" t="inlineStr">
        <is>
          <t>Gujarat</t>
        </is>
      </c>
      <c r="M1598" s="2" t="inlineStr">
        <is>
          <t>PS</t>
        </is>
      </c>
      <c r="N1598" s="1" t="inlineStr">
        <is>
          <t>Cold Soldering</t>
        </is>
      </c>
      <c r="O1598" s="32" t="n">
        <v>585</v>
      </c>
      <c r="P1598" s="2" t="inlineStr">
        <is>
          <t>NSMI24090522020</t>
        </is>
      </c>
      <c r="Q1598" s="29">
        <f>MID(P1598,5,2)</f>
        <v/>
      </c>
      <c r="R1598" s="14">
        <f>MID(P1598,7,2)</f>
        <v/>
      </c>
      <c r="S1598" s="6" t="inlineStr">
        <is>
          <t>G2G</t>
        </is>
      </c>
      <c r="T1598" s="1" t="inlineStr">
        <is>
          <t>P4 - PEIPL</t>
        </is>
      </c>
      <c r="U1598" s="1" t="inlineStr">
        <is>
          <t>P JB Cold Soldering</t>
        </is>
      </c>
      <c r="V1598" s="1" t="inlineStr">
        <is>
          <t>Inspection</t>
        </is>
      </c>
      <c r="W1598" s="1" t="inlineStr">
        <is>
          <t>Repair</t>
        </is>
      </c>
      <c r="X1598" s="5" t="n">
        <v>46191</v>
      </c>
      <c r="Y1598" s="1">
        <f>IF(X1598="","",X1598-A1598)</f>
        <v/>
      </c>
      <c r="Z1598" s="5" t="n">
        <v>46191</v>
      </c>
      <c r="AA1598" s="3" t="n"/>
      <c r="AB1598" s="3" t="n"/>
      <c r="AE1598" s="146">
        <f>IF(AND(F1598="Closed",X1598&gt;=DATE(2026,6,1),X1598&lt;=DATE(2026,6,30)),"Closed in June","other")</f>
        <v/>
      </c>
    </row>
    <row r="1599" hidden="1">
      <c r="A1599" s="49" t="n">
        <v>46177</v>
      </c>
      <c r="B1599" s="1" t="n">
        <v>2026</v>
      </c>
      <c r="C1599" s="8" t="inlineStr">
        <is>
          <t>Ayana</t>
        </is>
      </c>
      <c r="D1599" s="11" t="inlineStr">
        <is>
          <t>Utility and C&amp;I</t>
        </is>
      </c>
      <c r="E1599" s="1" t="n"/>
      <c r="F1599" s="1" t="inlineStr">
        <is>
          <t>Closed</t>
        </is>
      </c>
      <c r="G1599" s="11" t="inlineStr">
        <is>
          <t>Vasu.N</t>
        </is>
      </c>
      <c r="H1599" s="8" t="n">
        <v>9578099893</v>
      </c>
      <c r="I1599" s="10" t="inlineStr">
        <is>
          <t>PE04062601</t>
        </is>
      </c>
      <c r="J1599" s="6" t="inlineStr">
        <is>
          <t>Diode issue</t>
        </is>
      </c>
      <c r="K1599" s="8" t="inlineStr">
        <is>
          <t>Jatavira</t>
        </is>
      </c>
      <c r="L1599" s="39" t="inlineStr">
        <is>
          <t>Gujarat</t>
        </is>
      </c>
      <c r="M1599" s="2" t="inlineStr">
        <is>
          <t>PS</t>
        </is>
      </c>
      <c r="N1599" s="1" t="inlineStr">
        <is>
          <t>Cold Soldering</t>
        </is>
      </c>
      <c r="O1599" s="32" t="n">
        <v>585</v>
      </c>
      <c r="P1599" s="2" t="inlineStr">
        <is>
          <t>NSMI24100548931</t>
        </is>
      </c>
      <c r="Q1599" s="29">
        <f>MID(P1599,5,2)</f>
        <v/>
      </c>
      <c r="R1599" s="14">
        <f>MID(P1599,7,2)</f>
        <v/>
      </c>
      <c r="S1599" s="6" t="inlineStr">
        <is>
          <t>G2G</t>
        </is>
      </c>
      <c r="T1599" s="1" t="inlineStr">
        <is>
          <t>P4 - PEIPL</t>
        </is>
      </c>
      <c r="U1599" s="1" t="inlineStr">
        <is>
          <t>P JB Cold Soldering</t>
        </is>
      </c>
      <c r="V1599" s="1" t="inlineStr">
        <is>
          <t>Inspection</t>
        </is>
      </c>
      <c r="W1599" s="1" t="inlineStr">
        <is>
          <t>Repair</t>
        </is>
      </c>
      <c r="X1599" s="5" t="n">
        <v>46191</v>
      </c>
      <c r="Y1599" s="1">
        <f>IF(X1599="","",X1599-A1599)</f>
        <v/>
      </c>
      <c r="Z1599" s="5" t="n">
        <v>46191</v>
      </c>
      <c r="AA1599" s="3" t="n"/>
      <c r="AB1599" s="3" t="n"/>
      <c r="AE1599" s="146">
        <f>IF(AND(F1599="Closed",X1599&gt;=DATE(2026,6,1),X1599&lt;=DATE(2026,6,30)),"Closed in June","other")</f>
        <v/>
      </c>
    </row>
    <row r="1600" hidden="1">
      <c r="A1600" s="49" t="n">
        <v>46177</v>
      </c>
      <c r="B1600" s="1" t="n">
        <v>2026</v>
      </c>
      <c r="C1600" s="8" t="inlineStr">
        <is>
          <t>Ayana</t>
        </is>
      </c>
      <c r="D1600" s="11" t="inlineStr">
        <is>
          <t>Utility and C&amp;I</t>
        </is>
      </c>
      <c r="E1600" s="1" t="n"/>
      <c r="F1600" s="1" t="inlineStr">
        <is>
          <t>Closed</t>
        </is>
      </c>
      <c r="G1600" s="11" t="inlineStr">
        <is>
          <t>Vasu.N</t>
        </is>
      </c>
      <c r="H1600" s="8" t="n">
        <v>9578099893</v>
      </c>
      <c r="I1600" s="10" t="inlineStr">
        <is>
          <t>PE04062601</t>
        </is>
      </c>
      <c r="J1600" s="6" t="inlineStr">
        <is>
          <t>Diode issue</t>
        </is>
      </c>
      <c r="K1600" s="8" t="inlineStr">
        <is>
          <t>Jatavira</t>
        </is>
      </c>
      <c r="L1600" s="39" t="inlineStr">
        <is>
          <t>Gujarat</t>
        </is>
      </c>
      <c r="M1600" s="2" t="inlineStr">
        <is>
          <t>PS</t>
        </is>
      </c>
      <c r="N1600" s="1" t="inlineStr">
        <is>
          <t>Cold Soldering</t>
        </is>
      </c>
      <c r="O1600" s="32" t="n">
        <v>585</v>
      </c>
      <c r="P1600" s="2" t="inlineStr">
        <is>
          <t>NSMI24100545285</t>
        </is>
      </c>
      <c r="Q1600" s="29">
        <f>MID(P1600,5,2)</f>
        <v/>
      </c>
      <c r="R1600" s="14">
        <f>MID(P1600,7,2)</f>
        <v/>
      </c>
      <c r="S1600" s="6" t="inlineStr">
        <is>
          <t>G2G</t>
        </is>
      </c>
      <c r="T1600" s="1" t="inlineStr">
        <is>
          <t>P4 - PEIPL</t>
        </is>
      </c>
      <c r="U1600" s="1" t="inlineStr">
        <is>
          <t>P JB Cold Soldering</t>
        </is>
      </c>
      <c r="V1600" s="1" t="inlineStr">
        <is>
          <t>Inspection</t>
        </is>
      </c>
      <c r="W1600" s="1" t="inlineStr">
        <is>
          <t>Repair</t>
        </is>
      </c>
      <c r="X1600" s="5" t="n">
        <v>46191</v>
      </c>
      <c r="Y1600" s="1">
        <f>IF(X1600="","",X1600-A1600)</f>
        <v/>
      </c>
      <c r="Z1600" s="5" t="n">
        <v>46191</v>
      </c>
      <c r="AA1600" s="3" t="n"/>
      <c r="AB1600" s="3" t="n"/>
      <c r="AE1600" s="146">
        <f>IF(AND(F1600="Closed",X1600&gt;=DATE(2026,6,1),X1600&lt;=DATE(2026,6,30)),"Closed in June","other")</f>
        <v/>
      </c>
    </row>
    <row r="1601" hidden="1">
      <c r="A1601" s="49" t="n">
        <v>46177</v>
      </c>
      <c r="B1601" s="1" t="n">
        <v>2026</v>
      </c>
      <c r="C1601" s="8" t="inlineStr">
        <is>
          <t>Ayana</t>
        </is>
      </c>
      <c r="D1601" s="11" t="inlineStr">
        <is>
          <t>Utility and C&amp;I</t>
        </is>
      </c>
      <c r="E1601" s="1" t="n"/>
      <c r="F1601" s="1" t="inlineStr">
        <is>
          <t>Closed</t>
        </is>
      </c>
      <c r="G1601" s="11" t="inlineStr">
        <is>
          <t>Vasu.N</t>
        </is>
      </c>
      <c r="H1601" s="8" t="n">
        <v>9578099893</v>
      </c>
      <c r="I1601" s="10" t="inlineStr">
        <is>
          <t>PE04062601</t>
        </is>
      </c>
      <c r="J1601" s="6" t="inlineStr">
        <is>
          <t>Diode issue</t>
        </is>
      </c>
      <c r="K1601" s="8" t="inlineStr">
        <is>
          <t>Jatavira</t>
        </is>
      </c>
      <c r="L1601" s="39" t="inlineStr">
        <is>
          <t>Gujarat</t>
        </is>
      </c>
      <c r="M1601" s="2" t="inlineStr">
        <is>
          <t>PS</t>
        </is>
      </c>
      <c r="N1601" s="1" t="inlineStr">
        <is>
          <t>Cold Soldering</t>
        </is>
      </c>
      <c r="O1601" s="32" t="n">
        <v>585</v>
      </c>
      <c r="P1601" s="2" t="inlineStr">
        <is>
          <t>NSMI24090522277</t>
        </is>
      </c>
      <c r="Q1601" s="29">
        <f>MID(P1601,5,2)</f>
        <v/>
      </c>
      <c r="R1601" s="14">
        <f>MID(P1601,7,2)</f>
        <v/>
      </c>
      <c r="S1601" s="6" t="inlineStr">
        <is>
          <t>G2G</t>
        </is>
      </c>
      <c r="T1601" s="1" t="inlineStr">
        <is>
          <t>P4 - PEIPL</t>
        </is>
      </c>
      <c r="U1601" s="1" t="inlineStr">
        <is>
          <t>P JB Cold Soldering</t>
        </is>
      </c>
      <c r="V1601" s="1" t="inlineStr">
        <is>
          <t>Inspection</t>
        </is>
      </c>
      <c r="W1601" s="1" t="inlineStr">
        <is>
          <t>Repair</t>
        </is>
      </c>
      <c r="X1601" s="5" t="n">
        <v>46191</v>
      </c>
      <c r="Y1601" s="1">
        <f>IF(X1601="","",X1601-A1601)</f>
        <v/>
      </c>
      <c r="Z1601" s="5" t="n">
        <v>46191</v>
      </c>
      <c r="AA1601" s="3" t="n"/>
      <c r="AB1601" s="3" t="n"/>
      <c r="AE1601" s="146">
        <f>IF(AND(F1601="Closed",X1601&gt;=DATE(2026,6,1),X1601&lt;=DATE(2026,6,30)),"Closed in June","other")</f>
        <v/>
      </c>
    </row>
    <row r="1602" hidden="1">
      <c r="A1602" s="49" t="n">
        <v>46177</v>
      </c>
      <c r="B1602" s="1" t="n">
        <v>2026</v>
      </c>
      <c r="C1602" s="8" t="inlineStr">
        <is>
          <t>Ayana</t>
        </is>
      </c>
      <c r="D1602" s="11" t="inlineStr">
        <is>
          <t>Utility and C&amp;I</t>
        </is>
      </c>
      <c r="E1602" s="1" t="n"/>
      <c r="F1602" s="1" t="inlineStr">
        <is>
          <t>Closed</t>
        </is>
      </c>
      <c r="G1602" s="11" t="inlineStr">
        <is>
          <t>Vasu.N</t>
        </is>
      </c>
      <c r="H1602" s="8" t="n">
        <v>9578099893</v>
      </c>
      <c r="I1602" s="10" t="inlineStr">
        <is>
          <t>PE04062601</t>
        </is>
      </c>
      <c r="J1602" s="6" t="inlineStr">
        <is>
          <t>Diode issue</t>
        </is>
      </c>
      <c r="K1602" s="8" t="inlineStr">
        <is>
          <t>Jatavira</t>
        </is>
      </c>
      <c r="L1602" s="39" t="inlineStr">
        <is>
          <t>Gujarat</t>
        </is>
      </c>
      <c r="M1602" s="2" t="inlineStr">
        <is>
          <t>NS</t>
        </is>
      </c>
      <c r="N1602" s="1" t="inlineStr">
        <is>
          <t>Cold Soldering</t>
        </is>
      </c>
      <c r="O1602" s="32" t="n">
        <v>585</v>
      </c>
      <c r="P1602" s="2" t="inlineStr">
        <is>
          <t>NSMI24090502177</t>
        </is>
      </c>
      <c r="Q1602" s="29">
        <f>MID(P1602,5,2)</f>
        <v/>
      </c>
      <c r="R1602" s="14">
        <f>MID(P1602,7,2)</f>
        <v/>
      </c>
      <c r="S1602" s="6" t="inlineStr">
        <is>
          <t>G2G</t>
        </is>
      </c>
      <c r="T1602" s="1" t="inlineStr">
        <is>
          <t>P4 - PEIPL</t>
        </is>
      </c>
      <c r="U1602" s="6" t="inlineStr">
        <is>
          <t>N JB Cold Soldering</t>
        </is>
      </c>
      <c r="V1602" s="1" t="inlineStr">
        <is>
          <t>Inspection</t>
        </is>
      </c>
      <c r="W1602" s="1" t="inlineStr">
        <is>
          <t>Repair</t>
        </is>
      </c>
      <c r="X1602" s="5" t="n">
        <v>46191</v>
      </c>
      <c r="Y1602" s="1">
        <f>IF(X1602="","",X1602-A1602)</f>
        <v/>
      </c>
      <c r="Z1602" s="5" t="n">
        <v>46191</v>
      </c>
      <c r="AA1602" s="3" t="n"/>
      <c r="AB1602" s="3" t="n"/>
      <c r="AE1602" s="146">
        <f>IF(AND(F1602="Closed",X1602&gt;=DATE(2026,6,1),X1602&lt;=DATE(2026,6,30)),"Closed in June","other")</f>
        <v/>
      </c>
    </row>
    <row r="1603" hidden="1">
      <c r="A1603" s="49" t="n">
        <v>46177</v>
      </c>
      <c r="B1603" s="1" t="n">
        <v>2026</v>
      </c>
      <c r="C1603" s="8" t="inlineStr">
        <is>
          <t>Ayana</t>
        </is>
      </c>
      <c r="D1603" s="11" t="inlineStr">
        <is>
          <t>Utility and C&amp;I</t>
        </is>
      </c>
      <c r="E1603" s="1" t="n"/>
      <c r="F1603" s="1" t="inlineStr">
        <is>
          <t>Closed</t>
        </is>
      </c>
      <c r="G1603" s="11" t="inlineStr">
        <is>
          <t>Vasu.N</t>
        </is>
      </c>
      <c r="H1603" s="8" t="n">
        <v>9578099893</v>
      </c>
      <c r="I1603" s="10" t="inlineStr">
        <is>
          <t>PE04062601</t>
        </is>
      </c>
      <c r="J1603" s="6" t="inlineStr">
        <is>
          <t>Diode issue</t>
        </is>
      </c>
      <c r="K1603" s="8" t="inlineStr">
        <is>
          <t>Jatavira</t>
        </is>
      </c>
      <c r="L1603" s="39" t="inlineStr">
        <is>
          <t>Gujarat</t>
        </is>
      </c>
      <c r="M1603" s="2" t="inlineStr">
        <is>
          <t>PS</t>
        </is>
      </c>
      <c r="N1603" s="1" t="inlineStr">
        <is>
          <t>Cold Soldering</t>
        </is>
      </c>
      <c r="O1603" s="32" t="n">
        <v>585</v>
      </c>
      <c r="P1603" s="2" t="inlineStr">
        <is>
          <t>NSMI24090520898</t>
        </is>
      </c>
      <c r="Q1603" s="29">
        <f>MID(P1603,5,2)</f>
        <v/>
      </c>
      <c r="R1603" s="14">
        <f>MID(P1603,7,2)</f>
        <v/>
      </c>
      <c r="S1603" s="6" t="inlineStr">
        <is>
          <t>G2G</t>
        </is>
      </c>
      <c r="T1603" s="1" t="inlineStr">
        <is>
          <t>P4 - PEIPL</t>
        </is>
      </c>
      <c r="U1603" s="1" t="inlineStr">
        <is>
          <t>P JB Cold Soldering</t>
        </is>
      </c>
      <c r="V1603" s="1" t="inlineStr">
        <is>
          <t>Inspection</t>
        </is>
      </c>
      <c r="W1603" s="1" t="inlineStr">
        <is>
          <t>Repair</t>
        </is>
      </c>
      <c r="X1603" s="5" t="n">
        <v>46191</v>
      </c>
      <c r="Y1603" s="1">
        <f>IF(X1603="","",X1603-A1603)</f>
        <v/>
      </c>
      <c r="Z1603" s="5" t="n">
        <v>46191</v>
      </c>
      <c r="AA1603" s="3" t="n"/>
      <c r="AB1603" s="3" t="n"/>
      <c r="AE1603" s="146">
        <f>IF(AND(F1603="Closed",X1603&gt;=DATE(2026,6,1),X1603&lt;=DATE(2026,6,30)),"Closed in June","other")</f>
        <v/>
      </c>
    </row>
    <row r="1604" hidden="1">
      <c r="A1604" s="49" t="n">
        <v>46177</v>
      </c>
      <c r="B1604" s="1" t="n">
        <v>2026</v>
      </c>
      <c r="C1604" s="8" t="inlineStr">
        <is>
          <t>Ayana</t>
        </is>
      </c>
      <c r="D1604" s="11" t="inlineStr">
        <is>
          <t>Utility and C&amp;I</t>
        </is>
      </c>
      <c r="E1604" s="1" t="n"/>
      <c r="F1604" s="1" t="inlineStr">
        <is>
          <t>Closed</t>
        </is>
      </c>
      <c r="G1604" s="11" t="inlineStr">
        <is>
          <t>Vasu.N</t>
        </is>
      </c>
      <c r="H1604" s="8" t="n">
        <v>9578099893</v>
      </c>
      <c r="I1604" s="10" t="inlineStr">
        <is>
          <t>PE04062601</t>
        </is>
      </c>
      <c r="J1604" s="6" t="inlineStr">
        <is>
          <t>Diode issue</t>
        </is>
      </c>
      <c r="K1604" s="8" t="inlineStr">
        <is>
          <t>Jatavira</t>
        </is>
      </c>
      <c r="L1604" s="39" t="inlineStr">
        <is>
          <t>Gujarat</t>
        </is>
      </c>
      <c r="M1604" s="2" t="inlineStr">
        <is>
          <t>PS</t>
        </is>
      </c>
      <c r="N1604" s="1" t="inlineStr">
        <is>
          <t>Cold Soldering</t>
        </is>
      </c>
      <c r="O1604" s="32" t="n">
        <v>585</v>
      </c>
      <c r="P1604" s="2" t="inlineStr">
        <is>
          <t>NSMI24090428371</t>
        </is>
      </c>
      <c r="Q1604" s="29">
        <f>MID(P1604,5,2)</f>
        <v/>
      </c>
      <c r="R1604" s="14">
        <f>MID(P1604,7,2)</f>
        <v/>
      </c>
      <c r="S1604" s="6" t="inlineStr">
        <is>
          <t>G2G</t>
        </is>
      </c>
      <c r="T1604" s="1" t="inlineStr">
        <is>
          <t>P4 - PEIPL</t>
        </is>
      </c>
      <c r="U1604" s="1" t="inlineStr">
        <is>
          <t>P JB Cold Soldering</t>
        </is>
      </c>
      <c r="V1604" s="1" t="inlineStr">
        <is>
          <t>Inspection</t>
        </is>
      </c>
      <c r="W1604" s="1" t="inlineStr">
        <is>
          <t>Repair</t>
        </is>
      </c>
      <c r="X1604" s="5" t="n">
        <v>46191</v>
      </c>
      <c r="Y1604" s="1">
        <f>IF(X1604="","",X1604-A1604)</f>
        <v/>
      </c>
      <c r="Z1604" s="5" t="n">
        <v>46191</v>
      </c>
      <c r="AA1604" s="3" t="n"/>
      <c r="AB1604" s="3" t="n"/>
      <c r="AE1604" s="146">
        <f>IF(AND(F1604="Closed",X1604&gt;=DATE(2026,6,1),X1604&lt;=DATE(2026,6,30)),"Closed in June","other")</f>
        <v/>
      </c>
    </row>
    <row r="1605" hidden="1">
      <c r="A1605" s="49" t="n">
        <v>46177</v>
      </c>
      <c r="B1605" s="1" t="n">
        <v>2026</v>
      </c>
      <c r="C1605" s="8" t="inlineStr">
        <is>
          <t>Ayana</t>
        </is>
      </c>
      <c r="D1605" s="11" t="inlineStr">
        <is>
          <t>Utility and C&amp;I</t>
        </is>
      </c>
      <c r="E1605" s="1" t="n"/>
      <c r="F1605" s="1" t="inlineStr">
        <is>
          <t>Closed</t>
        </is>
      </c>
      <c r="G1605" s="11" t="inlineStr">
        <is>
          <t>Vasu.N</t>
        </is>
      </c>
      <c r="H1605" s="8" t="n">
        <v>9578099893</v>
      </c>
      <c r="I1605" s="10" t="inlineStr">
        <is>
          <t>PE04062601</t>
        </is>
      </c>
      <c r="J1605" s="6" t="inlineStr">
        <is>
          <t>Diode issue</t>
        </is>
      </c>
      <c r="K1605" s="8" t="inlineStr">
        <is>
          <t>Jatavira</t>
        </is>
      </c>
      <c r="L1605" s="39" t="inlineStr">
        <is>
          <t>Gujarat</t>
        </is>
      </c>
      <c r="M1605" s="2" t="inlineStr">
        <is>
          <t>PS</t>
        </is>
      </c>
      <c r="N1605" s="1" t="inlineStr">
        <is>
          <t>Cold Soldering</t>
        </is>
      </c>
      <c r="O1605" s="32" t="n">
        <v>585</v>
      </c>
      <c r="P1605" s="2" t="inlineStr">
        <is>
          <t>NSMI24090430046</t>
        </is>
      </c>
      <c r="Q1605" s="29">
        <f>MID(P1605,5,2)</f>
        <v/>
      </c>
      <c r="R1605" s="14">
        <f>MID(P1605,7,2)</f>
        <v/>
      </c>
      <c r="S1605" s="6" t="inlineStr">
        <is>
          <t>G2G</t>
        </is>
      </c>
      <c r="T1605" s="1" t="inlineStr">
        <is>
          <t>P4 - PEIPL</t>
        </is>
      </c>
      <c r="U1605" s="1" t="inlineStr">
        <is>
          <t>P JB Cold Soldering</t>
        </is>
      </c>
      <c r="V1605" s="1" t="inlineStr">
        <is>
          <t>Inspection</t>
        </is>
      </c>
      <c r="W1605" s="1" t="inlineStr">
        <is>
          <t>Repair</t>
        </is>
      </c>
      <c r="X1605" s="5" t="n">
        <v>46191</v>
      </c>
      <c r="Y1605" s="1">
        <f>IF(X1605="","",X1605-A1605)</f>
        <v/>
      </c>
      <c r="Z1605" s="5" t="n">
        <v>46191</v>
      </c>
      <c r="AA1605" s="3" t="n"/>
      <c r="AB1605" s="3" t="n"/>
      <c r="AE1605" s="146">
        <f>IF(AND(F1605="Closed",X1605&gt;=DATE(2026,6,1),X1605&lt;=DATE(2026,6,30)),"Closed in June","other")</f>
        <v/>
      </c>
    </row>
    <row r="1606" hidden="1">
      <c r="A1606" s="49" t="n">
        <v>46177</v>
      </c>
      <c r="B1606" s="1" t="n">
        <v>2026</v>
      </c>
      <c r="C1606" s="8" t="inlineStr">
        <is>
          <t>Ayana</t>
        </is>
      </c>
      <c r="D1606" s="11" t="inlineStr">
        <is>
          <t>Utility and C&amp;I</t>
        </is>
      </c>
      <c r="E1606" s="1" t="n"/>
      <c r="F1606" s="1" t="inlineStr">
        <is>
          <t>Closed</t>
        </is>
      </c>
      <c r="G1606" s="11" t="inlineStr">
        <is>
          <t>Vasu.N</t>
        </is>
      </c>
      <c r="H1606" s="8" t="n">
        <v>9578099893</v>
      </c>
      <c r="I1606" s="10" t="inlineStr">
        <is>
          <t>PE04062601</t>
        </is>
      </c>
      <c r="J1606" s="6" t="inlineStr">
        <is>
          <t>Diode issue</t>
        </is>
      </c>
      <c r="K1606" s="8" t="inlineStr">
        <is>
          <t>Jatavira</t>
        </is>
      </c>
      <c r="L1606" s="39" t="inlineStr">
        <is>
          <t>Gujarat</t>
        </is>
      </c>
      <c r="M1606" s="2" t="inlineStr">
        <is>
          <t>PR</t>
        </is>
      </c>
      <c r="N1606" s="1" t="inlineStr">
        <is>
          <t>JB Issue</t>
        </is>
      </c>
      <c r="O1606" s="32" t="n">
        <v>585</v>
      </c>
      <c r="P1606" s="2" t="inlineStr">
        <is>
          <t>NSMI24090521001</t>
        </is>
      </c>
      <c r="Q1606" s="29">
        <f>MID(P1606,5,2)</f>
        <v/>
      </c>
      <c r="R1606" s="14">
        <f>MID(P1606,7,2)</f>
        <v/>
      </c>
      <c r="S1606" s="6" t="inlineStr">
        <is>
          <t>G2G</t>
        </is>
      </c>
      <c r="T1606" s="1" t="inlineStr">
        <is>
          <t>P4 - PEIPL</t>
        </is>
      </c>
      <c r="U1606" s="6" t="inlineStr">
        <is>
          <t>P JB Issue</t>
        </is>
      </c>
      <c r="V1606" s="1" t="inlineStr">
        <is>
          <t>Inspection</t>
        </is>
      </c>
      <c r="W1606" s="1" t="inlineStr">
        <is>
          <t>Repair</t>
        </is>
      </c>
      <c r="X1606" s="5" t="n">
        <v>46191</v>
      </c>
      <c r="Y1606" s="1">
        <f>IF(X1606="","",X1606-A1606)</f>
        <v/>
      </c>
      <c r="Z1606" s="5" t="n">
        <v>46191</v>
      </c>
      <c r="AA1606" s="3" t="n"/>
      <c r="AB1606" s="3" t="n"/>
      <c r="AE1606" s="146">
        <f>IF(AND(F1606="Closed",X1606&gt;=DATE(2026,6,1),X1606&lt;=DATE(2026,6,30)),"Closed in June","other")</f>
        <v/>
      </c>
    </row>
    <row r="1607" hidden="1">
      <c r="A1607" s="49" t="n">
        <v>46177</v>
      </c>
      <c r="B1607" s="1" t="n">
        <v>2026</v>
      </c>
      <c r="C1607" s="8" t="inlineStr">
        <is>
          <t>Ayana</t>
        </is>
      </c>
      <c r="D1607" s="11" t="inlineStr">
        <is>
          <t>Utility and C&amp;I</t>
        </is>
      </c>
      <c r="E1607" s="1" t="n"/>
      <c r="F1607" s="1" t="inlineStr">
        <is>
          <t>Closed</t>
        </is>
      </c>
      <c r="G1607" s="11" t="inlineStr">
        <is>
          <t>Vasu.N</t>
        </is>
      </c>
      <c r="H1607" s="8" t="n">
        <v>9578099893</v>
      </c>
      <c r="I1607" s="10" t="inlineStr">
        <is>
          <t>PE04062601</t>
        </is>
      </c>
      <c r="J1607" s="6" t="inlineStr">
        <is>
          <t>Diode issue</t>
        </is>
      </c>
      <c r="K1607" s="8" t="inlineStr">
        <is>
          <t>Jatavira</t>
        </is>
      </c>
      <c r="L1607" s="39" t="inlineStr">
        <is>
          <t>Gujarat</t>
        </is>
      </c>
      <c r="M1607" s="2" t="inlineStr">
        <is>
          <t>PS</t>
        </is>
      </c>
      <c r="N1607" s="1" t="inlineStr">
        <is>
          <t>Cold Soldering</t>
        </is>
      </c>
      <c r="O1607" s="32" t="n">
        <v>585</v>
      </c>
      <c r="P1607" s="2" t="inlineStr">
        <is>
          <t>NSMI24100585825</t>
        </is>
      </c>
      <c r="Q1607" s="29">
        <f>MID(P1607,5,2)</f>
        <v/>
      </c>
      <c r="R1607" s="14">
        <f>MID(P1607,7,2)</f>
        <v/>
      </c>
      <c r="S1607" s="6" t="inlineStr">
        <is>
          <t>G2G</t>
        </is>
      </c>
      <c r="T1607" s="1" t="inlineStr">
        <is>
          <t>P4 - PEIPL</t>
        </is>
      </c>
      <c r="U1607" s="1" t="inlineStr">
        <is>
          <t>P JB Cold Soldering</t>
        </is>
      </c>
      <c r="V1607" s="1" t="inlineStr">
        <is>
          <t>Inspection</t>
        </is>
      </c>
      <c r="W1607" s="1" t="inlineStr">
        <is>
          <t>Repair</t>
        </is>
      </c>
      <c r="X1607" s="5" t="n">
        <v>46191</v>
      </c>
      <c r="Y1607" s="1">
        <f>IF(X1607="","",X1607-A1607)</f>
        <v/>
      </c>
      <c r="Z1607" s="5" t="n">
        <v>46191</v>
      </c>
      <c r="AA1607" s="3" t="n"/>
      <c r="AB1607" s="3" t="n"/>
      <c r="AE1607" s="146">
        <f>IF(AND(F1607="Closed",X1607&gt;=DATE(2026,6,1),X1607&lt;=DATE(2026,6,30)),"Closed in June","other")</f>
        <v/>
      </c>
    </row>
    <row r="1608" hidden="1">
      <c r="A1608" s="49" t="n">
        <v>46177</v>
      </c>
      <c r="B1608" s="1" t="n">
        <v>2026</v>
      </c>
      <c r="C1608" s="8" t="inlineStr">
        <is>
          <t>Ayana</t>
        </is>
      </c>
      <c r="D1608" s="11" t="inlineStr">
        <is>
          <t>Utility and C&amp;I</t>
        </is>
      </c>
      <c r="E1608" s="1" t="n"/>
      <c r="F1608" s="1" t="inlineStr">
        <is>
          <t>Closed</t>
        </is>
      </c>
      <c r="G1608" s="11" t="inlineStr">
        <is>
          <t>Vasu.N</t>
        </is>
      </c>
      <c r="H1608" s="8" t="n">
        <v>9578099893</v>
      </c>
      <c r="I1608" s="10" t="inlineStr">
        <is>
          <t>PE04062601</t>
        </is>
      </c>
      <c r="J1608" s="6" t="inlineStr">
        <is>
          <t>Diode issue</t>
        </is>
      </c>
      <c r="K1608" s="8" t="inlineStr">
        <is>
          <t>Jatavira</t>
        </is>
      </c>
      <c r="L1608" s="39" t="inlineStr">
        <is>
          <t>Gujarat</t>
        </is>
      </c>
      <c r="M1608" s="2" t="inlineStr">
        <is>
          <t>PR</t>
        </is>
      </c>
      <c r="N1608" s="1" t="inlineStr">
        <is>
          <t>JB Issue</t>
        </is>
      </c>
      <c r="O1608" s="32" t="n">
        <v>585</v>
      </c>
      <c r="P1608" s="2" t="inlineStr">
        <is>
          <t>NSMI24100579823</t>
        </is>
      </c>
      <c r="Q1608" s="29">
        <f>MID(P1608,5,2)</f>
        <v/>
      </c>
      <c r="R1608" s="14">
        <f>MID(P1608,7,2)</f>
        <v/>
      </c>
      <c r="S1608" s="6" t="inlineStr">
        <is>
          <t>G2G</t>
        </is>
      </c>
      <c r="T1608" s="1" t="inlineStr">
        <is>
          <t>P4 - PEIPL</t>
        </is>
      </c>
      <c r="U1608" s="6" t="inlineStr">
        <is>
          <t>P JB Issue</t>
        </is>
      </c>
      <c r="V1608" s="1" t="inlineStr">
        <is>
          <t>Inspection</t>
        </is>
      </c>
      <c r="W1608" s="1" t="inlineStr">
        <is>
          <t>Repair</t>
        </is>
      </c>
      <c r="X1608" s="5" t="n">
        <v>46191</v>
      </c>
      <c r="Y1608" s="1">
        <f>IF(X1608="","",X1608-A1608)</f>
        <v/>
      </c>
      <c r="Z1608" s="5" t="n">
        <v>46191</v>
      </c>
      <c r="AA1608" s="3" t="n"/>
      <c r="AB1608" s="3" t="n"/>
      <c r="AE1608" s="146">
        <f>IF(AND(F1608="Closed",X1608&gt;=DATE(2026,6,1),X1608&lt;=DATE(2026,6,30)),"Closed in June","other")</f>
        <v/>
      </c>
    </row>
    <row r="1609" hidden="1">
      <c r="A1609" s="49" t="n">
        <v>46177</v>
      </c>
      <c r="B1609" s="1" t="n">
        <v>2026</v>
      </c>
      <c r="C1609" s="8" t="inlineStr">
        <is>
          <t>Ayana</t>
        </is>
      </c>
      <c r="D1609" s="11" t="inlineStr">
        <is>
          <t>Utility and C&amp;I</t>
        </is>
      </c>
      <c r="E1609" s="1" t="n"/>
      <c r="F1609" s="1" t="inlineStr">
        <is>
          <t>Closed</t>
        </is>
      </c>
      <c r="G1609" s="11" t="inlineStr">
        <is>
          <t>Vasu.N</t>
        </is>
      </c>
      <c r="H1609" s="8" t="n">
        <v>9578099893</v>
      </c>
      <c r="I1609" s="10" t="inlineStr">
        <is>
          <t>PE04062601</t>
        </is>
      </c>
      <c r="J1609" s="6" t="inlineStr">
        <is>
          <t>Diode issue</t>
        </is>
      </c>
      <c r="K1609" s="8" t="inlineStr">
        <is>
          <t>Jatavira</t>
        </is>
      </c>
      <c r="L1609" s="39" t="inlineStr">
        <is>
          <t>Gujarat</t>
        </is>
      </c>
      <c r="M1609" s="2" t="inlineStr">
        <is>
          <t>PS</t>
        </is>
      </c>
      <c r="N1609" s="1" t="inlineStr">
        <is>
          <t>Cold Soldering</t>
        </is>
      </c>
      <c r="O1609" s="32" t="n">
        <v>585</v>
      </c>
      <c r="P1609" s="2" t="inlineStr">
        <is>
          <t>NSMI24100575759</t>
        </is>
      </c>
      <c r="Q1609" s="29">
        <f>MID(P1609,5,2)</f>
        <v/>
      </c>
      <c r="R1609" s="14">
        <f>MID(P1609,7,2)</f>
        <v/>
      </c>
      <c r="S1609" s="6" t="inlineStr">
        <is>
          <t>G2G</t>
        </is>
      </c>
      <c r="T1609" s="1" t="inlineStr">
        <is>
          <t>P4 - PEIPL</t>
        </is>
      </c>
      <c r="U1609" s="1" t="inlineStr">
        <is>
          <t>P JB Cold Soldering</t>
        </is>
      </c>
      <c r="V1609" s="1" t="inlineStr">
        <is>
          <t>Inspection</t>
        </is>
      </c>
      <c r="W1609" s="1" t="inlineStr">
        <is>
          <t>Repair</t>
        </is>
      </c>
      <c r="X1609" s="5" t="n">
        <v>46191</v>
      </c>
      <c r="Y1609" s="1">
        <f>IF(X1609="","",X1609-A1609)</f>
        <v/>
      </c>
      <c r="Z1609" s="5" t="n">
        <v>46191</v>
      </c>
      <c r="AA1609" s="3" t="n"/>
      <c r="AB1609" s="3" t="n"/>
      <c r="AE1609" s="146">
        <f>IF(AND(F1609="Closed",X1609&gt;=DATE(2026,6,1),X1609&lt;=DATE(2026,6,30)),"Closed in June","other")</f>
        <v/>
      </c>
    </row>
    <row r="1610" hidden="1">
      <c r="A1610" s="49" t="n">
        <v>46177</v>
      </c>
      <c r="B1610" s="1" t="n">
        <v>2026</v>
      </c>
      <c r="C1610" s="8" t="inlineStr">
        <is>
          <t>Ayana</t>
        </is>
      </c>
      <c r="D1610" s="11" t="inlineStr">
        <is>
          <t>Utility and C&amp;I</t>
        </is>
      </c>
      <c r="E1610" s="1" t="n"/>
      <c r="F1610" s="1" t="inlineStr">
        <is>
          <t>Closed</t>
        </is>
      </c>
      <c r="G1610" s="11" t="inlineStr">
        <is>
          <t>Vasu.N</t>
        </is>
      </c>
      <c r="H1610" s="8" t="n">
        <v>9578099893</v>
      </c>
      <c r="I1610" s="10" t="inlineStr">
        <is>
          <t>PE04062601</t>
        </is>
      </c>
      <c r="J1610" s="6" t="inlineStr">
        <is>
          <t>Diode issue</t>
        </is>
      </c>
      <c r="K1610" s="8" t="inlineStr">
        <is>
          <t>Jatavira</t>
        </is>
      </c>
      <c r="L1610" s="39" t="inlineStr">
        <is>
          <t>Gujarat</t>
        </is>
      </c>
      <c r="M1610" s="2" t="inlineStr">
        <is>
          <t>NS</t>
        </is>
      </c>
      <c r="N1610" s="1" t="inlineStr">
        <is>
          <t>Cold Soldering</t>
        </is>
      </c>
      <c r="O1610" s="32" t="n">
        <v>585</v>
      </c>
      <c r="P1610" s="2" t="inlineStr">
        <is>
          <t>NSMI24100580460</t>
        </is>
      </c>
      <c r="Q1610" s="29">
        <f>MID(P1610,5,2)</f>
        <v/>
      </c>
      <c r="R1610" s="14">
        <f>MID(P1610,7,2)</f>
        <v/>
      </c>
      <c r="S1610" s="6" t="inlineStr">
        <is>
          <t>G2G</t>
        </is>
      </c>
      <c r="T1610" s="1" t="inlineStr">
        <is>
          <t>P4 - PEIPL</t>
        </is>
      </c>
      <c r="U1610" s="6" t="inlineStr">
        <is>
          <t>N JB Cold Soldering</t>
        </is>
      </c>
      <c r="V1610" s="1" t="inlineStr">
        <is>
          <t>Inspection</t>
        </is>
      </c>
      <c r="W1610" s="1" t="inlineStr">
        <is>
          <t>Repair</t>
        </is>
      </c>
      <c r="X1610" s="5" t="n">
        <v>46191</v>
      </c>
      <c r="Y1610" s="1">
        <f>IF(X1610="","",X1610-A1610)</f>
        <v/>
      </c>
      <c r="Z1610" s="5" t="n">
        <v>46191</v>
      </c>
      <c r="AA1610" s="3" t="n"/>
      <c r="AB1610" s="3" t="n"/>
      <c r="AE1610" s="146">
        <f>IF(AND(F1610="Closed",X1610&gt;=DATE(2026,6,1),X1610&lt;=DATE(2026,6,30)),"Closed in June","other")</f>
        <v/>
      </c>
    </row>
    <row r="1611" hidden="1">
      <c r="A1611" s="49" t="n">
        <v>46177</v>
      </c>
      <c r="B1611" s="1" t="n">
        <v>2026</v>
      </c>
      <c r="C1611" s="8" t="inlineStr">
        <is>
          <t>Ayana</t>
        </is>
      </c>
      <c r="D1611" s="11" t="inlineStr">
        <is>
          <t>Utility and C&amp;I</t>
        </is>
      </c>
      <c r="E1611" s="1" t="n"/>
      <c r="F1611" s="1" t="inlineStr">
        <is>
          <t>Closed</t>
        </is>
      </c>
      <c r="G1611" s="11" t="inlineStr">
        <is>
          <t>Vasu.N</t>
        </is>
      </c>
      <c r="H1611" s="8" t="n">
        <v>9578099893</v>
      </c>
      <c r="I1611" s="10" t="inlineStr">
        <is>
          <t>PE04062601</t>
        </is>
      </c>
      <c r="J1611" s="6" t="inlineStr">
        <is>
          <t>Diode issue</t>
        </is>
      </c>
      <c r="K1611" s="8" t="inlineStr">
        <is>
          <t>Jatavira</t>
        </is>
      </c>
      <c r="L1611" s="39" t="inlineStr">
        <is>
          <t>Gujarat</t>
        </is>
      </c>
      <c r="M1611" s="2" t="inlineStr">
        <is>
          <t>PS</t>
        </is>
      </c>
      <c r="N1611" s="1" t="inlineStr">
        <is>
          <t>Cold Soldering</t>
        </is>
      </c>
      <c r="O1611" s="32" t="n">
        <v>585</v>
      </c>
      <c r="P1611" s="2" t="inlineStr">
        <is>
          <t>NSMI24090499523</t>
        </is>
      </c>
      <c r="Q1611" s="29">
        <f>MID(P1611,5,2)</f>
        <v/>
      </c>
      <c r="R1611" s="14">
        <f>MID(P1611,7,2)</f>
        <v/>
      </c>
      <c r="S1611" s="6" t="inlineStr">
        <is>
          <t>G2G</t>
        </is>
      </c>
      <c r="T1611" s="1" t="inlineStr">
        <is>
          <t>P4 - PEIPL</t>
        </is>
      </c>
      <c r="U1611" s="1" t="inlineStr">
        <is>
          <t>P JB Cold Soldering</t>
        </is>
      </c>
      <c r="V1611" s="1" t="inlineStr">
        <is>
          <t>Inspection</t>
        </is>
      </c>
      <c r="W1611" s="1" t="inlineStr">
        <is>
          <t>Repair</t>
        </is>
      </c>
      <c r="X1611" s="5" t="n">
        <v>46191</v>
      </c>
      <c r="Y1611" s="1">
        <f>IF(X1611="","",X1611-A1611)</f>
        <v/>
      </c>
      <c r="Z1611" s="5" t="n">
        <v>46191</v>
      </c>
      <c r="AA1611" s="3" t="n"/>
      <c r="AB1611" s="3" t="n"/>
      <c r="AE1611" s="146">
        <f>IF(AND(F1611="Closed",X1611&gt;=DATE(2026,6,1),X1611&lt;=DATE(2026,6,30)),"Closed in June","other")</f>
        <v/>
      </c>
    </row>
    <row r="1612" hidden="1">
      <c r="A1612" s="49" t="n">
        <v>46177</v>
      </c>
      <c r="B1612" s="1" t="n">
        <v>2026</v>
      </c>
      <c r="C1612" s="8" t="inlineStr">
        <is>
          <t>Ayana</t>
        </is>
      </c>
      <c r="D1612" s="11" t="inlineStr">
        <is>
          <t>Utility and C&amp;I</t>
        </is>
      </c>
      <c r="E1612" s="1" t="n"/>
      <c r="F1612" s="1" t="inlineStr">
        <is>
          <t>Closed</t>
        </is>
      </c>
      <c r="G1612" s="11" t="inlineStr">
        <is>
          <t>Vasu.N</t>
        </is>
      </c>
      <c r="H1612" s="8" t="n">
        <v>9578099893</v>
      </c>
      <c r="I1612" s="10" t="inlineStr">
        <is>
          <t>PE04062601</t>
        </is>
      </c>
      <c r="J1612" s="6" t="inlineStr">
        <is>
          <t>Diode issue</t>
        </is>
      </c>
      <c r="K1612" s="8" t="inlineStr">
        <is>
          <t>Jatavira</t>
        </is>
      </c>
      <c r="L1612" s="39" t="inlineStr">
        <is>
          <t>Gujarat</t>
        </is>
      </c>
      <c r="M1612" s="2" t="inlineStr">
        <is>
          <t>PS</t>
        </is>
      </c>
      <c r="N1612" s="1" t="inlineStr">
        <is>
          <t>Cold Soldering</t>
        </is>
      </c>
      <c r="O1612" s="32" t="n">
        <v>585</v>
      </c>
      <c r="P1612" s="2" t="inlineStr">
        <is>
          <t>NSMI24090482257</t>
        </is>
      </c>
      <c r="Q1612" s="29">
        <f>MID(P1612,5,2)</f>
        <v/>
      </c>
      <c r="R1612" s="14">
        <f>MID(P1612,7,2)</f>
        <v/>
      </c>
      <c r="S1612" s="6" t="inlineStr">
        <is>
          <t>G2G</t>
        </is>
      </c>
      <c r="T1612" s="1" t="inlineStr">
        <is>
          <t>P4 - PEIPL</t>
        </is>
      </c>
      <c r="U1612" s="1" t="inlineStr">
        <is>
          <t>P JB Cold Soldering</t>
        </is>
      </c>
      <c r="V1612" s="1" t="inlineStr">
        <is>
          <t>Inspection</t>
        </is>
      </c>
      <c r="W1612" s="1" t="inlineStr">
        <is>
          <t>Repair</t>
        </is>
      </c>
      <c r="X1612" s="5" t="n">
        <v>46191</v>
      </c>
      <c r="Y1612" s="1">
        <f>IF(X1612="","",X1612-A1612)</f>
        <v/>
      </c>
      <c r="Z1612" s="5" t="n">
        <v>46191</v>
      </c>
      <c r="AA1612" s="3" t="n"/>
      <c r="AB1612" s="3" t="n"/>
      <c r="AE1612" s="146">
        <f>IF(AND(F1612="Closed",X1612&gt;=DATE(2026,6,1),X1612&lt;=DATE(2026,6,30)),"Closed in June","other")</f>
        <v/>
      </c>
    </row>
    <row r="1613" hidden="1">
      <c r="A1613" s="49" t="n">
        <v>46177</v>
      </c>
      <c r="B1613" s="1" t="n">
        <v>2026</v>
      </c>
      <c r="C1613" s="8" t="inlineStr">
        <is>
          <t>Ayana</t>
        </is>
      </c>
      <c r="D1613" s="11" t="inlineStr">
        <is>
          <t>Utility and C&amp;I</t>
        </is>
      </c>
      <c r="E1613" s="1" t="n"/>
      <c r="F1613" s="1" t="inlineStr">
        <is>
          <t>WIP</t>
        </is>
      </c>
      <c r="G1613" s="11" t="inlineStr">
        <is>
          <t>Vasu.N</t>
        </is>
      </c>
      <c r="H1613" s="8" t="n">
        <v>9578099893</v>
      </c>
      <c r="I1613" s="10" t="inlineStr">
        <is>
          <t>PE04062601</t>
        </is>
      </c>
      <c r="J1613" s="28" t="inlineStr">
        <is>
          <t>Module burnt</t>
        </is>
      </c>
      <c r="K1613" s="8" t="inlineStr">
        <is>
          <t>Jatavira</t>
        </is>
      </c>
      <c r="L1613" s="39" t="inlineStr">
        <is>
          <t>Gujarat</t>
        </is>
      </c>
      <c r="M1613" s="2" t="inlineStr">
        <is>
          <t xml:space="preserve">Back glass broken </t>
        </is>
      </c>
      <c r="N1613" s="6" t="inlineStr">
        <is>
          <t>Module Breakage</t>
        </is>
      </c>
      <c r="O1613" s="32" t="n">
        <v>585</v>
      </c>
      <c r="P1613" s="2" t="inlineStr">
        <is>
          <t>NSMI24100571782</t>
        </is>
      </c>
      <c r="Q1613" s="29">
        <f>MID(P1613,5,2)</f>
        <v/>
      </c>
      <c r="R1613" s="14">
        <f>MID(P1613,7,2)</f>
        <v/>
      </c>
      <c r="S1613" s="6" t="inlineStr">
        <is>
          <t>G2G</t>
        </is>
      </c>
      <c r="T1613" s="1" t="inlineStr">
        <is>
          <t>P4 - PEIPL</t>
        </is>
      </c>
      <c r="U1613" s="6" t="inlineStr">
        <is>
          <t>Glass Breakage</t>
        </is>
      </c>
      <c r="V1613" s="1" t="inlineStr">
        <is>
          <t>Inspection</t>
        </is>
      </c>
      <c r="W1613" s="1" t="inlineStr">
        <is>
          <t>WIP</t>
        </is>
      </c>
      <c r="X1613" s="12" t="n"/>
      <c r="Y1613" s="1">
        <f>IF(X1613="","",X1613-A1613)</f>
        <v/>
      </c>
      <c r="Z1613" s="5" t="n">
        <v>46192</v>
      </c>
      <c r="AA1613" s="3" t="n"/>
      <c r="AB1613" s="3" t="n"/>
      <c r="AE1613" s="146">
        <f>IF(AND(F1613="Closed",X1613&gt;=DATE(2026,6,1),X1613&lt;=DATE(2026,6,30)),"Closed in June","other")</f>
        <v/>
      </c>
    </row>
    <row r="1614" hidden="1">
      <c r="A1614" s="49" t="n">
        <v>46177</v>
      </c>
      <c r="B1614" s="1" t="n">
        <v>2026</v>
      </c>
      <c r="C1614" s="8" t="inlineStr">
        <is>
          <t>Ayana</t>
        </is>
      </c>
      <c r="D1614" s="11" t="inlineStr">
        <is>
          <t>Utility and C&amp;I</t>
        </is>
      </c>
      <c r="E1614" s="1" t="n"/>
      <c r="F1614" s="1" t="inlineStr">
        <is>
          <t>WIP</t>
        </is>
      </c>
      <c r="G1614" s="11" t="inlineStr">
        <is>
          <t>Vasu.N</t>
        </is>
      </c>
      <c r="H1614" s="8" t="n">
        <v>9578099893</v>
      </c>
      <c r="I1614" s="10" t="inlineStr">
        <is>
          <t>PE04062601</t>
        </is>
      </c>
      <c r="J1614" s="28" t="inlineStr">
        <is>
          <t>Module burnt</t>
        </is>
      </c>
      <c r="K1614" s="8" t="inlineStr">
        <is>
          <t>Jatavira</t>
        </is>
      </c>
      <c r="L1614" s="39" t="inlineStr">
        <is>
          <t>Gujarat</t>
        </is>
      </c>
      <c r="M1614" s="2" t="inlineStr">
        <is>
          <t xml:space="preserve">Back glass broken </t>
        </is>
      </c>
      <c r="N1614" s="6" t="inlineStr">
        <is>
          <t>Module Breakage</t>
        </is>
      </c>
      <c r="O1614" s="32" t="n">
        <v>585</v>
      </c>
      <c r="P1614" s="2" t="inlineStr">
        <is>
          <t>NSMI24090540766</t>
        </is>
      </c>
      <c r="Q1614" s="29">
        <f>MID(P1614,5,2)</f>
        <v/>
      </c>
      <c r="R1614" s="14">
        <f>MID(P1614,7,2)</f>
        <v/>
      </c>
      <c r="S1614" s="6" t="inlineStr">
        <is>
          <t>G2G</t>
        </is>
      </c>
      <c r="T1614" s="1" t="inlineStr">
        <is>
          <t>P4 - PEIPL</t>
        </is>
      </c>
      <c r="U1614" s="6" t="inlineStr">
        <is>
          <t>Glass Breakage</t>
        </is>
      </c>
      <c r="V1614" s="1" t="inlineStr">
        <is>
          <t>Inspection</t>
        </is>
      </c>
      <c r="W1614" s="1" t="inlineStr">
        <is>
          <t>WIP</t>
        </is>
      </c>
      <c r="X1614" s="12" t="n"/>
      <c r="Y1614" s="1">
        <f>IF(X1614="","",X1614-A1614)</f>
        <v/>
      </c>
      <c r="Z1614" s="5" t="n">
        <v>46192</v>
      </c>
      <c r="AA1614" s="3" t="n"/>
      <c r="AB1614" s="3" t="n"/>
      <c r="AE1614" s="146">
        <f>IF(AND(F1614="Closed",X1614&gt;=DATE(2026,6,1),X1614&lt;=DATE(2026,6,30)),"Closed in June","other")</f>
        <v/>
      </c>
    </row>
    <row r="1615" hidden="1">
      <c r="A1615" s="49" t="n">
        <v>46177</v>
      </c>
      <c r="B1615" s="1" t="n">
        <v>2026</v>
      </c>
      <c r="C1615" s="8" t="inlineStr">
        <is>
          <t>Ayana</t>
        </is>
      </c>
      <c r="D1615" s="11" t="inlineStr">
        <is>
          <t>Utility and C&amp;I</t>
        </is>
      </c>
      <c r="E1615" s="1" t="n"/>
      <c r="F1615" s="1" t="inlineStr">
        <is>
          <t>WIP</t>
        </is>
      </c>
      <c r="G1615" s="11" t="inlineStr">
        <is>
          <t>Vasu.N</t>
        </is>
      </c>
      <c r="H1615" s="8" t="n">
        <v>9578099893</v>
      </c>
      <c r="I1615" s="10" t="inlineStr">
        <is>
          <t>PE04062601</t>
        </is>
      </c>
      <c r="J1615" s="28" t="inlineStr">
        <is>
          <t>Module burnt</t>
        </is>
      </c>
      <c r="K1615" s="8" t="inlineStr">
        <is>
          <t>Jatavira</t>
        </is>
      </c>
      <c r="L1615" s="39" t="inlineStr">
        <is>
          <t>Gujarat</t>
        </is>
      </c>
      <c r="M1615" s="2" t="inlineStr">
        <is>
          <t xml:space="preserve">Back glass broken </t>
        </is>
      </c>
      <c r="N1615" s="6" t="inlineStr">
        <is>
          <t>Module Breakage</t>
        </is>
      </c>
      <c r="O1615" s="32" t="n">
        <v>585</v>
      </c>
      <c r="P1615" s="2" t="inlineStr">
        <is>
          <t>NSMI24090540664</t>
        </is>
      </c>
      <c r="Q1615" s="29">
        <f>MID(P1615,5,2)</f>
        <v/>
      </c>
      <c r="R1615" s="14">
        <f>MID(P1615,7,2)</f>
        <v/>
      </c>
      <c r="S1615" s="6" t="inlineStr">
        <is>
          <t>G2G</t>
        </is>
      </c>
      <c r="T1615" s="1" t="inlineStr">
        <is>
          <t>P4 - PEIPL</t>
        </is>
      </c>
      <c r="U1615" s="6" t="inlineStr">
        <is>
          <t>Glass Breakage</t>
        </is>
      </c>
      <c r="V1615" s="1" t="inlineStr">
        <is>
          <t>Inspection</t>
        </is>
      </c>
      <c r="W1615" s="1" t="inlineStr">
        <is>
          <t>WIP</t>
        </is>
      </c>
      <c r="X1615" s="12" t="n"/>
      <c r="Y1615" s="1">
        <f>IF(X1615="","",X1615-A1615)</f>
        <v/>
      </c>
      <c r="Z1615" s="5" t="n">
        <v>46192</v>
      </c>
      <c r="AA1615" s="3" t="n"/>
      <c r="AB1615" s="3" t="n"/>
      <c r="AE1615" s="146">
        <f>IF(AND(F1615="Closed",X1615&gt;=DATE(2026,6,1),X1615&lt;=DATE(2026,6,30)),"Closed in June","other")</f>
        <v/>
      </c>
    </row>
    <row r="1616" hidden="1">
      <c r="A1616" s="49" t="n">
        <v>46177</v>
      </c>
      <c r="B1616" s="1" t="n">
        <v>2026</v>
      </c>
      <c r="C1616" s="8" t="inlineStr">
        <is>
          <t>Ayana</t>
        </is>
      </c>
      <c r="D1616" s="11" t="inlineStr">
        <is>
          <t>Utility and C&amp;I</t>
        </is>
      </c>
      <c r="E1616" s="1" t="n"/>
      <c r="F1616" s="1" t="inlineStr">
        <is>
          <t>WIP</t>
        </is>
      </c>
      <c r="G1616" s="11" t="inlineStr">
        <is>
          <t>Vasu.N</t>
        </is>
      </c>
      <c r="H1616" s="8" t="n">
        <v>9578099893</v>
      </c>
      <c r="I1616" s="10" t="inlineStr">
        <is>
          <t>PE04062601</t>
        </is>
      </c>
      <c r="J1616" s="28" t="inlineStr">
        <is>
          <t>Module burnt</t>
        </is>
      </c>
      <c r="K1616" s="8" t="inlineStr">
        <is>
          <t>Jatavira</t>
        </is>
      </c>
      <c r="L1616" s="39" t="inlineStr">
        <is>
          <t>Gujarat</t>
        </is>
      </c>
      <c r="M1616" s="2" t="inlineStr">
        <is>
          <t xml:space="preserve">Back glass broken </t>
        </is>
      </c>
      <c r="N1616" s="6" t="inlineStr">
        <is>
          <t>Module Breakage</t>
        </is>
      </c>
      <c r="O1616" s="32" t="n">
        <v>585</v>
      </c>
      <c r="P1616" s="2" t="inlineStr">
        <is>
          <t>NSMI24090484386</t>
        </is>
      </c>
      <c r="Q1616" s="29">
        <f>MID(P1616,5,2)</f>
        <v/>
      </c>
      <c r="R1616" s="14">
        <f>MID(P1616,7,2)</f>
        <v/>
      </c>
      <c r="S1616" s="6" t="inlineStr">
        <is>
          <t>G2G</t>
        </is>
      </c>
      <c r="T1616" s="1" t="inlineStr">
        <is>
          <t>P4 - PEIPL</t>
        </is>
      </c>
      <c r="U1616" s="6" t="inlineStr">
        <is>
          <t>Glass Breakage</t>
        </is>
      </c>
      <c r="V1616" s="1" t="inlineStr">
        <is>
          <t>Inspection</t>
        </is>
      </c>
      <c r="W1616" s="1" t="inlineStr">
        <is>
          <t>WIP</t>
        </is>
      </c>
      <c r="X1616" s="12" t="n"/>
      <c r="Y1616" s="1">
        <f>IF(X1616="","",X1616-A1616)</f>
        <v/>
      </c>
      <c r="Z1616" s="5" t="n">
        <v>46192</v>
      </c>
      <c r="AA1616" s="3" t="n"/>
      <c r="AB1616" s="3" t="n"/>
      <c r="AE1616" s="146">
        <f>IF(AND(F1616="Closed",X1616&gt;=DATE(2026,6,1),X1616&lt;=DATE(2026,6,30)),"Closed in June","other")</f>
        <v/>
      </c>
    </row>
    <row r="1617" hidden="1">
      <c r="A1617" s="49" t="n">
        <v>46177</v>
      </c>
      <c r="B1617" s="1" t="n">
        <v>2026</v>
      </c>
      <c r="C1617" s="8" t="inlineStr">
        <is>
          <t>Ayana</t>
        </is>
      </c>
      <c r="D1617" s="11" t="inlineStr">
        <is>
          <t>Utility and C&amp;I</t>
        </is>
      </c>
      <c r="E1617" s="1" t="n"/>
      <c r="F1617" s="1" t="inlineStr">
        <is>
          <t>WIP</t>
        </is>
      </c>
      <c r="G1617" s="11" t="inlineStr">
        <is>
          <t>Vasu.N</t>
        </is>
      </c>
      <c r="H1617" s="8" t="n">
        <v>9578099893</v>
      </c>
      <c r="I1617" s="10" t="inlineStr">
        <is>
          <t>PE04062601</t>
        </is>
      </c>
      <c r="J1617" s="28" t="inlineStr">
        <is>
          <t>Module burnt</t>
        </is>
      </c>
      <c r="K1617" s="8" t="inlineStr">
        <is>
          <t>Jatavira</t>
        </is>
      </c>
      <c r="L1617" s="39" t="inlineStr">
        <is>
          <t>Gujarat</t>
        </is>
      </c>
      <c r="M1617" s="2" t="inlineStr">
        <is>
          <t xml:space="preserve">Back glass broken </t>
        </is>
      </c>
      <c r="N1617" s="6" t="inlineStr">
        <is>
          <t>Module Breakage</t>
        </is>
      </c>
      <c r="O1617" s="32" t="n">
        <v>585</v>
      </c>
      <c r="P1617" s="2" t="inlineStr">
        <is>
          <t>NSMI24090451784</t>
        </is>
      </c>
      <c r="Q1617" s="29">
        <f>MID(P1617,5,2)</f>
        <v/>
      </c>
      <c r="R1617" s="14">
        <f>MID(P1617,7,2)</f>
        <v/>
      </c>
      <c r="S1617" s="6" t="inlineStr">
        <is>
          <t>G2G</t>
        </is>
      </c>
      <c r="T1617" s="1" t="inlineStr">
        <is>
          <t>P4 - PEIPL</t>
        </is>
      </c>
      <c r="U1617" s="6" t="inlineStr">
        <is>
          <t>Glass Breakage</t>
        </is>
      </c>
      <c r="V1617" s="1" t="inlineStr">
        <is>
          <t>Inspection</t>
        </is>
      </c>
      <c r="W1617" s="1" t="inlineStr">
        <is>
          <t>WIP</t>
        </is>
      </c>
      <c r="X1617" s="12" t="n"/>
      <c r="Y1617" s="1">
        <f>IF(X1617="","",X1617-A1617)</f>
        <v/>
      </c>
      <c r="Z1617" s="5" t="n">
        <v>46192</v>
      </c>
      <c r="AA1617" s="3" t="n"/>
      <c r="AB1617" s="3" t="n"/>
      <c r="AE1617" s="146">
        <f>IF(AND(F1617="Closed",X1617&gt;=DATE(2026,6,1),X1617&lt;=DATE(2026,6,30)),"Closed in June","other")</f>
        <v/>
      </c>
    </row>
    <row r="1618" hidden="1">
      <c r="A1618" s="49" t="n">
        <v>46177</v>
      </c>
      <c r="B1618" s="1" t="n">
        <v>2026</v>
      </c>
      <c r="C1618" s="8" t="inlineStr">
        <is>
          <t>Ayana</t>
        </is>
      </c>
      <c r="D1618" s="11" t="inlineStr">
        <is>
          <t>Utility and C&amp;I</t>
        </is>
      </c>
      <c r="E1618" s="1" t="n"/>
      <c r="F1618" s="1" t="inlineStr">
        <is>
          <t>WIP</t>
        </is>
      </c>
      <c r="G1618" s="11" t="inlineStr">
        <is>
          <t>Vasu.N</t>
        </is>
      </c>
      <c r="H1618" s="8" t="n">
        <v>9578099893</v>
      </c>
      <c r="I1618" s="10" t="inlineStr">
        <is>
          <t>PE04062601</t>
        </is>
      </c>
      <c r="J1618" s="28" t="inlineStr">
        <is>
          <t>Module burnt</t>
        </is>
      </c>
      <c r="K1618" s="8" t="inlineStr">
        <is>
          <t>Jatavira</t>
        </is>
      </c>
      <c r="L1618" s="39" t="inlineStr">
        <is>
          <t>Gujarat</t>
        </is>
      </c>
      <c r="M1618" s="2" t="inlineStr">
        <is>
          <t xml:space="preserve">Back glass broken </t>
        </is>
      </c>
      <c r="N1618" s="6" t="inlineStr">
        <is>
          <t>Module Breakage</t>
        </is>
      </c>
      <c r="O1618" s="32" t="n">
        <v>585</v>
      </c>
      <c r="P1618" s="2" t="inlineStr">
        <is>
          <t>NSMI24090543755</t>
        </is>
      </c>
      <c r="Q1618" s="29">
        <f>MID(P1618,5,2)</f>
        <v/>
      </c>
      <c r="R1618" s="14">
        <f>MID(P1618,7,2)</f>
        <v/>
      </c>
      <c r="S1618" s="6" t="inlineStr">
        <is>
          <t>G2G</t>
        </is>
      </c>
      <c r="T1618" s="1" t="inlineStr">
        <is>
          <t>P4 - PEIPL</t>
        </is>
      </c>
      <c r="U1618" s="6" t="inlineStr">
        <is>
          <t>Glass Breakage</t>
        </is>
      </c>
      <c r="V1618" s="1" t="inlineStr">
        <is>
          <t>Inspection</t>
        </is>
      </c>
      <c r="W1618" s="1" t="inlineStr">
        <is>
          <t>WIP</t>
        </is>
      </c>
      <c r="X1618" s="12" t="n"/>
      <c r="Y1618" s="1">
        <f>IF(X1618="","",X1618-A1618)</f>
        <v/>
      </c>
      <c r="Z1618" s="5" t="n">
        <v>46192</v>
      </c>
      <c r="AA1618" s="3" t="n"/>
      <c r="AB1618" s="3" t="n"/>
      <c r="AE1618" s="146">
        <f>IF(AND(F1618="Closed",X1618&gt;=DATE(2026,6,1),X1618&lt;=DATE(2026,6,30)),"Closed in June","other")</f>
        <v/>
      </c>
    </row>
    <row r="1619" hidden="1">
      <c r="A1619" s="49" t="n">
        <v>46177</v>
      </c>
      <c r="B1619" s="1" t="n">
        <v>2026</v>
      </c>
      <c r="C1619" s="8" t="inlineStr">
        <is>
          <t>Ayana</t>
        </is>
      </c>
      <c r="D1619" s="11" t="inlineStr">
        <is>
          <t>Utility and C&amp;I</t>
        </is>
      </c>
      <c r="E1619" s="1" t="n"/>
      <c r="F1619" s="1" t="inlineStr">
        <is>
          <t>WIP</t>
        </is>
      </c>
      <c r="G1619" s="11" t="inlineStr">
        <is>
          <t>Vasu.N</t>
        </is>
      </c>
      <c r="H1619" s="8" t="n">
        <v>9578099893</v>
      </c>
      <c r="I1619" s="10" t="inlineStr">
        <is>
          <t>PE04062601</t>
        </is>
      </c>
      <c r="J1619" s="28" t="inlineStr">
        <is>
          <t>Module burnt</t>
        </is>
      </c>
      <c r="K1619" s="8" t="inlineStr">
        <is>
          <t>Jatavira</t>
        </is>
      </c>
      <c r="L1619" s="39" t="inlineStr">
        <is>
          <t>Gujarat</t>
        </is>
      </c>
      <c r="M1619" s="2" t="inlineStr">
        <is>
          <t xml:space="preserve">Black glass broken at shorter frem </t>
        </is>
      </c>
      <c r="N1619" s="6" t="inlineStr">
        <is>
          <t>Module Breakage</t>
        </is>
      </c>
      <c r="O1619" s="32" t="n">
        <v>585</v>
      </c>
      <c r="P1619" s="2" t="inlineStr">
        <is>
          <t>NSMI24090543088</t>
        </is>
      </c>
      <c r="Q1619" s="29">
        <f>MID(P1619,5,2)</f>
        <v/>
      </c>
      <c r="R1619" s="14">
        <f>MID(P1619,7,2)</f>
        <v/>
      </c>
      <c r="S1619" s="6" t="inlineStr">
        <is>
          <t>G2G</t>
        </is>
      </c>
      <c r="T1619" s="1" t="inlineStr">
        <is>
          <t>P4 - PEIPL</t>
        </is>
      </c>
      <c r="U1619" s="6" t="inlineStr">
        <is>
          <t>Glass Breakage</t>
        </is>
      </c>
      <c r="V1619" s="1" t="inlineStr">
        <is>
          <t>Inspection</t>
        </is>
      </c>
      <c r="W1619" s="1" t="inlineStr">
        <is>
          <t>WIP</t>
        </is>
      </c>
      <c r="X1619" s="12" t="n"/>
      <c r="Y1619" s="1">
        <f>IF(X1619="","",X1619-A1619)</f>
        <v/>
      </c>
      <c r="Z1619" s="5" t="n">
        <v>46192</v>
      </c>
      <c r="AA1619" s="3" t="n"/>
      <c r="AB1619" s="3" t="n"/>
      <c r="AE1619" s="146">
        <f>IF(AND(F1619="Closed",X1619&gt;=DATE(2026,6,1),X1619&lt;=DATE(2026,6,30)),"Closed in June","other")</f>
        <v/>
      </c>
    </row>
    <row r="1620" hidden="1">
      <c r="A1620" s="49" t="n">
        <v>46177</v>
      </c>
      <c r="B1620" s="1" t="n">
        <v>2026</v>
      </c>
      <c r="C1620" s="8" t="inlineStr">
        <is>
          <t>Ayana</t>
        </is>
      </c>
      <c r="D1620" s="11" t="inlineStr">
        <is>
          <t>Utility and C&amp;I</t>
        </is>
      </c>
      <c r="E1620" s="1" t="n"/>
      <c r="F1620" s="1" t="inlineStr">
        <is>
          <t>WIP</t>
        </is>
      </c>
      <c r="G1620" s="11" t="inlineStr">
        <is>
          <t>Vasu.N</t>
        </is>
      </c>
      <c r="H1620" s="8" t="n">
        <v>9578099893</v>
      </c>
      <c r="I1620" s="10" t="inlineStr">
        <is>
          <t>PE04062601</t>
        </is>
      </c>
      <c r="J1620" s="28" t="inlineStr">
        <is>
          <t>Module burnt</t>
        </is>
      </c>
      <c r="K1620" s="8" t="inlineStr">
        <is>
          <t>Jatavira</t>
        </is>
      </c>
      <c r="L1620" s="39" t="inlineStr">
        <is>
          <t>Gujarat</t>
        </is>
      </c>
      <c r="M1620" s="2" t="inlineStr">
        <is>
          <t xml:space="preserve">Black glass broken at shorter frem </t>
        </is>
      </c>
      <c r="N1620" s="6" t="inlineStr">
        <is>
          <t>Module Breakage</t>
        </is>
      </c>
      <c r="O1620" s="32" t="n">
        <v>585</v>
      </c>
      <c r="P1620" s="2" t="inlineStr">
        <is>
          <t>NSMI24100547654</t>
        </is>
      </c>
      <c r="Q1620" s="29">
        <f>MID(P1620,5,2)</f>
        <v/>
      </c>
      <c r="R1620" s="14">
        <f>MID(P1620,7,2)</f>
        <v/>
      </c>
      <c r="S1620" s="6" t="inlineStr">
        <is>
          <t>G2G</t>
        </is>
      </c>
      <c r="T1620" s="1" t="inlineStr">
        <is>
          <t>P4 - PEIPL</t>
        </is>
      </c>
      <c r="U1620" s="6" t="inlineStr">
        <is>
          <t>Glass Breakage</t>
        </is>
      </c>
      <c r="V1620" s="1" t="inlineStr">
        <is>
          <t>Inspection</t>
        </is>
      </c>
      <c r="W1620" s="1" t="inlineStr">
        <is>
          <t>WIP</t>
        </is>
      </c>
      <c r="X1620" s="12" t="n"/>
      <c r="Y1620" s="1">
        <f>IF(X1620="","",X1620-A1620)</f>
        <v/>
      </c>
      <c r="Z1620" s="5" t="n">
        <v>46192</v>
      </c>
      <c r="AA1620" s="3" t="n"/>
      <c r="AB1620" s="3" t="n"/>
      <c r="AE1620" s="146">
        <f>IF(AND(F1620="Closed",X1620&gt;=DATE(2026,6,1),X1620&lt;=DATE(2026,6,30)),"Closed in June","other")</f>
        <v/>
      </c>
    </row>
    <row r="1621" hidden="1">
      <c r="A1621" s="49" t="n">
        <v>46177</v>
      </c>
      <c r="B1621" s="1" t="n">
        <v>2026</v>
      </c>
      <c r="C1621" s="8" t="inlineStr">
        <is>
          <t>Ayana</t>
        </is>
      </c>
      <c r="D1621" s="11" t="inlineStr">
        <is>
          <t>Utility and C&amp;I</t>
        </is>
      </c>
      <c r="E1621" s="1" t="n"/>
      <c r="F1621" s="1" t="inlineStr">
        <is>
          <t>WIP</t>
        </is>
      </c>
      <c r="G1621" s="11" t="inlineStr">
        <is>
          <t>Vasu.N</t>
        </is>
      </c>
      <c r="H1621" s="8" t="n">
        <v>9578099893</v>
      </c>
      <c r="I1621" s="10" t="inlineStr">
        <is>
          <t>PE04062601</t>
        </is>
      </c>
      <c r="J1621" s="28" t="inlineStr">
        <is>
          <t>Module burnt</t>
        </is>
      </c>
      <c r="K1621" s="8" t="inlineStr">
        <is>
          <t>Jatavira</t>
        </is>
      </c>
      <c r="L1621" s="39" t="inlineStr">
        <is>
          <t>Gujarat</t>
        </is>
      </c>
      <c r="M1621" s="2" t="inlineStr">
        <is>
          <t xml:space="preserve">Back glass broken </t>
        </is>
      </c>
      <c r="N1621" s="6" t="inlineStr">
        <is>
          <t>Module Breakage</t>
        </is>
      </c>
      <c r="O1621" s="32" t="n">
        <v>585</v>
      </c>
      <c r="P1621" s="2" t="inlineStr">
        <is>
          <t>NSMI24090543614</t>
        </is>
      </c>
      <c r="Q1621" s="29">
        <f>MID(P1621,5,2)</f>
        <v/>
      </c>
      <c r="R1621" s="14">
        <f>MID(P1621,7,2)</f>
        <v/>
      </c>
      <c r="S1621" s="6" t="inlineStr">
        <is>
          <t>G2G</t>
        </is>
      </c>
      <c r="T1621" s="1" t="inlineStr">
        <is>
          <t>P4 - PEIPL</t>
        </is>
      </c>
      <c r="U1621" s="6" t="inlineStr">
        <is>
          <t>Glass Breakage</t>
        </is>
      </c>
      <c r="V1621" s="1" t="inlineStr">
        <is>
          <t>Inspection</t>
        </is>
      </c>
      <c r="W1621" s="1" t="inlineStr">
        <is>
          <t>WIP</t>
        </is>
      </c>
      <c r="X1621" s="12" t="n"/>
      <c r="Y1621" s="1">
        <f>IF(X1621="","",X1621-A1621)</f>
        <v/>
      </c>
      <c r="Z1621" s="5" t="n">
        <v>46192</v>
      </c>
      <c r="AA1621" s="3" t="n"/>
      <c r="AB1621" s="3" t="n"/>
      <c r="AE1621" s="146">
        <f>IF(AND(F1621="Closed",X1621&gt;=DATE(2026,6,1),X1621&lt;=DATE(2026,6,30)),"Closed in June","other")</f>
        <v/>
      </c>
    </row>
    <row r="1622" hidden="1">
      <c r="A1622" s="49" t="n">
        <v>46177</v>
      </c>
      <c r="B1622" s="1" t="n">
        <v>2026</v>
      </c>
      <c r="C1622" s="8" t="inlineStr">
        <is>
          <t>Ayana</t>
        </is>
      </c>
      <c r="D1622" s="11" t="inlineStr">
        <is>
          <t>Utility and C&amp;I</t>
        </is>
      </c>
      <c r="E1622" s="1" t="n"/>
      <c r="F1622" s="1" t="inlineStr">
        <is>
          <t>WIP</t>
        </is>
      </c>
      <c r="G1622" s="11" t="inlineStr">
        <is>
          <t>Vasu.N</t>
        </is>
      </c>
      <c r="H1622" s="8" t="n">
        <v>9578099893</v>
      </c>
      <c r="I1622" s="10" t="inlineStr">
        <is>
          <t>PE04062601</t>
        </is>
      </c>
      <c r="J1622" s="28" t="inlineStr">
        <is>
          <t>Module burnt</t>
        </is>
      </c>
      <c r="K1622" s="8" t="inlineStr">
        <is>
          <t>Jatavira</t>
        </is>
      </c>
      <c r="L1622" s="39" t="inlineStr">
        <is>
          <t>Gujarat</t>
        </is>
      </c>
      <c r="M1622" s="2" t="inlineStr">
        <is>
          <t xml:space="preserve">Black glass broken at shorter frem </t>
        </is>
      </c>
      <c r="N1622" s="6" t="inlineStr">
        <is>
          <t>Module Breakage</t>
        </is>
      </c>
      <c r="O1622" s="32" t="n">
        <v>585</v>
      </c>
      <c r="P1622" s="2" t="inlineStr">
        <is>
          <t>NSMI24100547643</t>
        </is>
      </c>
      <c r="Q1622" s="29">
        <f>MID(P1622,5,2)</f>
        <v/>
      </c>
      <c r="R1622" s="14">
        <f>MID(P1622,7,2)</f>
        <v/>
      </c>
      <c r="S1622" s="6" t="inlineStr">
        <is>
          <t>G2G</t>
        </is>
      </c>
      <c r="T1622" s="1" t="inlineStr">
        <is>
          <t>P4 - PEIPL</t>
        </is>
      </c>
      <c r="U1622" s="6" t="inlineStr">
        <is>
          <t>Glass Breakage</t>
        </is>
      </c>
      <c r="V1622" s="1" t="inlineStr">
        <is>
          <t>Inspection</t>
        </is>
      </c>
      <c r="W1622" s="1" t="inlineStr">
        <is>
          <t>WIP</t>
        </is>
      </c>
      <c r="X1622" s="12" t="n"/>
      <c r="Y1622" s="1">
        <f>IF(X1622="","",X1622-A1622)</f>
        <v/>
      </c>
      <c r="Z1622" s="5" t="n">
        <v>46192</v>
      </c>
      <c r="AA1622" s="3" t="n"/>
      <c r="AB1622" s="3" t="n"/>
      <c r="AE1622" s="146">
        <f>IF(AND(F1622="Closed",X1622&gt;=DATE(2026,6,1),X1622&lt;=DATE(2026,6,30)),"Closed in June","other")</f>
        <v/>
      </c>
    </row>
    <row r="1623" hidden="1">
      <c r="A1623" s="49" t="n">
        <v>46177</v>
      </c>
      <c r="B1623" s="1" t="n">
        <v>2026</v>
      </c>
      <c r="C1623" s="8" t="inlineStr">
        <is>
          <t>Ayana</t>
        </is>
      </c>
      <c r="D1623" s="11" t="inlineStr">
        <is>
          <t>Utility and C&amp;I</t>
        </is>
      </c>
      <c r="E1623" s="1" t="n"/>
      <c r="F1623" s="1" t="inlineStr">
        <is>
          <t>WIP</t>
        </is>
      </c>
      <c r="G1623" s="11" t="inlineStr">
        <is>
          <t>Vasu.N</t>
        </is>
      </c>
      <c r="H1623" s="8" t="n">
        <v>9578099893</v>
      </c>
      <c r="I1623" s="10" t="inlineStr">
        <is>
          <t>PE04062601</t>
        </is>
      </c>
      <c r="J1623" s="28" t="inlineStr">
        <is>
          <t>Module burnt</t>
        </is>
      </c>
      <c r="K1623" s="8" t="inlineStr">
        <is>
          <t>Jatavira</t>
        </is>
      </c>
      <c r="L1623" s="39" t="inlineStr">
        <is>
          <t>Gujarat</t>
        </is>
      </c>
      <c r="M1623" s="2" t="inlineStr">
        <is>
          <t>Back glass broken with burn sport</t>
        </is>
      </c>
      <c r="N1623" s="6" t="inlineStr">
        <is>
          <t>Glass Breakage with Burn Spot</t>
        </is>
      </c>
      <c r="O1623" s="32" t="n">
        <v>585</v>
      </c>
      <c r="P1623" s="2" t="inlineStr">
        <is>
          <t>NSMI24090484277</t>
        </is>
      </c>
      <c r="Q1623" s="29">
        <f>MID(P1623,5,2)</f>
        <v/>
      </c>
      <c r="R1623" s="14">
        <f>MID(P1623,7,2)</f>
        <v/>
      </c>
      <c r="S1623" s="6" t="inlineStr">
        <is>
          <t>G2G</t>
        </is>
      </c>
      <c r="T1623" s="1" t="inlineStr">
        <is>
          <t>P4 - PEIPL</t>
        </is>
      </c>
      <c r="U1623" s="6" t="inlineStr">
        <is>
          <t>Glass Breakage with Burn Spot</t>
        </is>
      </c>
      <c r="V1623" s="1" t="inlineStr">
        <is>
          <t>Inspection</t>
        </is>
      </c>
      <c r="W1623" s="1" t="inlineStr">
        <is>
          <t>WIP</t>
        </is>
      </c>
      <c r="X1623" s="12" t="n"/>
      <c r="Y1623" s="1">
        <f>IF(X1623="","",X1623-A1623)</f>
        <v/>
      </c>
      <c r="Z1623" s="5" t="n">
        <v>46192</v>
      </c>
      <c r="AA1623" s="3" t="n"/>
      <c r="AB1623" s="3" t="n"/>
      <c r="AE1623" s="146">
        <f>IF(AND(F1623="Closed",X1623&gt;=DATE(2026,6,1),X1623&lt;=DATE(2026,6,30)),"Closed in June","other")</f>
        <v/>
      </c>
    </row>
    <row r="1624" hidden="1">
      <c r="A1624" s="49" t="n">
        <v>46177</v>
      </c>
      <c r="B1624" s="1" t="n">
        <v>2026</v>
      </c>
      <c r="C1624" s="8" t="inlineStr">
        <is>
          <t>Ayana</t>
        </is>
      </c>
      <c r="D1624" s="11" t="inlineStr">
        <is>
          <t>Utility and C&amp;I</t>
        </is>
      </c>
      <c r="E1624" s="1" t="n"/>
      <c r="F1624" s="1" t="inlineStr">
        <is>
          <t>WIP</t>
        </is>
      </c>
      <c r="G1624" s="11" t="inlineStr">
        <is>
          <t>Vasu.N</t>
        </is>
      </c>
      <c r="H1624" s="8" t="n">
        <v>9578099893</v>
      </c>
      <c r="I1624" s="10" t="inlineStr">
        <is>
          <t>PE04062601</t>
        </is>
      </c>
      <c r="J1624" s="28" t="inlineStr">
        <is>
          <t>Module burnt</t>
        </is>
      </c>
      <c r="K1624" s="8" t="inlineStr">
        <is>
          <t>Jatavira</t>
        </is>
      </c>
      <c r="L1624" s="39" t="inlineStr">
        <is>
          <t>Gujarat</t>
        </is>
      </c>
      <c r="M1624" s="2" t="inlineStr">
        <is>
          <t>Back glass broken with burn sport</t>
        </is>
      </c>
      <c r="N1624" s="6" t="inlineStr">
        <is>
          <t>Glass Breakage with Burn Spot</t>
        </is>
      </c>
      <c r="O1624" s="32" t="n">
        <v>585</v>
      </c>
      <c r="P1624" s="2" t="inlineStr">
        <is>
          <t>NSMI24100561605</t>
        </is>
      </c>
      <c r="Q1624" s="29">
        <f>MID(P1624,5,2)</f>
        <v/>
      </c>
      <c r="R1624" s="14">
        <f>MID(P1624,7,2)</f>
        <v/>
      </c>
      <c r="S1624" s="6" t="inlineStr">
        <is>
          <t>G2G</t>
        </is>
      </c>
      <c r="T1624" s="1" t="inlineStr">
        <is>
          <t>P4 - PEIPL</t>
        </is>
      </c>
      <c r="U1624" s="6" t="inlineStr">
        <is>
          <t>Glass Breakage with Burn Spot</t>
        </is>
      </c>
      <c r="V1624" s="1" t="inlineStr">
        <is>
          <t>Inspection</t>
        </is>
      </c>
      <c r="W1624" s="1" t="inlineStr">
        <is>
          <t>WIP</t>
        </is>
      </c>
      <c r="X1624" s="12" t="n"/>
      <c r="Y1624" s="1">
        <f>IF(X1624="","",X1624-A1624)</f>
        <v/>
      </c>
      <c r="Z1624" s="5" t="n">
        <v>46192</v>
      </c>
      <c r="AA1624" s="3" t="n"/>
      <c r="AB1624" s="3" t="n"/>
      <c r="AE1624" s="146">
        <f>IF(AND(F1624="Closed",X1624&gt;=DATE(2026,6,1),X1624&lt;=DATE(2026,6,30)),"Closed in June","other")</f>
        <v/>
      </c>
    </row>
    <row r="1625" hidden="1">
      <c r="A1625" s="49" t="n">
        <v>46177</v>
      </c>
      <c r="B1625" s="1" t="n">
        <v>2026</v>
      </c>
      <c r="C1625" s="8" t="inlineStr">
        <is>
          <t>Ayana</t>
        </is>
      </c>
      <c r="D1625" s="11" t="inlineStr">
        <is>
          <t>Utility and C&amp;I</t>
        </is>
      </c>
      <c r="E1625" s="1" t="n"/>
      <c r="F1625" s="1" t="inlineStr">
        <is>
          <t>WIP</t>
        </is>
      </c>
      <c r="G1625" s="11" t="inlineStr">
        <is>
          <t>Vasu.N</t>
        </is>
      </c>
      <c r="H1625" s="8" t="n">
        <v>9578099893</v>
      </c>
      <c r="I1625" s="10" t="inlineStr">
        <is>
          <t>PE04062601</t>
        </is>
      </c>
      <c r="J1625" s="28" t="inlineStr">
        <is>
          <t>Module burnt</t>
        </is>
      </c>
      <c r="K1625" s="8" t="inlineStr">
        <is>
          <t>Jatavira</t>
        </is>
      </c>
      <c r="L1625" s="39" t="inlineStr">
        <is>
          <t>Gujarat</t>
        </is>
      </c>
      <c r="M1625" s="2" t="inlineStr">
        <is>
          <t xml:space="preserve">Burning </t>
        </is>
      </c>
      <c r="N1625" s="6" t="inlineStr">
        <is>
          <t>Module Burn</t>
        </is>
      </c>
      <c r="O1625" s="32" t="n">
        <v>585</v>
      </c>
      <c r="P1625" s="2" t="inlineStr">
        <is>
          <t>NSMI24100576438</t>
        </is>
      </c>
      <c r="Q1625" s="29">
        <f>MID(P1625,5,2)</f>
        <v/>
      </c>
      <c r="R1625" s="14">
        <f>MID(P1625,7,2)</f>
        <v/>
      </c>
      <c r="S1625" s="6" t="inlineStr">
        <is>
          <t>G2G</t>
        </is>
      </c>
      <c r="T1625" s="1" t="inlineStr">
        <is>
          <t>P4 - PEIPL</t>
        </is>
      </c>
      <c r="U1625" s="6" t="inlineStr">
        <is>
          <t>Module Burn</t>
        </is>
      </c>
      <c r="V1625" s="1" t="inlineStr">
        <is>
          <t>Inspection</t>
        </is>
      </c>
      <c r="W1625" s="1" t="inlineStr">
        <is>
          <t>WIP</t>
        </is>
      </c>
      <c r="X1625" s="12" t="n"/>
      <c r="Y1625" s="1">
        <f>IF(X1625="","",X1625-A1625)</f>
        <v/>
      </c>
      <c r="Z1625" s="5" t="n">
        <v>46192</v>
      </c>
      <c r="AA1625" s="3" t="n"/>
      <c r="AB1625" s="3" t="n"/>
      <c r="AE1625" s="146">
        <f>IF(AND(F1625="Closed",X1625&gt;=DATE(2026,6,1),X1625&lt;=DATE(2026,6,30)),"Closed in June","other")</f>
        <v/>
      </c>
    </row>
    <row r="1626" hidden="1">
      <c r="A1626" s="49" t="n">
        <v>46177</v>
      </c>
      <c r="B1626" s="1" t="n">
        <v>2026</v>
      </c>
      <c r="C1626" s="8" t="inlineStr">
        <is>
          <t>Ayana</t>
        </is>
      </c>
      <c r="D1626" s="11" t="inlineStr">
        <is>
          <t>Utility and C&amp;I</t>
        </is>
      </c>
      <c r="E1626" s="1" t="n"/>
      <c r="F1626" s="1" t="inlineStr">
        <is>
          <t>WIP</t>
        </is>
      </c>
      <c r="G1626" s="11" t="inlineStr">
        <is>
          <t>Vasu.N</t>
        </is>
      </c>
      <c r="H1626" s="8" t="n">
        <v>9578099893</v>
      </c>
      <c r="I1626" s="10" t="inlineStr">
        <is>
          <t>PE04062601</t>
        </is>
      </c>
      <c r="J1626" s="28" t="inlineStr">
        <is>
          <t>Module burnt</t>
        </is>
      </c>
      <c r="K1626" s="8" t="inlineStr">
        <is>
          <t>Jatavira</t>
        </is>
      </c>
      <c r="L1626" s="39" t="inlineStr">
        <is>
          <t>Gujarat</t>
        </is>
      </c>
      <c r="M1626" s="2" t="inlineStr">
        <is>
          <t xml:space="preserve">Burning </t>
        </is>
      </c>
      <c r="N1626" s="6" t="inlineStr">
        <is>
          <t>Module Burn</t>
        </is>
      </c>
      <c r="O1626" s="32" t="n">
        <v>585</v>
      </c>
      <c r="P1626" s="2" t="inlineStr">
        <is>
          <t>NSMI24100571119</t>
        </is>
      </c>
      <c r="Q1626" s="29">
        <f>MID(P1626,5,2)</f>
        <v/>
      </c>
      <c r="R1626" s="14">
        <f>MID(P1626,7,2)</f>
        <v/>
      </c>
      <c r="S1626" s="6" t="inlineStr">
        <is>
          <t>G2G</t>
        </is>
      </c>
      <c r="T1626" s="1" t="inlineStr">
        <is>
          <t>P4 - PEIPL</t>
        </is>
      </c>
      <c r="U1626" s="6" t="inlineStr">
        <is>
          <t>Module Burn</t>
        </is>
      </c>
      <c r="V1626" s="1" t="inlineStr">
        <is>
          <t>Inspection</t>
        </is>
      </c>
      <c r="W1626" s="1" t="inlineStr">
        <is>
          <t>WIP</t>
        </is>
      </c>
      <c r="X1626" s="12" t="n"/>
      <c r="Y1626" s="1">
        <f>IF(X1626="","",X1626-A1626)</f>
        <v/>
      </c>
      <c r="Z1626" s="5" t="n">
        <v>46192</v>
      </c>
      <c r="AA1626" s="3" t="n"/>
      <c r="AB1626" s="3" t="n"/>
      <c r="AE1626" s="146">
        <f>IF(AND(F1626="Closed",X1626&gt;=DATE(2026,6,1),X1626&lt;=DATE(2026,6,30)),"Closed in June","other")</f>
        <v/>
      </c>
    </row>
    <row r="1627" hidden="1">
      <c r="A1627" s="49" t="n">
        <v>46177</v>
      </c>
      <c r="B1627" s="1" t="n">
        <v>2026</v>
      </c>
      <c r="C1627" s="8" t="inlineStr">
        <is>
          <t>Ayana</t>
        </is>
      </c>
      <c r="D1627" s="11" t="inlineStr">
        <is>
          <t>Utility and C&amp;I</t>
        </is>
      </c>
      <c r="E1627" s="1" t="n"/>
      <c r="F1627" s="1" t="inlineStr">
        <is>
          <t>WIP</t>
        </is>
      </c>
      <c r="G1627" s="11" t="inlineStr">
        <is>
          <t>Vasu.N</t>
        </is>
      </c>
      <c r="H1627" s="8" t="n">
        <v>9578099893</v>
      </c>
      <c r="I1627" s="10" t="inlineStr">
        <is>
          <t>PE04062601</t>
        </is>
      </c>
      <c r="J1627" s="28" t="inlineStr">
        <is>
          <t>Module burnt</t>
        </is>
      </c>
      <c r="K1627" s="8" t="inlineStr">
        <is>
          <t>Jatavira</t>
        </is>
      </c>
      <c r="L1627" s="39" t="inlineStr">
        <is>
          <t>Gujarat</t>
        </is>
      </c>
      <c r="M1627" s="2" t="inlineStr">
        <is>
          <t xml:space="preserve">Burning </t>
        </is>
      </c>
      <c r="N1627" s="6" t="inlineStr">
        <is>
          <t>Module Burn</t>
        </is>
      </c>
      <c r="O1627" s="32" t="n">
        <v>585</v>
      </c>
      <c r="P1627" s="2" t="inlineStr">
        <is>
          <t>NSMI24100574422</t>
        </is>
      </c>
      <c r="Q1627" s="29">
        <f>MID(P1627,5,2)</f>
        <v/>
      </c>
      <c r="R1627" s="14">
        <f>MID(P1627,7,2)</f>
        <v/>
      </c>
      <c r="S1627" s="6" t="inlineStr">
        <is>
          <t>G2G</t>
        </is>
      </c>
      <c r="T1627" s="1" t="inlineStr">
        <is>
          <t>P4 - PEIPL</t>
        </is>
      </c>
      <c r="U1627" s="6" t="inlineStr">
        <is>
          <t>Module Burn</t>
        </is>
      </c>
      <c r="V1627" s="1" t="inlineStr">
        <is>
          <t>Inspection</t>
        </is>
      </c>
      <c r="W1627" s="1" t="inlineStr">
        <is>
          <t>WIP</t>
        </is>
      </c>
      <c r="X1627" s="12" t="n"/>
      <c r="Y1627" s="1">
        <f>IF(X1627="","",X1627-A1627)</f>
        <v/>
      </c>
      <c r="Z1627" s="5" t="n">
        <v>46192</v>
      </c>
      <c r="AA1627" s="3" t="n"/>
      <c r="AB1627" s="3" t="n"/>
      <c r="AE1627" s="146">
        <f>IF(AND(F1627="Closed",X1627&gt;=DATE(2026,6,1),X1627&lt;=DATE(2026,6,30)),"Closed in June","other")</f>
        <v/>
      </c>
    </row>
    <row r="1628" hidden="1">
      <c r="A1628" s="49" t="n">
        <v>46177</v>
      </c>
      <c r="B1628" s="1" t="n">
        <v>2026</v>
      </c>
      <c r="C1628" s="8" t="inlineStr">
        <is>
          <t>Ayana</t>
        </is>
      </c>
      <c r="D1628" s="11" t="inlineStr">
        <is>
          <t>Utility and C&amp;I</t>
        </is>
      </c>
      <c r="E1628" s="1" t="n"/>
      <c r="F1628" s="1" t="inlineStr">
        <is>
          <t>WIP</t>
        </is>
      </c>
      <c r="G1628" s="11" t="inlineStr">
        <is>
          <t>Vasu.N</t>
        </is>
      </c>
      <c r="H1628" s="8" t="n">
        <v>9578099893</v>
      </c>
      <c r="I1628" s="10" t="inlineStr">
        <is>
          <t>PE04062601</t>
        </is>
      </c>
      <c r="J1628" s="28" t="inlineStr">
        <is>
          <t>Module burnt</t>
        </is>
      </c>
      <c r="K1628" s="8" t="inlineStr">
        <is>
          <t>Jatavira</t>
        </is>
      </c>
      <c r="L1628" s="39" t="inlineStr">
        <is>
          <t>Gujarat</t>
        </is>
      </c>
      <c r="M1628" s="2" t="inlineStr">
        <is>
          <t xml:space="preserve">Burning </t>
        </is>
      </c>
      <c r="N1628" s="6" t="inlineStr">
        <is>
          <t>Module Burn</t>
        </is>
      </c>
      <c r="O1628" s="32" t="n">
        <v>585</v>
      </c>
      <c r="P1628" s="2" t="inlineStr">
        <is>
          <t>NSMI24100574421</t>
        </is>
      </c>
      <c r="Q1628" s="29">
        <f>MID(P1628,5,2)</f>
        <v/>
      </c>
      <c r="R1628" s="14">
        <f>MID(P1628,7,2)</f>
        <v/>
      </c>
      <c r="S1628" s="6" t="inlineStr">
        <is>
          <t>G2G</t>
        </is>
      </c>
      <c r="T1628" s="1" t="inlineStr">
        <is>
          <t>P4 - PEIPL</t>
        </is>
      </c>
      <c r="U1628" s="6" t="inlineStr">
        <is>
          <t>Module Burn</t>
        </is>
      </c>
      <c r="V1628" s="1" t="inlineStr">
        <is>
          <t>Inspection</t>
        </is>
      </c>
      <c r="W1628" s="1" t="inlineStr">
        <is>
          <t>WIP</t>
        </is>
      </c>
      <c r="X1628" s="12" t="n"/>
      <c r="Y1628" s="1">
        <f>IF(X1628="","",X1628-A1628)</f>
        <v/>
      </c>
      <c r="Z1628" s="5" t="n">
        <v>46192</v>
      </c>
      <c r="AA1628" s="3" t="n"/>
      <c r="AB1628" s="3" t="n"/>
      <c r="AE1628" s="146">
        <f>IF(AND(F1628="Closed",X1628&gt;=DATE(2026,6,1),X1628&lt;=DATE(2026,6,30)),"Closed in June","other")</f>
        <v/>
      </c>
    </row>
    <row r="1629" hidden="1">
      <c r="A1629" s="49" t="n">
        <v>46177</v>
      </c>
      <c r="B1629" s="1" t="n">
        <v>2026</v>
      </c>
      <c r="C1629" s="8" t="inlineStr">
        <is>
          <t>Ayana</t>
        </is>
      </c>
      <c r="D1629" s="11" t="inlineStr">
        <is>
          <t>Utility and C&amp;I</t>
        </is>
      </c>
      <c r="E1629" s="1" t="n"/>
      <c r="F1629" s="1" t="inlineStr">
        <is>
          <t>WIP</t>
        </is>
      </c>
      <c r="G1629" s="11" t="inlineStr">
        <is>
          <t>Vasu.N</t>
        </is>
      </c>
      <c r="H1629" s="8" t="n">
        <v>9578099893</v>
      </c>
      <c r="I1629" s="10" t="inlineStr">
        <is>
          <t>PE04062601</t>
        </is>
      </c>
      <c r="J1629" s="28" t="inlineStr">
        <is>
          <t>Module burnt</t>
        </is>
      </c>
      <c r="K1629" s="8" t="inlineStr">
        <is>
          <t>Jatavira</t>
        </is>
      </c>
      <c r="L1629" s="39" t="inlineStr">
        <is>
          <t>Gujarat</t>
        </is>
      </c>
      <c r="M1629" s="2" t="inlineStr">
        <is>
          <t xml:space="preserve">Black glass broken at shorter frem </t>
        </is>
      </c>
      <c r="N1629" s="6" t="inlineStr">
        <is>
          <t>Module Breakage</t>
        </is>
      </c>
      <c r="O1629" s="32" t="n">
        <v>585</v>
      </c>
      <c r="P1629" s="2" t="inlineStr">
        <is>
          <t>NSMI24100574203</t>
        </is>
      </c>
      <c r="Q1629" s="29">
        <f>MID(P1629,5,2)</f>
        <v/>
      </c>
      <c r="R1629" s="14">
        <f>MID(P1629,7,2)</f>
        <v/>
      </c>
      <c r="S1629" s="6" t="inlineStr">
        <is>
          <t>G2G</t>
        </is>
      </c>
      <c r="T1629" s="1" t="inlineStr">
        <is>
          <t>P4 - PEIPL</t>
        </is>
      </c>
      <c r="U1629" s="6" t="inlineStr">
        <is>
          <t>Glass Breakage</t>
        </is>
      </c>
      <c r="V1629" s="1" t="inlineStr">
        <is>
          <t>Inspection</t>
        </is>
      </c>
      <c r="W1629" s="1" t="inlineStr">
        <is>
          <t>WIP</t>
        </is>
      </c>
      <c r="X1629" s="12" t="n"/>
      <c r="Y1629" s="1">
        <f>IF(X1629="","",X1629-A1629)</f>
        <v/>
      </c>
      <c r="Z1629" s="5" t="n">
        <v>46192</v>
      </c>
      <c r="AA1629" s="3" t="n"/>
      <c r="AB1629" s="3" t="n"/>
      <c r="AE1629" s="146">
        <f>IF(AND(F1629="Closed",X1629&gt;=DATE(2026,6,1),X1629&lt;=DATE(2026,6,30)),"Closed in June","other")</f>
        <v/>
      </c>
    </row>
    <row r="1630" hidden="1">
      <c r="A1630" s="49" t="n">
        <v>46177</v>
      </c>
      <c r="B1630" s="1" t="n">
        <v>2026</v>
      </c>
      <c r="C1630" s="8" t="inlineStr">
        <is>
          <t>Ayana</t>
        </is>
      </c>
      <c r="D1630" s="11" t="inlineStr">
        <is>
          <t>Utility and C&amp;I</t>
        </is>
      </c>
      <c r="E1630" s="1" t="n"/>
      <c r="F1630" s="1" t="inlineStr">
        <is>
          <t>WIP</t>
        </is>
      </c>
      <c r="G1630" s="11" t="inlineStr">
        <is>
          <t>Vasu.N</t>
        </is>
      </c>
      <c r="H1630" s="8" t="n">
        <v>9578099893</v>
      </c>
      <c r="I1630" s="10" t="inlineStr">
        <is>
          <t>PE04062601</t>
        </is>
      </c>
      <c r="J1630" s="28" t="inlineStr">
        <is>
          <t>Module burnt</t>
        </is>
      </c>
      <c r="K1630" s="8" t="inlineStr">
        <is>
          <t>Jatavira</t>
        </is>
      </c>
      <c r="L1630" s="39" t="inlineStr">
        <is>
          <t>Gujarat</t>
        </is>
      </c>
      <c r="M1630" s="2" t="inlineStr">
        <is>
          <t xml:space="preserve">Back glass broken </t>
        </is>
      </c>
      <c r="N1630" s="6" t="inlineStr">
        <is>
          <t>Module Breakage</t>
        </is>
      </c>
      <c r="O1630" s="32" t="n">
        <v>585</v>
      </c>
      <c r="P1630" s="2" t="inlineStr">
        <is>
          <t>NSMI24100578322</t>
        </is>
      </c>
      <c r="Q1630" s="29">
        <f>MID(P1630,5,2)</f>
        <v/>
      </c>
      <c r="R1630" s="14">
        <f>MID(P1630,7,2)</f>
        <v/>
      </c>
      <c r="S1630" s="6" t="inlineStr">
        <is>
          <t>G2G</t>
        </is>
      </c>
      <c r="T1630" s="1" t="inlineStr">
        <is>
          <t>P4 - PEIPL</t>
        </is>
      </c>
      <c r="U1630" s="6" t="inlineStr">
        <is>
          <t>Glass Breakage</t>
        </is>
      </c>
      <c r="V1630" s="1" t="inlineStr">
        <is>
          <t>Inspection</t>
        </is>
      </c>
      <c r="W1630" s="1" t="inlineStr">
        <is>
          <t>WIP</t>
        </is>
      </c>
      <c r="X1630" s="12" t="n"/>
      <c r="Y1630" s="1">
        <f>IF(X1630="","",X1630-A1630)</f>
        <v/>
      </c>
      <c r="Z1630" s="5" t="n">
        <v>46192</v>
      </c>
      <c r="AA1630" s="3" t="n"/>
      <c r="AB1630" s="3" t="n"/>
      <c r="AE1630" s="146">
        <f>IF(AND(F1630="Closed",X1630&gt;=DATE(2026,6,1),X1630&lt;=DATE(2026,6,30)),"Closed in June","other")</f>
        <v/>
      </c>
    </row>
    <row r="1631" hidden="1">
      <c r="A1631" s="49" t="n">
        <v>46177</v>
      </c>
      <c r="B1631" s="1" t="n">
        <v>2026</v>
      </c>
      <c r="C1631" s="8" t="inlineStr">
        <is>
          <t>Ayana</t>
        </is>
      </c>
      <c r="D1631" s="11" t="inlineStr">
        <is>
          <t>Utility and C&amp;I</t>
        </is>
      </c>
      <c r="E1631" s="1" t="n"/>
      <c r="F1631" s="1" t="inlineStr">
        <is>
          <t>WIP</t>
        </is>
      </c>
      <c r="G1631" s="11" t="inlineStr">
        <is>
          <t>Vasu.N</t>
        </is>
      </c>
      <c r="H1631" s="8" t="n">
        <v>9578099893</v>
      </c>
      <c r="I1631" s="10" t="inlineStr">
        <is>
          <t>PE04062601</t>
        </is>
      </c>
      <c r="J1631" s="28" t="inlineStr">
        <is>
          <t>Module burnt</t>
        </is>
      </c>
      <c r="K1631" s="8" t="inlineStr">
        <is>
          <t>Jatavira</t>
        </is>
      </c>
      <c r="L1631" s="39" t="inlineStr">
        <is>
          <t>Gujarat</t>
        </is>
      </c>
      <c r="M1631" s="2" t="inlineStr">
        <is>
          <t xml:space="preserve">Back glass broken </t>
        </is>
      </c>
      <c r="N1631" s="6" t="inlineStr">
        <is>
          <t>Module Breakage</t>
        </is>
      </c>
      <c r="O1631" s="32" t="n">
        <v>585</v>
      </c>
      <c r="P1631" s="2" t="inlineStr">
        <is>
          <t>NSMI24100578400</t>
        </is>
      </c>
      <c r="Q1631" s="29">
        <f>MID(P1631,5,2)</f>
        <v/>
      </c>
      <c r="R1631" s="14">
        <f>MID(P1631,7,2)</f>
        <v/>
      </c>
      <c r="S1631" s="6" t="inlineStr">
        <is>
          <t>G2G</t>
        </is>
      </c>
      <c r="T1631" s="1" t="inlineStr">
        <is>
          <t>P4 - PEIPL</t>
        </is>
      </c>
      <c r="U1631" s="6" t="inlineStr">
        <is>
          <t>Glass Breakage</t>
        </is>
      </c>
      <c r="V1631" s="1" t="inlineStr">
        <is>
          <t>Inspection</t>
        </is>
      </c>
      <c r="W1631" s="1" t="inlineStr">
        <is>
          <t>WIP</t>
        </is>
      </c>
      <c r="X1631" s="12" t="n"/>
      <c r="Y1631" s="1">
        <f>IF(X1631="","",X1631-A1631)</f>
        <v/>
      </c>
      <c r="Z1631" s="5" t="n">
        <v>46192</v>
      </c>
      <c r="AA1631" s="3" t="n"/>
      <c r="AB1631" s="3" t="n"/>
      <c r="AE1631" s="146">
        <f>IF(AND(F1631="Closed",X1631&gt;=DATE(2026,6,1),X1631&lt;=DATE(2026,6,30)),"Closed in June","other")</f>
        <v/>
      </c>
    </row>
    <row r="1632" hidden="1">
      <c r="A1632" s="49" t="n">
        <v>46177</v>
      </c>
      <c r="B1632" s="1" t="n">
        <v>2026</v>
      </c>
      <c r="C1632" s="8" t="inlineStr">
        <is>
          <t>Ayana</t>
        </is>
      </c>
      <c r="D1632" s="11" t="inlineStr">
        <is>
          <t>Utility and C&amp;I</t>
        </is>
      </c>
      <c r="E1632" s="1" t="n"/>
      <c r="F1632" s="1" t="inlineStr">
        <is>
          <t>WIP</t>
        </is>
      </c>
      <c r="G1632" s="11" t="inlineStr">
        <is>
          <t>Vasu.N</t>
        </is>
      </c>
      <c r="H1632" s="8" t="n">
        <v>9578099893</v>
      </c>
      <c r="I1632" s="10" t="inlineStr">
        <is>
          <t>PE04062601</t>
        </is>
      </c>
      <c r="J1632" s="28" t="inlineStr">
        <is>
          <t>Module burnt</t>
        </is>
      </c>
      <c r="K1632" s="8" t="inlineStr">
        <is>
          <t>Jatavira</t>
        </is>
      </c>
      <c r="L1632" s="39" t="inlineStr">
        <is>
          <t>Gujarat</t>
        </is>
      </c>
      <c r="M1632" s="2" t="inlineStr">
        <is>
          <t xml:space="preserve">Black glass broken at shorter frem </t>
        </is>
      </c>
      <c r="N1632" s="6" t="inlineStr">
        <is>
          <t>Module Breakage</t>
        </is>
      </c>
      <c r="O1632" s="32" t="n">
        <v>585</v>
      </c>
      <c r="P1632" s="2" t="inlineStr">
        <is>
          <t>NSMI24100578367</t>
        </is>
      </c>
      <c r="Q1632" s="29">
        <f>MID(P1632,5,2)</f>
        <v/>
      </c>
      <c r="R1632" s="14">
        <f>MID(P1632,7,2)</f>
        <v/>
      </c>
      <c r="S1632" s="6" t="inlineStr">
        <is>
          <t>G2G</t>
        </is>
      </c>
      <c r="T1632" s="1" t="inlineStr">
        <is>
          <t>P4 - PEIPL</t>
        </is>
      </c>
      <c r="U1632" s="6" t="inlineStr">
        <is>
          <t>Glass Breakage</t>
        </is>
      </c>
      <c r="V1632" s="1" t="inlineStr">
        <is>
          <t>Inspection</t>
        </is>
      </c>
      <c r="W1632" s="1" t="inlineStr">
        <is>
          <t>WIP</t>
        </is>
      </c>
      <c r="X1632" s="12" t="n"/>
      <c r="Y1632" s="1">
        <f>IF(X1632="","",X1632-A1632)</f>
        <v/>
      </c>
      <c r="Z1632" s="5" t="n">
        <v>46192</v>
      </c>
      <c r="AA1632" s="3" t="n"/>
      <c r="AB1632" s="3" t="n"/>
      <c r="AE1632" s="146">
        <f>IF(AND(F1632="Closed",X1632&gt;=DATE(2026,6,1),X1632&lt;=DATE(2026,6,30)),"Closed in June","other")</f>
        <v/>
      </c>
    </row>
    <row r="1633" hidden="1">
      <c r="A1633" s="49" t="n">
        <v>46177</v>
      </c>
      <c r="B1633" s="1" t="n">
        <v>2026</v>
      </c>
      <c r="C1633" s="8" t="inlineStr">
        <is>
          <t>Ayana</t>
        </is>
      </c>
      <c r="D1633" s="11" t="inlineStr">
        <is>
          <t>Utility and C&amp;I</t>
        </is>
      </c>
      <c r="E1633" s="1" t="n"/>
      <c r="F1633" s="1" t="inlineStr">
        <is>
          <t>WIP</t>
        </is>
      </c>
      <c r="G1633" s="11" t="inlineStr">
        <is>
          <t>Vasu.N</t>
        </is>
      </c>
      <c r="H1633" s="8" t="n">
        <v>9578099893</v>
      </c>
      <c r="I1633" s="10" t="inlineStr">
        <is>
          <t>PE04062601</t>
        </is>
      </c>
      <c r="J1633" s="28" t="inlineStr">
        <is>
          <t>Module burnt</t>
        </is>
      </c>
      <c r="K1633" s="8" t="inlineStr">
        <is>
          <t>Jatavira</t>
        </is>
      </c>
      <c r="L1633" s="39" t="inlineStr">
        <is>
          <t>Gujarat</t>
        </is>
      </c>
      <c r="M1633" s="2" t="inlineStr">
        <is>
          <t xml:space="preserve">Black glass broken at shorter frem </t>
        </is>
      </c>
      <c r="N1633" s="6" t="inlineStr">
        <is>
          <t>Module Breakage</t>
        </is>
      </c>
      <c r="O1633" s="32" t="n">
        <v>585</v>
      </c>
      <c r="P1633" s="2" t="inlineStr">
        <is>
          <t>NSMI24100277722</t>
        </is>
      </c>
      <c r="Q1633" s="29">
        <f>MID(P1633,5,2)</f>
        <v/>
      </c>
      <c r="R1633" s="14">
        <f>MID(P1633,7,2)</f>
        <v/>
      </c>
      <c r="S1633" s="6" t="inlineStr">
        <is>
          <t>G2G</t>
        </is>
      </c>
      <c r="T1633" s="1" t="inlineStr">
        <is>
          <t>P4 - PEIPL</t>
        </is>
      </c>
      <c r="U1633" s="6" t="inlineStr">
        <is>
          <t>Glass Breakage</t>
        </is>
      </c>
      <c r="V1633" s="1" t="inlineStr">
        <is>
          <t>Inspection</t>
        </is>
      </c>
      <c r="W1633" s="1" t="inlineStr">
        <is>
          <t>WIP</t>
        </is>
      </c>
      <c r="X1633" s="12" t="n"/>
      <c r="Y1633" s="1">
        <f>IF(X1633="","",X1633-A1633)</f>
        <v/>
      </c>
      <c r="Z1633" s="5" t="n">
        <v>46192</v>
      </c>
      <c r="AA1633" s="3" t="n"/>
      <c r="AB1633" s="3" t="n"/>
      <c r="AE1633" s="146">
        <f>IF(AND(F1633="Closed",X1633&gt;=DATE(2026,6,1),X1633&lt;=DATE(2026,6,30)),"Closed in June","other")</f>
        <v/>
      </c>
    </row>
    <row r="1634" hidden="1">
      <c r="A1634" s="49" t="n">
        <v>46177</v>
      </c>
      <c r="B1634" s="1" t="n">
        <v>2026</v>
      </c>
      <c r="C1634" s="8" t="inlineStr">
        <is>
          <t>Ayana</t>
        </is>
      </c>
      <c r="D1634" s="11" t="inlineStr">
        <is>
          <t>Utility and C&amp;I</t>
        </is>
      </c>
      <c r="E1634" s="1" t="n"/>
      <c r="F1634" s="1" t="inlineStr">
        <is>
          <t>WIP</t>
        </is>
      </c>
      <c r="G1634" s="11" t="inlineStr">
        <is>
          <t>Vasu.N</t>
        </is>
      </c>
      <c r="H1634" s="8" t="n">
        <v>9578099893</v>
      </c>
      <c r="I1634" s="10" t="inlineStr">
        <is>
          <t>PE04062601</t>
        </is>
      </c>
      <c r="J1634" s="28" t="inlineStr">
        <is>
          <t>Module burnt</t>
        </is>
      </c>
      <c r="K1634" s="8" t="inlineStr">
        <is>
          <t>Jatavira</t>
        </is>
      </c>
      <c r="L1634" s="39" t="inlineStr">
        <is>
          <t>Gujarat</t>
        </is>
      </c>
      <c r="M1634" s="2" t="inlineStr">
        <is>
          <t xml:space="preserve">Black glass broken at shorter frem </t>
        </is>
      </c>
      <c r="N1634" s="6" t="inlineStr">
        <is>
          <t>Module Breakage</t>
        </is>
      </c>
      <c r="O1634" s="32" t="n">
        <v>585</v>
      </c>
      <c r="P1634" s="2" t="inlineStr">
        <is>
          <t>NSMI24100578372</t>
        </is>
      </c>
      <c r="Q1634" s="29">
        <f>MID(P1634,5,2)</f>
        <v/>
      </c>
      <c r="R1634" s="14">
        <f>MID(P1634,7,2)</f>
        <v/>
      </c>
      <c r="S1634" s="6" t="inlineStr">
        <is>
          <t>G2G</t>
        </is>
      </c>
      <c r="T1634" s="1" t="inlineStr">
        <is>
          <t>P4 - PEIPL</t>
        </is>
      </c>
      <c r="U1634" s="6" t="inlineStr">
        <is>
          <t>Glass Breakage</t>
        </is>
      </c>
      <c r="V1634" s="1" t="inlineStr">
        <is>
          <t>Inspection</t>
        </is>
      </c>
      <c r="W1634" s="1" t="inlineStr">
        <is>
          <t>WIP</t>
        </is>
      </c>
      <c r="X1634" s="12" t="n"/>
      <c r="Y1634" s="1">
        <f>IF(X1634="","",X1634-A1634)</f>
        <v/>
      </c>
      <c r="Z1634" s="5" t="n">
        <v>46192</v>
      </c>
      <c r="AA1634" s="3" t="n"/>
      <c r="AB1634" s="3" t="n"/>
      <c r="AE1634" s="146">
        <f>IF(AND(F1634="Closed",X1634&gt;=DATE(2026,6,1),X1634&lt;=DATE(2026,6,30)),"Closed in June","other")</f>
        <v/>
      </c>
    </row>
    <row r="1635" hidden="1">
      <c r="A1635" s="49" t="n">
        <v>46177</v>
      </c>
      <c r="B1635" s="1" t="n">
        <v>2026</v>
      </c>
      <c r="C1635" s="8" t="inlineStr">
        <is>
          <t>Ayana</t>
        </is>
      </c>
      <c r="D1635" s="11" t="inlineStr">
        <is>
          <t>Utility and C&amp;I</t>
        </is>
      </c>
      <c r="E1635" s="1" t="n"/>
      <c r="F1635" s="1" t="inlineStr">
        <is>
          <t>WIP</t>
        </is>
      </c>
      <c r="G1635" s="11" t="inlineStr">
        <is>
          <t>Vasu.N</t>
        </is>
      </c>
      <c r="H1635" s="8" t="n">
        <v>9578099893</v>
      </c>
      <c r="I1635" s="10" t="inlineStr">
        <is>
          <t>PE04062601</t>
        </is>
      </c>
      <c r="J1635" s="28" t="inlineStr">
        <is>
          <t>Module burnt</t>
        </is>
      </c>
      <c r="K1635" s="8" t="inlineStr">
        <is>
          <t>Jatavira</t>
        </is>
      </c>
      <c r="L1635" s="39" t="inlineStr">
        <is>
          <t>Gujarat</t>
        </is>
      </c>
      <c r="M1635" s="2" t="inlineStr">
        <is>
          <t xml:space="preserve">Burning </t>
        </is>
      </c>
      <c r="N1635" s="6" t="inlineStr">
        <is>
          <t>Module Burn</t>
        </is>
      </c>
      <c r="O1635" s="32" t="n">
        <v>585</v>
      </c>
      <c r="P1635" s="2" t="inlineStr">
        <is>
          <t>NSMI24100589694</t>
        </is>
      </c>
      <c r="Q1635" s="29">
        <f>MID(P1635,5,2)</f>
        <v/>
      </c>
      <c r="R1635" s="14">
        <f>MID(P1635,7,2)</f>
        <v/>
      </c>
      <c r="S1635" s="6" t="inlineStr">
        <is>
          <t>G2G</t>
        </is>
      </c>
      <c r="T1635" s="1" t="inlineStr">
        <is>
          <t>P4 - PEIPL</t>
        </is>
      </c>
      <c r="U1635" s="6" t="inlineStr">
        <is>
          <t>Module Burn</t>
        </is>
      </c>
      <c r="V1635" s="1" t="inlineStr">
        <is>
          <t>Inspection</t>
        </is>
      </c>
      <c r="W1635" s="1" t="inlineStr">
        <is>
          <t>WIP</t>
        </is>
      </c>
      <c r="X1635" s="12" t="n"/>
      <c r="Y1635" s="1">
        <f>IF(X1635="","",X1635-A1635)</f>
        <v/>
      </c>
      <c r="Z1635" s="5" t="n">
        <v>46192</v>
      </c>
      <c r="AA1635" s="3" t="n"/>
      <c r="AB1635" s="3" t="n"/>
      <c r="AE1635" s="146">
        <f>IF(AND(F1635="Closed",X1635&gt;=DATE(2026,6,1),X1635&lt;=DATE(2026,6,30)),"Closed in June","other")</f>
        <v/>
      </c>
    </row>
    <row r="1636" hidden="1">
      <c r="A1636" s="49" t="n">
        <v>46177</v>
      </c>
      <c r="B1636" s="1" t="n">
        <v>2026</v>
      </c>
      <c r="C1636" s="8" t="inlineStr">
        <is>
          <t>Ayana</t>
        </is>
      </c>
      <c r="D1636" s="11" t="inlineStr">
        <is>
          <t>Utility and C&amp;I</t>
        </is>
      </c>
      <c r="E1636" s="1" t="n"/>
      <c r="F1636" s="1" t="inlineStr">
        <is>
          <t>WIP</t>
        </is>
      </c>
      <c r="G1636" s="11" t="inlineStr">
        <is>
          <t>Vasu.N</t>
        </is>
      </c>
      <c r="H1636" s="8" t="n">
        <v>9578099893</v>
      </c>
      <c r="I1636" s="10" t="inlineStr">
        <is>
          <t>PE04062601</t>
        </is>
      </c>
      <c r="J1636" s="28" t="inlineStr">
        <is>
          <t>Module burnt</t>
        </is>
      </c>
      <c r="K1636" s="8" t="inlineStr">
        <is>
          <t>Jatavira</t>
        </is>
      </c>
      <c r="L1636" s="39" t="inlineStr">
        <is>
          <t>Gujarat</t>
        </is>
      </c>
      <c r="M1636" s="2" t="inlineStr">
        <is>
          <t xml:space="preserve">Burning </t>
        </is>
      </c>
      <c r="N1636" s="6" t="inlineStr">
        <is>
          <t>Module Burn</t>
        </is>
      </c>
      <c r="O1636" s="32" t="n">
        <v>585</v>
      </c>
      <c r="P1636" s="2" t="inlineStr">
        <is>
          <t>NSMI24100576333</t>
        </is>
      </c>
      <c r="Q1636" s="29">
        <f>MID(P1636,5,2)</f>
        <v/>
      </c>
      <c r="R1636" s="14">
        <f>MID(P1636,7,2)</f>
        <v/>
      </c>
      <c r="S1636" s="6" t="inlineStr">
        <is>
          <t>G2G</t>
        </is>
      </c>
      <c r="T1636" s="1" t="inlineStr">
        <is>
          <t>P4 - PEIPL</t>
        </is>
      </c>
      <c r="U1636" s="6" t="inlineStr">
        <is>
          <t>Module Burn</t>
        </is>
      </c>
      <c r="V1636" s="1" t="inlineStr">
        <is>
          <t>Inspection</t>
        </is>
      </c>
      <c r="W1636" s="1" t="inlineStr">
        <is>
          <t>WIP</t>
        </is>
      </c>
      <c r="X1636" s="12" t="n"/>
      <c r="Y1636" s="1">
        <f>IF(X1636="","",X1636-A1636)</f>
        <v/>
      </c>
      <c r="Z1636" s="5" t="n">
        <v>46192</v>
      </c>
      <c r="AA1636" s="3" t="n"/>
      <c r="AB1636" s="3" t="n"/>
      <c r="AE1636" s="146">
        <f>IF(AND(F1636="Closed",X1636&gt;=DATE(2026,6,1),X1636&lt;=DATE(2026,6,30)),"Closed in June","other")</f>
        <v/>
      </c>
    </row>
    <row r="1637" hidden="1">
      <c r="A1637" s="49" t="n">
        <v>46177</v>
      </c>
      <c r="B1637" s="1" t="n">
        <v>2026</v>
      </c>
      <c r="C1637" s="8" t="inlineStr">
        <is>
          <t>Ayana</t>
        </is>
      </c>
      <c r="D1637" s="11" t="inlineStr">
        <is>
          <t>Utility and C&amp;I</t>
        </is>
      </c>
      <c r="E1637" s="1" t="n"/>
      <c r="F1637" s="1" t="inlineStr">
        <is>
          <t>WIP</t>
        </is>
      </c>
      <c r="G1637" s="11" t="inlineStr">
        <is>
          <t>Vasu.N</t>
        </is>
      </c>
      <c r="H1637" s="8" t="n">
        <v>9578099893</v>
      </c>
      <c r="I1637" s="10" t="inlineStr">
        <is>
          <t>PE04062601</t>
        </is>
      </c>
      <c r="J1637" s="28" t="inlineStr">
        <is>
          <t>Module burnt</t>
        </is>
      </c>
      <c r="K1637" s="8" t="inlineStr">
        <is>
          <t>Jatavira</t>
        </is>
      </c>
      <c r="L1637" s="39" t="inlineStr">
        <is>
          <t>Gujarat</t>
        </is>
      </c>
      <c r="M1637" s="2" t="inlineStr">
        <is>
          <t xml:space="preserve">Back glass broken </t>
        </is>
      </c>
      <c r="N1637" s="6" t="inlineStr">
        <is>
          <t>Module Breakage</t>
        </is>
      </c>
      <c r="O1637" s="32" t="n">
        <v>585</v>
      </c>
      <c r="P1637" s="2" t="inlineStr">
        <is>
          <t>NSMI24100544399</t>
        </is>
      </c>
      <c r="Q1637" s="29">
        <f>MID(P1637,5,2)</f>
        <v/>
      </c>
      <c r="R1637" s="14">
        <f>MID(P1637,7,2)</f>
        <v/>
      </c>
      <c r="S1637" s="6" t="inlineStr">
        <is>
          <t>G2G</t>
        </is>
      </c>
      <c r="T1637" s="1" t="inlineStr">
        <is>
          <t>P4 - PEIPL</t>
        </is>
      </c>
      <c r="U1637" s="6" t="inlineStr">
        <is>
          <t>Glass Breakage</t>
        </is>
      </c>
      <c r="V1637" s="1" t="inlineStr">
        <is>
          <t>Inspection</t>
        </is>
      </c>
      <c r="W1637" s="1" t="inlineStr">
        <is>
          <t>WIP</t>
        </is>
      </c>
      <c r="X1637" s="12" t="n"/>
      <c r="Y1637" s="1">
        <f>IF(X1637="","",X1637-A1637)</f>
        <v/>
      </c>
      <c r="Z1637" s="5" t="n">
        <v>46192</v>
      </c>
      <c r="AA1637" s="3" t="n"/>
      <c r="AB1637" s="3" t="n"/>
      <c r="AE1637" s="146">
        <f>IF(AND(F1637="Closed",X1637&gt;=DATE(2026,6,1),X1637&lt;=DATE(2026,6,30)),"Closed in June","other")</f>
        <v/>
      </c>
    </row>
    <row r="1638" hidden="1">
      <c r="A1638" s="49" t="n">
        <v>46177</v>
      </c>
      <c r="B1638" s="1" t="n">
        <v>2026</v>
      </c>
      <c r="C1638" s="8" t="inlineStr">
        <is>
          <t>Ayana</t>
        </is>
      </c>
      <c r="D1638" s="11" t="inlineStr">
        <is>
          <t>Utility and C&amp;I</t>
        </is>
      </c>
      <c r="E1638" s="1" t="n"/>
      <c r="F1638" s="1" t="inlineStr">
        <is>
          <t>Closed</t>
        </is>
      </c>
      <c r="G1638" s="11" t="inlineStr">
        <is>
          <t>Vasu.N</t>
        </is>
      </c>
      <c r="H1638" s="8" t="n">
        <v>9578099893</v>
      </c>
      <c r="I1638" s="10" t="inlineStr">
        <is>
          <t>PE04062601</t>
        </is>
      </c>
      <c r="J1638" s="6" t="inlineStr">
        <is>
          <t>Diode issue</t>
        </is>
      </c>
      <c r="K1638" s="8" t="inlineStr">
        <is>
          <t>Jatavira</t>
        </is>
      </c>
      <c r="L1638" s="39" t="inlineStr">
        <is>
          <t>Gujarat</t>
        </is>
      </c>
      <c r="M1638" s="2" t="inlineStr">
        <is>
          <t>PR</t>
        </is>
      </c>
      <c r="N1638" s="1" t="inlineStr">
        <is>
          <t>JB Issue</t>
        </is>
      </c>
      <c r="O1638" s="32" t="n">
        <v>585</v>
      </c>
      <c r="P1638" s="2" t="inlineStr">
        <is>
          <t>NSMI24090484606</t>
        </is>
      </c>
      <c r="Q1638" s="29">
        <f>MID(P1638,5,2)</f>
        <v/>
      </c>
      <c r="R1638" s="14">
        <f>MID(P1638,7,2)</f>
        <v/>
      </c>
      <c r="S1638" s="6" t="inlineStr">
        <is>
          <t>G2G</t>
        </is>
      </c>
      <c r="T1638" s="1" t="inlineStr">
        <is>
          <t>P4 - PEIPL</t>
        </is>
      </c>
      <c r="U1638" s="6" t="inlineStr">
        <is>
          <t>P JB Issue</t>
        </is>
      </c>
      <c r="V1638" s="1" t="inlineStr">
        <is>
          <t>Inspection</t>
        </is>
      </c>
      <c r="W1638" s="1" t="inlineStr">
        <is>
          <t>Repair</t>
        </is>
      </c>
      <c r="X1638" s="5" t="n">
        <v>46192</v>
      </c>
      <c r="Y1638" s="1">
        <f>IF(X1638="","",X1638-A1638)</f>
        <v/>
      </c>
      <c r="Z1638" s="5" t="n">
        <v>46192</v>
      </c>
      <c r="AA1638" s="3" t="n"/>
      <c r="AB1638" s="3" t="n"/>
      <c r="AE1638" s="146">
        <f>IF(AND(F1638="Closed",X1638&gt;=DATE(2026,6,1),X1638&lt;=DATE(2026,6,30)),"Closed in June","other")</f>
        <v/>
      </c>
    </row>
    <row r="1639" hidden="1">
      <c r="A1639" s="49" t="n">
        <v>46177</v>
      </c>
      <c r="B1639" s="1" t="n">
        <v>2026</v>
      </c>
      <c r="C1639" s="8" t="inlineStr">
        <is>
          <t>Ayana</t>
        </is>
      </c>
      <c r="D1639" s="11" t="inlineStr">
        <is>
          <t>Utility and C&amp;I</t>
        </is>
      </c>
      <c r="E1639" s="1" t="n"/>
      <c r="F1639" s="1" t="inlineStr">
        <is>
          <t>Closed</t>
        </is>
      </c>
      <c r="G1639" s="11" t="inlineStr">
        <is>
          <t>Vasu.N</t>
        </is>
      </c>
      <c r="H1639" s="8" t="n">
        <v>9578099893</v>
      </c>
      <c r="I1639" s="10" t="inlineStr">
        <is>
          <t>PE04062601</t>
        </is>
      </c>
      <c r="J1639" s="6" t="inlineStr">
        <is>
          <t>Diode issue</t>
        </is>
      </c>
      <c r="K1639" s="8" t="inlineStr">
        <is>
          <t>Jatavira</t>
        </is>
      </c>
      <c r="L1639" s="39" t="inlineStr">
        <is>
          <t>Gujarat</t>
        </is>
      </c>
      <c r="M1639" s="2" t="inlineStr">
        <is>
          <t>PR</t>
        </is>
      </c>
      <c r="N1639" s="1" t="inlineStr">
        <is>
          <t>JB Issue</t>
        </is>
      </c>
      <c r="O1639" s="32" t="n">
        <v>585</v>
      </c>
      <c r="P1639" s="2" t="inlineStr">
        <is>
          <t>NSMI24090427678</t>
        </is>
      </c>
      <c r="Q1639" s="29">
        <f>MID(P1639,5,2)</f>
        <v/>
      </c>
      <c r="R1639" s="14">
        <f>MID(P1639,7,2)</f>
        <v/>
      </c>
      <c r="S1639" s="6" t="inlineStr">
        <is>
          <t>G2G</t>
        </is>
      </c>
      <c r="T1639" s="1" t="inlineStr">
        <is>
          <t>P4 - PEIPL</t>
        </is>
      </c>
      <c r="U1639" s="6" t="inlineStr">
        <is>
          <t>P JB Issue</t>
        </is>
      </c>
      <c r="V1639" s="1" t="inlineStr">
        <is>
          <t>Inspection</t>
        </is>
      </c>
      <c r="W1639" s="1" t="inlineStr">
        <is>
          <t>Repair</t>
        </is>
      </c>
      <c r="X1639" s="5" t="n">
        <v>46192</v>
      </c>
      <c r="Y1639" s="1">
        <f>IF(X1639="","",X1639-A1639)</f>
        <v/>
      </c>
      <c r="Z1639" s="5" t="n">
        <v>46192</v>
      </c>
      <c r="AA1639" s="3" t="n"/>
      <c r="AB1639" s="3" t="n"/>
      <c r="AE1639" s="146">
        <f>IF(AND(F1639="Closed",X1639&gt;=DATE(2026,6,1),X1639&lt;=DATE(2026,6,30)),"Closed in June","other")</f>
        <v/>
      </c>
    </row>
    <row r="1640" hidden="1">
      <c r="A1640" s="49" t="n">
        <v>46177</v>
      </c>
      <c r="B1640" s="1" t="n">
        <v>2026</v>
      </c>
      <c r="C1640" s="8" t="inlineStr">
        <is>
          <t>Ayana</t>
        </is>
      </c>
      <c r="D1640" s="11" t="inlineStr">
        <is>
          <t>Utility and C&amp;I</t>
        </is>
      </c>
      <c r="E1640" s="1" t="n"/>
      <c r="F1640" s="1" t="inlineStr">
        <is>
          <t>Closed</t>
        </is>
      </c>
      <c r="G1640" s="11" t="inlineStr">
        <is>
          <t>Vasu.N</t>
        </is>
      </c>
      <c r="H1640" s="8" t="n">
        <v>9578099893</v>
      </c>
      <c r="I1640" s="10" t="inlineStr">
        <is>
          <t>PE04062601</t>
        </is>
      </c>
      <c r="J1640" s="6" t="inlineStr">
        <is>
          <t>Diode issue</t>
        </is>
      </c>
      <c r="K1640" s="8" t="inlineStr">
        <is>
          <t>Jatavira</t>
        </is>
      </c>
      <c r="L1640" s="39" t="inlineStr">
        <is>
          <t>Gujarat</t>
        </is>
      </c>
      <c r="M1640" s="2" t="inlineStr">
        <is>
          <t>PS</t>
        </is>
      </c>
      <c r="N1640" s="1" t="inlineStr">
        <is>
          <t>Cold Soldering</t>
        </is>
      </c>
      <c r="O1640" s="32" t="n">
        <v>585</v>
      </c>
      <c r="P1640" s="2" t="inlineStr">
        <is>
          <t>NSMI24090464966</t>
        </is>
      </c>
      <c r="Q1640" s="29">
        <f>MID(P1640,5,2)</f>
        <v/>
      </c>
      <c r="R1640" s="14">
        <f>MID(P1640,7,2)</f>
        <v/>
      </c>
      <c r="S1640" s="6" t="inlineStr">
        <is>
          <t>G2G</t>
        </is>
      </c>
      <c r="T1640" s="1" t="inlineStr">
        <is>
          <t>P4 - PEIPL</t>
        </is>
      </c>
      <c r="U1640" s="1" t="inlineStr">
        <is>
          <t>P JB Cold Soldering</t>
        </is>
      </c>
      <c r="V1640" s="1" t="inlineStr">
        <is>
          <t>Inspection</t>
        </is>
      </c>
      <c r="W1640" s="1" t="inlineStr">
        <is>
          <t>Repair</t>
        </is>
      </c>
      <c r="X1640" s="5" t="n">
        <v>46192</v>
      </c>
      <c r="Y1640" s="1">
        <f>IF(X1640="","",X1640-A1640)</f>
        <v/>
      </c>
      <c r="Z1640" s="5" t="n">
        <v>46192</v>
      </c>
      <c r="AA1640" s="3" t="n"/>
      <c r="AB1640" s="3" t="n"/>
      <c r="AE1640" s="146">
        <f>IF(AND(F1640="Closed",X1640&gt;=DATE(2026,6,1),X1640&lt;=DATE(2026,6,30)),"Closed in June","other")</f>
        <v/>
      </c>
    </row>
    <row r="1641" hidden="1">
      <c r="A1641" s="49" t="n">
        <v>46177</v>
      </c>
      <c r="B1641" s="1" t="n">
        <v>2026</v>
      </c>
      <c r="C1641" s="8" t="inlineStr">
        <is>
          <t>Ayana</t>
        </is>
      </c>
      <c r="D1641" s="11" t="inlineStr">
        <is>
          <t>Utility and C&amp;I</t>
        </is>
      </c>
      <c r="E1641" s="1" t="n"/>
      <c r="F1641" s="1" t="inlineStr">
        <is>
          <t>Closed</t>
        </is>
      </c>
      <c r="G1641" s="11" t="inlineStr">
        <is>
          <t>Vasu.N</t>
        </is>
      </c>
      <c r="H1641" s="8" t="n">
        <v>9578099893</v>
      </c>
      <c r="I1641" s="10" t="inlineStr">
        <is>
          <t>PE04062601</t>
        </is>
      </c>
      <c r="J1641" s="6" t="inlineStr">
        <is>
          <t>Diode issue</t>
        </is>
      </c>
      <c r="K1641" s="8" t="inlineStr">
        <is>
          <t>Jatavira</t>
        </is>
      </c>
      <c r="L1641" s="39" t="inlineStr">
        <is>
          <t>Gujarat</t>
        </is>
      </c>
      <c r="M1641" s="2" t="inlineStr">
        <is>
          <t>PS</t>
        </is>
      </c>
      <c r="N1641" s="1" t="inlineStr">
        <is>
          <t>Cold Soldering</t>
        </is>
      </c>
      <c r="O1641" s="32" t="n">
        <v>585</v>
      </c>
      <c r="P1641" s="2" t="inlineStr">
        <is>
          <t>NSMI24090468357</t>
        </is>
      </c>
      <c r="Q1641" s="29">
        <f>MID(P1641,5,2)</f>
        <v/>
      </c>
      <c r="R1641" s="14">
        <f>MID(P1641,7,2)</f>
        <v/>
      </c>
      <c r="S1641" s="6" t="inlineStr">
        <is>
          <t>G2G</t>
        </is>
      </c>
      <c r="T1641" s="1" t="inlineStr">
        <is>
          <t>P4 - PEIPL</t>
        </is>
      </c>
      <c r="U1641" s="1" t="inlineStr">
        <is>
          <t>P JB Cold Soldering</t>
        </is>
      </c>
      <c r="V1641" s="1" t="inlineStr">
        <is>
          <t>Inspection</t>
        </is>
      </c>
      <c r="W1641" s="1" t="inlineStr">
        <is>
          <t>Repair</t>
        </is>
      </c>
      <c r="X1641" s="5" t="n">
        <v>46192</v>
      </c>
      <c r="Y1641" s="1">
        <f>IF(X1641="","",X1641-A1641)</f>
        <v/>
      </c>
      <c r="Z1641" s="5" t="n">
        <v>46192</v>
      </c>
      <c r="AA1641" s="3" t="n"/>
      <c r="AB1641" s="3" t="n"/>
      <c r="AE1641" s="146">
        <f>IF(AND(F1641="Closed",X1641&gt;=DATE(2026,6,1),X1641&lt;=DATE(2026,6,30)),"Closed in June","other")</f>
        <v/>
      </c>
    </row>
    <row r="1642" hidden="1">
      <c r="A1642" s="49" t="n">
        <v>46177</v>
      </c>
      <c r="B1642" s="1" t="n">
        <v>2026</v>
      </c>
      <c r="C1642" s="8" t="inlineStr">
        <is>
          <t>Ayana</t>
        </is>
      </c>
      <c r="D1642" s="11" t="inlineStr">
        <is>
          <t>Utility and C&amp;I</t>
        </is>
      </c>
      <c r="E1642" s="1" t="n"/>
      <c r="F1642" s="1" t="inlineStr">
        <is>
          <t>Closed</t>
        </is>
      </c>
      <c r="G1642" s="11" t="inlineStr">
        <is>
          <t>Vasu.N</t>
        </is>
      </c>
      <c r="H1642" s="8" t="n">
        <v>9578099893</v>
      </c>
      <c r="I1642" s="10" t="inlineStr">
        <is>
          <t>PE04062601</t>
        </is>
      </c>
      <c r="J1642" s="6" t="inlineStr">
        <is>
          <t>Diode issue</t>
        </is>
      </c>
      <c r="K1642" s="8" t="inlineStr">
        <is>
          <t>Jatavira</t>
        </is>
      </c>
      <c r="L1642" s="39" t="inlineStr">
        <is>
          <t>Gujarat</t>
        </is>
      </c>
      <c r="M1642" s="2" t="inlineStr">
        <is>
          <t>PS</t>
        </is>
      </c>
      <c r="N1642" s="1" t="inlineStr">
        <is>
          <t>Cold Soldering</t>
        </is>
      </c>
      <c r="O1642" s="32" t="n">
        <v>585</v>
      </c>
      <c r="P1642" s="2" t="inlineStr">
        <is>
          <t>NSMI24100575582</t>
        </is>
      </c>
      <c r="Q1642" s="29">
        <f>MID(P1642,5,2)</f>
        <v/>
      </c>
      <c r="R1642" s="14">
        <f>MID(P1642,7,2)</f>
        <v/>
      </c>
      <c r="S1642" s="6" t="inlineStr">
        <is>
          <t>G2G</t>
        </is>
      </c>
      <c r="T1642" s="1" t="inlineStr">
        <is>
          <t>P4 - PEIPL</t>
        </is>
      </c>
      <c r="U1642" s="1" t="inlineStr">
        <is>
          <t>P JB Cold Soldering</t>
        </is>
      </c>
      <c r="V1642" s="1" t="inlineStr">
        <is>
          <t>Inspection</t>
        </is>
      </c>
      <c r="W1642" s="1" t="inlineStr">
        <is>
          <t>Repair</t>
        </is>
      </c>
      <c r="X1642" s="5" t="n">
        <v>46192</v>
      </c>
      <c r="Y1642" s="1">
        <f>IF(X1642="","",X1642-A1642)</f>
        <v/>
      </c>
      <c r="Z1642" s="5" t="n">
        <v>46192</v>
      </c>
      <c r="AA1642" s="3" t="n"/>
      <c r="AB1642" s="3" t="n"/>
      <c r="AE1642" s="146">
        <f>IF(AND(F1642="Closed",X1642&gt;=DATE(2026,6,1),X1642&lt;=DATE(2026,6,30)),"Closed in June","other")</f>
        <v/>
      </c>
    </row>
    <row r="1643" hidden="1">
      <c r="A1643" s="49" t="n">
        <v>46177</v>
      </c>
      <c r="B1643" s="1" t="n">
        <v>2026</v>
      </c>
      <c r="C1643" s="8" t="inlineStr">
        <is>
          <t>Ayana</t>
        </is>
      </c>
      <c r="D1643" s="11" t="inlineStr">
        <is>
          <t>Utility and C&amp;I</t>
        </is>
      </c>
      <c r="E1643" s="1" t="n"/>
      <c r="F1643" s="1" t="inlineStr">
        <is>
          <t>Closed</t>
        </is>
      </c>
      <c r="G1643" s="11" t="inlineStr">
        <is>
          <t>Vasu.N</t>
        </is>
      </c>
      <c r="H1643" s="8" t="n">
        <v>9578099893</v>
      </c>
      <c r="I1643" s="10" t="inlineStr">
        <is>
          <t>PE04062601</t>
        </is>
      </c>
      <c r="J1643" s="6" t="inlineStr">
        <is>
          <t>Diode issue</t>
        </is>
      </c>
      <c r="K1643" s="8" t="inlineStr">
        <is>
          <t>Jatavira</t>
        </is>
      </c>
      <c r="L1643" s="39" t="inlineStr">
        <is>
          <t>Gujarat</t>
        </is>
      </c>
      <c r="M1643" s="2" t="inlineStr">
        <is>
          <t>PS</t>
        </is>
      </c>
      <c r="N1643" s="1" t="inlineStr">
        <is>
          <t>Cold Soldering</t>
        </is>
      </c>
      <c r="O1643" s="32" t="n">
        <v>585</v>
      </c>
      <c r="P1643" s="2" t="inlineStr">
        <is>
          <t>NSMI24100576504</t>
        </is>
      </c>
      <c r="Q1643" s="29">
        <f>MID(P1643,5,2)</f>
        <v/>
      </c>
      <c r="R1643" s="14">
        <f>MID(P1643,7,2)</f>
        <v/>
      </c>
      <c r="S1643" s="6" t="inlineStr">
        <is>
          <t>G2G</t>
        </is>
      </c>
      <c r="T1643" s="1" t="inlineStr">
        <is>
          <t>P4 - PEIPL</t>
        </is>
      </c>
      <c r="U1643" s="1" t="inlineStr">
        <is>
          <t>P JB Cold Soldering</t>
        </is>
      </c>
      <c r="V1643" s="1" t="inlineStr">
        <is>
          <t>Inspection</t>
        </is>
      </c>
      <c r="W1643" s="1" t="inlineStr">
        <is>
          <t>Repair</t>
        </is>
      </c>
      <c r="X1643" s="5" t="n">
        <v>46192</v>
      </c>
      <c r="Y1643" s="1">
        <f>IF(X1643="","",X1643-A1643)</f>
        <v/>
      </c>
      <c r="Z1643" s="5" t="n">
        <v>46192</v>
      </c>
      <c r="AA1643" s="3" t="n"/>
      <c r="AB1643" s="3" t="n"/>
      <c r="AE1643" s="146">
        <f>IF(AND(F1643="Closed",X1643&gt;=DATE(2026,6,1),X1643&lt;=DATE(2026,6,30)),"Closed in June","other")</f>
        <v/>
      </c>
    </row>
    <row r="1644" hidden="1">
      <c r="A1644" s="49" t="n">
        <v>46177</v>
      </c>
      <c r="B1644" s="1" t="n">
        <v>2026</v>
      </c>
      <c r="C1644" s="8" t="inlineStr">
        <is>
          <t>Ayana</t>
        </is>
      </c>
      <c r="D1644" s="11" t="inlineStr">
        <is>
          <t>Utility and C&amp;I</t>
        </is>
      </c>
      <c r="E1644" s="1" t="n"/>
      <c r="F1644" s="1" t="inlineStr">
        <is>
          <t>Closed</t>
        </is>
      </c>
      <c r="G1644" s="11" t="inlineStr">
        <is>
          <t>Vasu.N</t>
        </is>
      </c>
      <c r="H1644" s="8" t="n">
        <v>9578099893</v>
      </c>
      <c r="I1644" s="10" t="inlineStr">
        <is>
          <t>PE04062601</t>
        </is>
      </c>
      <c r="J1644" s="6" t="inlineStr">
        <is>
          <t>Diode issue</t>
        </is>
      </c>
      <c r="K1644" s="8" t="inlineStr">
        <is>
          <t>Jatavira</t>
        </is>
      </c>
      <c r="L1644" s="39" t="inlineStr">
        <is>
          <t>Gujarat</t>
        </is>
      </c>
      <c r="M1644" s="2" t="inlineStr">
        <is>
          <t>PS</t>
        </is>
      </c>
      <c r="N1644" s="1" t="inlineStr">
        <is>
          <t>Cold Soldering</t>
        </is>
      </c>
      <c r="O1644" s="32" t="n">
        <v>585</v>
      </c>
      <c r="P1644" s="2" t="inlineStr">
        <is>
          <t>NSMI24100578566</t>
        </is>
      </c>
      <c r="Q1644" s="29">
        <f>MID(P1644,5,2)</f>
        <v/>
      </c>
      <c r="R1644" s="14">
        <f>MID(P1644,7,2)</f>
        <v/>
      </c>
      <c r="S1644" s="6" t="inlineStr">
        <is>
          <t>G2G</t>
        </is>
      </c>
      <c r="T1644" s="1" t="inlineStr">
        <is>
          <t>P4 - PEIPL</t>
        </is>
      </c>
      <c r="U1644" s="1" t="inlineStr">
        <is>
          <t>P JB Cold Soldering</t>
        </is>
      </c>
      <c r="V1644" s="1" t="inlineStr">
        <is>
          <t>Inspection</t>
        </is>
      </c>
      <c r="W1644" s="1" t="inlineStr">
        <is>
          <t>Repair</t>
        </is>
      </c>
      <c r="X1644" s="5" t="n">
        <v>46192</v>
      </c>
      <c r="Y1644" s="1">
        <f>IF(X1644="","",X1644-A1644)</f>
        <v/>
      </c>
      <c r="Z1644" s="5" t="n">
        <v>46192</v>
      </c>
      <c r="AA1644" s="3" t="n"/>
      <c r="AB1644" s="3" t="n"/>
      <c r="AE1644" s="146">
        <f>IF(AND(F1644="Closed",X1644&gt;=DATE(2026,6,1),X1644&lt;=DATE(2026,6,30)),"Closed in June","other")</f>
        <v/>
      </c>
    </row>
    <row r="1645" hidden="1">
      <c r="A1645" s="49" t="n">
        <v>46177</v>
      </c>
      <c r="B1645" s="1" t="n">
        <v>2026</v>
      </c>
      <c r="C1645" s="8" t="inlineStr">
        <is>
          <t>Ayana</t>
        </is>
      </c>
      <c r="D1645" s="11" t="inlineStr">
        <is>
          <t>Utility and C&amp;I</t>
        </is>
      </c>
      <c r="E1645" s="1" t="n"/>
      <c r="F1645" s="1" t="inlineStr">
        <is>
          <t>Closed</t>
        </is>
      </c>
      <c r="G1645" s="11" t="inlineStr">
        <is>
          <t>Vasu.N</t>
        </is>
      </c>
      <c r="H1645" s="8" t="n">
        <v>9578099893</v>
      </c>
      <c r="I1645" s="10" t="inlineStr">
        <is>
          <t>PE04062601</t>
        </is>
      </c>
      <c r="J1645" s="6" t="inlineStr">
        <is>
          <t>Diode issue</t>
        </is>
      </c>
      <c r="K1645" s="8" t="inlineStr">
        <is>
          <t>Jatavira</t>
        </is>
      </c>
      <c r="L1645" s="39" t="inlineStr">
        <is>
          <t>Gujarat</t>
        </is>
      </c>
      <c r="M1645" s="2" t="inlineStr">
        <is>
          <t>PS</t>
        </is>
      </c>
      <c r="N1645" s="1" t="inlineStr">
        <is>
          <t>Cold Soldering</t>
        </is>
      </c>
      <c r="O1645" s="32" t="n">
        <v>585</v>
      </c>
      <c r="P1645" s="2" t="inlineStr">
        <is>
          <t>NSMI24100585069</t>
        </is>
      </c>
      <c r="Q1645" s="29">
        <f>MID(P1645,5,2)</f>
        <v/>
      </c>
      <c r="R1645" s="14">
        <f>MID(P1645,7,2)</f>
        <v/>
      </c>
      <c r="S1645" s="6" t="inlineStr">
        <is>
          <t>G2G</t>
        </is>
      </c>
      <c r="T1645" s="1" t="inlineStr">
        <is>
          <t>P4 - PEIPL</t>
        </is>
      </c>
      <c r="U1645" s="1" t="inlineStr">
        <is>
          <t>P JB Cold Soldering</t>
        </is>
      </c>
      <c r="V1645" s="1" t="inlineStr">
        <is>
          <t>Inspection</t>
        </is>
      </c>
      <c r="W1645" s="1" t="inlineStr">
        <is>
          <t>Repair</t>
        </is>
      </c>
      <c r="X1645" s="5" t="n">
        <v>46192</v>
      </c>
      <c r="Y1645" s="1">
        <f>IF(X1645="","",X1645-A1645)</f>
        <v/>
      </c>
      <c r="Z1645" s="5" t="n">
        <v>46192</v>
      </c>
      <c r="AA1645" s="3" t="n"/>
      <c r="AB1645" s="3" t="n"/>
      <c r="AE1645" s="146">
        <f>IF(AND(F1645="Closed",X1645&gt;=DATE(2026,6,1),X1645&lt;=DATE(2026,6,30)),"Closed in June","other")</f>
        <v/>
      </c>
    </row>
    <row r="1646" hidden="1">
      <c r="A1646" s="49" t="n">
        <v>46177</v>
      </c>
      <c r="B1646" s="1" t="n">
        <v>2026</v>
      </c>
      <c r="C1646" s="8" t="inlineStr">
        <is>
          <t>Ayana</t>
        </is>
      </c>
      <c r="D1646" s="11" t="inlineStr">
        <is>
          <t>Utility and C&amp;I</t>
        </is>
      </c>
      <c r="E1646" s="1" t="n"/>
      <c r="F1646" s="1" t="inlineStr">
        <is>
          <t>Closed</t>
        </is>
      </c>
      <c r="G1646" s="11" t="inlineStr">
        <is>
          <t>Vasu.N</t>
        </is>
      </c>
      <c r="H1646" s="8" t="n">
        <v>9578099893</v>
      </c>
      <c r="I1646" s="10" t="inlineStr">
        <is>
          <t>PE04062601</t>
        </is>
      </c>
      <c r="J1646" s="6" t="inlineStr">
        <is>
          <t>Diode issue</t>
        </is>
      </c>
      <c r="K1646" s="8" t="inlineStr">
        <is>
          <t>Jatavira</t>
        </is>
      </c>
      <c r="L1646" s="39" t="inlineStr">
        <is>
          <t>Gujarat</t>
        </is>
      </c>
      <c r="M1646" s="2" t="inlineStr">
        <is>
          <t>PS</t>
        </is>
      </c>
      <c r="N1646" s="1" t="inlineStr">
        <is>
          <t>Cold Soldering</t>
        </is>
      </c>
      <c r="O1646" s="32" t="n">
        <v>585</v>
      </c>
      <c r="P1646" s="2" t="inlineStr">
        <is>
          <t>NSMI24100574343</t>
        </is>
      </c>
      <c r="Q1646" s="29">
        <f>MID(P1646,5,2)</f>
        <v/>
      </c>
      <c r="R1646" s="14">
        <f>MID(P1646,7,2)</f>
        <v/>
      </c>
      <c r="S1646" s="6" t="inlineStr">
        <is>
          <t>G2G</t>
        </is>
      </c>
      <c r="T1646" s="1" t="inlineStr">
        <is>
          <t>P4 - PEIPL</t>
        </is>
      </c>
      <c r="U1646" s="1" t="inlineStr">
        <is>
          <t>P JB Cold Soldering</t>
        </is>
      </c>
      <c r="V1646" s="1" t="inlineStr">
        <is>
          <t>Inspection</t>
        </is>
      </c>
      <c r="W1646" s="1" t="inlineStr">
        <is>
          <t>Repair</t>
        </is>
      </c>
      <c r="X1646" s="5" t="n">
        <v>46192</v>
      </c>
      <c r="Y1646" s="1">
        <f>IF(X1646="","",X1646-A1646)</f>
        <v/>
      </c>
      <c r="Z1646" s="5" t="n">
        <v>46192</v>
      </c>
      <c r="AA1646" s="3" t="n"/>
      <c r="AB1646" s="3" t="n"/>
      <c r="AE1646" s="146">
        <f>IF(AND(F1646="Closed",X1646&gt;=DATE(2026,6,1),X1646&lt;=DATE(2026,6,30)),"Closed in June","other")</f>
        <v/>
      </c>
    </row>
    <row r="1647" hidden="1">
      <c r="A1647" s="49" t="n">
        <v>46177</v>
      </c>
      <c r="B1647" s="1" t="n">
        <v>2026</v>
      </c>
      <c r="C1647" s="8" t="inlineStr">
        <is>
          <t>Ayana</t>
        </is>
      </c>
      <c r="D1647" s="11" t="inlineStr">
        <is>
          <t>Utility and C&amp;I</t>
        </is>
      </c>
      <c r="E1647" s="1" t="n"/>
      <c r="F1647" s="1" t="inlineStr">
        <is>
          <t>Closed</t>
        </is>
      </c>
      <c r="G1647" s="11" t="inlineStr">
        <is>
          <t>Vasu.N</t>
        </is>
      </c>
      <c r="H1647" s="8" t="n">
        <v>9578099893</v>
      </c>
      <c r="I1647" s="10" t="inlineStr">
        <is>
          <t>PE04062601</t>
        </is>
      </c>
      <c r="J1647" s="6" t="inlineStr">
        <is>
          <t>Diode issue</t>
        </is>
      </c>
      <c r="K1647" s="8" t="inlineStr">
        <is>
          <t>Jatavira</t>
        </is>
      </c>
      <c r="L1647" s="39" t="inlineStr">
        <is>
          <t>Gujarat</t>
        </is>
      </c>
      <c r="M1647" s="2" t="inlineStr">
        <is>
          <t>PS</t>
        </is>
      </c>
      <c r="N1647" s="1" t="inlineStr">
        <is>
          <t>Cold Soldering</t>
        </is>
      </c>
      <c r="O1647" s="32" t="n">
        <v>585</v>
      </c>
      <c r="P1647" s="2" t="inlineStr">
        <is>
          <t>NSMI24100583497</t>
        </is>
      </c>
      <c r="Q1647" s="29">
        <f>MID(P1647,5,2)</f>
        <v/>
      </c>
      <c r="R1647" s="14">
        <f>MID(P1647,7,2)</f>
        <v/>
      </c>
      <c r="S1647" s="6" t="inlineStr">
        <is>
          <t>G2G</t>
        </is>
      </c>
      <c r="T1647" s="1" t="inlineStr">
        <is>
          <t>P4 - PEIPL</t>
        </is>
      </c>
      <c r="U1647" s="1" t="inlineStr">
        <is>
          <t>P JB Cold Soldering</t>
        </is>
      </c>
      <c r="V1647" s="1" t="inlineStr">
        <is>
          <t>Inspection</t>
        </is>
      </c>
      <c r="W1647" s="1" t="inlineStr">
        <is>
          <t>Repair</t>
        </is>
      </c>
      <c r="X1647" s="5" t="n">
        <v>46192</v>
      </c>
      <c r="Y1647" s="1">
        <f>IF(X1647="","",X1647-A1647)</f>
        <v/>
      </c>
      <c r="Z1647" s="5" t="n">
        <v>46192</v>
      </c>
      <c r="AA1647" s="3" t="n"/>
      <c r="AB1647" s="3" t="n"/>
      <c r="AE1647" s="146">
        <f>IF(AND(F1647="Closed",X1647&gt;=DATE(2026,6,1),X1647&lt;=DATE(2026,6,30)),"Closed in June","other")</f>
        <v/>
      </c>
    </row>
    <row r="1648" hidden="1">
      <c r="A1648" s="49" t="n">
        <v>46177</v>
      </c>
      <c r="B1648" s="1" t="n">
        <v>2026</v>
      </c>
      <c r="C1648" s="8" t="inlineStr">
        <is>
          <t>Ayana</t>
        </is>
      </c>
      <c r="D1648" s="11" t="inlineStr">
        <is>
          <t>Utility and C&amp;I</t>
        </is>
      </c>
      <c r="E1648" s="1" t="n"/>
      <c r="F1648" s="1" t="inlineStr">
        <is>
          <t>Closed</t>
        </is>
      </c>
      <c r="G1648" s="11" t="inlineStr">
        <is>
          <t>Vasu.N</t>
        </is>
      </c>
      <c r="H1648" s="8" t="n">
        <v>9578099893</v>
      </c>
      <c r="I1648" s="10" t="inlineStr">
        <is>
          <t>PE04062601</t>
        </is>
      </c>
      <c r="J1648" s="6" t="inlineStr">
        <is>
          <t>Diode issue</t>
        </is>
      </c>
      <c r="K1648" s="8" t="inlineStr">
        <is>
          <t>Jatavira</t>
        </is>
      </c>
      <c r="L1648" s="39" t="inlineStr">
        <is>
          <t>Gujarat</t>
        </is>
      </c>
      <c r="M1648" s="2" t="inlineStr">
        <is>
          <t>PS</t>
        </is>
      </c>
      <c r="N1648" s="1" t="inlineStr">
        <is>
          <t>Cold Soldering</t>
        </is>
      </c>
      <c r="O1648" s="32" t="n">
        <v>585</v>
      </c>
      <c r="P1648" s="2" t="inlineStr">
        <is>
          <t>NSMI24100559635</t>
        </is>
      </c>
      <c r="Q1648" s="29">
        <f>MID(P1648,5,2)</f>
        <v/>
      </c>
      <c r="R1648" s="14">
        <f>MID(P1648,7,2)</f>
        <v/>
      </c>
      <c r="S1648" s="6" t="inlineStr">
        <is>
          <t>G2G</t>
        </is>
      </c>
      <c r="T1648" s="1" t="inlineStr">
        <is>
          <t>P4 - PEIPL</t>
        </is>
      </c>
      <c r="U1648" s="1" t="inlineStr">
        <is>
          <t>P JB Cold Soldering</t>
        </is>
      </c>
      <c r="V1648" s="1" t="inlineStr">
        <is>
          <t>Inspection</t>
        </is>
      </c>
      <c r="W1648" s="1" t="inlineStr">
        <is>
          <t>Repair</t>
        </is>
      </c>
      <c r="X1648" s="5" t="n">
        <v>46192</v>
      </c>
      <c r="Y1648" s="1">
        <f>IF(X1648="","",X1648-A1648)</f>
        <v/>
      </c>
      <c r="Z1648" s="5" t="n">
        <v>46192</v>
      </c>
      <c r="AA1648" s="3" t="n"/>
      <c r="AB1648" s="3" t="n"/>
      <c r="AE1648" s="146">
        <f>IF(AND(F1648="Closed",X1648&gt;=DATE(2026,6,1),X1648&lt;=DATE(2026,6,30)),"Closed in June","other")</f>
        <v/>
      </c>
    </row>
    <row r="1649" hidden="1">
      <c r="A1649" s="49" t="n">
        <v>46177</v>
      </c>
      <c r="B1649" s="1" t="n">
        <v>2026</v>
      </c>
      <c r="C1649" s="8" t="inlineStr">
        <is>
          <t>Ayana</t>
        </is>
      </c>
      <c r="D1649" s="11" t="inlineStr">
        <is>
          <t>Utility and C&amp;I</t>
        </is>
      </c>
      <c r="E1649" s="1" t="n"/>
      <c r="F1649" s="1" t="inlineStr">
        <is>
          <t>Closed</t>
        </is>
      </c>
      <c r="G1649" s="11" t="inlineStr">
        <is>
          <t>Vasu.N</t>
        </is>
      </c>
      <c r="H1649" s="8" t="n">
        <v>9578099893</v>
      </c>
      <c r="I1649" s="10" t="inlineStr">
        <is>
          <t>PE04062601</t>
        </is>
      </c>
      <c r="J1649" s="6" t="inlineStr">
        <is>
          <t>Diode issue</t>
        </is>
      </c>
      <c r="K1649" s="8" t="inlineStr">
        <is>
          <t>Jatavira</t>
        </is>
      </c>
      <c r="L1649" s="39" t="inlineStr">
        <is>
          <t>Gujarat</t>
        </is>
      </c>
      <c r="M1649" s="2" t="inlineStr">
        <is>
          <t>PS</t>
        </is>
      </c>
      <c r="N1649" s="1" t="inlineStr">
        <is>
          <t>Cold Soldering</t>
        </is>
      </c>
      <c r="O1649" s="32" t="n">
        <v>585</v>
      </c>
      <c r="P1649" s="2" t="inlineStr">
        <is>
          <t>NSMI24100558217</t>
        </is>
      </c>
      <c r="Q1649" s="29">
        <f>MID(P1649,5,2)</f>
        <v/>
      </c>
      <c r="R1649" s="14">
        <f>MID(P1649,7,2)</f>
        <v/>
      </c>
      <c r="S1649" s="6" t="inlineStr">
        <is>
          <t>G2G</t>
        </is>
      </c>
      <c r="T1649" s="1" t="inlineStr">
        <is>
          <t>P4 - PEIPL</t>
        </is>
      </c>
      <c r="U1649" s="1" t="inlineStr">
        <is>
          <t>P JB Cold Soldering</t>
        </is>
      </c>
      <c r="V1649" s="1" t="inlineStr">
        <is>
          <t>Inspection</t>
        </is>
      </c>
      <c r="W1649" s="1" t="inlineStr">
        <is>
          <t>Repair</t>
        </is>
      </c>
      <c r="X1649" s="5" t="n">
        <v>46192</v>
      </c>
      <c r="Y1649" s="1">
        <f>IF(X1649="","",X1649-A1649)</f>
        <v/>
      </c>
      <c r="Z1649" s="5" t="n">
        <v>46192</v>
      </c>
      <c r="AA1649" s="3" t="n"/>
      <c r="AB1649" s="3" t="n"/>
      <c r="AE1649" s="146">
        <f>IF(AND(F1649="Closed",X1649&gt;=DATE(2026,6,1),X1649&lt;=DATE(2026,6,30)),"Closed in June","other")</f>
        <v/>
      </c>
    </row>
    <row r="1650" hidden="1">
      <c r="A1650" s="49" t="n">
        <v>46177</v>
      </c>
      <c r="B1650" s="1" t="n">
        <v>2026</v>
      </c>
      <c r="C1650" s="8" t="inlineStr">
        <is>
          <t>Ayana</t>
        </is>
      </c>
      <c r="D1650" s="11" t="inlineStr">
        <is>
          <t>Utility and C&amp;I</t>
        </is>
      </c>
      <c r="E1650" s="1" t="n"/>
      <c r="F1650" s="1" t="inlineStr">
        <is>
          <t>Closed</t>
        </is>
      </c>
      <c r="G1650" s="11" t="inlineStr">
        <is>
          <t>Vasu.N</t>
        </is>
      </c>
      <c r="H1650" s="8" t="n">
        <v>9578099893</v>
      </c>
      <c r="I1650" s="10" t="inlineStr">
        <is>
          <t>PE04062601</t>
        </is>
      </c>
      <c r="J1650" s="6" t="inlineStr">
        <is>
          <t>Diode issue</t>
        </is>
      </c>
      <c r="K1650" s="8" t="inlineStr">
        <is>
          <t>Jatavira</t>
        </is>
      </c>
      <c r="L1650" s="39" t="inlineStr">
        <is>
          <t>Gujarat</t>
        </is>
      </c>
      <c r="M1650" s="2" t="inlineStr">
        <is>
          <t>PS</t>
        </is>
      </c>
      <c r="N1650" s="1" t="inlineStr">
        <is>
          <t>Cold Soldering</t>
        </is>
      </c>
      <c r="O1650" s="32" t="n">
        <v>585</v>
      </c>
      <c r="P1650" s="2" t="inlineStr">
        <is>
          <t>NSMI24090521453</t>
        </is>
      </c>
      <c r="Q1650" s="29">
        <f>MID(P1650,5,2)</f>
        <v/>
      </c>
      <c r="R1650" s="14">
        <f>MID(P1650,7,2)</f>
        <v/>
      </c>
      <c r="S1650" s="6" t="inlineStr">
        <is>
          <t>G2G</t>
        </is>
      </c>
      <c r="T1650" s="1" t="inlineStr">
        <is>
          <t>P4 - PEIPL</t>
        </is>
      </c>
      <c r="U1650" s="1" t="inlineStr">
        <is>
          <t>P JB Cold Soldering</t>
        </is>
      </c>
      <c r="V1650" s="1" t="inlineStr">
        <is>
          <t>Inspection</t>
        </is>
      </c>
      <c r="W1650" s="1" t="inlineStr">
        <is>
          <t>Repair</t>
        </is>
      </c>
      <c r="X1650" s="5" t="n">
        <v>46192</v>
      </c>
      <c r="Y1650" s="1">
        <f>IF(X1650="","",X1650-A1650)</f>
        <v/>
      </c>
      <c r="Z1650" s="5" t="n">
        <v>46192</v>
      </c>
      <c r="AA1650" s="3" t="n"/>
      <c r="AB1650" s="3" t="n"/>
      <c r="AE1650" s="146">
        <f>IF(AND(F1650="Closed",X1650&gt;=DATE(2026,6,1),X1650&lt;=DATE(2026,6,30)),"Closed in June","other")</f>
        <v/>
      </c>
    </row>
    <row r="1651" hidden="1">
      <c r="A1651" s="49" t="n">
        <v>46177</v>
      </c>
      <c r="B1651" s="1" t="n">
        <v>2026</v>
      </c>
      <c r="C1651" s="8" t="inlineStr">
        <is>
          <t>Ayana</t>
        </is>
      </c>
      <c r="D1651" s="11" t="inlineStr">
        <is>
          <t>Utility and C&amp;I</t>
        </is>
      </c>
      <c r="E1651" s="1" t="n"/>
      <c r="F1651" s="1" t="inlineStr">
        <is>
          <t>Closed</t>
        </is>
      </c>
      <c r="G1651" s="11" t="inlineStr">
        <is>
          <t>Vasu.N</t>
        </is>
      </c>
      <c r="H1651" s="8" t="n">
        <v>9578099893</v>
      </c>
      <c r="I1651" s="10" t="inlineStr">
        <is>
          <t>PE04062601</t>
        </is>
      </c>
      <c r="J1651" s="6" t="inlineStr">
        <is>
          <t>Diode issue</t>
        </is>
      </c>
      <c r="K1651" s="8" t="inlineStr">
        <is>
          <t>Jatavira</t>
        </is>
      </c>
      <c r="L1651" s="39" t="inlineStr">
        <is>
          <t>Gujarat</t>
        </is>
      </c>
      <c r="M1651" s="2" t="inlineStr">
        <is>
          <t>PS</t>
        </is>
      </c>
      <c r="N1651" s="1" t="inlineStr">
        <is>
          <t>Cold Soldering</t>
        </is>
      </c>
      <c r="O1651" s="32" t="n">
        <v>585</v>
      </c>
      <c r="P1651" s="2" t="inlineStr">
        <is>
          <t>NSMI24090502325</t>
        </is>
      </c>
      <c r="Q1651" s="29">
        <f>MID(P1651,5,2)</f>
        <v/>
      </c>
      <c r="R1651" s="14">
        <f>MID(P1651,7,2)</f>
        <v/>
      </c>
      <c r="S1651" s="6" t="inlineStr">
        <is>
          <t>G2G</t>
        </is>
      </c>
      <c r="T1651" s="1" t="inlineStr">
        <is>
          <t>P4 - PEIPL</t>
        </is>
      </c>
      <c r="U1651" s="1" t="inlineStr">
        <is>
          <t>P JB Cold Soldering</t>
        </is>
      </c>
      <c r="V1651" s="1" t="inlineStr">
        <is>
          <t>Inspection</t>
        </is>
      </c>
      <c r="W1651" s="1" t="inlineStr">
        <is>
          <t>Repair</t>
        </is>
      </c>
      <c r="X1651" s="5" t="n">
        <v>46192</v>
      </c>
      <c r="Y1651" s="1">
        <f>IF(X1651="","",X1651-A1651)</f>
        <v/>
      </c>
      <c r="Z1651" s="5" t="n">
        <v>46192</v>
      </c>
      <c r="AA1651" s="3" t="n"/>
      <c r="AB1651" s="3" t="n"/>
      <c r="AE1651" s="146">
        <f>IF(AND(F1651="Closed",X1651&gt;=DATE(2026,6,1),X1651&lt;=DATE(2026,6,30)),"Closed in June","other")</f>
        <v/>
      </c>
    </row>
    <row r="1652" hidden="1">
      <c r="A1652" s="49" t="n">
        <v>46177</v>
      </c>
      <c r="B1652" s="1" t="n">
        <v>2026</v>
      </c>
      <c r="C1652" s="8" t="inlineStr">
        <is>
          <t>Ayana</t>
        </is>
      </c>
      <c r="D1652" s="11" t="inlineStr">
        <is>
          <t>Utility and C&amp;I</t>
        </is>
      </c>
      <c r="E1652" s="1" t="n"/>
      <c r="F1652" s="1" t="inlineStr">
        <is>
          <t>Closed</t>
        </is>
      </c>
      <c r="G1652" s="11" t="inlineStr">
        <is>
          <t>Vasu.N</t>
        </is>
      </c>
      <c r="H1652" s="8" t="n">
        <v>9578099893</v>
      </c>
      <c r="I1652" s="10" t="inlineStr">
        <is>
          <t>PE04062601</t>
        </is>
      </c>
      <c r="J1652" s="6" t="inlineStr">
        <is>
          <t>Diode issue</t>
        </is>
      </c>
      <c r="K1652" s="8" t="inlineStr">
        <is>
          <t>Jatavira</t>
        </is>
      </c>
      <c r="L1652" s="39" t="inlineStr">
        <is>
          <t>Gujarat</t>
        </is>
      </c>
      <c r="M1652" s="2" t="inlineStr">
        <is>
          <t>PS</t>
        </is>
      </c>
      <c r="N1652" s="1" t="inlineStr">
        <is>
          <t>Cold Soldering</t>
        </is>
      </c>
      <c r="O1652" s="32" t="n">
        <v>585</v>
      </c>
      <c r="P1652" s="2" t="inlineStr">
        <is>
          <t>NSMI24090504741</t>
        </is>
      </c>
      <c r="Q1652" s="29">
        <f>MID(P1652,5,2)</f>
        <v/>
      </c>
      <c r="R1652" s="14">
        <f>MID(P1652,7,2)</f>
        <v/>
      </c>
      <c r="S1652" s="6" t="inlineStr">
        <is>
          <t>G2G</t>
        </is>
      </c>
      <c r="T1652" s="1" t="inlineStr">
        <is>
          <t>P4 - PEIPL</t>
        </is>
      </c>
      <c r="U1652" s="1" t="inlineStr">
        <is>
          <t>P JB Cold Soldering</t>
        </is>
      </c>
      <c r="V1652" s="1" t="inlineStr">
        <is>
          <t>Inspection</t>
        </is>
      </c>
      <c r="W1652" s="1" t="inlineStr">
        <is>
          <t>Repair</t>
        </is>
      </c>
      <c r="X1652" s="5" t="n">
        <v>46192</v>
      </c>
      <c r="Y1652" s="1">
        <f>IF(X1652="","",X1652-A1652)</f>
        <v/>
      </c>
      <c r="Z1652" s="5" t="n">
        <v>46192</v>
      </c>
      <c r="AA1652" s="3" t="n"/>
      <c r="AB1652" s="3" t="n"/>
      <c r="AE1652" s="146">
        <f>IF(AND(F1652="Closed",X1652&gt;=DATE(2026,6,1),X1652&lt;=DATE(2026,6,30)),"Closed in June","other")</f>
        <v/>
      </c>
    </row>
    <row r="1653" hidden="1">
      <c r="A1653" s="49" t="n">
        <v>46177</v>
      </c>
      <c r="B1653" s="1" t="n">
        <v>2026</v>
      </c>
      <c r="C1653" s="8" t="inlineStr">
        <is>
          <t>Ayana</t>
        </is>
      </c>
      <c r="D1653" s="11" t="inlineStr">
        <is>
          <t>Utility and C&amp;I</t>
        </is>
      </c>
      <c r="E1653" s="1" t="n"/>
      <c r="F1653" s="1" t="inlineStr">
        <is>
          <t>Closed</t>
        </is>
      </c>
      <c r="G1653" s="11" t="inlineStr">
        <is>
          <t>Vasu.N</t>
        </is>
      </c>
      <c r="H1653" s="8" t="n">
        <v>9578099893</v>
      </c>
      <c r="I1653" s="10" t="inlineStr">
        <is>
          <t>PE04062601</t>
        </is>
      </c>
      <c r="J1653" s="6" t="inlineStr">
        <is>
          <t>Diode issue</t>
        </is>
      </c>
      <c r="K1653" s="8" t="inlineStr">
        <is>
          <t>Jatavira</t>
        </is>
      </c>
      <c r="L1653" s="39" t="inlineStr">
        <is>
          <t>Gujarat</t>
        </is>
      </c>
      <c r="M1653" s="2" t="inlineStr">
        <is>
          <t>PS</t>
        </is>
      </c>
      <c r="N1653" s="1" t="inlineStr">
        <is>
          <t>Cold Soldering</t>
        </is>
      </c>
      <c r="O1653" s="32" t="n">
        <v>585</v>
      </c>
      <c r="P1653" s="2" t="inlineStr">
        <is>
          <t>NSMI24100574991</t>
        </is>
      </c>
      <c r="Q1653" s="29">
        <f>MID(P1653,5,2)</f>
        <v/>
      </c>
      <c r="R1653" s="14">
        <f>MID(P1653,7,2)</f>
        <v/>
      </c>
      <c r="S1653" s="6" t="inlineStr">
        <is>
          <t>G2G</t>
        </is>
      </c>
      <c r="T1653" s="1" t="inlineStr">
        <is>
          <t>P4 - PEIPL</t>
        </is>
      </c>
      <c r="U1653" s="1" t="inlineStr">
        <is>
          <t>P JB Cold Soldering</t>
        </is>
      </c>
      <c r="V1653" s="1" t="inlineStr">
        <is>
          <t>Inspection</t>
        </is>
      </c>
      <c r="W1653" s="1" t="inlineStr">
        <is>
          <t>Repair</t>
        </is>
      </c>
      <c r="X1653" s="5" t="n">
        <v>46192</v>
      </c>
      <c r="Y1653" s="1">
        <f>IF(X1653="","",X1653-A1653)</f>
        <v/>
      </c>
      <c r="Z1653" s="5" t="n">
        <v>46192</v>
      </c>
      <c r="AA1653" s="3" t="n"/>
      <c r="AB1653" s="3" t="n"/>
      <c r="AE1653" s="146">
        <f>IF(AND(F1653="Closed",X1653&gt;=DATE(2026,6,1),X1653&lt;=DATE(2026,6,30)),"Closed in June","other")</f>
        <v/>
      </c>
    </row>
    <row r="1654" hidden="1">
      <c r="A1654" s="49" t="n">
        <v>46177</v>
      </c>
      <c r="B1654" s="1" t="n">
        <v>2026</v>
      </c>
      <c r="C1654" s="8" t="inlineStr">
        <is>
          <t>Ayana</t>
        </is>
      </c>
      <c r="D1654" s="11" t="inlineStr">
        <is>
          <t>Utility and C&amp;I</t>
        </is>
      </c>
      <c r="E1654" s="1" t="n"/>
      <c r="F1654" s="1" t="inlineStr">
        <is>
          <t>Closed</t>
        </is>
      </c>
      <c r="G1654" s="11" t="inlineStr">
        <is>
          <t>Vasu.N</t>
        </is>
      </c>
      <c r="H1654" s="8" t="n">
        <v>9578099893</v>
      </c>
      <c r="I1654" s="10" t="inlineStr">
        <is>
          <t>PE04062601</t>
        </is>
      </c>
      <c r="J1654" s="6" t="inlineStr">
        <is>
          <t>Diode issue</t>
        </is>
      </c>
      <c r="K1654" s="8" t="inlineStr">
        <is>
          <t>Jatavira</t>
        </is>
      </c>
      <c r="L1654" s="39" t="inlineStr">
        <is>
          <t>Gujarat</t>
        </is>
      </c>
      <c r="M1654" s="2" t="inlineStr">
        <is>
          <t>PS</t>
        </is>
      </c>
      <c r="N1654" s="1" t="inlineStr">
        <is>
          <t>Cold Soldering</t>
        </is>
      </c>
      <c r="O1654" s="32" t="n">
        <v>585</v>
      </c>
      <c r="P1654" s="2" t="inlineStr">
        <is>
          <t>NSMI24100577367</t>
        </is>
      </c>
      <c r="Q1654" s="29">
        <f>MID(P1654,5,2)</f>
        <v/>
      </c>
      <c r="R1654" s="14">
        <f>MID(P1654,7,2)</f>
        <v/>
      </c>
      <c r="S1654" s="6" t="inlineStr">
        <is>
          <t>G2G</t>
        </is>
      </c>
      <c r="T1654" s="1" t="inlineStr">
        <is>
          <t>P4 - PEIPL</t>
        </is>
      </c>
      <c r="U1654" s="1" t="inlineStr">
        <is>
          <t>P JB Cold Soldering</t>
        </is>
      </c>
      <c r="V1654" s="1" t="inlineStr">
        <is>
          <t>Inspection</t>
        </is>
      </c>
      <c r="W1654" s="1" t="inlineStr">
        <is>
          <t>Repair</t>
        </is>
      </c>
      <c r="X1654" s="5" t="n">
        <v>46192</v>
      </c>
      <c r="Y1654" s="1">
        <f>IF(X1654="","",X1654-A1654)</f>
        <v/>
      </c>
      <c r="Z1654" s="5" t="n">
        <v>46192</v>
      </c>
      <c r="AA1654" s="3" t="n"/>
      <c r="AB1654" s="3" t="n"/>
      <c r="AE1654" s="146">
        <f>IF(AND(F1654="Closed",X1654&gt;=DATE(2026,6,1),X1654&lt;=DATE(2026,6,30)),"Closed in June","other")</f>
        <v/>
      </c>
    </row>
    <row r="1655" hidden="1">
      <c r="A1655" s="49" t="n">
        <v>46177</v>
      </c>
      <c r="B1655" s="1" t="n">
        <v>2026</v>
      </c>
      <c r="C1655" s="8" t="inlineStr">
        <is>
          <t>Ayana</t>
        </is>
      </c>
      <c r="D1655" s="11" t="inlineStr">
        <is>
          <t>Utility and C&amp;I</t>
        </is>
      </c>
      <c r="E1655" s="1" t="n"/>
      <c r="F1655" s="1" t="inlineStr">
        <is>
          <t>Closed</t>
        </is>
      </c>
      <c r="G1655" s="11" t="inlineStr">
        <is>
          <t>Vasu.N</t>
        </is>
      </c>
      <c r="H1655" s="8" t="n">
        <v>9578099893</v>
      </c>
      <c r="I1655" s="10" t="inlineStr">
        <is>
          <t>PE04062601</t>
        </is>
      </c>
      <c r="J1655" s="6" t="inlineStr">
        <is>
          <t>Diode issue</t>
        </is>
      </c>
      <c r="K1655" s="8" t="inlineStr">
        <is>
          <t>Jatavira</t>
        </is>
      </c>
      <c r="L1655" s="39" t="inlineStr">
        <is>
          <t>Gujarat</t>
        </is>
      </c>
      <c r="M1655" s="2" t="inlineStr">
        <is>
          <t>PS</t>
        </is>
      </c>
      <c r="N1655" s="1" t="inlineStr">
        <is>
          <t>Cold Soldering</t>
        </is>
      </c>
      <c r="O1655" s="32" t="n">
        <v>585</v>
      </c>
      <c r="P1655" s="2" t="inlineStr">
        <is>
          <t>NSMI24090540696</t>
        </is>
      </c>
      <c r="Q1655" s="29">
        <f>MID(P1655,5,2)</f>
        <v/>
      </c>
      <c r="R1655" s="14">
        <f>MID(P1655,7,2)</f>
        <v/>
      </c>
      <c r="S1655" s="6" t="inlineStr">
        <is>
          <t>G2G</t>
        </is>
      </c>
      <c r="T1655" s="1" t="inlineStr">
        <is>
          <t>P4 - PEIPL</t>
        </is>
      </c>
      <c r="U1655" s="1" t="inlineStr">
        <is>
          <t>P JB Cold Soldering</t>
        </is>
      </c>
      <c r="V1655" s="1" t="inlineStr">
        <is>
          <t>Inspection</t>
        </is>
      </c>
      <c r="W1655" s="1" t="inlineStr">
        <is>
          <t>Repair</t>
        </is>
      </c>
      <c r="X1655" s="5" t="n">
        <v>46192</v>
      </c>
      <c r="Y1655" s="1">
        <f>IF(X1655="","",X1655-A1655)</f>
        <v/>
      </c>
      <c r="Z1655" s="5" t="n">
        <v>46192</v>
      </c>
      <c r="AA1655" s="3" t="n"/>
      <c r="AB1655" s="3" t="n"/>
      <c r="AE1655" s="146">
        <f>IF(AND(F1655="Closed",X1655&gt;=DATE(2026,6,1),X1655&lt;=DATE(2026,6,30)),"Closed in June","other")</f>
        <v/>
      </c>
    </row>
    <row r="1656" hidden="1">
      <c r="A1656" s="49" t="n">
        <v>46177</v>
      </c>
      <c r="B1656" s="1" t="n">
        <v>2026</v>
      </c>
      <c r="C1656" s="8" t="inlineStr">
        <is>
          <t>Ayana</t>
        </is>
      </c>
      <c r="D1656" s="11" t="inlineStr">
        <is>
          <t>Utility and C&amp;I</t>
        </is>
      </c>
      <c r="E1656" s="1" t="n"/>
      <c r="F1656" s="1" t="inlineStr">
        <is>
          <t>Closed</t>
        </is>
      </c>
      <c r="G1656" s="11" t="inlineStr">
        <is>
          <t>Vasu.N</t>
        </is>
      </c>
      <c r="H1656" s="8" t="n">
        <v>9578099893</v>
      </c>
      <c r="I1656" s="10" t="inlineStr">
        <is>
          <t>PE04062601</t>
        </is>
      </c>
      <c r="J1656" s="6" t="inlineStr">
        <is>
          <t>Diode issue</t>
        </is>
      </c>
      <c r="K1656" s="8" t="inlineStr">
        <is>
          <t>Jatavira</t>
        </is>
      </c>
      <c r="L1656" s="39" t="inlineStr">
        <is>
          <t>Gujarat</t>
        </is>
      </c>
      <c r="M1656" s="2" t="inlineStr">
        <is>
          <t>PS</t>
        </is>
      </c>
      <c r="N1656" s="1" t="inlineStr">
        <is>
          <t>Cold Soldering</t>
        </is>
      </c>
      <c r="O1656" s="32" t="n">
        <v>585</v>
      </c>
      <c r="P1656" s="2" t="inlineStr">
        <is>
          <t>NSMI24090537591</t>
        </is>
      </c>
      <c r="Q1656" s="29">
        <f>MID(P1656,5,2)</f>
        <v/>
      </c>
      <c r="R1656" s="14">
        <f>MID(P1656,7,2)</f>
        <v/>
      </c>
      <c r="S1656" s="6" t="inlineStr">
        <is>
          <t>G2G</t>
        </is>
      </c>
      <c r="T1656" s="1" t="inlineStr">
        <is>
          <t>P4 - PEIPL</t>
        </is>
      </c>
      <c r="U1656" s="1" t="inlineStr">
        <is>
          <t>P JB Cold Soldering</t>
        </is>
      </c>
      <c r="V1656" s="1" t="inlineStr">
        <is>
          <t>Inspection</t>
        </is>
      </c>
      <c r="W1656" s="1" t="inlineStr">
        <is>
          <t>Repair</t>
        </is>
      </c>
      <c r="X1656" s="5" t="n">
        <v>46192</v>
      </c>
      <c r="Y1656" s="1">
        <f>IF(X1656="","",X1656-A1656)</f>
        <v/>
      </c>
      <c r="Z1656" s="5" t="n">
        <v>46192</v>
      </c>
      <c r="AA1656" s="3" t="n"/>
      <c r="AB1656" s="3" t="n"/>
      <c r="AE1656" s="146">
        <f>IF(AND(F1656="Closed",X1656&gt;=DATE(2026,6,1),X1656&lt;=DATE(2026,6,30)),"Closed in June","other")</f>
        <v/>
      </c>
    </row>
    <row r="1657" hidden="1">
      <c r="A1657" s="49" t="n">
        <v>46177</v>
      </c>
      <c r="B1657" s="1" t="n">
        <v>2026</v>
      </c>
      <c r="C1657" s="8" t="inlineStr">
        <is>
          <t>Ayana</t>
        </is>
      </c>
      <c r="D1657" s="11" t="inlineStr">
        <is>
          <t>Utility and C&amp;I</t>
        </is>
      </c>
      <c r="E1657" s="1" t="n"/>
      <c r="F1657" s="1" t="inlineStr">
        <is>
          <t>Closed</t>
        </is>
      </c>
      <c r="G1657" s="11" t="inlineStr">
        <is>
          <t>Vasu.N</t>
        </is>
      </c>
      <c r="H1657" s="8" t="n">
        <v>9578099893</v>
      </c>
      <c r="I1657" s="10" t="inlineStr">
        <is>
          <t>PE04062601</t>
        </is>
      </c>
      <c r="J1657" s="6" t="inlineStr">
        <is>
          <t>Diode issue</t>
        </is>
      </c>
      <c r="K1657" s="8" t="inlineStr">
        <is>
          <t>Jatavira</t>
        </is>
      </c>
      <c r="L1657" s="39" t="inlineStr">
        <is>
          <t>Gujarat</t>
        </is>
      </c>
      <c r="M1657" s="2" t="inlineStr">
        <is>
          <t>PS</t>
        </is>
      </c>
      <c r="N1657" s="1" t="inlineStr">
        <is>
          <t>Cold Soldering</t>
        </is>
      </c>
      <c r="O1657" s="32" t="n">
        <v>585</v>
      </c>
      <c r="P1657" s="2" t="inlineStr">
        <is>
          <t>NSMI24090522352</t>
        </is>
      </c>
      <c r="Q1657" s="29">
        <f>MID(P1657,5,2)</f>
        <v/>
      </c>
      <c r="R1657" s="14">
        <f>MID(P1657,7,2)</f>
        <v/>
      </c>
      <c r="S1657" s="6" t="inlineStr">
        <is>
          <t>G2G</t>
        </is>
      </c>
      <c r="T1657" s="1" t="inlineStr">
        <is>
          <t>P4 - PEIPL</t>
        </is>
      </c>
      <c r="U1657" s="1" t="inlineStr">
        <is>
          <t>P JB Cold Soldering</t>
        </is>
      </c>
      <c r="V1657" s="1" t="inlineStr">
        <is>
          <t>Inspection</t>
        </is>
      </c>
      <c r="W1657" s="1" t="inlineStr">
        <is>
          <t>Repair</t>
        </is>
      </c>
      <c r="X1657" s="5" t="n">
        <v>46192</v>
      </c>
      <c r="Y1657" s="1">
        <f>IF(X1657="","",X1657-A1657)</f>
        <v/>
      </c>
      <c r="Z1657" s="5" t="n">
        <v>46192</v>
      </c>
      <c r="AA1657" s="3" t="n"/>
      <c r="AB1657" s="3" t="n"/>
      <c r="AE1657" s="146">
        <f>IF(AND(F1657="Closed",X1657&gt;=DATE(2026,6,1),X1657&lt;=DATE(2026,6,30)),"Closed in June","other")</f>
        <v/>
      </c>
    </row>
    <row r="1658" hidden="1">
      <c r="A1658" s="49" t="n">
        <v>46177</v>
      </c>
      <c r="B1658" s="1" t="n">
        <v>2026</v>
      </c>
      <c r="C1658" s="8" t="inlineStr">
        <is>
          <t>Ayana</t>
        </is>
      </c>
      <c r="D1658" s="11" t="inlineStr">
        <is>
          <t>Utility and C&amp;I</t>
        </is>
      </c>
      <c r="E1658" s="1" t="n"/>
      <c r="F1658" s="1" t="inlineStr">
        <is>
          <t>Closed</t>
        </is>
      </c>
      <c r="G1658" s="11" t="inlineStr">
        <is>
          <t>Vasu.N</t>
        </is>
      </c>
      <c r="H1658" s="8" t="n">
        <v>9578099893</v>
      </c>
      <c r="I1658" s="10" t="inlineStr">
        <is>
          <t>PE04062601</t>
        </is>
      </c>
      <c r="J1658" s="6" t="inlineStr">
        <is>
          <t>Diode issue</t>
        </is>
      </c>
      <c r="K1658" s="8" t="inlineStr">
        <is>
          <t>Jatavira</t>
        </is>
      </c>
      <c r="L1658" s="39" t="inlineStr">
        <is>
          <t>Gujarat</t>
        </is>
      </c>
      <c r="M1658" s="2" t="inlineStr">
        <is>
          <t>PS</t>
        </is>
      </c>
      <c r="N1658" s="1" t="inlineStr">
        <is>
          <t>Cold Soldering</t>
        </is>
      </c>
      <c r="O1658" s="32" t="n">
        <v>585</v>
      </c>
      <c r="P1658" s="2" t="inlineStr">
        <is>
          <t>NSMI24100575178</t>
        </is>
      </c>
      <c r="Q1658" s="29">
        <f>MID(P1658,5,2)</f>
        <v/>
      </c>
      <c r="R1658" s="14">
        <f>MID(P1658,7,2)</f>
        <v/>
      </c>
      <c r="S1658" s="6" t="inlineStr">
        <is>
          <t>G2G</t>
        </is>
      </c>
      <c r="T1658" s="1" t="inlineStr">
        <is>
          <t>P4 - PEIPL</t>
        </is>
      </c>
      <c r="U1658" s="1" t="inlineStr">
        <is>
          <t>P JB Cold Soldering</t>
        </is>
      </c>
      <c r="V1658" s="1" t="inlineStr">
        <is>
          <t>Inspection</t>
        </is>
      </c>
      <c r="W1658" s="1" t="inlineStr">
        <is>
          <t>Repair</t>
        </is>
      </c>
      <c r="X1658" s="5" t="n">
        <v>46192</v>
      </c>
      <c r="Y1658" s="1">
        <f>IF(X1658="","",X1658-A1658)</f>
        <v/>
      </c>
      <c r="Z1658" s="5" t="n">
        <v>46192</v>
      </c>
      <c r="AA1658" s="3" t="n"/>
      <c r="AB1658" s="3" t="n"/>
      <c r="AE1658" s="146">
        <f>IF(AND(F1658="Closed",X1658&gt;=DATE(2026,6,1),X1658&lt;=DATE(2026,6,30)),"Closed in June","other")</f>
        <v/>
      </c>
    </row>
    <row r="1659" hidden="1">
      <c r="A1659" s="49" t="n">
        <v>46177</v>
      </c>
      <c r="B1659" s="1" t="n">
        <v>2026</v>
      </c>
      <c r="C1659" s="8" t="inlineStr">
        <is>
          <t>Ayana</t>
        </is>
      </c>
      <c r="D1659" s="11" t="inlineStr">
        <is>
          <t>Utility and C&amp;I</t>
        </is>
      </c>
      <c r="E1659" s="1" t="n"/>
      <c r="F1659" s="1" t="inlineStr">
        <is>
          <t>Closed</t>
        </is>
      </c>
      <c r="G1659" s="11" t="inlineStr">
        <is>
          <t>Vasu.N</t>
        </is>
      </c>
      <c r="H1659" s="8" t="n">
        <v>9578099893</v>
      </c>
      <c r="I1659" s="10" t="inlineStr">
        <is>
          <t>PE04062601</t>
        </is>
      </c>
      <c r="J1659" s="6" t="inlineStr">
        <is>
          <t>Diode issue</t>
        </is>
      </c>
      <c r="K1659" s="8" t="inlineStr">
        <is>
          <t>Jatavira</t>
        </is>
      </c>
      <c r="L1659" s="39" t="inlineStr">
        <is>
          <t>Gujarat</t>
        </is>
      </c>
      <c r="M1659" s="2" t="inlineStr">
        <is>
          <t>PS</t>
        </is>
      </c>
      <c r="N1659" s="1" t="inlineStr">
        <is>
          <t>Cold Soldering</t>
        </is>
      </c>
      <c r="O1659" s="32" t="n">
        <v>585</v>
      </c>
      <c r="P1659" s="2" t="inlineStr">
        <is>
          <t>NSMI24100587998</t>
        </is>
      </c>
      <c r="Q1659" s="29">
        <f>MID(P1659,5,2)</f>
        <v/>
      </c>
      <c r="R1659" s="14">
        <f>MID(P1659,7,2)</f>
        <v/>
      </c>
      <c r="S1659" s="6" t="inlineStr">
        <is>
          <t>G2G</t>
        </is>
      </c>
      <c r="T1659" s="1" t="inlineStr">
        <is>
          <t>P4 - PEIPL</t>
        </is>
      </c>
      <c r="U1659" s="1" t="inlineStr">
        <is>
          <t>P JB Cold Soldering</t>
        </is>
      </c>
      <c r="V1659" s="1" t="inlineStr">
        <is>
          <t>Inspection</t>
        </is>
      </c>
      <c r="W1659" s="1" t="inlineStr">
        <is>
          <t>Repair</t>
        </is>
      </c>
      <c r="X1659" s="5" t="n">
        <v>46192</v>
      </c>
      <c r="Y1659" s="1">
        <f>IF(X1659="","",X1659-A1659)</f>
        <v/>
      </c>
      <c r="Z1659" s="5" t="n">
        <v>46192</v>
      </c>
      <c r="AA1659" s="3" t="n"/>
      <c r="AB1659" s="3" t="n"/>
      <c r="AE1659" s="146">
        <f>IF(AND(F1659="Closed",X1659&gt;=DATE(2026,6,1),X1659&lt;=DATE(2026,6,30)),"Closed in June","other")</f>
        <v/>
      </c>
    </row>
    <row r="1660" hidden="1">
      <c r="A1660" s="49" t="n">
        <v>46177</v>
      </c>
      <c r="B1660" s="1" t="n">
        <v>2026</v>
      </c>
      <c r="C1660" s="8" t="inlineStr">
        <is>
          <t>Ayana</t>
        </is>
      </c>
      <c r="D1660" s="11" t="inlineStr">
        <is>
          <t>Utility and C&amp;I</t>
        </is>
      </c>
      <c r="E1660" s="1" t="n"/>
      <c r="F1660" s="1" t="inlineStr">
        <is>
          <t>Closed</t>
        </is>
      </c>
      <c r="G1660" s="11" t="inlineStr">
        <is>
          <t>Vasu.N</t>
        </is>
      </c>
      <c r="H1660" s="8" t="n">
        <v>9578099893</v>
      </c>
      <c r="I1660" s="10" t="inlineStr">
        <is>
          <t>PE04062601</t>
        </is>
      </c>
      <c r="J1660" s="6" t="inlineStr">
        <is>
          <t>Diode issue</t>
        </is>
      </c>
      <c r="K1660" s="8" t="inlineStr">
        <is>
          <t>Jatavira</t>
        </is>
      </c>
      <c r="L1660" s="39" t="inlineStr">
        <is>
          <t>Gujarat</t>
        </is>
      </c>
      <c r="M1660" s="2" t="inlineStr">
        <is>
          <t>PS</t>
        </is>
      </c>
      <c r="N1660" s="1" t="inlineStr">
        <is>
          <t>Cold Soldering</t>
        </is>
      </c>
      <c r="O1660" s="32" t="n">
        <v>585</v>
      </c>
      <c r="P1660" s="2" t="inlineStr">
        <is>
          <t>NSMI24100576981</t>
        </is>
      </c>
      <c r="Q1660" s="29">
        <f>MID(P1660,5,2)</f>
        <v/>
      </c>
      <c r="R1660" s="14">
        <f>MID(P1660,7,2)</f>
        <v/>
      </c>
      <c r="S1660" s="6" t="inlineStr">
        <is>
          <t>G2G</t>
        </is>
      </c>
      <c r="T1660" s="1" t="inlineStr">
        <is>
          <t>P4 - PEIPL</t>
        </is>
      </c>
      <c r="U1660" s="1" t="inlineStr">
        <is>
          <t>P JB Cold Soldering</t>
        </is>
      </c>
      <c r="V1660" s="1" t="inlineStr">
        <is>
          <t>Inspection</t>
        </is>
      </c>
      <c r="W1660" s="1" t="inlineStr">
        <is>
          <t>Repair</t>
        </is>
      </c>
      <c r="X1660" s="5" t="n">
        <v>46192</v>
      </c>
      <c r="Y1660" s="1">
        <f>IF(X1660="","",X1660-A1660)</f>
        <v/>
      </c>
      <c r="Z1660" s="5" t="n">
        <v>46192</v>
      </c>
      <c r="AA1660" s="3" t="n"/>
      <c r="AB1660" s="3" t="n"/>
      <c r="AE1660" s="146">
        <f>IF(AND(F1660="Closed",X1660&gt;=DATE(2026,6,1),X1660&lt;=DATE(2026,6,30)),"Closed in June","other")</f>
        <v/>
      </c>
    </row>
    <row r="1661" hidden="1">
      <c r="A1661" s="49" t="n">
        <v>46177</v>
      </c>
      <c r="B1661" s="1" t="n">
        <v>2026</v>
      </c>
      <c r="C1661" s="8" t="inlineStr">
        <is>
          <t>Ayana</t>
        </is>
      </c>
      <c r="D1661" s="11" t="inlineStr">
        <is>
          <t>Utility and C&amp;I</t>
        </is>
      </c>
      <c r="E1661" s="1" t="n"/>
      <c r="F1661" s="1" t="inlineStr">
        <is>
          <t>Closed</t>
        </is>
      </c>
      <c r="G1661" s="11" t="inlineStr">
        <is>
          <t>Vasu.N</t>
        </is>
      </c>
      <c r="H1661" s="8" t="n">
        <v>9578099893</v>
      </c>
      <c r="I1661" s="10" t="inlineStr">
        <is>
          <t>PE04062601</t>
        </is>
      </c>
      <c r="J1661" s="6" t="inlineStr">
        <is>
          <t>Diode issue</t>
        </is>
      </c>
      <c r="K1661" s="8" t="inlineStr">
        <is>
          <t>Jatavira</t>
        </is>
      </c>
      <c r="L1661" s="39" t="inlineStr">
        <is>
          <t>Gujarat</t>
        </is>
      </c>
      <c r="M1661" s="2" t="inlineStr">
        <is>
          <t>PS</t>
        </is>
      </c>
      <c r="N1661" s="1" t="inlineStr">
        <is>
          <t>Cold Soldering</t>
        </is>
      </c>
      <c r="O1661" s="32" t="n">
        <v>585</v>
      </c>
      <c r="P1661" s="2" t="inlineStr">
        <is>
          <t>NSMI24100548666</t>
        </is>
      </c>
      <c r="Q1661" s="29">
        <f>MID(P1661,5,2)</f>
        <v/>
      </c>
      <c r="R1661" s="14">
        <f>MID(P1661,7,2)</f>
        <v/>
      </c>
      <c r="S1661" s="6" t="inlineStr">
        <is>
          <t>G2G</t>
        </is>
      </c>
      <c r="T1661" s="1" t="inlineStr">
        <is>
          <t>P4 - PEIPL</t>
        </is>
      </c>
      <c r="U1661" s="1" t="inlineStr">
        <is>
          <t>P JB Cold Soldering</t>
        </is>
      </c>
      <c r="V1661" s="1" t="inlineStr">
        <is>
          <t>Inspection</t>
        </is>
      </c>
      <c r="W1661" s="1" t="inlineStr">
        <is>
          <t>Repair</t>
        </is>
      </c>
      <c r="X1661" s="5" t="n">
        <v>46192</v>
      </c>
      <c r="Y1661" s="1">
        <f>IF(X1661="","",X1661-A1661)</f>
        <v/>
      </c>
      <c r="Z1661" s="5" t="n">
        <v>46192</v>
      </c>
      <c r="AA1661" s="3" t="n"/>
      <c r="AB1661" s="3" t="n"/>
      <c r="AE1661" s="146">
        <f>IF(AND(F1661="Closed",X1661&gt;=DATE(2026,6,1),X1661&lt;=DATE(2026,6,30)),"Closed in June","other")</f>
        <v/>
      </c>
    </row>
    <row r="1662" hidden="1">
      <c r="A1662" s="49" t="n">
        <v>46177</v>
      </c>
      <c r="B1662" s="1" t="n">
        <v>2026</v>
      </c>
      <c r="C1662" s="8" t="inlineStr">
        <is>
          <t>Ayana</t>
        </is>
      </c>
      <c r="D1662" s="11" t="inlineStr">
        <is>
          <t>Utility and C&amp;I</t>
        </is>
      </c>
      <c r="E1662" s="1" t="n"/>
      <c r="F1662" s="1" t="inlineStr">
        <is>
          <t>Closed</t>
        </is>
      </c>
      <c r="G1662" s="11" t="inlineStr">
        <is>
          <t>Vasu.N</t>
        </is>
      </c>
      <c r="H1662" s="8" t="n">
        <v>9578099893</v>
      </c>
      <c r="I1662" s="10" t="inlineStr">
        <is>
          <t>PE04062601</t>
        </is>
      </c>
      <c r="J1662" s="6" t="inlineStr">
        <is>
          <t>Diode issue</t>
        </is>
      </c>
      <c r="K1662" s="8" t="inlineStr">
        <is>
          <t>Jatavira</t>
        </is>
      </c>
      <c r="L1662" s="39" t="inlineStr">
        <is>
          <t>Gujarat</t>
        </is>
      </c>
      <c r="M1662" s="2" t="inlineStr">
        <is>
          <t>PS</t>
        </is>
      </c>
      <c r="N1662" s="1" t="inlineStr">
        <is>
          <t>Cold Soldering</t>
        </is>
      </c>
      <c r="O1662" s="32" t="n">
        <v>585</v>
      </c>
      <c r="P1662" s="2" t="inlineStr">
        <is>
          <t>NSMI24100554490</t>
        </is>
      </c>
      <c r="Q1662" s="29">
        <f>MID(P1662,5,2)</f>
        <v/>
      </c>
      <c r="R1662" s="14">
        <f>MID(P1662,7,2)</f>
        <v/>
      </c>
      <c r="S1662" s="6" t="inlineStr">
        <is>
          <t>G2G</t>
        </is>
      </c>
      <c r="T1662" s="1" t="inlineStr">
        <is>
          <t>P4 - PEIPL</t>
        </is>
      </c>
      <c r="U1662" s="1" t="inlineStr">
        <is>
          <t>P JB Cold Soldering</t>
        </is>
      </c>
      <c r="V1662" s="1" t="inlineStr">
        <is>
          <t>Inspection</t>
        </is>
      </c>
      <c r="W1662" s="1" t="inlineStr">
        <is>
          <t>Repair</t>
        </is>
      </c>
      <c r="X1662" s="5" t="n">
        <v>46192</v>
      </c>
      <c r="Y1662" s="1">
        <f>IF(X1662="","",X1662-A1662)</f>
        <v/>
      </c>
      <c r="Z1662" s="5" t="n">
        <v>46192</v>
      </c>
      <c r="AA1662" s="3" t="n"/>
      <c r="AB1662" s="3" t="n"/>
      <c r="AE1662" s="146">
        <f>IF(AND(F1662="Closed",X1662&gt;=DATE(2026,6,1),X1662&lt;=DATE(2026,6,30)),"Closed in June","other")</f>
        <v/>
      </c>
    </row>
    <row r="1663" hidden="1">
      <c r="A1663" s="49" t="n">
        <v>46177</v>
      </c>
      <c r="B1663" s="1" t="n">
        <v>2026</v>
      </c>
      <c r="C1663" s="8" t="inlineStr">
        <is>
          <t>Ayana</t>
        </is>
      </c>
      <c r="D1663" s="11" t="inlineStr">
        <is>
          <t>Utility and C&amp;I</t>
        </is>
      </c>
      <c r="E1663" s="1" t="n"/>
      <c r="F1663" s="1" t="inlineStr">
        <is>
          <t>Closed</t>
        </is>
      </c>
      <c r="G1663" s="11" t="inlineStr">
        <is>
          <t>Vasu.N</t>
        </is>
      </c>
      <c r="H1663" s="8" t="n">
        <v>9578099893</v>
      </c>
      <c r="I1663" s="10" t="inlineStr">
        <is>
          <t>PE04062601</t>
        </is>
      </c>
      <c r="J1663" s="6" t="inlineStr">
        <is>
          <t>Diode issue</t>
        </is>
      </c>
      <c r="K1663" s="8" t="inlineStr">
        <is>
          <t>Jatavira</t>
        </is>
      </c>
      <c r="L1663" s="39" t="inlineStr">
        <is>
          <t>Gujarat</t>
        </is>
      </c>
      <c r="M1663" s="2" t="inlineStr">
        <is>
          <t>PR</t>
        </is>
      </c>
      <c r="N1663" s="1" t="inlineStr">
        <is>
          <t>JB Issue</t>
        </is>
      </c>
      <c r="O1663" s="32" t="n">
        <v>585</v>
      </c>
      <c r="P1663" s="2" t="inlineStr">
        <is>
          <t>NSMI24090539623</t>
        </is>
      </c>
      <c r="Q1663" s="29">
        <f>MID(P1663,5,2)</f>
        <v/>
      </c>
      <c r="R1663" s="14">
        <f>MID(P1663,7,2)</f>
        <v/>
      </c>
      <c r="S1663" s="6" t="inlineStr">
        <is>
          <t>G2G</t>
        </is>
      </c>
      <c r="T1663" s="1" t="inlineStr">
        <is>
          <t>P4 - PEIPL</t>
        </is>
      </c>
      <c r="U1663" s="6" t="inlineStr">
        <is>
          <t>P JB Issue</t>
        </is>
      </c>
      <c r="V1663" s="1" t="inlineStr">
        <is>
          <t>Inspection</t>
        </is>
      </c>
      <c r="W1663" s="1" t="inlineStr">
        <is>
          <t>Repair</t>
        </is>
      </c>
      <c r="X1663" s="5" t="n">
        <v>46192</v>
      </c>
      <c r="Y1663" s="1">
        <f>IF(X1663="","",X1663-A1663)</f>
        <v/>
      </c>
      <c r="Z1663" s="5" t="n">
        <v>46192</v>
      </c>
      <c r="AA1663" s="3" t="n"/>
      <c r="AB1663" s="3" t="n"/>
      <c r="AE1663" s="146">
        <f>IF(AND(F1663="Closed",X1663&gt;=DATE(2026,6,1),X1663&lt;=DATE(2026,6,30)),"Closed in June","other")</f>
        <v/>
      </c>
    </row>
    <row r="1664" hidden="1">
      <c r="A1664" s="49" t="n">
        <v>46177</v>
      </c>
      <c r="B1664" s="1" t="n">
        <v>2026</v>
      </c>
      <c r="C1664" s="8" t="inlineStr">
        <is>
          <t>Ayana</t>
        </is>
      </c>
      <c r="D1664" s="11" t="inlineStr">
        <is>
          <t>Utility and C&amp;I</t>
        </is>
      </c>
      <c r="E1664" s="1" t="n"/>
      <c r="F1664" s="1" t="inlineStr">
        <is>
          <t>Closed</t>
        </is>
      </c>
      <c r="G1664" s="11" t="inlineStr">
        <is>
          <t>Vasu.N</t>
        </is>
      </c>
      <c r="H1664" s="8" t="n">
        <v>9578099893</v>
      </c>
      <c r="I1664" s="10" t="inlineStr">
        <is>
          <t>PE04062601</t>
        </is>
      </c>
      <c r="J1664" s="6" t="inlineStr">
        <is>
          <t>Diode issue</t>
        </is>
      </c>
      <c r="K1664" s="8" t="inlineStr">
        <is>
          <t>Jatavira</t>
        </is>
      </c>
      <c r="L1664" s="39" t="inlineStr">
        <is>
          <t>Gujarat</t>
        </is>
      </c>
      <c r="M1664" s="2" t="inlineStr">
        <is>
          <t>PS</t>
        </is>
      </c>
      <c r="N1664" s="1" t="inlineStr">
        <is>
          <t>Cold Soldering</t>
        </is>
      </c>
      <c r="O1664" s="32" t="n">
        <v>585</v>
      </c>
      <c r="P1664" s="2" t="inlineStr">
        <is>
          <t>NSMI24090522230</t>
        </is>
      </c>
      <c r="Q1664" s="29">
        <f>MID(P1664,5,2)</f>
        <v/>
      </c>
      <c r="R1664" s="14">
        <f>MID(P1664,7,2)</f>
        <v/>
      </c>
      <c r="S1664" s="6" t="inlineStr">
        <is>
          <t>G2G</t>
        </is>
      </c>
      <c r="T1664" s="1" t="inlineStr">
        <is>
          <t>P4 - PEIPL</t>
        </is>
      </c>
      <c r="U1664" s="1" t="inlineStr">
        <is>
          <t>P JB Cold Soldering</t>
        </is>
      </c>
      <c r="V1664" s="1" t="inlineStr">
        <is>
          <t>Inspection</t>
        </is>
      </c>
      <c r="W1664" s="1" t="inlineStr">
        <is>
          <t>Repair</t>
        </is>
      </c>
      <c r="X1664" s="5" t="n">
        <v>46192</v>
      </c>
      <c r="Y1664" s="1">
        <f>IF(X1664="","",X1664-A1664)</f>
        <v/>
      </c>
      <c r="Z1664" s="5" t="n">
        <v>46192</v>
      </c>
      <c r="AA1664" s="3" t="n"/>
      <c r="AB1664" s="3" t="n"/>
      <c r="AE1664" s="146">
        <f>IF(AND(F1664="Closed",X1664&gt;=DATE(2026,6,1),X1664&lt;=DATE(2026,6,30)),"Closed in June","other")</f>
        <v/>
      </c>
    </row>
    <row r="1665" hidden="1">
      <c r="A1665" s="49" t="n">
        <v>46177</v>
      </c>
      <c r="B1665" s="1" t="n">
        <v>2026</v>
      </c>
      <c r="C1665" s="8" t="inlineStr">
        <is>
          <t>Ayana</t>
        </is>
      </c>
      <c r="D1665" s="11" t="inlineStr">
        <is>
          <t>Utility and C&amp;I</t>
        </is>
      </c>
      <c r="E1665" s="1" t="n"/>
      <c r="F1665" s="1" t="inlineStr">
        <is>
          <t>Closed</t>
        </is>
      </c>
      <c r="G1665" s="11" t="inlineStr">
        <is>
          <t>Vasu.N</t>
        </is>
      </c>
      <c r="H1665" s="8" t="n">
        <v>9578099893</v>
      </c>
      <c r="I1665" s="10" t="inlineStr">
        <is>
          <t>PE04062601</t>
        </is>
      </c>
      <c r="J1665" s="6" t="inlineStr">
        <is>
          <t>Diode issue</t>
        </is>
      </c>
      <c r="K1665" s="8" t="inlineStr">
        <is>
          <t>Jatavira</t>
        </is>
      </c>
      <c r="L1665" s="39" t="inlineStr">
        <is>
          <t>Gujarat</t>
        </is>
      </c>
      <c r="M1665" s="2" t="inlineStr">
        <is>
          <t>PS</t>
        </is>
      </c>
      <c r="N1665" s="1" t="inlineStr">
        <is>
          <t>Cold Soldering</t>
        </is>
      </c>
      <c r="O1665" s="32" t="n">
        <v>585</v>
      </c>
      <c r="P1665" s="2" t="inlineStr">
        <is>
          <t>NSMI24100575273</t>
        </is>
      </c>
      <c r="Q1665" s="29">
        <f>MID(P1665,5,2)</f>
        <v/>
      </c>
      <c r="R1665" s="14">
        <f>MID(P1665,7,2)</f>
        <v/>
      </c>
      <c r="S1665" s="6" t="inlineStr">
        <is>
          <t>G2G</t>
        </is>
      </c>
      <c r="T1665" s="1" t="inlineStr">
        <is>
          <t>P4 - PEIPL</t>
        </is>
      </c>
      <c r="U1665" s="1" t="inlineStr">
        <is>
          <t>P JB Cold Soldering</t>
        </is>
      </c>
      <c r="V1665" s="1" t="inlineStr">
        <is>
          <t>Inspection</t>
        </is>
      </c>
      <c r="W1665" s="1" t="inlineStr">
        <is>
          <t>Repair</t>
        </is>
      </c>
      <c r="X1665" s="5" t="n">
        <v>46192</v>
      </c>
      <c r="Y1665" s="1">
        <f>IF(X1665="","",X1665-A1665)</f>
        <v/>
      </c>
      <c r="Z1665" s="5" t="n">
        <v>46192</v>
      </c>
      <c r="AA1665" s="3" t="n"/>
      <c r="AB1665" s="3" t="n"/>
      <c r="AE1665" s="146">
        <f>IF(AND(F1665="Closed",X1665&gt;=DATE(2026,6,1),X1665&lt;=DATE(2026,6,30)),"Closed in June","other")</f>
        <v/>
      </c>
    </row>
    <row r="1666" hidden="1">
      <c r="A1666" s="49" t="n">
        <v>46177</v>
      </c>
      <c r="B1666" s="1" t="n">
        <v>2026</v>
      </c>
      <c r="C1666" s="8" t="inlineStr">
        <is>
          <t>Ayana</t>
        </is>
      </c>
      <c r="D1666" s="11" t="inlineStr">
        <is>
          <t>Utility and C&amp;I</t>
        </is>
      </c>
      <c r="E1666" s="1" t="n"/>
      <c r="F1666" s="1" t="inlineStr">
        <is>
          <t>Closed</t>
        </is>
      </c>
      <c r="G1666" s="11" t="inlineStr">
        <is>
          <t>Vasu.N</t>
        </is>
      </c>
      <c r="H1666" s="8" t="n">
        <v>9578099893</v>
      </c>
      <c r="I1666" s="10" t="inlineStr">
        <is>
          <t>PE04062601</t>
        </is>
      </c>
      <c r="J1666" s="6" t="inlineStr">
        <is>
          <t>Diode issue</t>
        </is>
      </c>
      <c r="K1666" s="8" t="inlineStr">
        <is>
          <t>Jatavira</t>
        </is>
      </c>
      <c r="L1666" s="39" t="inlineStr">
        <is>
          <t>Gujarat</t>
        </is>
      </c>
      <c r="M1666" s="2" t="inlineStr">
        <is>
          <t>PS</t>
        </is>
      </c>
      <c r="N1666" s="1" t="inlineStr">
        <is>
          <t>Cold Soldering</t>
        </is>
      </c>
      <c r="O1666" s="32" t="n">
        <v>585</v>
      </c>
      <c r="P1666" s="2" t="inlineStr">
        <is>
          <t>NSMI24100556805</t>
        </is>
      </c>
      <c r="Q1666" s="29">
        <f>MID(P1666,5,2)</f>
        <v/>
      </c>
      <c r="R1666" s="14">
        <f>MID(P1666,7,2)</f>
        <v/>
      </c>
      <c r="S1666" s="6" t="inlineStr">
        <is>
          <t>G2G</t>
        </is>
      </c>
      <c r="T1666" s="1" t="inlineStr">
        <is>
          <t>P4 - PEIPL</t>
        </is>
      </c>
      <c r="U1666" s="1" t="inlineStr">
        <is>
          <t>P JB Cold Soldering</t>
        </is>
      </c>
      <c r="V1666" s="1" t="inlineStr">
        <is>
          <t>Inspection</t>
        </is>
      </c>
      <c r="W1666" s="1" t="inlineStr">
        <is>
          <t>Repair</t>
        </is>
      </c>
      <c r="X1666" s="5" t="n">
        <v>46192</v>
      </c>
      <c r="Y1666" s="1">
        <f>IF(X1666="","",X1666-A1666)</f>
        <v/>
      </c>
      <c r="Z1666" s="5" t="n">
        <v>46192</v>
      </c>
      <c r="AA1666" s="3" t="n"/>
      <c r="AB1666" s="3" t="n"/>
      <c r="AE1666" s="146">
        <f>IF(AND(F1666="Closed",X1666&gt;=DATE(2026,6,1),X1666&lt;=DATE(2026,6,30)),"Closed in June","other")</f>
        <v/>
      </c>
    </row>
    <row r="1667" hidden="1">
      <c r="A1667" s="49" t="n">
        <v>46177</v>
      </c>
      <c r="B1667" s="1" t="n">
        <v>2026</v>
      </c>
      <c r="C1667" s="8" t="inlineStr">
        <is>
          <t>Ayana</t>
        </is>
      </c>
      <c r="D1667" s="11" t="inlineStr">
        <is>
          <t>Utility and C&amp;I</t>
        </is>
      </c>
      <c r="E1667" s="1" t="n"/>
      <c r="F1667" s="1" t="inlineStr">
        <is>
          <t>Closed</t>
        </is>
      </c>
      <c r="G1667" s="11" t="inlineStr">
        <is>
          <t>Vasu.N</t>
        </is>
      </c>
      <c r="H1667" s="8" t="n">
        <v>9578099893</v>
      </c>
      <c r="I1667" s="10" t="inlineStr">
        <is>
          <t>PE04062601</t>
        </is>
      </c>
      <c r="J1667" s="6" t="inlineStr">
        <is>
          <t>Diode issue</t>
        </is>
      </c>
      <c r="K1667" s="8" t="inlineStr">
        <is>
          <t>Jatavira</t>
        </is>
      </c>
      <c r="L1667" s="39" t="inlineStr">
        <is>
          <t>Gujarat</t>
        </is>
      </c>
      <c r="M1667" s="2" t="inlineStr">
        <is>
          <t>PS</t>
        </is>
      </c>
      <c r="N1667" s="1" t="inlineStr">
        <is>
          <t>Cold Soldering</t>
        </is>
      </c>
      <c r="O1667" s="32" t="n">
        <v>585</v>
      </c>
      <c r="P1667" s="2" t="inlineStr">
        <is>
          <t>NSMI24100556249</t>
        </is>
      </c>
      <c r="Q1667" s="29">
        <f>MID(P1667,5,2)</f>
        <v/>
      </c>
      <c r="R1667" s="14">
        <f>MID(P1667,7,2)</f>
        <v/>
      </c>
      <c r="S1667" s="6" t="inlineStr">
        <is>
          <t>G2G</t>
        </is>
      </c>
      <c r="T1667" s="1" t="inlineStr">
        <is>
          <t>P4 - PEIPL</t>
        </is>
      </c>
      <c r="U1667" s="1" t="inlineStr">
        <is>
          <t>P JB Cold Soldering</t>
        </is>
      </c>
      <c r="V1667" s="1" t="inlineStr">
        <is>
          <t>Inspection</t>
        </is>
      </c>
      <c r="W1667" s="1" t="inlineStr">
        <is>
          <t>Repair</t>
        </is>
      </c>
      <c r="X1667" s="5" t="n">
        <v>46192</v>
      </c>
      <c r="Y1667" s="1">
        <f>IF(X1667="","",X1667-A1667)</f>
        <v/>
      </c>
      <c r="Z1667" s="5" t="n">
        <v>46192</v>
      </c>
      <c r="AA1667" s="3" t="n"/>
      <c r="AB1667" s="3" t="n"/>
      <c r="AE1667" s="146">
        <f>IF(AND(F1667="Closed",X1667&gt;=DATE(2026,6,1),X1667&lt;=DATE(2026,6,30)),"Closed in June","other")</f>
        <v/>
      </c>
    </row>
    <row r="1668" hidden="1">
      <c r="A1668" s="9" t="n">
        <v>46106</v>
      </c>
      <c r="B1668" s="1" t="n">
        <v>2026</v>
      </c>
      <c r="C1668" s="8" t="inlineStr">
        <is>
          <t>Asian Fab Tec Ltd</t>
        </is>
      </c>
      <c r="D1668" s="8" t="inlineStr">
        <is>
          <t>Utility and C&amp;I</t>
        </is>
      </c>
      <c r="E1668" s="1" t="n"/>
      <c r="F1668" s="1" t="inlineStr">
        <is>
          <t>Closed</t>
        </is>
      </c>
      <c r="G1668" s="8" t="inlineStr">
        <is>
          <t>Prakash Reddy</t>
        </is>
      </c>
      <c r="H1668" s="8" t="n">
        <v>9945239707</v>
      </c>
      <c r="I1668" s="26" t="inlineStr">
        <is>
          <t>PE25032602</t>
        </is>
      </c>
      <c r="J1668" s="42" t="inlineStr">
        <is>
          <t xml:space="preserve">Junction Box burnt </t>
        </is>
      </c>
      <c r="K1668" s="8" t="inlineStr">
        <is>
          <t>Bangalore</t>
        </is>
      </c>
      <c r="L1668" s="39" t="inlineStr">
        <is>
          <t>Karnataka</t>
        </is>
      </c>
      <c r="M1668" s="40" t="inlineStr">
        <is>
          <t>JB Replaced</t>
        </is>
      </c>
      <c r="N1668" s="6" t="inlineStr">
        <is>
          <t>JB Issue</t>
        </is>
      </c>
      <c r="O1668" s="39" t="inlineStr">
        <is>
          <t>NA</t>
        </is>
      </c>
      <c r="P1668" s="35" t="inlineStr">
        <is>
          <t>NSM191207759</t>
        </is>
      </c>
      <c r="Q1668" s="29">
        <f>MID(P1668,4,2)</f>
        <v/>
      </c>
      <c r="R1668" s="14">
        <f>MID(P1668,6,2)</f>
        <v/>
      </c>
      <c r="S1668" s="6" t="inlineStr">
        <is>
          <t>G2B</t>
        </is>
      </c>
      <c r="T1668" s="6" t="inlineStr">
        <is>
          <t>NA</t>
        </is>
      </c>
      <c r="U1668" s="6" t="inlineStr">
        <is>
          <t>JB Issue</t>
        </is>
      </c>
      <c r="V1668" s="1" t="inlineStr">
        <is>
          <t>Inspection</t>
        </is>
      </c>
      <c r="W1668" s="1" t="inlineStr">
        <is>
          <t>Repair</t>
        </is>
      </c>
      <c r="X1668" s="5" t="n">
        <v>46192</v>
      </c>
      <c r="Y1668" s="1">
        <f>IF(X1668="","",X1668-A1668)</f>
        <v/>
      </c>
      <c r="Z1668" s="5" t="n">
        <v>46192</v>
      </c>
      <c r="AA1668" s="3" t="n"/>
      <c r="AB1668" s="3" t="n"/>
      <c r="AE1668" s="146">
        <f>IF(AND(F1668="Closed",X1668&gt;=DATE(2026,6,1),X1668&lt;=DATE(2026,6,30)),"Closed in June","other")</f>
        <v/>
      </c>
    </row>
    <row r="1669" hidden="1">
      <c r="A1669" s="9" t="n">
        <v>46106</v>
      </c>
      <c r="B1669" s="1" t="n">
        <v>2026</v>
      </c>
      <c r="C1669" s="8" t="inlineStr">
        <is>
          <t>Asian Fab Tec Ltd</t>
        </is>
      </c>
      <c r="D1669" s="8" t="inlineStr">
        <is>
          <t>Utility and C&amp;I</t>
        </is>
      </c>
      <c r="E1669" s="1" t="n"/>
      <c r="F1669" s="1" t="inlineStr">
        <is>
          <t>Closed</t>
        </is>
      </c>
      <c r="G1669" s="8" t="inlineStr">
        <is>
          <t>Prakash Reddy</t>
        </is>
      </c>
      <c r="H1669" s="8" t="n">
        <v>9945239707</v>
      </c>
      <c r="I1669" s="26" t="inlineStr">
        <is>
          <t>PE25032602</t>
        </is>
      </c>
      <c r="J1669" s="42" t="inlineStr">
        <is>
          <t xml:space="preserve">Junction Box burnt </t>
        </is>
      </c>
      <c r="K1669" s="8" t="inlineStr">
        <is>
          <t>Bangalore</t>
        </is>
      </c>
      <c r="L1669" s="39" t="inlineStr">
        <is>
          <t>Karnataka</t>
        </is>
      </c>
      <c r="M1669" s="40" t="inlineStr">
        <is>
          <t>JB Replaced</t>
        </is>
      </c>
      <c r="N1669" s="6" t="inlineStr">
        <is>
          <t>JB Issue</t>
        </is>
      </c>
      <c r="O1669" s="39" t="inlineStr">
        <is>
          <t>NA</t>
        </is>
      </c>
      <c r="P1669" s="35" t="inlineStr">
        <is>
          <t>NSM191207680</t>
        </is>
      </c>
      <c r="Q1669" s="29">
        <f>MID(P1669,4,2)</f>
        <v/>
      </c>
      <c r="R1669" s="14">
        <f>MID(P1669,6,2)</f>
        <v/>
      </c>
      <c r="S1669" s="6" t="inlineStr">
        <is>
          <t>G2B</t>
        </is>
      </c>
      <c r="T1669" s="6" t="inlineStr">
        <is>
          <t>NA</t>
        </is>
      </c>
      <c r="U1669" s="6" t="inlineStr">
        <is>
          <t>JB Issue</t>
        </is>
      </c>
      <c r="V1669" s="1" t="inlineStr">
        <is>
          <t>Inspection</t>
        </is>
      </c>
      <c r="W1669" s="1" t="inlineStr">
        <is>
          <t>Repair</t>
        </is>
      </c>
      <c r="X1669" s="5" t="n">
        <v>46192</v>
      </c>
      <c r="Y1669" s="1">
        <f>IF(X1669="","",X1669-A1669)</f>
        <v/>
      </c>
      <c r="Z1669" s="5" t="n">
        <v>46192</v>
      </c>
      <c r="AA1669" s="3" t="n"/>
      <c r="AB1669" s="3" t="n"/>
      <c r="AE1669" s="146">
        <f>IF(AND(F1669="Closed",X1669&gt;=DATE(2026,6,1),X1669&lt;=DATE(2026,6,30)),"Closed in June","other")</f>
        <v/>
      </c>
    </row>
    <row r="1670" hidden="1">
      <c r="A1670" s="9" t="n">
        <v>46106</v>
      </c>
      <c r="B1670" s="1" t="n">
        <v>2026</v>
      </c>
      <c r="C1670" s="8" t="inlineStr">
        <is>
          <t>Asian Fab Tec Ltd</t>
        </is>
      </c>
      <c r="D1670" s="8" t="inlineStr">
        <is>
          <t>Utility and C&amp;I</t>
        </is>
      </c>
      <c r="E1670" s="1" t="n"/>
      <c r="F1670" s="1" t="inlineStr">
        <is>
          <t>Closed</t>
        </is>
      </c>
      <c r="G1670" s="8" t="inlineStr">
        <is>
          <t>Prakash Reddy</t>
        </is>
      </c>
      <c r="H1670" s="8" t="n">
        <v>9945239707</v>
      </c>
      <c r="I1670" s="26" t="inlineStr">
        <is>
          <t>PE25032602</t>
        </is>
      </c>
      <c r="J1670" s="42" t="inlineStr">
        <is>
          <t xml:space="preserve">Junction Box burnt </t>
        </is>
      </c>
      <c r="K1670" s="8" t="inlineStr">
        <is>
          <t>Bangalore</t>
        </is>
      </c>
      <c r="L1670" s="39" t="inlineStr">
        <is>
          <t>Karnataka</t>
        </is>
      </c>
      <c r="M1670" s="40" t="inlineStr">
        <is>
          <t>JB Replaced</t>
        </is>
      </c>
      <c r="N1670" s="6" t="inlineStr">
        <is>
          <t>JB Issue</t>
        </is>
      </c>
      <c r="O1670" s="39" t="inlineStr">
        <is>
          <t>NA</t>
        </is>
      </c>
      <c r="P1670" s="35" t="inlineStr">
        <is>
          <t>NSM191207955</t>
        </is>
      </c>
      <c r="Q1670" s="29">
        <f>MID(P1670,4,2)</f>
        <v/>
      </c>
      <c r="R1670" s="14">
        <f>MID(P1670,6,2)</f>
        <v/>
      </c>
      <c r="S1670" s="6" t="inlineStr">
        <is>
          <t>G2B</t>
        </is>
      </c>
      <c r="T1670" s="6" t="inlineStr">
        <is>
          <t>NA</t>
        </is>
      </c>
      <c r="U1670" s="6" t="inlineStr">
        <is>
          <t>JB Issue</t>
        </is>
      </c>
      <c r="V1670" s="1" t="inlineStr">
        <is>
          <t>Inspection</t>
        </is>
      </c>
      <c r="W1670" s="1" t="inlineStr">
        <is>
          <t>Repair</t>
        </is>
      </c>
      <c r="X1670" s="5" t="n">
        <v>46192</v>
      </c>
      <c r="Y1670" s="1">
        <f>IF(X1670="","",X1670-A1670)</f>
        <v/>
      </c>
      <c r="Z1670" s="5" t="n">
        <v>46192</v>
      </c>
      <c r="AA1670" s="3" t="n"/>
      <c r="AB1670" s="3" t="n"/>
      <c r="AE1670" s="146">
        <f>IF(AND(F1670="Closed",X1670&gt;=DATE(2026,6,1),X1670&lt;=DATE(2026,6,30)),"Closed in June","other")</f>
        <v/>
      </c>
    </row>
    <row r="1671" hidden="1">
      <c r="A1671" s="9" t="n">
        <v>46106</v>
      </c>
      <c r="B1671" s="1" t="n">
        <v>2026</v>
      </c>
      <c r="C1671" s="8" t="inlineStr">
        <is>
          <t>Asian Fab Tec Ltd</t>
        </is>
      </c>
      <c r="D1671" s="8" t="inlineStr">
        <is>
          <t>Utility and C&amp;I</t>
        </is>
      </c>
      <c r="E1671" s="1" t="n"/>
      <c r="F1671" s="1" t="inlineStr">
        <is>
          <t>Closed</t>
        </is>
      </c>
      <c r="G1671" s="8" t="inlineStr">
        <is>
          <t>Prakash Reddy</t>
        </is>
      </c>
      <c r="H1671" s="8" t="n">
        <v>9945239707</v>
      </c>
      <c r="I1671" s="26" t="inlineStr">
        <is>
          <t>PE25032602</t>
        </is>
      </c>
      <c r="J1671" s="42" t="inlineStr">
        <is>
          <t xml:space="preserve">Junction Box burnt </t>
        </is>
      </c>
      <c r="K1671" s="8" t="inlineStr">
        <is>
          <t>Bangalore</t>
        </is>
      </c>
      <c r="L1671" s="39" t="inlineStr">
        <is>
          <t>Karnataka</t>
        </is>
      </c>
      <c r="M1671" s="40" t="inlineStr">
        <is>
          <t>JB Replaced</t>
        </is>
      </c>
      <c r="N1671" s="6" t="inlineStr">
        <is>
          <t>JB Issue</t>
        </is>
      </c>
      <c r="O1671" s="39" t="inlineStr">
        <is>
          <t>NA</t>
        </is>
      </c>
      <c r="P1671" s="35" t="inlineStr">
        <is>
          <t>NSM191207718</t>
        </is>
      </c>
      <c r="Q1671" s="29">
        <f>MID(P1671,4,2)</f>
        <v/>
      </c>
      <c r="R1671" s="14">
        <f>MID(P1671,6,2)</f>
        <v/>
      </c>
      <c r="S1671" s="6" t="inlineStr">
        <is>
          <t>G2B</t>
        </is>
      </c>
      <c r="T1671" s="6" t="inlineStr">
        <is>
          <t>NA</t>
        </is>
      </c>
      <c r="U1671" s="6" t="inlineStr">
        <is>
          <t>JB Issue</t>
        </is>
      </c>
      <c r="V1671" s="1" t="inlineStr">
        <is>
          <t>Inspection</t>
        </is>
      </c>
      <c r="W1671" s="1" t="inlineStr">
        <is>
          <t>Repair</t>
        </is>
      </c>
      <c r="X1671" s="5" t="n">
        <v>46192</v>
      </c>
      <c r="Y1671" s="1">
        <f>IF(X1671="","",X1671-A1671)</f>
        <v/>
      </c>
      <c r="Z1671" s="5" t="n">
        <v>46192</v>
      </c>
      <c r="AA1671" s="3" t="n"/>
      <c r="AB1671" s="3" t="n"/>
      <c r="AE1671" s="146">
        <f>IF(AND(F1671="Closed",X1671&gt;=DATE(2026,6,1),X1671&lt;=DATE(2026,6,30)),"Closed in June","other")</f>
        <v/>
      </c>
    </row>
    <row r="1672" hidden="1">
      <c r="A1672" s="9" t="n">
        <v>46106</v>
      </c>
      <c r="B1672" s="1" t="n">
        <v>2026</v>
      </c>
      <c r="C1672" s="8" t="inlineStr">
        <is>
          <t>Asian Fab Tec Ltd</t>
        </is>
      </c>
      <c r="D1672" s="8" t="inlineStr">
        <is>
          <t>Utility and C&amp;I</t>
        </is>
      </c>
      <c r="E1672" s="1" t="n"/>
      <c r="F1672" s="1" t="inlineStr">
        <is>
          <t>Closed</t>
        </is>
      </c>
      <c r="G1672" s="8" t="inlineStr">
        <is>
          <t>Prakash Reddy</t>
        </is>
      </c>
      <c r="H1672" s="8" t="n">
        <v>9945239707</v>
      </c>
      <c r="I1672" s="26" t="inlineStr">
        <is>
          <t>PE25032602</t>
        </is>
      </c>
      <c r="J1672" s="42" t="inlineStr">
        <is>
          <t xml:space="preserve">Junction Box burnt </t>
        </is>
      </c>
      <c r="K1672" s="8" t="inlineStr">
        <is>
          <t>Bangalore</t>
        </is>
      </c>
      <c r="L1672" s="39" t="inlineStr">
        <is>
          <t>Karnataka</t>
        </is>
      </c>
      <c r="M1672" s="40" t="inlineStr">
        <is>
          <t>JB Replaced</t>
        </is>
      </c>
      <c r="N1672" s="6" t="inlineStr">
        <is>
          <t>JB Issue</t>
        </is>
      </c>
      <c r="O1672" s="39" t="inlineStr">
        <is>
          <t>NA</t>
        </is>
      </c>
      <c r="P1672" s="35" t="inlineStr">
        <is>
          <t>NSM191207711</t>
        </is>
      </c>
      <c r="Q1672" s="29">
        <f>MID(P1672,4,2)</f>
        <v/>
      </c>
      <c r="R1672" s="14">
        <f>MID(P1672,6,2)</f>
        <v/>
      </c>
      <c r="S1672" s="6" t="inlineStr">
        <is>
          <t>G2B</t>
        </is>
      </c>
      <c r="T1672" s="6" t="inlineStr">
        <is>
          <t>NA</t>
        </is>
      </c>
      <c r="U1672" s="6" t="inlineStr">
        <is>
          <t>JB Issue</t>
        </is>
      </c>
      <c r="V1672" s="1" t="inlineStr">
        <is>
          <t>Inspection</t>
        </is>
      </c>
      <c r="W1672" s="1" t="inlineStr">
        <is>
          <t>Repair</t>
        </is>
      </c>
      <c r="X1672" s="5" t="n">
        <v>46192</v>
      </c>
      <c r="Y1672" s="1">
        <f>IF(X1672="","",X1672-A1672)</f>
        <v/>
      </c>
      <c r="Z1672" s="5" t="n">
        <v>46192</v>
      </c>
      <c r="AA1672" s="3" t="n"/>
      <c r="AB1672" s="3" t="n"/>
      <c r="AE1672" s="146">
        <f>IF(AND(F1672="Closed",X1672&gt;=DATE(2026,6,1),X1672&lt;=DATE(2026,6,30)),"Closed in June","other")</f>
        <v/>
      </c>
    </row>
    <row r="1673" hidden="1">
      <c r="A1673" s="9" t="n">
        <v>46106</v>
      </c>
      <c r="B1673" s="1" t="n">
        <v>2026</v>
      </c>
      <c r="C1673" s="8" t="inlineStr">
        <is>
          <t>Asian Fab Tec Ltd</t>
        </is>
      </c>
      <c r="D1673" s="8" t="inlineStr">
        <is>
          <t>Utility and C&amp;I</t>
        </is>
      </c>
      <c r="E1673" s="1" t="n"/>
      <c r="F1673" s="1" t="inlineStr">
        <is>
          <t>Closed</t>
        </is>
      </c>
      <c r="G1673" s="8" t="inlineStr">
        <is>
          <t>Prakash Reddy</t>
        </is>
      </c>
      <c r="H1673" s="8" t="n">
        <v>9945239707</v>
      </c>
      <c r="I1673" s="26" t="inlineStr">
        <is>
          <t>PE25032602</t>
        </is>
      </c>
      <c r="J1673" s="42" t="inlineStr">
        <is>
          <t xml:space="preserve">Junction Box burnt </t>
        </is>
      </c>
      <c r="K1673" s="8" t="inlineStr">
        <is>
          <t>Bangalore</t>
        </is>
      </c>
      <c r="L1673" s="39" t="inlineStr">
        <is>
          <t>Karnataka</t>
        </is>
      </c>
      <c r="M1673" s="40" t="inlineStr">
        <is>
          <t>JB Replaced</t>
        </is>
      </c>
      <c r="N1673" s="6" t="inlineStr">
        <is>
          <t>JB Issue</t>
        </is>
      </c>
      <c r="O1673" s="39" t="inlineStr">
        <is>
          <t>NA</t>
        </is>
      </c>
      <c r="P1673" s="35" t="inlineStr">
        <is>
          <t>NSM191207917</t>
        </is>
      </c>
      <c r="Q1673" s="29">
        <f>MID(P1673,4,2)</f>
        <v/>
      </c>
      <c r="R1673" s="14">
        <f>MID(P1673,6,2)</f>
        <v/>
      </c>
      <c r="S1673" s="6" t="inlineStr">
        <is>
          <t>G2B</t>
        </is>
      </c>
      <c r="T1673" s="6" t="inlineStr">
        <is>
          <t>NA</t>
        </is>
      </c>
      <c r="U1673" s="6" t="inlineStr">
        <is>
          <t>JB Issue</t>
        </is>
      </c>
      <c r="V1673" s="1" t="inlineStr">
        <is>
          <t>Inspection</t>
        </is>
      </c>
      <c r="W1673" s="1" t="inlineStr">
        <is>
          <t>Repair</t>
        </is>
      </c>
      <c r="X1673" s="5" t="n">
        <v>46192</v>
      </c>
      <c r="Y1673" s="1">
        <f>IF(X1673="","",X1673-A1673)</f>
        <v/>
      </c>
      <c r="Z1673" s="5" t="n">
        <v>46192</v>
      </c>
      <c r="AA1673" s="3" t="n"/>
      <c r="AB1673" s="3" t="n"/>
      <c r="AE1673" s="146">
        <f>IF(AND(F1673="Closed",X1673&gt;=DATE(2026,6,1),X1673&lt;=DATE(2026,6,30)),"Closed in June","other")</f>
        <v/>
      </c>
    </row>
    <row r="1674" hidden="1">
      <c r="A1674" s="9" t="n">
        <v>46106</v>
      </c>
      <c r="B1674" s="1" t="n">
        <v>2026</v>
      </c>
      <c r="C1674" s="8" t="inlineStr">
        <is>
          <t>Asian Fab Tec Ltd</t>
        </is>
      </c>
      <c r="D1674" s="8" t="inlineStr">
        <is>
          <t>Utility and C&amp;I</t>
        </is>
      </c>
      <c r="E1674" s="1" t="n"/>
      <c r="F1674" s="1" t="inlineStr">
        <is>
          <t>Closed</t>
        </is>
      </c>
      <c r="G1674" s="8" t="inlineStr">
        <is>
          <t>Prakash Reddy</t>
        </is>
      </c>
      <c r="H1674" s="8" t="n">
        <v>9945239707</v>
      </c>
      <c r="I1674" s="26" t="inlineStr">
        <is>
          <t>PE25032602</t>
        </is>
      </c>
      <c r="J1674" s="42" t="inlineStr">
        <is>
          <t xml:space="preserve">Junction Box burnt </t>
        </is>
      </c>
      <c r="K1674" s="8" t="inlineStr">
        <is>
          <t>Bangalore</t>
        </is>
      </c>
      <c r="L1674" s="39" t="inlineStr">
        <is>
          <t>Karnataka</t>
        </is>
      </c>
      <c r="M1674" s="40" t="inlineStr">
        <is>
          <t>JB Replaced</t>
        </is>
      </c>
      <c r="N1674" s="6" t="inlineStr">
        <is>
          <t>JB Issue</t>
        </is>
      </c>
      <c r="O1674" s="39" t="inlineStr">
        <is>
          <t>NA</t>
        </is>
      </c>
      <c r="P1674" s="35" t="inlineStr">
        <is>
          <t>NSM191207729</t>
        </is>
      </c>
      <c r="Q1674" s="29">
        <f>MID(P1674,4,2)</f>
        <v/>
      </c>
      <c r="R1674" s="14">
        <f>MID(P1674,6,2)</f>
        <v/>
      </c>
      <c r="S1674" s="6" t="inlineStr">
        <is>
          <t>G2B</t>
        </is>
      </c>
      <c r="T1674" s="6" t="inlineStr">
        <is>
          <t>NA</t>
        </is>
      </c>
      <c r="U1674" s="6" t="inlineStr">
        <is>
          <t>JB Issue</t>
        </is>
      </c>
      <c r="V1674" s="1" t="inlineStr">
        <is>
          <t>Inspection</t>
        </is>
      </c>
      <c r="W1674" s="1" t="inlineStr">
        <is>
          <t>Repair</t>
        </is>
      </c>
      <c r="X1674" s="5" t="n">
        <v>46192</v>
      </c>
      <c r="Y1674" s="1">
        <f>IF(X1674="","",X1674-A1674)</f>
        <v/>
      </c>
      <c r="Z1674" s="5" t="n">
        <v>46192</v>
      </c>
      <c r="AA1674" s="3" t="n"/>
      <c r="AB1674" s="3" t="n"/>
      <c r="AE1674" s="146">
        <f>IF(AND(F1674="Closed",X1674&gt;=DATE(2026,6,1),X1674&lt;=DATE(2026,6,30)),"Closed in June","other")</f>
        <v/>
      </c>
    </row>
    <row r="1675" hidden="1">
      <c r="A1675" s="9" t="n">
        <v>46106</v>
      </c>
      <c r="B1675" s="1" t="n">
        <v>2026</v>
      </c>
      <c r="C1675" s="8" t="inlineStr">
        <is>
          <t>Asian Fab Tec Ltd</t>
        </is>
      </c>
      <c r="D1675" s="8" t="inlineStr">
        <is>
          <t>Utility and C&amp;I</t>
        </is>
      </c>
      <c r="E1675" s="1" t="n"/>
      <c r="F1675" s="1" t="inlineStr">
        <is>
          <t>Closed</t>
        </is>
      </c>
      <c r="G1675" s="8" t="inlineStr">
        <is>
          <t>Prakash Reddy</t>
        </is>
      </c>
      <c r="H1675" s="8" t="n">
        <v>9945239707</v>
      </c>
      <c r="I1675" s="26" t="inlineStr">
        <is>
          <t>PE25032602</t>
        </is>
      </c>
      <c r="J1675" s="42" t="inlineStr">
        <is>
          <t xml:space="preserve">Junction Box burnt </t>
        </is>
      </c>
      <c r="K1675" s="8" t="inlineStr">
        <is>
          <t>Bangalore</t>
        </is>
      </c>
      <c r="L1675" s="39" t="inlineStr">
        <is>
          <t>Karnataka</t>
        </is>
      </c>
      <c r="M1675" s="40" t="inlineStr">
        <is>
          <t>JB Replaced</t>
        </is>
      </c>
      <c r="N1675" s="6" t="inlineStr">
        <is>
          <t>JB Issue</t>
        </is>
      </c>
      <c r="O1675" s="39" t="inlineStr">
        <is>
          <t>NA</t>
        </is>
      </c>
      <c r="P1675" s="35" t="inlineStr">
        <is>
          <t>NSM191207911</t>
        </is>
      </c>
      <c r="Q1675" s="29">
        <f>MID(P1675,4,2)</f>
        <v/>
      </c>
      <c r="R1675" s="14">
        <f>MID(P1675,6,2)</f>
        <v/>
      </c>
      <c r="S1675" s="6" t="inlineStr">
        <is>
          <t>G2B</t>
        </is>
      </c>
      <c r="T1675" s="6" t="inlineStr">
        <is>
          <t>NA</t>
        </is>
      </c>
      <c r="U1675" s="6" t="inlineStr">
        <is>
          <t>JB Issue</t>
        </is>
      </c>
      <c r="V1675" s="1" t="inlineStr">
        <is>
          <t>Inspection</t>
        </is>
      </c>
      <c r="W1675" s="1" t="inlineStr">
        <is>
          <t>Repair</t>
        </is>
      </c>
      <c r="X1675" s="5" t="n">
        <v>46192</v>
      </c>
      <c r="Y1675" s="1">
        <f>IF(X1675="","",X1675-A1675)</f>
        <v/>
      </c>
      <c r="Z1675" s="5" t="n">
        <v>46192</v>
      </c>
      <c r="AA1675" s="3" t="n"/>
      <c r="AB1675" s="3" t="n"/>
      <c r="AE1675" s="146">
        <f>IF(AND(F1675="Closed",X1675&gt;=DATE(2026,6,1),X1675&lt;=DATE(2026,6,30)),"Closed in June","other")</f>
        <v/>
      </c>
    </row>
    <row r="1676" hidden="1">
      <c r="A1676" s="9" t="n">
        <v>46106</v>
      </c>
      <c r="B1676" s="1" t="n">
        <v>2026</v>
      </c>
      <c r="C1676" s="8" t="inlineStr">
        <is>
          <t>Asian Fab Tec Ltd</t>
        </is>
      </c>
      <c r="D1676" s="8" t="inlineStr">
        <is>
          <t>Utility and C&amp;I</t>
        </is>
      </c>
      <c r="E1676" s="1" t="n"/>
      <c r="F1676" s="1" t="inlineStr">
        <is>
          <t>Closed</t>
        </is>
      </c>
      <c r="G1676" s="8" t="inlineStr">
        <is>
          <t>Prakash Reddy</t>
        </is>
      </c>
      <c r="H1676" s="8" t="n">
        <v>9945239707</v>
      </c>
      <c r="I1676" s="26" t="inlineStr">
        <is>
          <t>PE25032602</t>
        </is>
      </c>
      <c r="J1676" s="42" t="inlineStr">
        <is>
          <t xml:space="preserve">Junction Box burnt </t>
        </is>
      </c>
      <c r="K1676" s="8" t="inlineStr">
        <is>
          <t>Bangalore</t>
        </is>
      </c>
      <c r="L1676" s="39" t="inlineStr">
        <is>
          <t>Karnataka</t>
        </is>
      </c>
      <c r="M1676" s="40" t="inlineStr">
        <is>
          <t>JB Replaced</t>
        </is>
      </c>
      <c r="N1676" s="6" t="inlineStr">
        <is>
          <t>JB Issue</t>
        </is>
      </c>
      <c r="O1676" s="39" t="inlineStr">
        <is>
          <t>NA</t>
        </is>
      </c>
      <c r="P1676" s="35" t="inlineStr">
        <is>
          <t>NSM191207909</t>
        </is>
      </c>
      <c r="Q1676" s="29">
        <f>MID(P1676,4,2)</f>
        <v/>
      </c>
      <c r="R1676" s="14">
        <f>MID(P1676,6,2)</f>
        <v/>
      </c>
      <c r="S1676" s="6" t="inlineStr">
        <is>
          <t>G2B</t>
        </is>
      </c>
      <c r="T1676" s="6" t="inlineStr">
        <is>
          <t>NA</t>
        </is>
      </c>
      <c r="U1676" s="6" t="inlineStr">
        <is>
          <t>JB Issue</t>
        </is>
      </c>
      <c r="V1676" s="1" t="inlineStr">
        <is>
          <t>Inspection</t>
        </is>
      </c>
      <c r="W1676" s="1" t="inlineStr">
        <is>
          <t>Repair</t>
        </is>
      </c>
      <c r="X1676" s="5" t="n">
        <v>46192</v>
      </c>
      <c r="Y1676" s="1">
        <f>IF(X1676="","",X1676-A1676)</f>
        <v/>
      </c>
      <c r="Z1676" s="5" t="n">
        <v>46192</v>
      </c>
      <c r="AA1676" s="3" t="n"/>
      <c r="AB1676" s="3" t="n"/>
      <c r="AE1676" s="146">
        <f>IF(AND(F1676="Closed",X1676&gt;=DATE(2026,6,1),X1676&lt;=DATE(2026,6,30)),"Closed in June","other")</f>
        <v/>
      </c>
    </row>
    <row r="1677" hidden="1">
      <c r="A1677" s="9" t="n">
        <v>46106</v>
      </c>
      <c r="B1677" s="1" t="n">
        <v>2026</v>
      </c>
      <c r="C1677" s="8" t="inlineStr">
        <is>
          <t>Asian Fab Tec Ltd</t>
        </is>
      </c>
      <c r="D1677" s="8" t="inlineStr">
        <is>
          <t>Utility and C&amp;I</t>
        </is>
      </c>
      <c r="E1677" s="1" t="n"/>
      <c r="F1677" s="1" t="inlineStr">
        <is>
          <t>Closed</t>
        </is>
      </c>
      <c r="G1677" s="8" t="inlineStr">
        <is>
          <t>Prakash Reddy</t>
        </is>
      </c>
      <c r="H1677" s="8" t="n">
        <v>9945239707</v>
      </c>
      <c r="I1677" s="26" t="inlineStr">
        <is>
          <t>PE25032602</t>
        </is>
      </c>
      <c r="J1677" s="42" t="inlineStr">
        <is>
          <t xml:space="preserve">Junction Box burnt </t>
        </is>
      </c>
      <c r="K1677" s="8" t="inlineStr">
        <is>
          <t>Bangalore</t>
        </is>
      </c>
      <c r="L1677" s="39" t="inlineStr">
        <is>
          <t>Karnataka</t>
        </is>
      </c>
      <c r="M1677" s="40" t="inlineStr">
        <is>
          <t>JB Replaced</t>
        </is>
      </c>
      <c r="N1677" s="6" t="inlineStr">
        <is>
          <t>JB Issue</t>
        </is>
      </c>
      <c r="O1677" s="39" t="inlineStr">
        <is>
          <t>NA</t>
        </is>
      </c>
      <c r="P1677" s="35" t="inlineStr">
        <is>
          <t>NSM191208092</t>
        </is>
      </c>
      <c r="Q1677" s="29">
        <f>MID(P1677,4,2)</f>
        <v/>
      </c>
      <c r="R1677" s="14">
        <f>MID(P1677,6,2)</f>
        <v/>
      </c>
      <c r="S1677" s="6" t="inlineStr">
        <is>
          <t>G2B</t>
        </is>
      </c>
      <c r="T1677" s="6" t="inlineStr">
        <is>
          <t>NA</t>
        </is>
      </c>
      <c r="U1677" s="6" t="inlineStr">
        <is>
          <t>JB Issue</t>
        </is>
      </c>
      <c r="V1677" s="1" t="inlineStr">
        <is>
          <t>Inspection</t>
        </is>
      </c>
      <c r="W1677" s="1" t="inlineStr">
        <is>
          <t>Repair</t>
        </is>
      </c>
      <c r="X1677" s="5" t="n">
        <v>46192</v>
      </c>
      <c r="Y1677" s="1">
        <f>IF(X1677="","",X1677-A1677)</f>
        <v/>
      </c>
      <c r="Z1677" s="5" t="n">
        <v>46192</v>
      </c>
      <c r="AA1677" s="3" t="n"/>
      <c r="AB1677" s="3" t="n"/>
      <c r="AE1677" s="146">
        <f>IF(AND(F1677="Closed",X1677&gt;=DATE(2026,6,1),X1677&lt;=DATE(2026,6,30)),"Closed in June","other")</f>
        <v/>
      </c>
    </row>
    <row r="1678" hidden="1">
      <c r="A1678" s="9" t="n">
        <v>46106</v>
      </c>
      <c r="B1678" s="1" t="n">
        <v>2026</v>
      </c>
      <c r="C1678" s="8" t="inlineStr">
        <is>
          <t>Asian Fab Tec Ltd</t>
        </is>
      </c>
      <c r="D1678" s="8" t="inlineStr">
        <is>
          <t>Utility and C&amp;I</t>
        </is>
      </c>
      <c r="E1678" s="1" t="n"/>
      <c r="F1678" s="1" t="inlineStr">
        <is>
          <t>Closed</t>
        </is>
      </c>
      <c r="G1678" s="8" t="inlineStr">
        <is>
          <t>Prakash Reddy</t>
        </is>
      </c>
      <c r="H1678" s="8" t="n">
        <v>9945239707</v>
      </c>
      <c r="I1678" s="26" t="inlineStr">
        <is>
          <t>PE25032602</t>
        </is>
      </c>
      <c r="J1678" s="42" t="inlineStr">
        <is>
          <t xml:space="preserve">Junction Box burnt </t>
        </is>
      </c>
      <c r="K1678" s="8" t="inlineStr">
        <is>
          <t>Bangalore</t>
        </is>
      </c>
      <c r="L1678" s="39" t="inlineStr">
        <is>
          <t>Karnataka</t>
        </is>
      </c>
      <c r="M1678" s="40" t="inlineStr">
        <is>
          <t>JB Replaced</t>
        </is>
      </c>
      <c r="N1678" s="6" t="inlineStr">
        <is>
          <t>JB Issue</t>
        </is>
      </c>
      <c r="O1678" s="39" t="inlineStr">
        <is>
          <t>NA</t>
        </is>
      </c>
      <c r="P1678" s="35" t="inlineStr">
        <is>
          <t>NSM191206682</t>
        </is>
      </c>
      <c r="Q1678" s="29">
        <f>MID(P1678,4,2)</f>
        <v/>
      </c>
      <c r="R1678" s="14">
        <f>MID(P1678,6,2)</f>
        <v/>
      </c>
      <c r="S1678" s="6" t="inlineStr">
        <is>
          <t>G2B</t>
        </is>
      </c>
      <c r="T1678" s="6" t="inlineStr">
        <is>
          <t>NA</t>
        </is>
      </c>
      <c r="U1678" s="6" t="inlineStr">
        <is>
          <t>JB Issue</t>
        </is>
      </c>
      <c r="V1678" s="1" t="inlineStr">
        <is>
          <t>Inspection</t>
        </is>
      </c>
      <c r="W1678" s="1" t="inlineStr">
        <is>
          <t>Repair</t>
        </is>
      </c>
      <c r="X1678" s="5" t="n">
        <v>46192</v>
      </c>
      <c r="Y1678" s="1">
        <f>IF(X1678="","",X1678-A1678)</f>
        <v/>
      </c>
      <c r="Z1678" s="5" t="n">
        <v>46192</v>
      </c>
      <c r="AA1678" s="3" t="n"/>
      <c r="AB1678" s="3" t="n"/>
      <c r="AE1678" s="146">
        <f>IF(AND(F1678="Closed",X1678&gt;=DATE(2026,6,1),X1678&lt;=DATE(2026,6,30)),"Closed in June","other")</f>
        <v/>
      </c>
    </row>
    <row r="1679" hidden="1">
      <c r="A1679" s="9" t="n">
        <v>46106</v>
      </c>
      <c r="B1679" s="1" t="n">
        <v>2026</v>
      </c>
      <c r="C1679" s="8" t="inlineStr">
        <is>
          <t>Asian Fab Tec Ltd</t>
        </is>
      </c>
      <c r="D1679" s="8" t="inlineStr">
        <is>
          <t>Utility and C&amp;I</t>
        </is>
      </c>
      <c r="E1679" s="1" t="n"/>
      <c r="F1679" s="1" t="inlineStr">
        <is>
          <t>Closed</t>
        </is>
      </c>
      <c r="G1679" s="8" t="inlineStr">
        <is>
          <t>Prakash Reddy</t>
        </is>
      </c>
      <c r="H1679" s="8" t="n">
        <v>9945239707</v>
      </c>
      <c r="I1679" s="26" t="inlineStr">
        <is>
          <t>PE25032602</t>
        </is>
      </c>
      <c r="J1679" s="42" t="inlineStr">
        <is>
          <t xml:space="preserve">Junction Box burnt </t>
        </is>
      </c>
      <c r="K1679" s="8" t="inlineStr">
        <is>
          <t>Bangalore</t>
        </is>
      </c>
      <c r="L1679" s="39" t="inlineStr">
        <is>
          <t>Karnataka</t>
        </is>
      </c>
      <c r="M1679" s="40" t="inlineStr">
        <is>
          <t>JB Replaced</t>
        </is>
      </c>
      <c r="N1679" s="6" t="inlineStr">
        <is>
          <t>JB Issue</t>
        </is>
      </c>
      <c r="O1679" s="39" t="inlineStr">
        <is>
          <t>NA</t>
        </is>
      </c>
      <c r="P1679" s="35" t="inlineStr">
        <is>
          <t>NSM191206531</t>
        </is>
      </c>
      <c r="Q1679" s="29">
        <f>MID(P1679,4,2)</f>
        <v/>
      </c>
      <c r="R1679" s="14">
        <f>MID(P1679,6,2)</f>
        <v/>
      </c>
      <c r="S1679" s="6" t="inlineStr">
        <is>
          <t>G2B</t>
        </is>
      </c>
      <c r="T1679" s="6" t="inlineStr">
        <is>
          <t>NA</t>
        </is>
      </c>
      <c r="U1679" s="6" t="inlineStr">
        <is>
          <t>JB Issue</t>
        </is>
      </c>
      <c r="V1679" s="1" t="inlineStr">
        <is>
          <t>Inspection</t>
        </is>
      </c>
      <c r="W1679" s="1" t="inlineStr">
        <is>
          <t>Repair</t>
        </is>
      </c>
      <c r="X1679" s="5" t="n">
        <v>46192</v>
      </c>
      <c r="Y1679" s="1">
        <f>IF(X1679="","",X1679-A1679)</f>
        <v/>
      </c>
      <c r="Z1679" s="5" t="n">
        <v>46192</v>
      </c>
      <c r="AA1679" s="3" t="n"/>
      <c r="AB1679" s="3" t="n"/>
      <c r="AE1679" s="146">
        <f>IF(AND(F1679="Closed",X1679&gt;=DATE(2026,6,1),X1679&lt;=DATE(2026,6,30)),"Closed in June","other")</f>
        <v/>
      </c>
    </row>
    <row r="1680" hidden="1">
      <c r="A1680" s="9" t="n">
        <v>46106</v>
      </c>
      <c r="B1680" s="1" t="n">
        <v>2026</v>
      </c>
      <c r="C1680" s="8" t="inlineStr">
        <is>
          <t>Asian Fab Tec Ltd</t>
        </is>
      </c>
      <c r="D1680" s="8" t="inlineStr">
        <is>
          <t>Utility and C&amp;I</t>
        </is>
      </c>
      <c r="E1680" s="1" t="n"/>
      <c r="F1680" s="1" t="inlineStr">
        <is>
          <t>Closed</t>
        </is>
      </c>
      <c r="G1680" s="8" t="inlineStr">
        <is>
          <t>Prakash Reddy</t>
        </is>
      </c>
      <c r="H1680" s="8" t="n">
        <v>9945239707</v>
      </c>
      <c r="I1680" s="26" t="inlineStr">
        <is>
          <t>PE25032602</t>
        </is>
      </c>
      <c r="J1680" s="42" t="inlineStr">
        <is>
          <t xml:space="preserve">Junction Box burnt </t>
        </is>
      </c>
      <c r="K1680" s="8" t="inlineStr">
        <is>
          <t>Bangalore</t>
        </is>
      </c>
      <c r="L1680" s="39" t="inlineStr">
        <is>
          <t>Karnataka</t>
        </is>
      </c>
      <c r="M1680" s="40" t="inlineStr">
        <is>
          <t>JB Replaced</t>
        </is>
      </c>
      <c r="N1680" s="6" t="inlineStr">
        <is>
          <t>JB Issue</t>
        </is>
      </c>
      <c r="O1680" s="39" t="inlineStr">
        <is>
          <t>NA</t>
        </is>
      </c>
      <c r="P1680" s="35" t="inlineStr">
        <is>
          <t>NSM191206539</t>
        </is>
      </c>
      <c r="Q1680" s="29">
        <f>MID(P1680,4,2)</f>
        <v/>
      </c>
      <c r="R1680" s="14">
        <f>MID(P1680,6,2)</f>
        <v/>
      </c>
      <c r="S1680" s="6" t="inlineStr">
        <is>
          <t>G2B</t>
        </is>
      </c>
      <c r="T1680" s="6" t="inlineStr">
        <is>
          <t>NA</t>
        </is>
      </c>
      <c r="U1680" s="6" t="inlineStr">
        <is>
          <t>JB Issue</t>
        </is>
      </c>
      <c r="V1680" s="1" t="inlineStr">
        <is>
          <t>Inspection</t>
        </is>
      </c>
      <c r="W1680" s="1" t="inlineStr">
        <is>
          <t>Repair</t>
        </is>
      </c>
      <c r="X1680" s="5" t="n">
        <v>46192</v>
      </c>
      <c r="Y1680" s="1">
        <f>IF(X1680="","",X1680-A1680)</f>
        <v/>
      </c>
      <c r="Z1680" s="5" t="n">
        <v>46192</v>
      </c>
      <c r="AA1680" s="3" t="n"/>
      <c r="AB1680" s="3" t="n"/>
      <c r="AE1680" s="146">
        <f>IF(AND(F1680="Closed",X1680&gt;=DATE(2026,6,1),X1680&lt;=DATE(2026,6,30)),"Closed in June","other")</f>
        <v/>
      </c>
    </row>
    <row r="1681" hidden="1">
      <c r="A1681" s="9" t="n">
        <v>46106</v>
      </c>
      <c r="B1681" s="1" t="n">
        <v>2026</v>
      </c>
      <c r="C1681" s="8" t="inlineStr">
        <is>
          <t>Asian Fab Tec Ltd</t>
        </is>
      </c>
      <c r="D1681" s="8" t="inlineStr">
        <is>
          <t>Utility and C&amp;I</t>
        </is>
      </c>
      <c r="E1681" s="1" t="n"/>
      <c r="F1681" s="1" t="inlineStr">
        <is>
          <t>Closed</t>
        </is>
      </c>
      <c r="G1681" s="8" t="inlineStr">
        <is>
          <t>Prakash Reddy</t>
        </is>
      </c>
      <c r="H1681" s="8" t="n">
        <v>9945239707</v>
      </c>
      <c r="I1681" s="26" t="inlineStr">
        <is>
          <t>PE25032602</t>
        </is>
      </c>
      <c r="J1681" s="42" t="inlineStr">
        <is>
          <t xml:space="preserve">Junction Box burnt </t>
        </is>
      </c>
      <c r="K1681" s="8" t="inlineStr">
        <is>
          <t>Bangalore</t>
        </is>
      </c>
      <c r="L1681" s="39" t="inlineStr">
        <is>
          <t>Karnataka</t>
        </is>
      </c>
      <c r="M1681" s="40" t="inlineStr">
        <is>
          <t>JB Replaced</t>
        </is>
      </c>
      <c r="N1681" s="6" t="inlineStr">
        <is>
          <t>JB Issue</t>
        </is>
      </c>
      <c r="O1681" s="39" t="inlineStr">
        <is>
          <t>NA</t>
        </is>
      </c>
      <c r="P1681" s="35" t="inlineStr">
        <is>
          <t>NSM191206528</t>
        </is>
      </c>
      <c r="Q1681" s="29">
        <f>MID(P1681,4,2)</f>
        <v/>
      </c>
      <c r="R1681" s="14">
        <f>MID(P1681,6,2)</f>
        <v/>
      </c>
      <c r="S1681" s="6" t="inlineStr">
        <is>
          <t>G2B</t>
        </is>
      </c>
      <c r="T1681" s="6" t="inlineStr">
        <is>
          <t>NA</t>
        </is>
      </c>
      <c r="U1681" s="6" t="inlineStr">
        <is>
          <t>JB Issue</t>
        </is>
      </c>
      <c r="V1681" s="1" t="inlineStr">
        <is>
          <t>Inspection</t>
        </is>
      </c>
      <c r="W1681" s="1" t="inlineStr">
        <is>
          <t>Repair</t>
        </is>
      </c>
      <c r="X1681" s="5" t="n">
        <v>46192</v>
      </c>
      <c r="Y1681" s="1">
        <f>IF(X1681="","",X1681-A1681)</f>
        <v/>
      </c>
      <c r="Z1681" s="5" t="n">
        <v>46192</v>
      </c>
      <c r="AA1681" s="3" t="n"/>
      <c r="AB1681" s="3" t="n"/>
      <c r="AE1681" s="146">
        <f>IF(AND(F1681="Closed",X1681&gt;=DATE(2026,6,1),X1681&lt;=DATE(2026,6,30)),"Closed in June","other")</f>
        <v/>
      </c>
    </row>
    <row r="1682" hidden="1">
      <c r="A1682" s="9" t="n">
        <v>46106</v>
      </c>
      <c r="B1682" s="1" t="n">
        <v>2026</v>
      </c>
      <c r="C1682" s="8" t="inlineStr">
        <is>
          <t>Asian Fab Tec Ltd</t>
        </is>
      </c>
      <c r="D1682" s="8" t="inlineStr">
        <is>
          <t>Utility and C&amp;I</t>
        </is>
      </c>
      <c r="E1682" s="1" t="n"/>
      <c r="F1682" s="1" t="inlineStr">
        <is>
          <t>Closed</t>
        </is>
      </c>
      <c r="G1682" s="8" t="inlineStr">
        <is>
          <t>Prakash Reddy</t>
        </is>
      </c>
      <c r="H1682" s="8" t="n">
        <v>9945239707</v>
      </c>
      <c r="I1682" s="26" t="inlineStr">
        <is>
          <t>PE25032602</t>
        </is>
      </c>
      <c r="J1682" s="42" t="inlineStr">
        <is>
          <t xml:space="preserve">Junction Box burnt </t>
        </is>
      </c>
      <c r="K1682" s="8" t="inlineStr">
        <is>
          <t>Bangalore</t>
        </is>
      </c>
      <c r="L1682" s="39" t="inlineStr">
        <is>
          <t>Karnataka</t>
        </is>
      </c>
      <c r="M1682" s="40" t="inlineStr">
        <is>
          <t>JB Replaced</t>
        </is>
      </c>
      <c r="N1682" s="6" t="inlineStr">
        <is>
          <t>JB Issue</t>
        </is>
      </c>
      <c r="O1682" s="39" t="inlineStr">
        <is>
          <t>NA</t>
        </is>
      </c>
      <c r="P1682" s="35" t="inlineStr">
        <is>
          <t>NSM191204172</t>
        </is>
      </c>
      <c r="Q1682" s="29">
        <f>MID(P1682,4,2)</f>
        <v/>
      </c>
      <c r="R1682" s="14">
        <f>MID(P1682,6,2)</f>
        <v/>
      </c>
      <c r="S1682" s="6" t="inlineStr">
        <is>
          <t>G2B</t>
        </is>
      </c>
      <c r="T1682" s="6" t="inlineStr">
        <is>
          <t>NA</t>
        </is>
      </c>
      <c r="U1682" s="6" t="inlineStr">
        <is>
          <t>JB Issue</t>
        </is>
      </c>
      <c r="V1682" s="1" t="inlineStr">
        <is>
          <t>Inspection</t>
        </is>
      </c>
      <c r="W1682" s="1" t="inlineStr">
        <is>
          <t>Repair</t>
        </is>
      </c>
      <c r="X1682" s="5" t="n">
        <v>46192</v>
      </c>
      <c r="Y1682" s="1">
        <f>IF(X1682="","",X1682-A1682)</f>
        <v/>
      </c>
      <c r="Z1682" s="5" t="n">
        <v>46192</v>
      </c>
      <c r="AA1682" s="3" t="n"/>
      <c r="AB1682" s="3" t="n"/>
      <c r="AE1682" s="146">
        <f>IF(AND(F1682="Closed",X1682&gt;=DATE(2026,6,1),X1682&lt;=DATE(2026,6,30)),"Closed in June","other")</f>
        <v/>
      </c>
    </row>
    <row r="1683" hidden="1">
      <c r="A1683" s="9" t="n">
        <v>46106</v>
      </c>
      <c r="B1683" s="1" t="n">
        <v>2026</v>
      </c>
      <c r="C1683" s="8" t="inlineStr">
        <is>
          <t>Asian Fab Tec Ltd</t>
        </is>
      </c>
      <c r="D1683" s="8" t="inlineStr">
        <is>
          <t>Utility and C&amp;I</t>
        </is>
      </c>
      <c r="E1683" s="1" t="n"/>
      <c r="F1683" s="1" t="inlineStr">
        <is>
          <t>Closed</t>
        </is>
      </c>
      <c r="G1683" s="8" t="inlineStr">
        <is>
          <t>Prakash Reddy</t>
        </is>
      </c>
      <c r="H1683" s="8" t="n">
        <v>9945239707</v>
      </c>
      <c r="I1683" s="26" t="inlineStr">
        <is>
          <t>PE25032602</t>
        </is>
      </c>
      <c r="J1683" s="42" t="inlineStr">
        <is>
          <t xml:space="preserve">Junction Box burnt </t>
        </is>
      </c>
      <c r="K1683" s="8" t="inlineStr">
        <is>
          <t>Bangalore</t>
        </is>
      </c>
      <c r="L1683" s="39" t="inlineStr">
        <is>
          <t>Karnataka</t>
        </is>
      </c>
      <c r="M1683" s="40" t="inlineStr">
        <is>
          <t>JB Replaced</t>
        </is>
      </c>
      <c r="N1683" s="6" t="inlineStr">
        <is>
          <t>JB Issue</t>
        </is>
      </c>
      <c r="O1683" s="39" t="inlineStr">
        <is>
          <t>NA</t>
        </is>
      </c>
      <c r="P1683" s="35" t="inlineStr">
        <is>
          <t>NSM191204170</t>
        </is>
      </c>
      <c r="Q1683" s="29">
        <f>MID(P1683,4,2)</f>
        <v/>
      </c>
      <c r="R1683" s="14">
        <f>MID(P1683,6,2)</f>
        <v/>
      </c>
      <c r="S1683" s="6" t="inlineStr">
        <is>
          <t>G2B</t>
        </is>
      </c>
      <c r="T1683" s="6" t="inlineStr">
        <is>
          <t>NA</t>
        </is>
      </c>
      <c r="U1683" s="6" t="inlineStr">
        <is>
          <t>JB Issue</t>
        </is>
      </c>
      <c r="V1683" s="1" t="inlineStr">
        <is>
          <t>Inspection</t>
        </is>
      </c>
      <c r="W1683" s="1" t="inlineStr">
        <is>
          <t>Repair</t>
        </is>
      </c>
      <c r="X1683" s="5" t="n">
        <v>46192</v>
      </c>
      <c r="Y1683" s="1">
        <f>IF(X1683="","",X1683-A1683)</f>
        <v/>
      </c>
      <c r="Z1683" s="5" t="n">
        <v>46192</v>
      </c>
      <c r="AA1683" s="3" t="n"/>
      <c r="AB1683" s="3" t="n"/>
      <c r="AE1683" s="146">
        <f>IF(AND(F1683="Closed",X1683&gt;=DATE(2026,6,1),X1683&lt;=DATE(2026,6,30)),"Closed in June","other")</f>
        <v/>
      </c>
    </row>
    <row r="1684" hidden="1">
      <c r="A1684" s="9" t="n">
        <v>46106</v>
      </c>
      <c r="B1684" s="1" t="n">
        <v>2026</v>
      </c>
      <c r="C1684" s="8" t="inlineStr">
        <is>
          <t>Asian Fab Tec Ltd</t>
        </is>
      </c>
      <c r="D1684" s="8" t="inlineStr">
        <is>
          <t>Utility and C&amp;I</t>
        </is>
      </c>
      <c r="E1684" s="1" t="n"/>
      <c r="F1684" s="1" t="inlineStr">
        <is>
          <t>Closed</t>
        </is>
      </c>
      <c r="G1684" s="8" t="inlineStr">
        <is>
          <t>Prakash Reddy</t>
        </is>
      </c>
      <c r="H1684" s="8" t="n">
        <v>9945239707</v>
      </c>
      <c r="I1684" s="26" t="inlineStr">
        <is>
          <t>PE25032602</t>
        </is>
      </c>
      <c r="J1684" s="42" t="inlineStr">
        <is>
          <t xml:space="preserve">Junction Box burnt </t>
        </is>
      </c>
      <c r="K1684" s="8" t="inlineStr">
        <is>
          <t>Bangalore</t>
        </is>
      </c>
      <c r="L1684" s="39" t="inlineStr">
        <is>
          <t>Karnataka</t>
        </is>
      </c>
      <c r="M1684" s="40" t="inlineStr">
        <is>
          <t>JB Replaced</t>
        </is>
      </c>
      <c r="N1684" s="6" t="inlineStr">
        <is>
          <t>JB Issue</t>
        </is>
      </c>
      <c r="O1684" s="39" t="inlineStr">
        <is>
          <t>NA</t>
        </is>
      </c>
      <c r="P1684" s="35" t="inlineStr">
        <is>
          <t>NSM191206459</t>
        </is>
      </c>
      <c r="Q1684" s="29">
        <f>MID(P1684,4,2)</f>
        <v/>
      </c>
      <c r="R1684" s="14">
        <f>MID(P1684,6,2)</f>
        <v/>
      </c>
      <c r="S1684" s="6" t="inlineStr">
        <is>
          <t>G2B</t>
        </is>
      </c>
      <c r="T1684" s="6" t="inlineStr">
        <is>
          <t>NA</t>
        </is>
      </c>
      <c r="U1684" s="6" t="inlineStr">
        <is>
          <t>JB Issue</t>
        </is>
      </c>
      <c r="V1684" s="1" t="inlineStr">
        <is>
          <t>Inspection</t>
        </is>
      </c>
      <c r="W1684" s="1" t="inlineStr">
        <is>
          <t>Repair</t>
        </is>
      </c>
      <c r="X1684" s="5" t="n">
        <v>46192</v>
      </c>
      <c r="Y1684" s="1">
        <f>IF(X1684="","",X1684-A1684)</f>
        <v/>
      </c>
      <c r="Z1684" s="5" t="n">
        <v>46192</v>
      </c>
      <c r="AA1684" s="3" t="n"/>
      <c r="AB1684" s="3" t="n"/>
      <c r="AE1684" s="146">
        <f>IF(AND(F1684="Closed",X1684&gt;=DATE(2026,6,1),X1684&lt;=DATE(2026,6,30)),"Closed in June","other")</f>
        <v/>
      </c>
    </row>
    <row r="1685" hidden="1">
      <c r="A1685" s="9" t="n">
        <v>46106</v>
      </c>
      <c r="B1685" s="1" t="n">
        <v>2026</v>
      </c>
      <c r="C1685" s="8" t="inlineStr">
        <is>
          <t>Asian Fab Tec Ltd</t>
        </is>
      </c>
      <c r="D1685" s="8" t="inlineStr">
        <is>
          <t>Utility and C&amp;I</t>
        </is>
      </c>
      <c r="E1685" s="1" t="n"/>
      <c r="F1685" s="1" t="inlineStr">
        <is>
          <t>Closed</t>
        </is>
      </c>
      <c r="G1685" s="8" t="inlineStr">
        <is>
          <t>Prakash Reddy</t>
        </is>
      </c>
      <c r="H1685" s="8" t="n">
        <v>9945239707</v>
      </c>
      <c r="I1685" s="26" t="inlineStr">
        <is>
          <t>PE25032602</t>
        </is>
      </c>
      <c r="J1685" s="42" t="inlineStr">
        <is>
          <t xml:space="preserve">Junction Box burnt </t>
        </is>
      </c>
      <c r="K1685" s="8" t="inlineStr">
        <is>
          <t>Bangalore</t>
        </is>
      </c>
      <c r="L1685" s="39" t="inlineStr">
        <is>
          <t>Karnataka</t>
        </is>
      </c>
      <c r="M1685" s="40" t="inlineStr">
        <is>
          <t>JB Replaced</t>
        </is>
      </c>
      <c r="N1685" s="6" t="inlineStr">
        <is>
          <t>JB Issue</t>
        </is>
      </c>
      <c r="O1685" s="39" t="inlineStr">
        <is>
          <t>NA</t>
        </is>
      </c>
      <c r="P1685" s="35" t="inlineStr">
        <is>
          <t>NSM191204178</t>
        </is>
      </c>
      <c r="Q1685" s="29">
        <f>MID(P1685,4,2)</f>
        <v/>
      </c>
      <c r="R1685" s="14">
        <f>MID(P1685,6,2)</f>
        <v/>
      </c>
      <c r="S1685" s="6" t="inlineStr">
        <is>
          <t>G2B</t>
        </is>
      </c>
      <c r="T1685" s="6" t="inlineStr">
        <is>
          <t>NA</t>
        </is>
      </c>
      <c r="U1685" s="6" t="inlineStr">
        <is>
          <t>JB Issue</t>
        </is>
      </c>
      <c r="V1685" s="1" t="inlineStr">
        <is>
          <t>Inspection</t>
        </is>
      </c>
      <c r="W1685" s="1" t="inlineStr">
        <is>
          <t>Repair</t>
        </is>
      </c>
      <c r="X1685" s="5" t="n">
        <v>46192</v>
      </c>
      <c r="Y1685" s="1">
        <f>IF(X1685="","",X1685-A1685)</f>
        <v/>
      </c>
      <c r="Z1685" s="5" t="n">
        <v>46192</v>
      </c>
      <c r="AA1685" s="3" t="n"/>
      <c r="AB1685" s="3" t="n"/>
      <c r="AE1685" s="146">
        <f>IF(AND(F1685="Closed",X1685&gt;=DATE(2026,6,1),X1685&lt;=DATE(2026,6,30)),"Closed in June","other")</f>
        <v/>
      </c>
    </row>
    <row r="1686" hidden="1">
      <c r="A1686" s="9" t="n">
        <v>46106</v>
      </c>
      <c r="B1686" s="1" t="n">
        <v>2026</v>
      </c>
      <c r="C1686" s="8" t="inlineStr">
        <is>
          <t>Asian Fab Tec Ltd</t>
        </is>
      </c>
      <c r="D1686" s="8" t="inlineStr">
        <is>
          <t>Utility and C&amp;I</t>
        </is>
      </c>
      <c r="E1686" s="1" t="n"/>
      <c r="F1686" s="1" t="inlineStr">
        <is>
          <t>Closed</t>
        </is>
      </c>
      <c r="G1686" s="8" t="inlineStr">
        <is>
          <t>Prakash Reddy</t>
        </is>
      </c>
      <c r="H1686" s="8" t="n">
        <v>9945239707</v>
      </c>
      <c r="I1686" s="26" t="inlineStr">
        <is>
          <t>PE25032602</t>
        </is>
      </c>
      <c r="J1686" s="42" t="inlineStr">
        <is>
          <t xml:space="preserve">Junction Box burnt </t>
        </is>
      </c>
      <c r="K1686" s="8" t="inlineStr">
        <is>
          <t>Bangalore</t>
        </is>
      </c>
      <c r="L1686" s="39" t="inlineStr">
        <is>
          <t>Karnataka</t>
        </is>
      </c>
      <c r="M1686" s="40" t="inlineStr">
        <is>
          <t>JB Replaced</t>
        </is>
      </c>
      <c r="N1686" s="6" t="inlineStr">
        <is>
          <t>JB Issue</t>
        </is>
      </c>
      <c r="O1686" s="39" t="inlineStr">
        <is>
          <t>NA</t>
        </is>
      </c>
      <c r="P1686" s="35" t="inlineStr">
        <is>
          <t>NSM191206898</t>
        </is>
      </c>
      <c r="Q1686" s="29">
        <f>MID(P1686,4,2)</f>
        <v/>
      </c>
      <c r="R1686" s="14">
        <f>MID(P1686,6,2)</f>
        <v/>
      </c>
      <c r="S1686" s="6" t="inlineStr">
        <is>
          <t>G2B</t>
        </is>
      </c>
      <c r="T1686" s="6" t="inlineStr">
        <is>
          <t>NA</t>
        </is>
      </c>
      <c r="U1686" s="6" t="inlineStr">
        <is>
          <t>JB Issue</t>
        </is>
      </c>
      <c r="V1686" s="1" t="inlineStr">
        <is>
          <t>Inspection</t>
        </is>
      </c>
      <c r="W1686" s="1" t="inlineStr">
        <is>
          <t>Repair</t>
        </is>
      </c>
      <c r="X1686" s="5" t="n">
        <v>46192</v>
      </c>
      <c r="Y1686" s="1">
        <f>IF(X1686="","",X1686-A1686)</f>
        <v/>
      </c>
      <c r="Z1686" s="5" t="n">
        <v>46192</v>
      </c>
      <c r="AA1686" s="3" t="n"/>
      <c r="AB1686" s="3" t="n"/>
      <c r="AE1686" s="146">
        <f>IF(AND(F1686="Closed",X1686&gt;=DATE(2026,6,1),X1686&lt;=DATE(2026,6,30)),"Closed in June","other")</f>
        <v/>
      </c>
    </row>
    <row r="1687" hidden="1">
      <c r="A1687" s="9" t="n">
        <v>46106</v>
      </c>
      <c r="B1687" s="1" t="n">
        <v>2026</v>
      </c>
      <c r="C1687" s="8" t="inlineStr">
        <is>
          <t>Asian Fab Tec Ltd</t>
        </is>
      </c>
      <c r="D1687" s="8" t="inlineStr">
        <is>
          <t>Utility and C&amp;I</t>
        </is>
      </c>
      <c r="E1687" s="1" t="n"/>
      <c r="F1687" s="1" t="inlineStr">
        <is>
          <t>Closed</t>
        </is>
      </c>
      <c r="G1687" s="8" t="inlineStr">
        <is>
          <t>Prakash Reddy</t>
        </is>
      </c>
      <c r="H1687" s="8" t="n">
        <v>9945239707</v>
      </c>
      <c r="I1687" s="26" t="inlineStr">
        <is>
          <t>PE25032602</t>
        </is>
      </c>
      <c r="J1687" s="42" t="inlineStr">
        <is>
          <t xml:space="preserve">Junction Box burnt </t>
        </is>
      </c>
      <c r="K1687" s="8" t="inlineStr">
        <is>
          <t>Bangalore</t>
        </is>
      </c>
      <c r="L1687" s="39" t="inlineStr">
        <is>
          <t>Karnataka</t>
        </is>
      </c>
      <c r="M1687" s="40" t="inlineStr">
        <is>
          <t>JB Replaced</t>
        </is>
      </c>
      <c r="N1687" s="6" t="inlineStr">
        <is>
          <t>JB Issue</t>
        </is>
      </c>
      <c r="O1687" s="39" t="inlineStr">
        <is>
          <t>NA</t>
        </is>
      </c>
      <c r="P1687" s="35" t="inlineStr">
        <is>
          <t>NSM191204165</t>
        </is>
      </c>
      <c r="Q1687" s="29">
        <f>MID(P1687,4,2)</f>
        <v/>
      </c>
      <c r="R1687" s="14">
        <f>MID(P1687,6,2)</f>
        <v/>
      </c>
      <c r="S1687" s="6" t="inlineStr">
        <is>
          <t>G2B</t>
        </is>
      </c>
      <c r="T1687" s="6" t="inlineStr">
        <is>
          <t>NA</t>
        </is>
      </c>
      <c r="U1687" s="6" t="inlineStr">
        <is>
          <t>JB Issue</t>
        </is>
      </c>
      <c r="V1687" s="1" t="inlineStr">
        <is>
          <t>Inspection</t>
        </is>
      </c>
      <c r="W1687" s="1" t="inlineStr">
        <is>
          <t>Repair</t>
        </is>
      </c>
      <c r="X1687" s="5" t="n">
        <v>46192</v>
      </c>
      <c r="Y1687" s="1">
        <f>IF(X1687="","",X1687-A1687)</f>
        <v/>
      </c>
      <c r="Z1687" s="5" t="n">
        <v>46192</v>
      </c>
      <c r="AA1687" s="3" t="n"/>
      <c r="AB1687" s="3" t="n"/>
      <c r="AE1687" s="146">
        <f>IF(AND(F1687="Closed",X1687&gt;=DATE(2026,6,1),X1687&lt;=DATE(2026,6,30)),"Closed in June","other")</f>
        <v/>
      </c>
    </row>
    <row r="1688" hidden="1">
      <c r="A1688" s="9" t="n">
        <v>46106</v>
      </c>
      <c r="B1688" s="1" t="n">
        <v>2026</v>
      </c>
      <c r="C1688" s="8" t="inlineStr">
        <is>
          <t>Asian Fab Tec Ltd</t>
        </is>
      </c>
      <c r="D1688" s="8" t="inlineStr">
        <is>
          <t>Utility and C&amp;I</t>
        </is>
      </c>
      <c r="E1688" s="1" t="n"/>
      <c r="F1688" s="1" t="inlineStr">
        <is>
          <t>Closed</t>
        </is>
      </c>
      <c r="G1688" s="8" t="inlineStr">
        <is>
          <t>Prakash Reddy</t>
        </is>
      </c>
      <c r="H1688" s="8" t="n">
        <v>9945239707</v>
      </c>
      <c r="I1688" s="26" t="inlineStr">
        <is>
          <t>PE25032602</t>
        </is>
      </c>
      <c r="J1688" s="42" t="inlineStr">
        <is>
          <t xml:space="preserve">Junction Box burnt </t>
        </is>
      </c>
      <c r="K1688" s="8" t="inlineStr">
        <is>
          <t>Bangalore</t>
        </is>
      </c>
      <c r="L1688" s="39" t="inlineStr">
        <is>
          <t>Karnataka</t>
        </is>
      </c>
      <c r="M1688" s="40" t="inlineStr">
        <is>
          <t>JB Replaced</t>
        </is>
      </c>
      <c r="N1688" s="6" t="inlineStr">
        <is>
          <t>JB Issue</t>
        </is>
      </c>
      <c r="O1688" s="39" t="inlineStr">
        <is>
          <t>NA</t>
        </is>
      </c>
      <c r="P1688" s="35" t="inlineStr">
        <is>
          <t>NSM191207244</t>
        </is>
      </c>
      <c r="Q1688" s="29">
        <f>MID(P1688,4,2)</f>
        <v/>
      </c>
      <c r="R1688" s="14">
        <f>MID(P1688,6,2)</f>
        <v/>
      </c>
      <c r="S1688" s="6" t="inlineStr">
        <is>
          <t>G2B</t>
        </is>
      </c>
      <c r="T1688" s="6" t="inlineStr">
        <is>
          <t>NA</t>
        </is>
      </c>
      <c r="U1688" s="6" t="inlineStr">
        <is>
          <t>JB Issue</t>
        </is>
      </c>
      <c r="V1688" s="1" t="inlineStr">
        <is>
          <t>Inspection</t>
        </is>
      </c>
      <c r="W1688" s="1" t="inlineStr">
        <is>
          <t>Repair</t>
        </is>
      </c>
      <c r="X1688" s="5" t="n">
        <v>46192</v>
      </c>
      <c r="Y1688" s="1">
        <f>IF(X1688="","",X1688-A1688)</f>
        <v/>
      </c>
      <c r="Z1688" s="5" t="n">
        <v>46192</v>
      </c>
      <c r="AA1688" s="3" t="n"/>
      <c r="AB1688" s="3" t="n"/>
      <c r="AE1688" s="146">
        <f>IF(AND(F1688="Closed",X1688&gt;=DATE(2026,6,1),X1688&lt;=DATE(2026,6,30)),"Closed in June","other")</f>
        <v/>
      </c>
    </row>
    <row r="1689" hidden="1">
      <c r="A1689" s="9" t="n">
        <v>46106</v>
      </c>
      <c r="B1689" s="1" t="n">
        <v>2026</v>
      </c>
      <c r="C1689" s="8" t="inlineStr">
        <is>
          <t>Asian Fab Tec Ltd</t>
        </is>
      </c>
      <c r="D1689" s="8" t="inlineStr">
        <is>
          <t>Utility and C&amp;I</t>
        </is>
      </c>
      <c r="E1689" s="1" t="n"/>
      <c r="F1689" s="1" t="inlineStr">
        <is>
          <t>Closed</t>
        </is>
      </c>
      <c r="G1689" s="8" t="inlineStr">
        <is>
          <t>Prakash Reddy</t>
        </is>
      </c>
      <c r="H1689" s="8" t="n">
        <v>9945239707</v>
      </c>
      <c r="I1689" s="26" t="inlineStr">
        <is>
          <t>PE25032602</t>
        </is>
      </c>
      <c r="J1689" s="42" t="inlineStr">
        <is>
          <t xml:space="preserve">Junction Box burnt </t>
        </is>
      </c>
      <c r="K1689" s="8" t="inlineStr">
        <is>
          <t>Bangalore</t>
        </is>
      </c>
      <c r="L1689" s="39" t="inlineStr">
        <is>
          <t>Karnataka</t>
        </is>
      </c>
      <c r="M1689" s="40" t="inlineStr">
        <is>
          <t>JB Replaced</t>
        </is>
      </c>
      <c r="N1689" s="6" t="inlineStr">
        <is>
          <t>JB Issue</t>
        </is>
      </c>
      <c r="O1689" s="39" t="inlineStr">
        <is>
          <t>NA</t>
        </is>
      </c>
      <c r="P1689" s="35" t="inlineStr">
        <is>
          <t>NSM191207238</t>
        </is>
      </c>
      <c r="Q1689" s="29">
        <f>MID(P1689,4,2)</f>
        <v/>
      </c>
      <c r="R1689" s="14">
        <f>MID(P1689,6,2)</f>
        <v/>
      </c>
      <c r="S1689" s="6" t="inlineStr">
        <is>
          <t>G2B</t>
        </is>
      </c>
      <c r="T1689" s="6" t="inlineStr">
        <is>
          <t>NA</t>
        </is>
      </c>
      <c r="U1689" s="6" t="inlineStr">
        <is>
          <t>JB Issue</t>
        </is>
      </c>
      <c r="V1689" s="1" t="inlineStr">
        <is>
          <t>Inspection</t>
        </is>
      </c>
      <c r="W1689" s="1" t="inlineStr">
        <is>
          <t>Repair</t>
        </is>
      </c>
      <c r="X1689" s="5" t="n">
        <v>46192</v>
      </c>
      <c r="Y1689" s="1">
        <f>IF(X1689="","",X1689-A1689)</f>
        <v/>
      </c>
      <c r="Z1689" s="5" t="n">
        <v>46192</v>
      </c>
      <c r="AA1689" s="3" t="n"/>
      <c r="AB1689" s="3" t="n"/>
      <c r="AE1689" s="146">
        <f>IF(AND(F1689="Closed",X1689&gt;=DATE(2026,6,1),X1689&lt;=DATE(2026,6,30)),"Closed in June","other")</f>
        <v/>
      </c>
    </row>
    <row r="1690" hidden="1">
      <c r="A1690" s="9" t="n">
        <v>46106</v>
      </c>
      <c r="B1690" s="1" t="n">
        <v>2026</v>
      </c>
      <c r="C1690" s="8" t="inlineStr">
        <is>
          <t>Asian Fab Tec Ltd</t>
        </is>
      </c>
      <c r="D1690" s="8" t="inlineStr">
        <is>
          <t>Utility and C&amp;I</t>
        </is>
      </c>
      <c r="E1690" s="1" t="n"/>
      <c r="F1690" s="1" t="inlineStr">
        <is>
          <t>Closed</t>
        </is>
      </c>
      <c r="G1690" s="8" t="inlineStr">
        <is>
          <t>Prakash Reddy</t>
        </is>
      </c>
      <c r="H1690" s="8" t="n">
        <v>9945239707</v>
      </c>
      <c r="I1690" s="26" t="inlineStr">
        <is>
          <t>PE25032602</t>
        </is>
      </c>
      <c r="J1690" s="42" t="inlineStr">
        <is>
          <t xml:space="preserve">Junction Box burnt </t>
        </is>
      </c>
      <c r="K1690" s="8" t="inlineStr">
        <is>
          <t>Bangalore</t>
        </is>
      </c>
      <c r="L1690" s="39" t="inlineStr">
        <is>
          <t>Karnataka</t>
        </is>
      </c>
      <c r="M1690" s="40" t="inlineStr">
        <is>
          <t>JB Replaced</t>
        </is>
      </c>
      <c r="N1690" s="6" t="inlineStr">
        <is>
          <t>JB Issue</t>
        </is>
      </c>
      <c r="O1690" s="39" t="inlineStr">
        <is>
          <t>NA</t>
        </is>
      </c>
      <c r="P1690" s="35" t="inlineStr">
        <is>
          <t>NSM191207246</t>
        </is>
      </c>
      <c r="Q1690" s="29">
        <f>MID(P1690,4,2)</f>
        <v/>
      </c>
      <c r="R1690" s="14">
        <f>MID(P1690,6,2)</f>
        <v/>
      </c>
      <c r="S1690" s="6" t="inlineStr">
        <is>
          <t>G2B</t>
        </is>
      </c>
      <c r="T1690" s="6" t="inlineStr">
        <is>
          <t>NA</t>
        </is>
      </c>
      <c r="U1690" s="6" t="inlineStr">
        <is>
          <t>JB Issue</t>
        </is>
      </c>
      <c r="V1690" s="1" t="inlineStr">
        <is>
          <t>Inspection</t>
        </is>
      </c>
      <c r="W1690" s="1" t="inlineStr">
        <is>
          <t>Repair</t>
        </is>
      </c>
      <c r="X1690" s="5" t="n">
        <v>46192</v>
      </c>
      <c r="Y1690" s="1">
        <f>IF(X1690="","",X1690-A1690)</f>
        <v/>
      </c>
      <c r="Z1690" s="5" t="n">
        <v>46192</v>
      </c>
      <c r="AA1690" s="3" t="n"/>
      <c r="AB1690" s="3" t="n"/>
      <c r="AE1690" s="146">
        <f>IF(AND(F1690="Closed",X1690&gt;=DATE(2026,6,1),X1690&lt;=DATE(2026,6,30)),"Closed in June","other")</f>
        <v/>
      </c>
    </row>
    <row r="1691" hidden="1">
      <c r="A1691" s="9" t="n">
        <v>46106</v>
      </c>
      <c r="B1691" s="1" t="n">
        <v>2026</v>
      </c>
      <c r="C1691" s="8" t="inlineStr">
        <is>
          <t>Asian Fab Tec Ltd</t>
        </is>
      </c>
      <c r="D1691" s="8" t="inlineStr">
        <is>
          <t>Utility and C&amp;I</t>
        </is>
      </c>
      <c r="E1691" s="1" t="n"/>
      <c r="F1691" s="1" t="inlineStr">
        <is>
          <t>Closed</t>
        </is>
      </c>
      <c r="G1691" s="8" t="inlineStr">
        <is>
          <t>Prakash Reddy</t>
        </is>
      </c>
      <c r="H1691" s="8" t="n">
        <v>9945239707</v>
      </c>
      <c r="I1691" s="26" t="inlineStr">
        <is>
          <t>PE25032602</t>
        </is>
      </c>
      <c r="J1691" s="42" t="inlineStr">
        <is>
          <t xml:space="preserve">Junction Box burnt </t>
        </is>
      </c>
      <c r="K1691" s="8" t="inlineStr">
        <is>
          <t>Bangalore</t>
        </is>
      </c>
      <c r="L1691" s="39" t="inlineStr">
        <is>
          <t>Karnataka</t>
        </is>
      </c>
      <c r="M1691" s="40" t="inlineStr">
        <is>
          <t>JB Replaced</t>
        </is>
      </c>
      <c r="N1691" s="6" t="inlineStr">
        <is>
          <t>JB Issue</t>
        </is>
      </c>
      <c r="O1691" s="39" t="inlineStr">
        <is>
          <t>NA</t>
        </is>
      </c>
      <c r="P1691" s="35" t="inlineStr">
        <is>
          <t>NSM191207225</t>
        </is>
      </c>
      <c r="Q1691" s="29">
        <f>MID(P1691,4,2)</f>
        <v/>
      </c>
      <c r="R1691" s="14">
        <f>MID(P1691,6,2)</f>
        <v/>
      </c>
      <c r="S1691" s="6" t="inlineStr">
        <is>
          <t>G2B</t>
        </is>
      </c>
      <c r="T1691" s="6" t="inlineStr">
        <is>
          <t>NA</t>
        </is>
      </c>
      <c r="U1691" s="6" t="inlineStr">
        <is>
          <t>JB Issue</t>
        </is>
      </c>
      <c r="V1691" s="1" t="inlineStr">
        <is>
          <t>Inspection</t>
        </is>
      </c>
      <c r="W1691" s="1" t="inlineStr">
        <is>
          <t>Repair</t>
        </is>
      </c>
      <c r="X1691" s="5" t="n">
        <v>46192</v>
      </c>
      <c r="Y1691" s="1">
        <f>IF(X1691="","",X1691-A1691)</f>
        <v/>
      </c>
      <c r="Z1691" s="5" t="n">
        <v>46192</v>
      </c>
      <c r="AA1691" s="3" t="n"/>
      <c r="AB1691" s="3" t="n"/>
      <c r="AE1691" s="146">
        <f>IF(AND(F1691="Closed",X1691&gt;=DATE(2026,6,1),X1691&lt;=DATE(2026,6,30)),"Closed in June","other")</f>
        <v/>
      </c>
    </row>
    <row r="1692" hidden="1">
      <c r="A1692" s="9" t="n">
        <v>46106</v>
      </c>
      <c r="B1692" s="1" t="n">
        <v>2026</v>
      </c>
      <c r="C1692" s="8" t="inlineStr">
        <is>
          <t>Asian Fab Tec Ltd</t>
        </is>
      </c>
      <c r="D1692" s="8" t="inlineStr">
        <is>
          <t>Utility and C&amp;I</t>
        </is>
      </c>
      <c r="E1692" s="1" t="n"/>
      <c r="F1692" s="1" t="inlineStr">
        <is>
          <t>Closed</t>
        </is>
      </c>
      <c r="G1692" s="8" t="inlineStr">
        <is>
          <t>Prakash Reddy</t>
        </is>
      </c>
      <c r="H1692" s="8" t="n">
        <v>9945239707</v>
      </c>
      <c r="I1692" s="26" t="inlineStr">
        <is>
          <t>PE25032602</t>
        </is>
      </c>
      <c r="J1692" s="42" t="inlineStr">
        <is>
          <t xml:space="preserve">Junction Box burnt </t>
        </is>
      </c>
      <c r="K1692" s="8" t="inlineStr">
        <is>
          <t>Bangalore</t>
        </is>
      </c>
      <c r="L1692" s="39" t="inlineStr">
        <is>
          <t>Karnataka</t>
        </is>
      </c>
      <c r="M1692" s="40" t="inlineStr">
        <is>
          <t>JB Replaced</t>
        </is>
      </c>
      <c r="N1692" s="6" t="inlineStr">
        <is>
          <t>JB Issue</t>
        </is>
      </c>
      <c r="O1692" s="39" t="inlineStr">
        <is>
          <t>NA</t>
        </is>
      </c>
      <c r="P1692" s="35" t="inlineStr">
        <is>
          <t>NSM191207537</t>
        </is>
      </c>
      <c r="Q1692" s="29">
        <f>MID(P1692,4,2)</f>
        <v/>
      </c>
      <c r="R1692" s="14">
        <f>MID(P1692,6,2)</f>
        <v/>
      </c>
      <c r="S1692" s="6" t="inlineStr">
        <is>
          <t>G2B</t>
        </is>
      </c>
      <c r="T1692" s="6" t="inlineStr">
        <is>
          <t>NA</t>
        </is>
      </c>
      <c r="U1692" s="6" t="inlineStr">
        <is>
          <t>JB Issue</t>
        </is>
      </c>
      <c r="V1692" s="1" t="inlineStr">
        <is>
          <t>Inspection</t>
        </is>
      </c>
      <c r="W1692" s="1" t="inlineStr">
        <is>
          <t>Repair</t>
        </is>
      </c>
      <c r="X1692" s="5" t="n">
        <v>46192</v>
      </c>
      <c r="Y1692" s="1">
        <f>IF(X1692="","",X1692-A1692)</f>
        <v/>
      </c>
      <c r="Z1692" s="5" t="n">
        <v>46192</v>
      </c>
      <c r="AA1692" s="3" t="n"/>
      <c r="AB1692" s="3" t="n"/>
      <c r="AE1692" s="146">
        <f>IF(AND(F1692="Closed",X1692&gt;=DATE(2026,6,1),X1692&lt;=DATE(2026,6,30)),"Closed in June","other")</f>
        <v/>
      </c>
    </row>
    <row r="1693" hidden="1">
      <c r="A1693" s="9" t="n">
        <v>46106</v>
      </c>
      <c r="B1693" s="1" t="n">
        <v>2026</v>
      </c>
      <c r="C1693" s="8" t="inlineStr">
        <is>
          <t>Asian Fab Tec Ltd</t>
        </is>
      </c>
      <c r="D1693" s="8" t="inlineStr">
        <is>
          <t>Utility and C&amp;I</t>
        </is>
      </c>
      <c r="E1693" s="1" t="n"/>
      <c r="F1693" s="1" t="inlineStr">
        <is>
          <t>Closed</t>
        </is>
      </c>
      <c r="G1693" s="8" t="inlineStr">
        <is>
          <t>Prakash Reddy</t>
        </is>
      </c>
      <c r="H1693" s="8" t="n">
        <v>9945239707</v>
      </c>
      <c r="I1693" s="26" t="inlineStr">
        <is>
          <t>PE25032602</t>
        </is>
      </c>
      <c r="J1693" s="42" t="inlineStr">
        <is>
          <t xml:space="preserve">Junction Box burnt </t>
        </is>
      </c>
      <c r="K1693" s="8" t="inlineStr">
        <is>
          <t>Bangalore</t>
        </is>
      </c>
      <c r="L1693" s="39" t="inlineStr">
        <is>
          <t>Karnataka</t>
        </is>
      </c>
      <c r="M1693" s="41" t="inlineStr">
        <is>
          <t>BB cleaned &amp; JB Replaced</t>
        </is>
      </c>
      <c r="N1693" s="6" t="inlineStr">
        <is>
          <t>JB Issue</t>
        </is>
      </c>
      <c r="O1693" s="39" t="inlineStr">
        <is>
          <t>NA</t>
        </is>
      </c>
      <c r="P1693" s="35" t="inlineStr">
        <is>
          <t>NSM191207720</t>
        </is>
      </c>
      <c r="Q1693" s="29">
        <f>MID(P1693,4,2)</f>
        <v/>
      </c>
      <c r="R1693" s="14">
        <f>MID(P1693,6,2)</f>
        <v/>
      </c>
      <c r="S1693" s="6" t="inlineStr">
        <is>
          <t>G2B</t>
        </is>
      </c>
      <c r="T1693" s="6" t="inlineStr">
        <is>
          <t>NA</t>
        </is>
      </c>
      <c r="U1693" s="6" t="inlineStr">
        <is>
          <t>JB Issue</t>
        </is>
      </c>
      <c r="V1693" s="1" t="inlineStr">
        <is>
          <t>Inspection</t>
        </is>
      </c>
      <c r="W1693" s="1" t="inlineStr">
        <is>
          <t>Repair</t>
        </is>
      </c>
      <c r="X1693" s="5" t="n">
        <v>46192</v>
      </c>
      <c r="Y1693" s="1">
        <f>IF(X1693="","",X1693-A1693)</f>
        <v/>
      </c>
      <c r="Z1693" s="5" t="n">
        <v>46192</v>
      </c>
      <c r="AA1693" s="3" t="n"/>
      <c r="AB1693" s="3" t="n"/>
      <c r="AE1693" s="146">
        <f>IF(AND(F1693="Closed",X1693&gt;=DATE(2026,6,1),X1693&lt;=DATE(2026,6,30)),"Closed in June","other")</f>
        <v/>
      </c>
    </row>
    <row r="1694" hidden="1">
      <c r="A1694" s="9" t="n">
        <v>46106</v>
      </c>
      <c r="B1694" s="1" t="n">
        <v>2026</v>
      </c>
      <c r="C1694" s="8" t="inlineStr">
        <is>
          <t>Asian Fab Tec Ltd</t>
        </is>
      </c>
      <c r="D1694" s="8" t="inlineStr">
        <is>
          <t>Utility and C&amp;I</t>
        </is>
      </c>
      <c r="E1694" s="1" t="n"/>
      <c r="F1694" s="1" t="inlineStr">
        <is>
          <t>Closed</t>
        </is>
      </c>
      <c r="G1694" s="8" t="inlineStr">
        <is>
          <t>Prakash Reddy</t>
        </is>
      </c>
      <c r="H1694" s="8" t="n">
        <v>9945239707</v>
      </c>
      <c r="I1694" s="26" t="inlineStr">
        <is>
          <t>PE25032602</t>
        </is>
      </c>
      <c r="J1694" s="42" t="inlineStr">
        <is>
          <t xml:space="preserve">Junction Box burnt </t>
        </is>
      </c>
      <c r="K1694" s="8" t="inlineStr">
        <is>
          <t>Bangalore</t>
        </is>
      </c>
      <c r="L1694" s="39" t="inlineStr">
        <is>
          <t>Karnataka</t>
        </is>
      </c>
      <c r="M1694" s="41" t="inlineStr">
        <is>
          <t>BB cleaned &amp; JB Replaced</t>
        </is>
      </c>
      <c r="N1694" s="6" t="inlineStr">
        <is>
          <t>JB Issue</t>
        </is>
      </c>
      <c r="O1694" s="39" t="inlineStr">
        <is>
          <t>NA</t>
        </is>
      </c>
      <c r="P1694" s="35" t="inlineStr">
        <is>
          <t>NSM191207664</t>
        </is>
      </c>
      <c r="Q1694" s="29">
        <f>MID(P1694,4,2)</f>
        <v/>
      </c>
      <c r="R1694" s="14">
        <f>MID(P1694,6,2)</f>
        <v/>
      </c>
      <c r="S1694" s="6" t="inlineStr">
        <is>
          <t>G2B</t>
        </is>
      </c>
      <c r="T1694" s="6" t="inlineStr">
        <is>
          <t>NA</t>
        </is>
      </c>
      <c r="U1694" s="6" t="inlineStr">
        <is>
          <t>JB Issue</t>
        </is>
      </c>
      <c r="V1694" s="1" t="inlineStr">
        <is>
          <t>Inspection</t>
        </is>
      </c>
      <c r="W1694" s="1" t="inlineStr">
        <is>
          <t>Repair</t>
        </is>
      </c>
      <c r="X1694" s="5" t="n">
        <v>46192</v>
      </c>
      <c r="Y1694" s="1">
        <f>IF(X1694="","",X1694-A1694)</f>
        <v/>
      </c>
      <c r="Z1694" s="5" t="n">
        <v>46192</v>
      </c>
      <c r="AA1694" s="3" t="n"/>
      <c r="AB1694" s="3" t="n"/>
      <c r="AE1694" s="146">
        <f>IF(AND(F1694="Closed",X1694&gt;=DATE(2026,6,1),X1694&lt;=DATE(2026,6,30)),"Closed in June","other")</f>
        <v/>
      </c>
    </row>
    <row r="1695" hidden="1">
      <c r="A1695" s="9" t="n">
        <v>46106</v>
      </c>
      <c r="B1695" s="1" t="n">
        <v>2026</v>
      </c>
      <c r="C1695" s="8" t="inlineStr">
        <is>
          <t>Asian Fab Tec Ltd</t>
        </is>
      </c>
      <c r="D1695" s="8" t="inlineStr">
        <is>
          <t>Utility and C&amp;I</t>
        </is>
      </c>
      <c r="E1695" s="1" t="n"/>
      <c r="F1695" s="1" t="inlineStr">
        <is>
          <t>Closed</t>
        </is>
      </c>
      <c r="G1695" s="8" t="inlineStr">
        <is>
          <t>Prakash Reddy</t>
        </is>
      </c>
      <c r="H1695" s="8" t="n">
        <v>9945239707</v>
      </c>
      <c r="I1695" s="26" t="inlineStr">
        <is>
          <t>PE25032602</t>
        </is>
      </c>
      <c r="J1695" s="42" t="inlineStr">
        <is>
          <t xml:space="preserve">Junction Box burnt </t>
        </is>
      </c>
      <c r="K1695" s="8" t="inlineStr">
        <is>
          <t>Bangalore</t>
        </is>
      </c>
      <c r="L1695" s="39" t="inlineStr">
        <is>
          <t>Karnataka</t>
        </is>
      </c>
      <c r="M1695" s="40" t="inlineStr">
        <is>
          <t>JB Replaced</t>
        </is>
      </c>
      <c r="N1695" s="6" t="inlineStr">
        <is>
          <t>JB Issue</t>
        </is>
      </c>
      <c r="O1695" s="39" t="inlineStr">
        <is>
          <t>NA</t>
        </is>
      </c>
      <c r="P1695" s="35" t="inlineStr">
        <is>
          <t>NSM191207758</t>
        </is>
      </c>
      <c r="Q1695" s="29">
        <f>MID(P1695,4,2)</f>
        <v/>
      </c>
      <c r="R1695" s="14">
        <f>MID(P1695,6,2)</f>
        <v/>
      </c>
      <c r="S1695" s="6" t="inlineStr">
        <is>
          <t>G2B</t>
        </is>
      </c>
      <c r="T1695" s="6" t="inlineStr">
        <is>
          <t>NA</t>
        </is>
      </c>
      <c r="U1695" s="6" t="inlineStr">
        <is>
          <t>JB Issue</t>
        </is>
      </c>
      <c r="V1695" s="1" t="inlineStr">
        <is>
          <t>Inspection</t>
        </is>
      </c>
      <c r="W1695" s="1" t="inlineStr">
        <is>
          <t>Repair</t>
        </is>
      </c>
      <c r="X1695" s="5" t="n">
        <v>46192</v>
      </c>
      <c r="Y1695" s="1">
        <f>IF(X1695="","",X1695-A1695)</f>
        <v/>
      </c>
      <c r="Z1695" s="5" t="n">
        <v>46192</v>
      </c>
      <c r="AA1695" s="3" t="n"/>
      <c r="AB1695" s="3" t="n"/>
      <c r="AE1695" s="146">
        <f>IF(AND(F1695="Closed",X1695&gt;=DATE(2026,6,1),X1695&lt;=DATE(2026,6,30)),"Closed in June","other")</f>
        <v/>
      </c>
    </row>
    <row r="1696" hidden="1">
      <c r="A1696" s="9" t="n">
        <v>46106</v>
      </c>
      <c r="B1696" s="1" t="n">
        <v>2026</v>
      </c>
      <c r="C1696" s="8" t="inlineStr">
        <is>
          <t>Asian Fab Tec Ltd</t>
        </is>
      </c>
      <c r="D1696" s="8" t="inlineStr">
        <is>
          <t>Utility and C&amp;I</t>
        </is>
      </c>
      <c r="E1696" s="1" t="n"/>
      <c r="F1696" s="1" t="inlineStr">
        <is>
          <t>Closed</t>
        </is>
      </c>
      <c r="G1696" s="8" t="inlineStr">
        <is>
          <t>Prakash Reddy</t>
        </is>
      </c>
      <c r="H1696" s="8" t="n">
        <v>9945239707</v>
      </c>
      <c r="I1696" s="26" t="inlineStr">
        <is>
          <t>PE25032602</t>
        </is>
      </c>
      <c r="J1696" s="42" t="inlineStr">
        <is>
          <t xml:space="preserve">Junction Box burnt </t>
        </is>
      </c>
      <c r="K1696" s="8" t="inlineStr">
        <is>
          <t>Bangalore</t>
        </is>
      </c>
      <c r="L1696" s="39" t="inlineStr">
        <is>
          <t>Karnataka</t>
        </is>
      </c>
      <c r="M1696" s="40" t="inlineStr">
        <is>
          <t>JB Replaced</t>
        </is>
      </c>
      <c r="N1696" s="6" t="inlineStr">
        <is>
          <t>JB Issue</t>
        </is>
      </c>
      <c r="O1696" s="39" t="inlineStr">
        <is>
          <t>NA</t>
        </is>
      </c>
      <c r="P1696" s="35" t="inlineStr">
        <is>
          <t>NSM191207747</t>
        </is>
      </c>
      <c r="Q1696" s="29">
        <f>MID(P1696,4,2)</f>
        <v/>
      </c>
      <c r="R1696" s="14">
        <f>MID(P1696,6,2)</f>
        <v/>
      </c>
      <c r="S1696" s="6" t="inlineStr">
        <is>
          <t>G2B</t>
        </is>
      </c>
      <c r="T1696" s="6" t="inlineStr">
        <is>
          <t>NA</t>
        </is>
      </c>
      <c r="U1696" s="6" t="inlineStr">
        <is>
          <t>JB Issue</t>
        </is>
      </c>
      <c r="V1696" s="1" t="inlineStr">
        <is>
          <t>Inspection</t>
        </is>
      </c>
      <c r="W1696" s="1" t="inlineStr">
        <is>
          <t>Repair</t>
        </is>
      </c>
      <c r="X1696" s="5" t="n">
        <v>46192</v>
      </c>
      <c r="Y1696" s="1">
        <f>IF(X1696="","",X1696-A1696)</f>
        <v/>
      </c>
      <c r="Z1696" s="5" t="n">
        <v>46192</v>
      </c>
      <c r="AA1696" s="3" t="n"/>
      <c r="AB1696" s="3" t="n"/>
      <c r="AE1696" s="146">
        <f>IF(AND(F1696="Closed",X1696&gt;=DATE(2026,6,1),X1696&lt;=DATE(2026,6,30)),"Closed in June","other")</f>
        <v/>
      </c>
    </row>
    <row r="1697" hidden="1">
      <c r="A1697" s="9" t="n">
        <v>46106</v>
      </c>
      <c r="B1697" s="1" t="n">
        <v>2026</v>
      </c>
      <c r="C1697" s="8" t="inlineStr">
        <is>
          <t>Asian Fab Tec Ltd</t>
        </is>
      </c>
      <c r="D1697" s="8" t="inlineStr">
        <is>
          <t>Utility and C&amp;I</t>
        </is>
      </c>
      <c r="E1697" s="1" t="n"/>
      <c r="F1697" s="1" t="inlineStr">
        <is>
          <t>Closed</t>
        </is>
      </c>
      <c r="G1697" s="8" t="inlineStr">
        <is>
          <t>Prakash Reddy</t>
        </is>
      </c>
      <c r="H1697" s="8" t="n">
        <v>9945239707</v>
      </c>
      <c r="I1697" s="26" t="inlineStr">
        <is>
          <t>PE25032602</t>
        </is>
      </c>
      <c r="J1697" s="42" t="inlineStr">
        <is>
          <t xml:space="preserve">Junction Box burnt </t>
        </is>
      </c>
      <c r="K1697" s="8" t="inlineStr">
        <is>
          <t>Bangalore</t>
        </is>
      </c>
      <c r="L1697" s="39" t="inlineStr">
        <is>
          <t>Karnataka</t>
        </is>
      </c>
      <c r="M1697" s="40" t="inlineStr">
        <is>
          <t>JB Replaced</t>
        </is>
      </c>
      <c r="N1697" s="6" t="inlineStr">
        <is>
          <t>JB Issue</t>
        </is>
      </c>
      <c r="O1697" s="39" t="inlineStr">
        <is>
          <t>NA</t>
        </is>
      </c>
      <c r="P1697" s="35" t="inlineStr">
        <is>
          <t>NSM191207754</t>
        </is>
      </c>
      <c r="Q1697" s="29">
        <f>MID(P1697,4,2)</f>
        <v/>
      </c>
      <c r="R1697" s="14">
        <f>MID(P1697,6,2)</f>
        <v/>
      </c>
      <c r="S1697" s="6" t="inlineStr">
        <is>
          <t>G2B</t>
        </is>
      </c>
      <c r="T1697" s="6" t="inlineStr">
        <is>
          <t>NA</t>
        </is>
      </c>
      <c r="U1697" s="6" t="inlineStr">
        <is>
          <t>JB Issue</t>
        </is>
      </c>
      <c r="V1697" s="1" t="inlineStr">
        <is>
          <t>Inspection</t>
        </is>
      </c>
      <c r="W1697" s="1" t="inlineStr">
        <is>
          <t>Repair</t>
        </is>
      </c>
      <c r="X1697" s="5" t="n">
        <v>46192</v>
      </c>
      <c r="Y1697" s="1">
        <f>IF(X1697="","",X1697-A1697)</f>
        <v/>
      </c>
      <c r="Z1697" s="5" t="n">
        <v>46192</v>
      </c>
      <c r="AA1697" s="3" t="n"/>
      <c r="AB1697" s="3" t="n"/>
      <c r="AE1697" s="146">
        <f>IF(AND(F1697="Closed",X1697&gt;=DATE(2026,6,1),X1697&lt;=DATE(2026,6,30)),"Closed in June","other")</f>
        <v/>
      </c>
    </row>
    <row r="1698" hidden="1">
      <c r="A1698" s="9" t="n">
        <v>46106</v>
      </c>
      <c r="B1698" s="1" t="n">
        <v>2026</v>
      </c>
      <c r="C1698" s="8" t="inlineStr">
        <is>
          <t>Asian Fab Tec Ltd</t>
        </is>
      </c>
      <c r="D1698" s="8" t="inlineStr">
        <is>
          <t>Utility and C&amp;I</t>
        </is>
      </c>
      <c r="E1698" s="1" t="n"/>
      <c r="F1698" s="1" t="inlineStr">
        <is>
          <t>Closed</t>
        </is>
      </c>
      <c r="G1698" s="8" t="inlineStr">
        <is>
          <t>Prakash Reddy</t>
        </is>
      </c>
      <c r="H1698" s="8" t="n">
        <v>9945239707</v>
      </c>
      <c r="I1698" s="26" t="inlineStr">
        <is>
          <t>PE25032602</t>
        </is>
      </c>
      <c r="J1698" s="42" t="inlineStr">
        <is>
          <t xml:space="preserve">Junction Box burnt </t>
        </is>
      </c>
      <c r="K1698" s="8" t="inlineStr">
        <is>
          <t>Bangalore</t>
        </is>
      </c>
      <c r="L1698" s="39" t="inlineStr">
        <is>
          <t>Karnataka</t>
        </is>
      </c>
      <c r="M1698" s="41" t="inlineStr">
        <is>
          <t>BB cleaned &amp; JB Replaced</t>
        </is>
      </c>
      <c r="N1698" s="6" t="inlineStr">
        <is>
          <t>JB Issue</t>
        </is>
      </c>
      <c r="O1698" s="39" t="inlineStr">
        <is>
          <t>NA</t>
        </is>
      </c>
      <c r="P1698" s="35" t="inlineStr">
        <is>
          <t>NSM191207756</t>
        </is>
      </c>
      <c r="Q1698" s="29">
        <f>MID(P1698,4,2)</f>
        <v/>
      </c>
      <c r="R1698" s="14">
        <f>MID(P1698,6,2)</f>
        <v/>
      </c>
      <c r="S1698" s="6" t="inlineStr">
        <is>
          <t>G2B</t>
        </is>
      </c>
      <c r="T1698" s="6" t="inlineStr">
        <is>
          <t>NA</t>
        </is>
      </c>
      <c r="U1698" s="6" t="inlineStr">
        <is>
          <t>JB Issue</t>
        </is>
      </c>
      <c r="V1698" s="1" t="inlineStr">
        <is>
          <t>Inspection</t>
        </is>
      </c>
      <c r="W1698" s="1" t="inlineStr">
        <is>
          <t>Repair</t>
        </is>
      </c>
      <c r="X1698" s="5" t="n">
        <v>46192</v>
      </c>
      <c r="Y1698" s="1">
        <f>IF(X1698="","",X1698-A1698)</f>
        <v/>
      </c>
      <c r="Z1698" s="5" t="n">
        <v>46192</v>
      </c>
      <c r="AA1698" s="3" t="n"/>
      <c r="AB1698" s="3" t="n"/>
      <c r="AE1698" s="146">
        <f>IF(AND(F1698="Closed",X1698&gt;=DATE(2026,6,1),X1698&lt;=DATE(2026,6,30)),"Closed in June","other")</f>
        <v/>
      </c>
    </row>
    <row r="1699" hidden="1">
      <c r="A1699" s="9" t="n">
        <v>46106</v>
      </c>
      <c r="B1699" s="1" t="n">
        <v>2026</v>
      </c>
      <c r="C1699" s="8" t="inlineStr">
        <is>
          <t>Asian Fab Tec Ltd</t>
        </is>
      </c>
      <c r="D1699" s="8" t="inlineStr">
        <is>
          <t>Utility and C&amp;I</t>
        </is>
      </c>
      <c r="E1699" s="1" t="n"/>
      <c r="F1699" s="1" t="inlineStr">
        <is>
          <t>Closed</t>
        </is>
      </c>
      <c r="G1699" s="8" t="inlineStr">
        <is>
          <t>Prakash Reddy</t>
        </is>
      </c>
      <c r="H1699" s="8" t="n">
        <v>9945239707</v>
      </c>
      <c r="I1699" s="26" t="inlineStr">
        <is>
          <t>PE25032602</t>
        </is>
      </c>
      <c r="J1699" s="42" t="inlineStr">
        <is>
          <t xml:space="preserve">Junction Box burnt </t>
        </is>
      </c>
      <c r="K1699" s="8" t="inlineStr">
        <is>
          <t>Bangalore</t>
        </is>
      </c>
      <c r="L1699" s="39" t="inlineStr">
        <is>
          <t>Karnataka</t>
        </is>
      </c>
      <c r="M1699" s="41" t="inlineStr">
        <is>
          <t>Replaced missing BB, BB cleaned &amp; JB Replaced</t>
        </is>
      </c>
      <c r="N1699" s="6" t="inlineStr">
        <is>
          <t>JB Issue</t>
        </is>
      </c>
      <c r="O1699" s="39" t="inlineStr">
        <is>
          <t>NA</t>
        </is>
      </c>
      <c r="P1699" s="35" t="inlineStr">
        <is>
          <t>NSM191207757</t>
        </is>
      </c>
      <c r="Q1699" s="29">
        <f>MID(P1699,4,2)</f>
        <v/>
      </c>
      <c r="R1699" s="14">
        <f>MID(P1699,6,2)</f>
        <v/>
      </c>
      <c r="S1699" s="6" t="inlineStr">
        <is>
          <t>G2B</t>
        </is>
      </c>
      <c r="T1699" s="6" t="inlineStr">
        <is>
          <t>NA</t>
        </is>
      </c>
      <c r="U1699" s="6" t="inlineStr">
        <is>
          <t>JB Issue</t>
        </is>
      </c>
      <c r="V1699" s="1" t="inlineStr">
        <is>
          <t>Inspection</t>
        </is>
      </c>
      <c r="W1699" s="1" t="inlineStr">
        <is>
          <t>Repair</t>
        </is>
      </c>
      <c r="X1699" s="5" t="n">
        <v>46192</v>
      </c>
      <c r="Y1699" s="1">
        <f>IF(X1699="","",X1699-A1699)</f>
        <v/>
      </c>
      <c r="Z1699" s="5" t="n">
        <v>46192</v>
      </c>
      <c r="AA1699" s="3" t="n"/>
      <c r="AB1699" s="3" t="n"/>
      <c r="AE1699" s="146">
        <f>IF(AND(F1699="Closed",X1699&gt;=DATE(2026,6,1),X1699&lt;=DATE(2026,6,30)),"Closed in June","other")</f>
        <v/>
      </c>
    </row>
    <row r="1700" hidden="1">
      <c r="A1700" s="9" t="n">
        <v>46106</v>
      </c>
      <c r="B1700" s="1" t="n">
        <v>2026</v>
      </c>
      <c r="C1700" s="8" t="inlineStr">
        <is>
          <t>Asian Fab Tec Ltd</t>
        </is>
      </c>
      <c r="D1700" s="8" t="inlineStr">
        <is>
          <t>Utility and C&amp;I</t>
        </is>
      </c>
      <c r="E1700" s="1" t="n"/>
      <c r="F1700" s="1" t="inlineStr">
        <is>
          <t>Closed</t>
        </is>
      </c>
      <c r="G1700" s="8" t="inlineStr">
        <is>
          <t>Prakash Reddy</t>
        </is>
      </c>
      <c r="H1700" s="8" t="n">
        <v>9945239707</v>
      </c>
      <c r="I1700" s="26" t="inlineStr">
        <is>
          <t>PE25032602</t>
        </is>
      </c>
      <c r="J1700" s="42" t="inlineStr">
        <is>
          <t xml:space="preserve">Junction Box burnt </t>
        </is>
      </c>
      <c r="K1700" s="8" t="inlineStr">
        <is>
          <t>Bangalore</t>
        </is>
      </c>
      <c r="L1700" s="39" t="inlineStr">
        <is>
          <t>Karnataka</t>
        </is>
      </c>
      <c r="M1700" s="40" t="inlineStr">
        <is>
          <t>JB Replaced</t>
        </is>
      </c>
      <c r="N1700" s="6" t="inlineStr">
        <is>
          <t>JB Issue</t>
        </is>
      </c>
      <c r="O1700" s="39" t="inlineStr">
        <is>
          <t>NA</t>
        </is>
      </c>
      <c r="P1700" s="35" t="inlineStr">
        <is>
          <t>NSM191207683</t>
        </is>
      </c>
      <c r="Q1700" s="29">
        <f>MID(P1700,4,2)</f>
        <v/>
      </c>
      <c r="R1700" s="14">
        <f>MID(P1700,6,2)</f>
        <v/>
      </c>
      <c r="S1700" s="6" t="inlineStr">
        <is>
          <t>G2B</t>
        </is>
      </c>
      <c r="T1700" s="6" t="inlineStr">
        <is>
          <t>NA</t>
        </is>
      </c>
      <c r="U1700" s="6" t="inlineStr">
        <is>
          <t>JB Issue</t>
        </is>
      </c>
      <c r="V1700" s="1" t="inlineStr">
        <is>
          <t>Inspection</t>
        </is>
      </c>
      <c r="W1700" s="1" t="inlineStr">
        <is>
          <t>Repair</t>
        </is>
      </c>
      <c r="X1700" s="5" t="n">
        <v>46192</v>
      </c>
      <c r="Y1700" s="1">
        <f>IF(X1700="","",X1700-A1700)</f>
        <v/>
      </c>
      <c r="Z1700" s="5" t="n">
        <v>46192</v>
      </c>
      <c r="AA1700" s="3" t="n"/>
      <c r="AB1700" s="3" t="n"/>
      <c r="AE1700" s="146">
        <f>IF(AND(F1700="Closed",X1700&gt;=DATE(2026,6,1),X1700&lt;=DATE(2026,6,30)),"Closed in June","other")</f>
        <v/>
      </c>
    </row>
    <row r="1701" hidden="1">
      <c r="A1701" s="9" t="n">
        <v>46106</v>
      </c>
      <c r="B1701" s="1" t="n">
        <v>2026</v>
      </c>
      <c r="C1701" s="8" t="inlineStr">
        <is>
          <t>Asian Fab Tec Ltd</t>
        </is>
      </c>
      <c r="D1701" s="8" t="inlineStr">
        <is>
          <t>Utility and C&amp;I</t>
        </is>
      </c>
      <c r="E1701" s="1" t="n"/>
      <c r="F1701" s="1" t="inlineStr">
        <is>
          <t>Closed</t>
        </is>
      </c>
      <c r="G1701" s="8" t="inlineStr">
        <is>
          <t>Prakash Reddy</t>
        </is>
      </c>
      <c r="H1701" s="8" t="n">
        <v>9945239707</v>
      </c>
      <c r="I1701" s="26" t="inlineStr">
        <is>
          <t>PE25032602</t>
        </is>
      </c>
      <c r="J1701" s="42" t="inlineStr">
        <is>
          <t xml:space="preserve">Junction Box burnt </t>
        </is>
      </c>
      <c r="K1701" s="8" t="inlineStr">
        <is>
          <t>Bangalore</t>
        </is>
      </c>
      <c r="L1701" s="39" t="inlineStr">
        <is>
          <t>Karnataka</t>
        </is>
      </c>
      <c r="M1701" s="40" t="inlineStr">
        <is>
          <t>JB Replaced</t>
        </is>
      </c>
      <c r="N1701" s="6" t="inlineStr">
        <is>
          <t>JB Issue</t>
        </is>
      </c>
      <c r="O1701" s="39" t="inlineStr">
        <is>
          <t>NA</t>
        </is>
      </c>
      <c r="P1701" s="35" t="inlineStr">
        <is>
          <t>NSM191205828</t>
        </is>
      </c>
      <c r="Q1701" s="29">
        <f>MID(P1701,4,2)</f>
        <v/>
      </c>
      <c r="R1701" s="14">
        <f>MID(P1701,6,2)</f>
        <v/>
      </c>
      <c r="S1701" s="6" t="inlineStr">
        <is>
          <t>G2B</t>
        </is>
      </c>
      <c r="T1701" s="6" t="inlineStr">
        <is>
          <t>NA</t>
        </is>
      </c>
      <c r="U1701" s="6" t="inlineStr">
        <is>
          <t>JB Issue</t>
        </is>
      </c>
      <c r="V1701" s="1" t="inlineStr">
        <is>
          <t>Inspection</t>
        </is>
      </c>
      <c r="W1701" s="1" t="inlineStr">
        <is>
          <t>Repair</t>
        </is>
      </c>
      <c r="X1701" s="5" t="n">
        <v>46192</v>
      </c>
      <c r="Y1701" s="1">
        <f>IF(X1701="","",X1701-A1701)</f>
        <v/>
      </c>
      <c r="Z1701" s="5" t="n">
        <v>46192</v>
      </c>
      <c r="AA1701" s="3" t="n"/>
      <c r="AB1701" s="3" t="n"/>
      <c r="AE1701" s="146">
        <f>IF(AND(F1701="Closed",X1701&gt;=DATE(2026,6,1),X1701&lt;=DATE(2026,6,30)),"Closed in June","other")</f>
        <v/>
      </c>
    </row>
    <row r="1702" hidden="1">
      <c r="A1702" s="9" t="n">
        <v>46106</v>
      </c>
      <c r="B1702" s="1" t="n">
        <v>2026</v>
      </c>
      <c r="C1702" s="8" t="inlineStr">
        <is>
          <t>Asian Fab Tec Ltd</t>
        </is>
      </c>
      <c r="D1702" s="8" t="inlineStr">
        <is>
          <t>Utility and C&amp;I</t>
        </is>
      </c>
      <c r="E1702" s="1" t="n"/>
      <c r="F1702" s="1" t="inlineStr">
        <is>
          <t>Closed</t>
        </is>
      </c>
      <c r="G1702" s="8" t="inlineStr">
        <is>
          <t>Prakash Reddy</t>
        </is>
      </c>
      <c r="H1702" s="8" t="n">
        <v>9945239707</v>
      </c>
      <c r="I1702" s="26" t="inlineStr">
        <is>
          <t>PE25032602</t>
        </is>
      </c>
      <c r="J1702" s="42" t="inlineStr">
        <is>
          <t xml:space="preserve">Junction Box burnt </t>
        </is>
      </c>
      <c r="K1702" s="8" t="inlineStr">
        <is>
          <t>Bangalore</t>
        </is>
      </c>
      <c r="L1702" s="39" t="inlineStr">
        <is>
          <t>Karnataka</t>
        </is>
      </c>
      <c r="M1702" s="40" t="inlineStr">
        <is>
          <t>JB Replaced</t>
        </is>
      </c>
      <c r="N1702" s="6" t="inlineStr">
        <is>
          <t>JB Issue</t>
        </is>
      </c>
      <c r="O1702" s="39" t="inlineStr">
        <is>
          <t>NA</t>
        </is>
      </c>
      <c r="P1702" s="35" t="inlineStr">
        <is>
          <t>NSM191207715</t>
        </is>
      </c>
      <c r="Q1702" s="29">
        <f>MID(P1702,4,2)</f>
        <v/>
      </c>
      <c r="R1702" s="14">
        <f>MID(P1702,6,2)</f>
        <v/>
      </c>
      <c r="S1702" s="6" t="inlineStr">
        <is>
          <t>G2B</t>
        </is>
      </c>
      <c r="T1702" s="6" t="inlineStr">
        <is>
          <t>NA</t>
        </is>
      </c>
      <c r="U1702" s="6" t="inlineStr">
        <is>
          <t>JB Issue</t>
        </is>
      </c>
      <c r="V1702" s="1" t="inlineStr">
        <is>
          <t>Inspection</t>
        </is>
      </c>
      <c r="W1702" s="1" t="inlineStr">
        <is>
          <t>Repair</t>
        </is>
      </c>
      <c r="X1702" s="5" t="n">
        <v>46192</v>
      </c>
      <c r="Y1702" s="1">
        <f>IF(X1702="","",X1702-A1702)</f>
        <v/>
      </c>
      <c r="Z1702" s="5" t="n">
        <v>46192</v>
      </c>
      <c r="AA1702" s="3" t="n"/>
      <c r="AB1702" s="3" t="n"/>
      <c r="AE1702" s="146">
        <f>IF(AND(F1702="Closed",X1702&gt;=DATE(2026,6,1),X1702&lt;=DATE(2026,6,30)),"Closed in June","other")</f>
        <v/>
      </c>
    </row>
    <row r="1703" hidden="1">
      <c r="A1703" s="9" t="n">
        <v>46106</v>
      </c>
      <c r="B1703" s="1" t="n">
        <v>2026</v>
      </c>
      <c r="C1703" s="8" t="inlineStr">
        <is>
          <t>Asian Fab Tec Ltd</t>
        </is>
      </c>
      <c r="D1703" s="8" t="inlineStr">
        <is>
          <t>Utility and C&amp;I</t>
        </is>
      </c>
      <c r="E1703" s="1" t="n"/>
      <c r="F1703" s="1" t="inlineStr">
        <is>
          <t>Closed</t>
        </is>
      </c>
      <c r="G1703" s="8" t="inlineStr">
        <is>
          <t>Prakash Reddy</t>
        </is>
      </c>
      <c r="H1703" s="8" t="n">
        <v>9945239707</v>
      </c>
      <c r="I1703" s="26" t="inlineStr">
        <is>
          <t>PE25032602</t>
        </is>
      </c>
      <c r="J1703" s="42" t="inlineStr">
        <is>
          <t xml:space="preserve">Junction Box burnt </t>
        </is>
      </c>
      <c r="K1703" s="8" t="inlineStr">
        <is>
          <t>Bangalore</t>
        </is>
      </c>
      <c r="L1703" s="39" t="inlineStr">
        <is>
          <t>Karnataka</t>
        </is>
      </c>
      <c r="M1703" s="41" t="inlineStr">
        <is>
          <t>Replaced missing BB, BB cleaned &amp; JB Replaced</t>
        </is>
      </c>
      <c r="N1703" s="6" t="inlineStr">
        <is>
          <t>JB Issue</t>
        </is>
      </c>
      <c r="O1703" s="39" t="inlineStr">
        <is>
          <t>NA</t>
        </is>
      </c>
      <c r="P1703" s="38" t="inlineStr">
        <is>
          <t>NSM191205993</t>
        </is>
      </c>
      <c r="Q1703" s="29">
        <f>MID(P1703,4,2)</f>
        <v/>
      </c>
      <c r="R1703" s="14">
        <f>MID(P1703,6,2)</f>
        <v/>
      </c>
      <c r="S1703" s="6" t="inlineStr">
        <is>
          <t>G2B</t>
        </is>
      </c>
      <c r="T1703" s="6" t="inlineStr">
        <is>
          <t>NA</t>
        </is>
      </c>
      <c r="U1703" s="6" t="inlineStr">
        <is>
          <t>JB Issue</t>
        </is>
      </c>
      <c r="V1703" s="1" t="inlineStr">
        <is>
          <t>Inspection</t>
        </is>
      </c>
      <c r="W1703" s="1" t="inlineStr">
        <is>
          <t>Repair</t>
        </is>
      </c>
      <c r="X1703" s="5" t="n">
        <v>46192</v>
      </c>
      <c r="Y1703" s="1">
        <f>IF(X1703="","",X1703-A1703)</f>
        <v/>
      </c>
      <c r="Z1703" s="5" t="n">
        <v>46192</v>
      </c>
      <c r="AA1703" s="3" t="n"/>
      <c r="AB1703" s="3" t="n"/>
      <c r="AE1703" s="146">
        <f>IF(AND(F1703="Closed",X1703&gt;=DATE(2026,6,1),X1703&lt;=DATE(2026,6,30)),"Closed in June","other")</f>
        <v/>
      </c>
    </row>
    <row r="1704" hidden="1">
      <c r="A1704" s="9" t="n">
        <v>46161</v>
      </c>
      <c r="B1704" s="1" t="n">
        <v>2026</v>
      </c>
      <c r="C1704" s="8" t="inlineStr">
        <is>
          <t>Continuum</t>
        </is>
      </c>
      <c r="D1704" s="11" t="inlineStr">
        <is>
          <t>Utility and C&amp;I</t>
        </is>
      </c>
      <c r="E1704" s="1" t="n"/>
      <c r="F1704" s="1" t="inlineStr">
        <is>
          <t>Closed</t>
        </is>
      </c>
      <c r="G1704" s="50" t="inlineStr">
        <is>
          <t>Mr. Harendresinh Jadeja</t>
        </is>
      </c>
      <c r="H1704" s="8" t="n">
        <v>9825182102</v>
      </c>
      <c r="I1704" s="10" t="inlineStr">
        <is>
          <t>PE19052601</t>
        </is>
      </c>
      <c r="J1704" s="8" t="inlineStr">
        <is>
          <t xml:space="preserve">Diode failure </t>
        </is>
      </c>
      <c r="K1704" s="8" t="inlineStr">
        <is>
          <t>Nakhatrana</t>
        </is>
      </c>
      <c r="L1704" s="8" t="inlineStr">
        <is>
          <t>Gujarat</t>
        </is>
      </c>
      <c r="M1704" s="2" t="inlineStr">
        <is>
          <t>PS</t>
        </is>
      </c>
      <c r="N1704" s="1" t="inlineStr">
        <is>
          <t>Cold Soldering</t>
        </is>
      </c>
      <c r="O1704" s="51" t="n">
        <v>580</v>
      </c>
      <c r="P1704" s="2" t="inlineStr">
        <is>
          <t>NSMI25011263239</t>
        </is>
      </c>
      <c r="Q1704" s="29">
        <f>MID(P1704,5,2)</f>
        <v/>
      </c>
      <c r="R1704" s="14">
        <f>MID(P1704,7,2)</f>
        <v/>
      </c>
      <c r="S1704" s="1" t="inlineStr">
        <is>
          <t>G2G</t>
        </is>
      </c>
      <c r="T1704" s="1" t="inlineStr">
        <is>
          <t>P4 - PEIPL</t>
        </is>
      </c>
      <c r="U1704" s="1" t="inlineStr">
        <is>
          <t>P JB Cold Soldering</t>
        </is>
      </c>
      <c r="V1704" s="1" t="inlineStr">
        <is>
          <t>Inspection</t>
        </is>
      </c>
      <c r="W1704" s="1" t="inlineStr">
        <is>
          <t>Repair</t>
        </is>
      </c>
      <c r="X1704" s="5" t="n">
        <v>46193</v>
      </c>
      <c r="Y1704" s="1">
        <f>IF(X1704="","",X1704-A1704)</f>
        <v/>
      </c>
      <c r="Z1704" s="5" t="n">
        <v>46193</v>
      </c>
      <c r="AA1704" s="3" t="n"/>
      <c r="AB1704" s="3" t="n"/>
      <c r="AE1704" s="146">
        <f>IF(AND(F1704="Closed",X1704&gt;=DATE(2026,6,1),X1704&lt;=DATE(2026,6,30)),"Closed in June","other")</f>
        <v/>
      </c>
    </row>
    <row r="1705" hidden="1">
      <c r="A1705" s="9" t="n">
        <v>46161</v>
      </c>
      <c r="B1705" s="1" t="n">
        <v>2026</v>
      </c>
      <c r="C1705" s="8" t="inlineStr">
        <is>
          <t>Continuum</t>
        </is>
      </c>
      <c r="D1705" s="11" t="inlineStr">
        <is>
          <t>Utility and C&amp;I</t>
        </is>
      </c>
      <c r="E1705" s="1" t="n"/>
      <c r="F1705" s="1" t="inlineStr">
        <is>
          <t>Closed</t>
        </is>
      </c>
      <c r="G1705" s="50" t="inlineStr">
        <is>
          <t>Mr. Harendresinh Jadeja</t>
        </is>
      </c>
      <c r="H1705" s="8" t="n">
        <v>9825182102</v>
      </c>
      <c r="I1705" s="10" t="inlineStr">
        <is>
          <t>PE19052601</t>
        </is>
      </c>
      <c r="J1705" s="8" t="inlineStr">
        <is>
          <t xml:space="preserve">Diode failure </t>
        </is>
      </c>
      <c r="K1705" s="8" t="inlineStr">
        <is>
          <t>Nakhatrana</t>
        </is>
      </c>
      <c r="L1705" s="8" t="inlineStr">
        <is>
          <t>Gujarat</t>
        </is>
      </c>
      <c r="M1705" s="2" t="inlineStr">
        <is>
          <t>PS</t>
        </is>
      </c>
      <c r="N1705" s="1" t="inlineStr">
        <is>
          <t>Cold Soldering</t>
        </is>
      </c>
      <c r="O1705" s="51" t="n">
        <v>580</v>
      </c>
      <c r="P1705" s="2" t="inlineStr">
        <is>
          <t>NSMI25011229873</t>
        </is>
      </c>
      <c r="Q1705" s="29">
        <f>MID(P1705,5,2)</f>
        <v/>
      </c>
      <c r="R1705" s="14">
        <f>MID(P1705,7,2)</f>
        <v/>
      </c>
      <c r="S1705" s="1" t="inlineStr">
        <is>
          <t>G2G</t>
        </is>
      </c>
      <c r="T1705" s="1" t="inlineStr">
        <is>
          <t>P4 - PEIPL</t>
        </is>
      </c>
      <c r="U1705" s="1" t="inlineStr">
        <is>
          <t>P JB Cold Soldering</t>
        </is>
      </c>
      <c r="V1705" s="1" t="inlineStr">
        <is>
          <t>Inspection</t>
        </is>
      </c>
      <c r="W1705" s="1" t="inlineStr">
        <is>
          <t>Repair</t>
        </is>
      </c>
      <c r="X1705" s="5" t="n">
        <v>46193</v>
      </c>
      <c r="Y1705" s="1">
        <f>IF(X1705="","",X1705-A1705)</f>
        <v/>
      </c>
      <c r="Z1705" s="5" t="n">
        <v>46193</v>
      </c>
      <c r="AA1705" s="3" t="n"/>
      <c r="AB1705" s="3" t="n"/>
      <c r="AE1705" s="146">
        <f>IF(AND(F1705="Closed",X1705&gt;=DATE(2026,6,1),X1705&lt;=DATE(2026,6,30)),"Closed in June","other")</f>
        <v/>
      </c>
    </row>
    <row r="1706" hidden="1">
      <c r="A1706" s="9" t="n">
        <v>46161</v>
      </c>
      <c r="B1706" s="1" t="n">
        <v>2026</v>
      </c>
      <c r="C1706" s="8" t="inlineStr">
        <is>
          <t>Continuum</t>
        </is>
      </c>
      <c r="D1706" s="11" t="inlineStr">
        <is>
          <t>Utility and C&amp;I</t>
        </is>
      </c>
      <c r="E1706" s="1" t="n"/>
      <c r="F1706" s="1" t="inlineStr">
        <is>
          <t>Closed</t>
        </is>
      </c>
      <c r="G1706" s="50" t="inlineStr">
        <is>
          <t>Mr. Harendresinh Jadeja</t>
        </is>
      </c>
      <c r="H1706" s="8" t="n">
        <v>9825182102</v>
      </c>
      <c r="I1706" s="10" t="inlineStr">
        <is>
          <t>PE19052601</t>
        </is>
      </c>
      <c r="J1706" s="8" t="inlineStr">
        <is>
          <t xml:space="preserve">Diode failure </t>
        </is>
      </c>
      <c r="K1706" s="8" t="inlineStr">
        <is>
          <t>Nakhatrana</t>
        </is>
      </c>
      <c r="L1706" s="8" t="inlineStr">
        <is>
          <t>Gujarat</t>
        </is>
      </c>
      <c r="M1706" s="2" t="inlineStr">
        <is>
          <t>PS</t>
        </is>
      </c>
      <c r="N1706" s="1" t="inlineStr">
        <is>
          <t>Cold Soldering</t>
        </is>
      </c>
      <c r="O1706" s="51" t="n">
        <v>580</v>
      </c>
      <c r="P1706" s="2" t="inlineStr">
        <is>
          <t>NSMI25011237709</t>
        </is>
      </c>
      <c r="Q1706" s="29">
        <f>MID(P1706,5,2)</f>
        <v/>
      </c>
      <c r="R1706" s="14">
        <f>MID(P1706,7,2)</f>
        <v/>
      </c>
      <c r="S1706" s="1" t="inlineStr">
        <is>
          <t>G2G</t>
        </is>
      </c>
      <c r="T1706" s="1" t="inlineStr">
        <is>
          <t>P4 - PEIPL</t>
        </is>
      </c>
      <c r="U1706" s="1" t="inlineStr">
        <is>
          <t>P JB Cold Soldering</t>
        </is>
      </c>
      <c r="V1706" s="1" t="inlineStr">
        <is>
          <t>Inspection</t>
        </is>
      </c>
      <c r="W1706" s="1" t="inlineStr">
        <is>
          <t>Repair</t>
        </is>
      </c>
      <c r="X1706" s="5" t="n">
        <v>46193</v>
      </c>
      <c r="Y1706" s="1">
        <f>IF(X1706="","",X1706-A1706)</f>
        <v/>
      </c>
      <c r="Z1706" s="5" t="n">
        <v>46193</v>
      </c>
      <c r="AA1706" s="3" t="n"/>
      <c r="AB1706" s="3" t="n"/>
      <c r="AE1706" s="146">
        <f>IF(AND(F1706="Closed",X1706&gt;=DATE(2026,6,1),X1706&lt;=DATE(2026,6,30)),"Closed in June","other")</f>
        <v/>
      </c>
    </row>
    <row r="1707" hidden="1">
      <c r="A1707" s="9" t="n">
        <v>46161</v>
      </c>
      <c r="B1707" s="1" t="n">
        <v>2026</v>
      </c>
      <c r="C1707" s="8" t="inlineStr">
        <is>
          <t>Continuum</t>
        </is>
      </c>
      <c r="D1707" s="11" t="inlineStr">
        <is>
          <t>Utility and C&amp;I</t>
        </is>
      </c>
      <c r="E1707" s="1" t="n"/>
      <c r="F1707" s="1" t="inlineStr">
        <is>
          <t>Closed</t>
        </is>
      </c>
      <c r="G1707" s="50" t="inlineStr">
        <is>
          <t>Mr. Harendresinh Jadeja</t>
        </is>
      </c>
      <c r="H1707" s="8" t="n">
        <v>9825182102</v>
      </c>
      <c r="I1707" s="10" t="inlineStr">
        <is>
          <t>PE19052601</t>
        </is>
      </c>
      <c r="J1707" s="8" t="inlineStr">
        <is>
          <t xml:space="preserve">Diode failure </t>
        </is>
      </c>
      <c r="K1707" s="8" t="inlineStr">
        <is>
          <t>Nakhatrana</t>
        </is>
      </c>
      <c r="L1707" s="8" t="inlineStr">
        <is>
          <t>Gujarat</t>
        </is>
      </c>
      <c r="M1707" s="2" t="inlineStr">
        <is>
          <t xml:space="preserve">Broken module </t>
        </is>
      </c>
      <c r="N1707" s="6" t="inlineStr">
        <is>
          <t>Module Breakage</t>
        </is>
      </c>
      <c r="O1707" s="51" t="n">
        <v>580</v>
      </c>
      <c r="P1707" s="2" t="inlineStr">
        <is>
          <t>NSMI25011264325</t>
        </is>
      </c>
      <c r="Q1707" s="29">
        <f>MID(P1707,5,2)</f>
        <v/>
      </c>
      <c r="R1707" s="14">
        <f>MID(P1707,7,2)</f>
        <v/>
      </c>
      <c r="S1707" s="1" t="inlineStr">
        <is>
          <t>G2G</t>
        </is>
      </c>
      <c r="T1707" s="1" t="inlineStr">
        <is>
          <t>P4 - PEIPL</t>
        </is>
      </c>
      <c r="U1707" s="2" t="inlineStr">
        <is>
          <t xml:space="preserve">Hit by stone </t>
        </is>
      </c>
      <c r="V1707" s="1" t="inlineStr">
        <is>
          <t>Inspection</t>
        </is>
      </c>
      <c r="W1707" s="1" t="inlineStr">
        <is>
          <t>Rejected</t>
        </is>
      </c>
      <c r="X1707" s="5" t="n">
        <v>46193</v>
      </c>
      <c r="Y1707" s="1">
        <f>IF(X1707="","",X1707-A1707)</f>
        <v/>
      </c>
      <c r="Z1707" s="5" t="n">
        <v>46193</v>
      </c>
      <c r="AA1707" s="3" t="n"/>
      <c r="AB1707" s="3" t="n"/>
      <c r="AE1707" s="146">
        <f>IF(AND(F1707="Closed",X1707&gt;=DATE(2026,6,1),X1707&lt;=DATE(2026,6,30)),"Closed in June","other")</f>
        <v/>
      </c>
    </row>
    <row r="1708" hidden="1">
      <c r="A1708" s="9" t="n">
        <v>46161</v>
      </c>
      <c r="B1708" s="1" t="n">
        <v>2026</v>
      </c>
      <c r="C1708" s="8" t="inlineStr">
        <is>
          <t>Continuum</t>
        </is>
      </c>
      <c r="D1708" s="11" t="inlineStr">
        <is>
          <t>Utility and C&amp;I</t>
        </is>
      </c>
      <c r="E1708" s="1" t="n"/>
      <c r="F1708" s="1" t="inlineStr">
        <is>
          <t>Closed</t>
        </is>
      </c>
      <c r="G1708" s="50" t="inlineStr">
        <is>
          <t>Mr. Harendresinh Jadeja</t>
        </is>
      </c>
      <c r="H1708" s="8" t="n">
        <v>9825182102</v>
      </c>
      <c r="I1708" s="10" t="inlineStr">
        <is>
          <t>PE19052601</t>
        </is>
      </c>
      <c r="J1708" s="8" t="inlineStr">
        <is>
          <t xml:space="preserve">Diode failure </t>
        </is>
      </c>
      <c r="K1708" s="8" t="inlineStr">
        <is>
          <t>Nakhatrana</t>
        </is>
      </c>
      <c r="L1708" s="8" t="inlineStr">
        <is>
          <t>Gujarat</t>
        </is>
      </c>
      <c r="M1708" s="2" t="inlineStr">
        <is>
          <t xml:space="preserve">Broken module </t>
        </is>
      </c>
      <c r="N1708" s="6" t="inlineStr">
        <is>
          <t>Module Breakage</t>
        </is>
      </c>
      <c r="O1708" s="51" t="n">
        <v>580</v>
      </c>
      <c r="P1708" s="2" t="inlineStr">
        <is>
          <t>NSMI25040044915</t>
        </is>
      </c>
      <c r="Q1708" s="29">
        <f>MID(P1708,5,2)</f>
        <v/>
      </c>
      <c r="R1708" s="14">
        <f>MID(P1708,7,2)</f>
        <v/>
      </c>
      <c r="S1708" s="1" t="inlineStr">
        <is>
          <t>G2G</t>
        </is>
      </c>
      <c r="T1708" s="1" t="inlineStr">
        <is>
          <t>P4 - PEIPL</t>
        </is>
      </c>
      <c r="U1708" s="2" t="inlineStr">
        <is>
          <t>Frame Damaged</t>
        </is>
      </c>
      <c r="V1708" s="1" t="inlineStr">
        <is>
          <t>Inspection</t>
        </is>
      </c>
      <c r="W1708" s="1" t="inlineStr">
        <is>
          <t>Rejected</t>
        </is>
      </c>
      <c r="X1708" s="5" t="n">
        <v>46193</v>
      </c>
      <c r="Y1708" s="1">
        <f>IF(X1708="","",X1708-A1708)</f>
        <v/>
      </c>
      <c r="Z1708" s="5" t="n">
        <v>46193</v>
      </c>
      <c r="AA1708" s="3" t="n"/>
      <c r="AB1708" s="3" t="n"/>
      <c r="AE1708" s="146">
        <f>IF(AND(F1708="Closed",X1708&gt;=DATE(2026,6,1),X1708&lt;=DATE(2026,6,30)),"Closed in June","other")</f>
        <v/>
      </c>
    </row>
    <row r="1709" hidden="1">
      <c r="A1709" s="9" t="n">
        <v>46161</v>
      </c>
      <c r="B1709" s="1" t="n">
        <v>2026</v>
      </c>
      <c r="C1709" s="8" t="inlineStr">
        <is>
          <t>Continuum</t>
        </is>
      </c>
      <c r="D1709" s="11" t="inlineStr">
        <is>
          <t>Utility and C&amp;I</t>
        </is>
      </c>
      <c r="E1709" s="1" t="n"/>
      <c r="F1709" s="1" t="inlineStr">
        <is>
          <t>Closed</t>
        </is>
      </c>
      <c r="G1709" s="50" t="inlineStr">
        <is>
          <t>Mr. Harendresinh Jadeja</t>
        </is>
      </c>
      <c r="H1709" s="8" t="n">
        <v>9825182102</v>
      </c>
      <c r="I1709" s="10" t="inlineStr">
        <is>
          <t>PE19052601</t>
        </is>
      </c>
      <c r="J1709" s="8" t="inlineStr">
        <is>
          <t xml:space="preserve">Diode failure </t>
        </is>
      </c>
      <c r="K1709" s="8" t="inlineStr">
        <is>
          <t>Nakhatrana</t>
        </is>
      </c>
      <c r="L1709" s="8" t="inlineStr">
        <is>
          <t>Gujarat</t>
        </is>
      </c>
      <c r="M1709" s="2" t="inlineStr">
        <is>
          <t xml:space="preserve">Broken module </t>
        </is>
      </c>
      <c r="N1709" s="6" t="inlineStr">
        <is>
          <t>Module Breakage</t>
        </is>
      </c>
      <c r="O1709" s="51" t="n">
        <v>580</v>
      </c>
      <c r="P1709" s="2" t="inlineStr">
        <is>
          <t>NSMI25011277250</t>
        </is>
      </c>
      <c r="Q1709" s="29">
        <f>MID(P1709,5,2)</f>
        <v/>
      </c>
      <c r="R1709" s="14">
        <f>MID(P1709,7,2)</f>
        <v/>
      </c>
      <c r="S1709" s="1" t="inlineStr">
        <is>
          <t>G2G</t>
        </is>
      </c>
      <c r="T1709" s="1" t="inlineStr">
        <is>
          <t>P4 - PEIPL</t>
        </is>
      </c>
      <c r="U1709" s="2" t="inlineStr">
        <is>
          <t>Damage &amp; burn</t>
        </is>
      </c>
      <c r="V1709" s="1" t="inlineStr">
        <is>
          <t>Inspection</t>
        </is>
      </c>
      <c r="W1709" s="1" t="inlineStr">
        <is>
          <t>Rejected</t>
        </is>
      </c>
      <c r="X1709" s="5" t="n">
        <v>46193</v>
      </c>
      <c r="Y1709" s="1">
        <f>IF(X1709="","",X1709-A1709)</f>
        <v/>
      </c>
      <c r="Z1709" s="5" t="n">
        <v>46193</v>
      </c>
      <c r="AA1709" s="3" t="n"/>
      <c r="AB1709" s="3" t="n"/>
      <c r="AE1709" s="146">
        <f>IF(AND(F1709="Closed",X1709&gt;=DATE(2026,6,1),X1709&lt;=DATE(2026,6,30)),"Closed in June","other")</f>
        <v/>
      </c>
    </row>
    <row r="1710" hidden="1">
      <c r="A1710" s="49" t="n">
        <v>46177</v>
      </c>
      <c r="B1710" s="1" t="n">
        <v>2026</v>
      </c>
      <c r="C1710" s="8" t="inlineStr">
        <is>
          <t>Ayana</t>
        </is>
      </c>
      <c r="D1710" s="11" t="inlineStr">
        <is>
          <t>Utility and C&amp;I</t>
        </is>
      </c>
      <c r="E1710" s="1" t="n"/>
      <c r="F1710" s="1" t="inlineStr">
        <is>
          <t>WIP</t>
        </is>
      </c>
      <c r="G1710" s="11" t="inlineStr">
        <is>
          <t>Vasu.N</t>
        </is>
      </c>
      <c r="H1710" s="8" t="n">
        <v>9578099893</v>
      </c>
      <c r="I1710" s="10" t="inlineStr">
        <is>
          <t>PE04062601</t>
        </is>
      </c>
      <c r="J1710" s="28" t="inlineStr">
        <is>
          <t>Module burnt</t>
        </is>
      </c>
      <c r="K1710" s="8" t="inlineStr">
        <is>
          <t>Jatavira</t>
        </is>
      </c>
      <c r="L1710" s="39" t="inlineStr">
        <is>
          <t>Gujarat</t>
        </is>
      </c>
      <c r="M1710" s="2" t="inlineStr">
        <is>
          <t xml:space="preserve">Front glass broken with burn spot </t>
        </is>
      </c>
      <c r="N1710" s="6" t="inlineStr">
        <is>
          <t>Glass Breakage with Burn Spot</t>
        </is>
      </c>
      <c r="O1710" s="32" t="n">
        <v>585</v>
      </c>
      <c r="P1710" s="2" t="inlineStr">
        <is>
          <t>NSMI24100583762</t>
        </is>
      </c>
      <c r="Q1710" s="29">
        <f>MID(P1710,5,2)</f>
        <v/>
      </c>
      <c r="R1710" s="14">
        <f>MID(P1710,7,2)</f>
        <v/>
      </c>
      <c r="S1710" s="6" t="inlineStr">
        <is>
          <t>G2G</t>
        </is>
      </c>
      <c r="T1710" s="1" t="inlineStr">
        <is>
          <t>P4 - PEIPL</t>
        </is>
      </c>
      <c r="U1710" s="6" t="inlineStr">
        <is>
          <t>Glass Breakage with Burn Spot</t>
        </is>
      </c>
      <c r="V1710" s="1" t="inlineStr">
        <is>
          <t>Inspection</t>
        </is>
      </c>
      <c r="W1710" s="1" t="inlineStr">
        <is>
          <t>WIP</t>
        </is>
      </c>
      <c r="X1710" s="12" t="n"/>
      <c r="Y1710" s="1">
        <f>IF(X1710="","",X1710-A1710)</f>
        <v/>
      </c>
      <c r="Z1710" s="5" t="n">
        <v>46193</v>
      </c>
      <c r="AA1710" s="3" t="n"/>
      <c r="AB1710" s="3" t="n"/>
      <c r="AE1710" s="146">
        <f>IF(AND(F1710="Closed",X1710&gt;=DATE(2026,6,1),X1710&lt;=DATE(2026,6,30)),"Closed in June","other")</f>
        <v/>
      </c>
    </row>
    <row r="1711" hidden="1">
      <c r="A1711" s="49" t="n">
        <v>46177</v>
      </c>
      <c r="B1711" s="1" t="n">
        <v>2026</v>
      </c>
      <c r="C1711" s="8" t="inlineStr">
        <is>
          <t>Ayana</t>
        </is>
      </c>
      <c r="D1711" s="11" t="inlineStr">
        <is>
          <t>Utility and C&amp;I</t>
        </is>
      </c>
      <c r="E1711" s="1" t="n"/>
      <c r="F1711" s="1" t="inlineStr">
        <is>
          <t>WIP</t>
        </is>
      </c>
      <c r="G1711" s="11" t="inlineStr">
        <is>
          <t>Vasu.N</t>
        </is>
      </c>
      <c r="H1711" s="8" t="n">
        <v>9578099893</v>
      </c>
      <c r="I1711" s="10" t="inlineStr">
        <is>
          <t>PE04062601</t>
        </is>
      </c>
      <c r="J1711" s="28" t="inlineStr">
        <is>
          <t>Module burnt</t>
        </is>
      </c>
      <c r="K1711" s="8" t="inlineStr">
        <is>
          <t>Jatavira</t>
        </is>
      </c>
      <c r="L1711" s="39" t="inlineStr">
        <is>
          <t>Gujarat</t>
        </is>
      </c>
      <c r="M1711" s="2" t="inlineStr">
        <is>
          <t xml:space="preserve">Front glass broken with burn spot </t>
        </is>
      </c>
      <c r="N1711" s="6" t="inlineStr">
        <is>
          <t>Glass Breakage with Burn Spot</t>
        </is>
      </c>
      <c r="O1711" s="32" t="n">
        <v>585</v>
      </c>
      <c r="P1711" s="2" t="inlineStr">
        <is>
          <t>NSMI24100574371</t>
        </is>
      </c>
      <c r="Q1711" s="29">
        <f>MID(P1711,5,2)</f>
        <v/>
      </c>
      <c r="R1711" s="14">
        <f>MID(P1711,7,2)</f>
        <v/>
      </c>
      <c r="S1711" s="6" t="inlineStr">
        <is>
          <t>G2G</t>
        </is>
      </c>
      <c r="T1711" s="1" t="inlineStr">
        <is>
          <t>P4 - PEIPL</t>
        </is>
      </c>
      <c r="U1711" s="6" t="inlineStr">
        <is>
          <t>Glass Breakage with Burn Spot</t>
        </is>
      </c>
      <c r="V1711" s="1" t="inlineStr">
        <is>
          <t>Inspection</t>
        </is>
      </c>
      <c r="W1711" s="1" t="inlineStr">
        <is>
          <t>WIP</t>
        </is>
      </c>
      <c r="X1711" s="12" t="n"/>
      <c r="Y1711" s="1">
        <f>IF(X1711="","",X1711-A1711)</f>
        <v/>
      </c>
      <c r="Z1711" s="5" t="n">
        <v>46193</v>
      </c>
      <c r="AA1711" s="3" t="n"/>
      <c r="AB1711" s="3" t="n"/>
      <c r="AE1711" s="146">
        <f>IF(AND(F1711="Closed",X1711&gt;=DATE(2026,6,1),X1711&lt;=DATE(2026,6,30)),"Closed in June","other")</f>
        <v/>
      </c>
    </row>
    <row r="1712" hidden="1">
      <c r="A1712" s="49" t="n">
        <v>46177</v>
      </c>
      <c r="B1712" s="1" t="n">
        <v>2026</v>
      </c>
      <c r="C1712" s="8" t="inlineStr">
        <is>
          <t>Ayana</t>
        </is>
      </c>
      <c r="D1712" s="11" t="inlineStr">
        <is>
          <t>Utility and C&amp;I</t>
        </is>
      </c>
      <c r="E1712" s="1" t="n"/>
      <c r="F1712" s="1" t="inlineStr">
        <is>
          <t>WIP</t>
        </is>
      </c>
      <c r="G1712" s="11" t="inlineStr">
        <is>
          <t>Vasu.N</t>
        </is>
      </c>
      <c r="H1712" s="8" t="n">
        <v>9578099893</v>
      </c>
      <c r="I1712" s="10" t="inlineStr">
        <is>
          <t>PE04062601</t>
        </is>
      </c>
      <c r="J1712" s="28" t="inlineStr">
        <is>
          <t>Module burnt</t>
        </is>
      </c>
      <c r="K1712" s="8" t="inlineStr">
        <is>
          <t>Jatavira</t>
        </is>
      </c>
      <c r="L1712" s="39" t="inlineStr">
        <is>
          <t>Gujarat</t>
        </is>
      </c>
      <c r="M1712" s="2" t="inlineStr">
        <is>
          <t xml:space="preserve">Front glass broken with burn spot </t>
        </is>
      </c>
      <c r="N1712" s="6" t="inlineStr">
        <is>
          <t>Glass Breakage with Burn Spot</t>
        </is>
      </c>
      <c r="O1712" s="32" t="n">
        <v>585</v>
      </c>
      <c r="P1712" s="2" t="inlineStr">
        <is>
          <t>NSMI24100574389</t>
        </is>
      </c>
      <c r="Q1712" s="29">
        <f>MID(P1712,5,2)</f>
        <v/>
      </c>
      <c r="R1712" s="14">
        <f>MID(P1712,7,2)</f>
        <v/>
      </c>
      <c r="S1712" s="6" t="inlineStr">
        <is>
          <t>G2G</t>
        </is>
      </c>
      <c r="T1712" s="1" t="inlineStr">
        <is>
          <t>P4 - PEIPL</t>
        </is>
      </c>
      <c r="U1712" s="6" t="inlineStr">
        <is>
          <t>Glass Breakage with Burn Spot</t>
        </is>
      </c>
      <c r="V1712" s="1" t="inlineStr">
        <is>
          <t>Inspection</t>
        </is>
      </c>
      <c r="W1712" s="1" t="inlineStr">
        <is>
          <t>WIP</t>
        </is>
      </c>
      <c r="X1712" s="12" t="n"/>
      <c r="Y1712" s="1">
        <f>IF(X1712="","",X1712-A1712)</f>
        <v/>
      </c>
      <c r="Z1712" s="5" t="n">
        <v>46193</v>
      </c>
      <c r="AA1712" s="3" t="n"/>
      <c r="AB1712" s="3" t="n"/>
      <c r="AE1712" s="146">
        <f>IF(AND(F1712="Closed",X1712&gt;=DATE(2026,6,1),X1712&lt;=DATE(2026,6,30)),"Closed in June","other")</f>
        <v/>
      </c>
    </row>
    <row r="1713" hidden="1">
      <c r="A1713" s="49" t="n">
        <v>46177</v>
      </c>
      <c r="B1713" s="1" t="n">
        <v>2026</v>
      </c>
      <c r="C1713" s="8" t="inlineStr">
        <is>
          <t>Ayana</t>
        </is>
      </c>
      <c r="D1713" s="11" t="inlineStr">
        <is>
          <t>Utility and C&amp;I</t>
        </is>
      </c>
      <c r="E1713" s="1" t="n"/>
      <c r="F1713" s="1" t="inlineStr">
        <is>
          <t>WIP</t>
        </is>
      </c>
      <c r="G1713" s="11" t="inlineStr">
        <is>
          <t>Vasu.N</t>
        </is>
      </c>
      <c r="H1713" s="8" t="n">
        <v>9578099893</v>
      </c>
      <c r="I1713" s="10" t="inlineStr">
        <is>
          <t>PE04062601</t>
        </is>
      </c>
      <c r="J1713" s="28" t="inlineStr">
        <is>
          <t>Module burnt</t>
        </is>
      </c>
      <c r="K1713" s="8" t="inlineStr">
        <is>
          <t>Jatavira</t>
        </is>
      </c>
      <c r="L1713" s="39" t="inlineStr">
        <is>
          <t>Gujarat</t>
        </is>
      </c>
      <c r="M1713" s="2" t="inlineStr">
        <is>
          <t xml:space="preserve">Burning </t>
        </is>
      </c>
      <c r="N1713" s="6" t="inlineStr">
        <is>
          <t>Module Burn</t>
        </is>
      </c>
      <c r="O1713" s="32" t="n">
        <v>585</v>
      </c>
      <c r="P1713" s="2" t="inlineStr">
        <is>
          <t>NSMI24100575739</t>
        </is>
      </c>
      <c r="Q1713" s="29">
        <f>MID(P1713,5,2)</f>
        <v/>
      </c>
      <c r="R1713" s="14">
        <f>MID(P1713,7,2)</f>
        <v/>
      </c>
      <c r="S1713" s="6" t="inlineStr">
        <is>
          <t>G2G</t>
        </is>
      </c>
      <c r="T1713" s="1" t="inlineStr">
        <is>
          <t>P4 - PEIPL</t>
        </is>
      </c>
      <c r="U1713" s="6" t="inlineStr">
        <is>
          <t>Module Burn</t>
        </is>
      </c>
      <c r="V1713" s="1" t="inlineStr">
        <is>
          <t>Inspection</t>
        </is>
      </c>
      <c r="W1713" s="1" t="inlineStr">
        <is>
          <t>WIP</t>
        </is>
      </c>
      <c r="X1713" s="12" t="n"/>
      <c r="Y1713" s="1">
        <f>IF(X1713="","",X1713-A1713)</f>
        <v/>
      </c>
      <c r="Z1713" s="5" t="n">
        <v>46193</v>
      </c>
      <c r="AA1713" s="3" t="n"/>
      <c r="AB1713" s="3" t="n"/>
      <c r="AE1713" s="146">
        <f>IF(AND(F1713="Closed",X1713&gt;=DATE(2026,6,1),X1713&lt;=DATE(2026,6,30)),"Closed in June","other")</f>
        <v/>
      </c>
    </row>
    <row r="1714" hidden="1">
      <c r="A1714" s="49" t="n">
        <v>46177</v>
      </c>
      <c r="B1714" s="1" t="n">
        <v>2026</v>
      </c>
      <c r="C1714" s="8" t="inlineStr">
        <is>
          <t>Ayana</t>
        </is>
      </c>
      <c r="D1714" s="11" t="inlineStr">
        <is>
          <t>Utility and C&amp;I</t>
        </is>
      </c>
      <c r="E1714" s="1" t="n"/>
      <c r="F1714" s="1" t="inlineStr">
        <is>
          <t>WIP</t>
        </is>
      </c>
      <c r="G1714" s="11" t="inlineStr">
        <is>
          <t>Vasu.N</t>
        </is>
      </c>
      <c r="H1714" s="8" t="n">
        <v>9578099893</v>
      </c>
      <c r="I1714" s="10" t="inlineStr">
        <is>
          <t>PE04062601</t>
        </is>
      </c>
      <c r="J1714" s="28" t="inlineStr">
        <is>
          <t>Module burnt</t>
        </is>
      </c>
      <c r="K1714" s="8" t="inlineStr">
        <is>
          <t>Jatavira</t>
        </is>
      </c>
      <c r="L1714" s="39" t="inlineStr">
        <is>
          <t>Gujarat</t>
        </is>
      </c>
      <c r="M1714" s="2" t="inlineStr">
        <is>
          <t xml:space="preserve">Burning </t>
        </is>
      </c>
      <c r="N1714" s="6" t="inlineStr">
        <is>
          <t>Module Burn</t>
        </is>
      </c>
      <c r="O1714" s="32" t="n">
        <v>585</v>
      </c>
      <c r="P1714" s="2" t="inlineStr">
        <is>
          <t>NSMI24100580226</t>
        </is>
      </c>
      <c r="Q1714" s="29">
        <f>MID(P1714,5,2)</f>
        <v/>
      </c>
      <c r="R1714" s="14">
        <f>MID(P1714,7,2)</f>
        <v/>
      </c>
      <c r="S1714" s="6" t="inlineStr">
        <is>
          <t>G2G</t>
        </is>
      </c>
      <c r="T1714" s="1" t="inlineStr">
        <is>
          <t>P4 - PEIPL</t>
        </is>
      </c>
      <c r="U1714" s="6" t="inlineStr">
        <is>
          <t>Module Burn</t>
        </is>
      </c>
      <c r="V1714" s="1" t="inlineStr">
        <is>
          <t>Inspection</t>
        </is>
      </c>
      <c r="W1714" s="1" t="inlineStr">
        <is>
          <t>WIP</t>
        </is>
      </c>
      <c r="X1714" s="12" t="n"/>
      <c r="Y1714" s="1">
        <f>IF(X1714="","",X1714-A1714)</f>
        <v/>
      </c>
      <c r="Z1714" s="5" t="n">
        <v>46193</v>
      </c>
      <c r="AA1714" s="3" t="n"/>
      <c r="AB1714" s="3" t="n"/>
      <c r="AE1714" s="146">
        <f>IF(AND(F1714="Closed",X1714&gt;=DATE(2026,6,1),X1714&lt;=DATE(2026,6,30)),"Closed in June","other")</f>
        <v/>
      </c>
    </row>
    <row r="1715" hidden="1">
      <c r="A1715" s="49" t="n">
        <v>46177</v>
      </c>
      <c r="B1715" s="1" t="n">
        <v>2026</v>
      </c>
      <c r="C1715" s="8" t="inlineStr">
        <is>
          <t>Ayana</t>
        </is>
      </c>
      <c r="D1715" s="11" t="inlineStr">
        <is>
          <t>Utility and C&amp;I</t>
        </is>
      </c>
      <c r="E1715" s="1" t="n"/>
      <c r="F1715" s="1" t="inlineStr">
        <is>
          <t>WIP</t>
        </is>
      </c>
      <c r="G1715" s="11" t="inlineStr">
        <is>
          <t>Vasu.N</t>
        </is>
      </c>
      <c r="H1715" s="8" t="n">
        <v>9578099893</v>
      </c>
      <c r="I1715" s="10" t="inlineStr">
        <is>
          <t>PE04062601</t>
        </is>
      </c>
      <c r="J1715" s="28" t="inlineStr">
        <is>
          <t>Module burnt</t>
        </is>
      </c>
      <c r="K1715" s="8" t="inlineStr">
        <is>
          <t>Jatavira</t>
        </is>
      </c>
      <c r="L1715" s="39" t="inlineStr">
        <is>
          <t>Gujarat</t>
        </is>
      </c>
      <c r="M1715" s="2" t="inlineStr">
        <is>
          <t xml:space="preserve">Burning </t>
        </is>
      </c>
      <c r="N1715" s="6" t="inlineStr">
        <is>
          <t>Module Burn</t>
        </is>
      </c>
      <c r="O1715" s="32" t="n">
        <v>585</v>
      </c>
      <c r="P1715" s="2" t="inlineStr">
        <is>
          <t>NSMI24100559815</t>
        </is>
      </c>
      <c r="Q1715" s="29">
        <f>MID(P1715,5,2)</f>
        <v/>
      </c>
      <c r="R1715" s="14">
        <f>MID(P1715,7,2)</f>
        <v/>
      </c>
      <c r="S1715" s="6" t="inlineStr">
        <is>
          <t>G2G</t>
        </is>
      </c>
      <c r="T1715" s="1" t="inlineStr">
        <is>
          <t>P4 - PEIPL</t>
        </is>
      </c>
      <c r="U1715" s="6" t="inlineStr">
        <is>
          <t>Module Burn</t>
        </is>
      </c>
      <c r="V1715" s="1" t="inlineStr">
        <is>
          <t>Inspection</t>
        </is>
      </c>
      <c r="W1715" s="1" t="inlineStr">
        <is>
          <t>WIP</t>
        </is>
      </c>
      <c r="X1715" s="12" t="n"/>
      <c r="Y1715" s="1">
        <f>IF(X1715="","",X1715-A1715)</f>
        <v/>
      </c>
      <c r="Z1715" s="5" t="n">
        <v>46193</v>
      </c>
      <c r="AA1715" s="3" t="n"/>
      <c r="AB1715" s="3" t="n"/>
      <c r="AE1715" s="146">
        <f>IF(AND(F1715="Closed",X1715&gt;=DATE(2026,6,1),X1715&lt;=DATE(2026,6,30)),"Closed in June","other")</f>
        <v/>
      </c>
    </row>
    <row r="1716" hidden="1">
      <c r="A1716" s="49" t="n">
        <v>46177</v>
      </c>
      <c r="B1716" s="1" t="n">
        <v>2026</v>
      </c>
      <c r="C1716" s="8" t="inlineStr">
        <is>
          <t>Ayana</t>
        </is>
      </c>
      <c r="D1716" s="11" t="inlineStr">
        <is>
          <t>Utility and C&amp;I</t>
        </is>
      </c>
      <c r="E1716" s="1" t="n"/>
      <c r="F1716" s="1" t="inlineStr">
        <is>
          <t>WIP</t>
        </is>
      </c>
      <c r="G1716" s="11" t="inlineStr">
        <is>
          <t>Vasu.N</t>
        </is>
      </c>
      <c r="H1716" s="8" t="n">
        <v>9578099893</v>
      </c>
      <c r="I1716" s="10" t="inlineStr">
        <is>
          <t>PE04062601</t>
        </is>
      </c>
      <c r="J1716" s="28" t="inlineStr">
        <is>
          <t>Module burnt</t>
        </is>
      </c>
      <c r="K1716" s="8" t="inlineStr">
        <is>
          <t>Jatavira</t>
        </is>
      </c>
      <c r="L1716" s="39" t="inlineStr">
        <is>
          <t>Gujarat</t>
        </is>
      </c>
      <c r="M1716" s="2" t="inlineStr">
        <is>
          <t>Back glass broken with burn sport</t>
        </is>
      </c>
      <c r="N1716" s="6" t="inlineStr">
        <is>
          <t>Glass Breakage with Burn Spot</t>
        </is>
      </c>
      <c r="O1716" s="32" t="n">
        <v>585</v>
      </c>
      <c r="P1716" s="2" t="inlineStr">
        <is>
          <t>NSMI24090481846</t>
        </is>
      </c>
      <c r="Q1716" s="29">
        <f>MID(P1716,5,2)</f>
        <v/>
      </c>
      <c r="R1716" s="14">
        <f>MID(P1716,7,2)</f>
        <v/>
      </c>
      <c r="S1716" s="6" t="inlineStr">
        <is>
          <t>G2G</t>
        </is>
      </c>
      <c r="T1716" s="1" t="inlineStr">
        <is>
          <t>P4 - PEIPL</t>
        </is>
      </c>
      <c r="U1716" s="6" t="inlineStr">
        <is>
          <t>Glass Breakage with Burn Spot</t>
        </is>
      </c>
      <c r="V1716" s="1" t="inlineStr">
        <is>
          <t>Inspection</t>
        </is>
      </c>
      <c r="W1716" s="1" t="inlineStr">
        <is>
          <t>WIP</t>
        </is>
      </c>
      <c r="X1716" s="12" t="n"/>
      <c r="Y1716" s="1">
        <f>IF(X1716="","",X1716-A1716)</f>
        <v/>
      </c>
      <c r="Z1716" s="5" t="n">
        <v>46193</v>
      </c>
      <c r="AA1716" s="3" t="n"/>
      <c r="AB1716" s="3" t="n"/>
      <c r="AE1716" s="146">
        <f>IF(AND(F1716="Closed",X1716&gt;=DATE(2026,6,1),X1716&lt;=DATE(2026,6,30)),"Closed in June","other")</f>
        <v/>
      </c>
    </row>
    <row r="1717" hidden="1">
      <c r="A1717" s="49" t="n">
        <v>46177</v>
      </c>
      <c r="B1717" s="1" t="n">
        <v>2026</v>
      </c>
      <c r="C1717" s="8" t="inlineStr">
        <is>
          <t>Ayana</t>
        </is>
      </c>
      <c r="D1717" s="11" t="inlineStr">
        <is>
          <t>Utility and C&amp;I</t>
        </is>
      </c>
      <c r="E1717" s="1" t="n"/>
      <c r="F1717" s="1" t="inlineStr">
        <is>
          <t>WIP</t>
        </is>
      </c>
      <c r="G1717" s="11" t="inlineStr">
        <is>
          <t>Vasu.N</t>
        </is>
      </c>
      <c r="H1717" s="8" t="n">
        <v>9578099893</v>
      </c>
      <c r="I1717" s="10" t="inlineStr">
        <is>
          <t>PE04062601</t>
        </is>
      </c>
      <c r="J1717" s="28" t="inlineStr">
        <is>
          <t>Module burnt</t>
        </is>
      </c>
      <c r="K1717" s="8" t="inlineStr">
        <is>
          <t>Jatavira</t>
        </is>
      </c>
      <c r="L1717" s="39" t="inlineStr">
        <is>
          <t>Gujarat</t>
        </is>
      </c>
      <c r="M1717" s="2" t="inlineStr">
        <is>
          <t xml:space="preserve">Burning </t>
        </is>
      </c>
      <c r="N1717" s="6" t="inlineStr">
        <is>
          <t>Module Burn</t>
        </is>
      </c>
      <c r="O1717" s="32" t="n">
        <v>585</v>
      </c>
      <c r="P1717" s="2" t="inlineStr">
        <is>
          <t>NSMI24100627257</t>
        </is>
      </c>
      <c r="Q1717" s="29">
        <f>MID(P1717,5,2)</f>
        <v/>
      </c>
      <c r="R1717" s="14">
        <f>MID(P1717,7,2)</f>
        <v/>
      </c>
      <c r="S1717" s="6" t="inlineStr">
        <is>
          <t>G2G</t>
        </is>
      </c>
      <c r="T1717" s="1" t="inlineStr">
        <is>
          <t>P4 - PEIPL</t>
        </is>
      </c>
      <c r="U1717" s="6" t="inlineStr">
        <is>
          <t>Module Burn</t>
        </is>
      </c>
      <c r="V1717" s="1" t="inlineStr">
        <is>
          <t>Inspection</t>
        </is>
      </c>
      <c r="W1717" s="1" t="inlineStr">
        <is>
          <t>WIP</t>
        </is>
      </c>
      <c r="X1717" s="12" t="n"/>
      <c r="Y1717" s="1">
        <f>IF(X1717="","",X1717-A1717)</f>
        <v/>
      </c>
      <c r="Z1717" s="5" t="n">
        <v>46193</v>
      </c>
      <c r="AA1717" s="3" t="n"/>
      <c r="AB1717" s="3" t="n"/>
      <c r="AE1717" s="146">
        <f>IF(AND(F1717="Closed",X1717&gt;=DATE(2026,6,1),X1717&lt;=DATE(2026,6,30)),"Closed in June","other")</f>
        <v/>
      </c>
    </row>
    <row r="1718" hidden="1">
      <c r="A1718" s="49" t="n">
        <v>46177</v>
      </c>
      <c r="B1718" s="1" t="n">
        <v>2026</v>
      </c>
      <c r="C1718" s="8" t="inlineStr">
        <is>
          <t>Ayana</t>
        </is>
      </c>
      <c r="D1718" s="11" t="inlineStr">
        <is>
          <t>Utility and C&amp;I</t>
        </is>
      </c>
      <c r="E1718" s="1" t="n"/>
      <c r="F1718" s="1" t="inlineStr">
        <is>
          <t>WIP</t>
        </is>
      </c>
      <c r="G1718" s="11" t="inlineStr">
        <is>
          <t>Vasu.N</t>
        </is>
      </c>
      <c r="H1718" s="8" t="n">
        <v>9578099893</v>
      </c>
      <c r="I1718" s="10" t="inlineStr">
        <is>
          <t>PE04062601</t>
        </is>
      </c>
      <c r="J1718" s="28" t="inlineStr">
        <is>
          <t>Module burnt</t>
        </is>
      </c>
      <c r="K1718" s="8" t="inlineStr">
        <is>
          <t>Jatavira</t>
        </is>
      </c>
      <c r="L1718" s="39" t="inlineStr">
        <is>
          <t>Gujarat</t>
        </is>
      </c>
      <c r="M1718" s="2" t="inlineStr">
        <is>
          <t xml:space="preserve">Front glass broken with burn spot </t>
        </is>
      </c>
      <c r="N1718" s="6" t="inlineStr">
        <is>
          <t>Glass Breakage with Burn Spot</t>
        </is>
      </c>
      <c r="O1718" s="32" t="n">
        <v>585</v>
      </c>
      <c r="P1718" s="2" t="inlineStr">
        <is>
          <t>NSMI24100572177</t>
        </is>
      </c>
      <c r="Q1718" s="29">
        <f>MID(P1718,5,2)</f>
        <v/>
      </c>
      <c r="R1718" s="14">
        <f>MID(P1718,7,2)</f>
        <v/>
      </c>
      <c r="S1718" s="6" t="inlineStr">
        <is>
          <t>G2G</t>
        </is>
      </c>
      <c r="T1718" s="1" t="inlineStr">
        <is>
          <t>P4 - PEIPL</t>
        </is>
      </c>
      <c r="U1718" s="6" t="inlineStr">
        <is>
          <t>Glass Breakage with Burn Spot</t>
        </is>
      </c>
      <c r="V1718" s="1" t="inlineStr">
        <is>
          <t>Inspection</t>
        </is>
      </c>
      <c r="W1718" s="1" t="inlineStr">
        <is>
          <t>WIP</t>
        </is>
      </c>
      <c r="X1718" s="12" t="n"/>
      <c r="Y1718" s="1">
        <f>IF(X1718="","",X1718-A1718)</f>
        <v/>
      </c>
      <c r="Z1718" s="5" t="n">
        <v>46193</v>
      </c>
      <c r="AA1718" s="3" t="n"/>
      <c r="AB1718" s="3" t="n"/>
      <c r="AE1718" s="146">
        <f>IF(AND(F1718="Closed",X1718&gt;=DATE(2026,6,1),X1718&lt;=DATE(2026,6,30)),"Closed in June","other")</f>
        <v/>
      </c>
    </row>
    <row r="1719" hidden="1">
      <c r="A1719" s="49" t="n">
        <v>46177</v>
      </c>
      <c r="B1719" s="1" t="n">
        <v>2026</v>
      </c>
      <c r="C1719" s="8" t="inlineStr">
        <is>
          <t>Ayana</t>
        </is>
      </c>
      <c r="D1719" s="11" t="inlineStr">
        <is>
          <t>Utility and C&amp;I</t>
        </is>
      </c>
      <c r="E1719" s="1" t="n"/>
      <c r="F1719" s="1" t="inlineStr">
        <is>
          <t>WIP</t>
        </is>
      </c>
      <c r="G1719" s="11" t="inlineStr">
        <is>
          <t>Vasu.N</t>
        </is>
      </c>
      <c r="H1719" s="8" t="n">
        <v>9578099893</v>
      </c>
      <c r="I1719" s="10" t="inlineStr">
        <is>
          <t>PE04062601</t>
        </is>
      </c>
      <c r="J1719" s="28" t="inlineStr">
        <is>
          <t>Module burnt</t>
        </is>
      </c>
      <c r="K1719" s="8" t="inlineStr">
        <is>
          <t>Jatavira</t>
        </is>
      </c>
      <c r="L1719" s="39" t="inlineStr">
        <is>
          <t>Gujarat</t>
        </is>
      </c>
      <c r="M1719" s="2" t="inlineStr">
        <is>
          <t xml:space="preserve">Both glass broken with burn spot </t>
        </is>
      </c>
      <c r="N1719" s="6" t="inlineStr">
        <is>
          <t>Glass Breakage with Burn Spot</t>
        </is>
      </c>
      <c r="O1719" s="32" t="n">
        <v>585</v>
      </c>
      <c r="P1719" s="2" t="inlineStr">
        <is>
          <t>NSMI24100569691</t>
        </is>
      </c>
      <c r="Q1719" s="29">
        <f>MID(P1719,5,2)</f>
        <v/>
      </c>
      <c r="R1719" s="14">
        <f>MID(P1719,7,2)</f>
        <v/>
      </c>
      <c r="S1719" s="6" t="inlineStr">
        <is>
          <t>G2G</t>
        </is>
      </c>
      <c r="T1719" s="1" t="inlineStr">
        <is>
          <t>P4 - PEIPL</t>
        </is>
      </c>
      <c r="U1719" s="6" t="inlineStr">
        <is>
          <t>Glass Breakage with Burn Spot</t>
        </is>
      </c>
      <c r="V1719" s="1" t="inlineStr">
        <is>
          <t>Inspection</t>
        </is>
      </c>
      <c r="W1719" s="1" t="inlineStr">
        <is>
          <t>WIP</t>
        </is>
      </c>
      <c r="X1719" s="12" t="n"/>
      <c r="Y1719" s="1">
        <f>IF(X1719="","",X1719-A1719)</f>
        <v/>
      </c>
      <c r="Z1719" s="5" t="n">
        <v>46193</v>
      </c>
      <c r="AA1719" s="3" t="n"/>
      <c r="AB1719" s="3" t="n"/>
      <c r="AE1719" s="146">
        <f>IF(AND(F1719="Closed",X1719&gt;=DATE(2026,6,1),X1719&lt;=DATE(2026,6,30)),"Closed in June","other")</f>
        <v/>
      </c>
    </row>
    <row r="1720" hidden="1">
      <c r="A1720" s="49" t="n">
        <v>46177</v>
      </c>
      <c r="B1720" s="1" t="n">
        <v>2026</v>
      </c>
      <c r="C1720" s="8" t="inlineStr">
        <is>
          <t>Ayana</t>
        </is>
      </c>
      <c r="D1720" s="11" t="inlineStr">
        <is>
          <t>Utility and C&amp;I</t>
        </is>
      </c>
      <c r="E1720" s="1" t="n"/>
      <c r="F1720" s="1" t="inlineStr">
        <is>
          <t>WIP</t>
        </is>
      </c>
      <c r="G1720" s="11" t="inlineStr">
        <is>
          <t>Vasu.N</t>
        </is>
      </c>
      <c r="H1720" s="8" t="n">
        <v>9578099893</v>
      </c>
      <c r="I1720" s="10" t="inlineStr">
        <is>
          <t>PE04062601</t>
        </is>
      </c>
      <c r="J1720" s="28" t="inlineStr">
        <is>
          <t>Module burnt</t>
        </is>
      </c>
      <c r="K1720" s="8" t="inlineStr">
        <is>
          <t>Jatavira</t>
        </is>
      </c>
      <c r="L1720" s="39" t="inlineStr">
        <is>
          <t>Gujarat</t>
        </is>
      </c>
      <c r="M1720" s="2" t="inlineStr">
        <is>
          <t xml:space="preserve">Burning </t>
        </is>
      </c>
      <c r="N1720" s="6" t="inlineStr">
        <is>
          <t>Module Burn</t>
        </is>
      </c>
      <c r="O1720" s="32" t="n">
        <v>585</v>
      </c>
      <c r="P1720" s="2" t="inlineStr">
        <is>
          <t>NSMI24100584920</t>
        </is>
      </c>
      <c r="Q1720" s="29">
        <f>MID(P1720,5,2)</f>
        <v/>
      </c>
      <c r="R1720" s="14">
        <f>MID(P1720,7,2)</f>
        <v/>
      </c>
      <c r="S1720" s="6" t="inlineStr">
        <is>
          <t>G2G</t>
        </is>
      </c>
      <c r="T1720" s="1" t="inlineStr">
        <is>
          <t>P4 - PEIPL</t>
        </is>
      </c>
      <c r="U1720" s="6" t="inlineStr">
        <is>
          <t>Module Burn</t>
        </is>
      </c>
      <c r="V1720" s="1" t="inlineStr">
        <is>
          <t>Inspection</t>
        </is>
      </c>
      <c r="W1720" s="1" t="inlineStr">
        <is>
          <t>WIP</t>
        </is>
      </c>
      <c r="X1720" s="12" t="n"/>
      <c r="Y1720" s="1">
        <f>IF(X1720="","",X1720-A1720)</f>
        <v/>
      </c>
      <c r="Z1720" s="5" t="n">
        <v>46193</v>
      </c>
      <c r="AA1720" s="3" t="n"/>
      <c r="AB1720" s="3" t="n"/>
      <c r="AE1720" s="146">
        <f>IF(AND(F1720="Closed",X1720&gt;=DATE(2026,6,1),X1720&lt;=DATE(2026,6,30)),"Closed in June","other")</f>
        <v/>
      </c>
    </row>
    <row r="1721" hidden="1">
      <c r="A1721" s="49" t="n">
        <v>46177</v>
      </c>
      <c r="B1721" s="1" t="n">
        <v>2026</v>
      </c>
      <c r="C1721" s="8" t="inlineStr">
        <is>
          <t>Ayana</t>
        </is>
      </c>
      <c r="D1721" s="11" t="inlineStr">
        <is>
          <t>Utility and C&amp;I</t>
        </is>
      </c>
      <c r="E1721" s="1" t="n"/>
      <c r="F1721" s="1" t="inlineStr">
        <is>
          <t>WIP</t>
        </is>
      </c>
      <c r="G1721" s="11" t="inlineStr">
        <is>
          <t>Vasu.N</t>
        </is>
      </c>
      <c r="H1721" s="8" t="n">
        <v>9578099893</v>
      </c>
      <c r="I1721" s="10" t="inlineStr">
        <is>
          <t>PE04062601</t>
        </is>
      </c>
      <c r="J1721" s="28" t="inlineStr">
        <is>
          <t>Module burnt</t>
        </is>
      </c>
      <c r="K1721" s="8" t="inlineStr">
        <is>
          <t>Jatavira</t>
        </is>
      </c>
      <c r="L1721" s="39" t="inlineStr">
        <is>
          <t>Gujarat</t>
        </is>
      </c>
      <c r="M1721" s="2" t="inlineStr">
        <is>
          <t xml:space="preserve">Burning </t>
        </is>
      </c>
      <c r="N1721" s="6" t="inlineStr">
        <is>
          <t>Module Burn</t>
        </is>
      </c>
      <c r="O1721" s="32" t="n">
        <v>585</v>
      </c>
      <c r="P1721" s="2" t="inlineStr">
        <is>
          <t>NSMI24100570535</t>
        </is>
      </c>
      <c r="Q1721" s="29">
        <f>MID(P1721,5,2)</f>
        <v/>
      </c>
      <c r="R1721" s="14">
        <f>MID(P1721,7,2)</f>
        <v/>
      </c>
      <c r="S1721" s="6" t="inlineStr">
        <is>
          <t>G2G</t>
        </is>
      </c>
      <c r="T1721" s="1" t="inlineStr">
        <is>
          <t>P4 - PEIPL</t>
        </is>
      </c>
      <c r="U1721" s="6" t="inlineStr">
        <is>
          <t>Module Burn</t>
        </is>
      </c>
      <c r="V1721" s="1" t="inlineStr">
        <is>
          <t>Inspection</t>
        </is>
      </c>
      <c r="W1721" s="1" t="inlineStr">
        <is>
          <t>WIP</t>
        </is>
      </c>
      <c r="X1721" s="12" t="n"/>
      <c r="Y1721" s="1">
        <f>IF(X1721="","",X1721-A1721)</f>
        <v/>
      </c>
      <c r="Z1721" s="5" t="n">
        <v>46193</v>
      </c>
      <c r="AA1721" s="3" t="n"/>
      <c r="AB1721" s="3" t="n"/>
      <c r="AE1721" s="146">
        <f>IF(AND(F1721="Closed",X1721&gt;=DATE(2026,6,1),X1721&lt;=DATE(2026,6,30)),"Closed in June","other")</f>
        <v/>
      </c>
    </row>
    <row r="1722" hidden="1">
      <c r="A1722" s="49" t="n">
        <v>46177</v>
      </c>
      <c r="B1722" s="1" t="n">
        <v>2026</v>
      </c>
      <c r="C1722" s="8" t="inlineStr">
        <is>
          <t>Ayana</t>
        </is>
      </c>
      <c r="D1722" s="11" t="inlineStr">
        <is>
          <t>Utility and C&amp;I</t>
        </is>
      </c>
      <c r="E1722" s="1" t="n"/>
      <c r="F1722" s="1" t="inlineStr">
        <is>
          <t>WIP</t>
        </is>
      </c>
      <c r="G1722" s="11" t="inlineStr">
        <is>
          <t>Vasu.N</t>
        </is>
      </c>
      <c r="H1722" s="8" t="n">
        <v>9578099893</v>
      </c>
      <c r="I1722" s="10" t="inlineStr">
        <is>
          <t>PE04062601</t>
        </is>
      </c>
      <c r="J1722" s="28" t="inlineStr">
        <is>
          <t>Module burnt</t>
        </is>
      </c>
      <c r="K1722" s="8" t="inlineStr">
        <is>
          <t>Jatavira</t>
        </is>
      </c>
      <c r="L1722" s="39" t="inlineStr">
        <is>
          <t>Gujarat</t>
        </is>
      </c>
      <c r="M1722" s="2" t="inlineStr">
        <is>
          <t xml:space="preserve">Burning </t>
        </is>
      </c>
      <c r="N1722" s="6" t="inlineStr">
        <is>
          <t>Module Burn</t>
        </is>
      </c>
      <c r="O1722" s="32" t="n">
        <v>585</v>
      </c>
      <c r="P1722" s="2" t="inlineStr">
        <is>
          <t>NSMI24100570529</t>
        </is>
      </c>
      <c r="Q1722" s="29">
        <f>MID(P1722,5,2)</f>
        <v/>
      </c>
      <c r="R1722" s="14">
        <f>MID(P1722,7,2)</f>
        <v/>
      </c>
      <c r="S1722" s="6" t="inlineStr">
        <is>
          <t>G2G</t>
        </is>
      </c>
      <c r="T1722" s="1" t="inlineStr">
        <is>
          <t>P4 - PEIPL</t>
        </is>
      </c>
      <c r="U1722" s="6" t="inlineStr">
        <is>
          <t>Module Burn</t>
        </is>
      </c>
      <c r="V1722" s="1" t="inlineStr">
        <is>
          <t>Inspection</t>
        </is>
      </c>
      <c r="W1722" s="1" t="inlineStr">
        <is>
          <t>WIP</t>
        </is>
      </c>
      <c r="X1722" s="12" t="n"/>
      <c r="Y1722" s="1">
        <f>IF(X1722="","",X1722-A1722)</f>
        <v/>
      </c>
      <c r="Z1722" s="5" t="n">
        <v>46193</v>
      </c>
      <c r="AA1722" s="3" t="n"/>
      <c r="AB1722" s="3" t="n"/>
      <c r="AE1722" s="146">
        <f>IF(AND(F1722="Closed",X1722&gt;=DATE(2026,6,1),X1722&lt;=DATE(2026,6,30)),"Closed in June","other")</f>
        <v/>
      </c>
    </row>
    <row r="1723" hidden="1">
      <c r="A1723" s="49" t="n">
        <v>46177</v>
      </c>
      <c r="B1723" s="1" t="n">
        <v>2026</v>
      </c>
      <c r="C1723" s="8" t="inlineStr">
        <is>
          <t>Ayana</t>
        </is>
      </c>
      <c r="D1723" s="11" t="inlineStr">
        <is>
          <t>Utility and C&amp;I</t>
        </is>
      </c>
      <c r="E1723" s="1" t="n"/>
      <c r="F1723" s="1" t="inlineStr">
        <is>
          <t>WIP</t>
        </is>
      </c>
      <c r="G1723" s="11" t="inlineStr">
        <is>
          <t>Vasu.N</t>
        </is>
      </c>
      <c r="H1723" s="8" t="n">
        <v>9578099893</v>
      </c>
      <c r="I1723" s="10" t="inlineStr">
        <is>
          <t>PE04062601</t>
        </is>
      </c>
      <c r="J1723" s="28" t="inlineStr">
        <is>
          <t>Module burnt</t>
        </is>
      </c>
      <c r="K1723" s="8" t="inlineStr">
        <is>
          <t>Jatavira</t>
        </is>
      </c>
      <c r="L1723" s="39" t="inlineStr">
        <is>
          <t>Gujarat</t>
        </is>
      </c>
      <c r="M1723" s="2" t="inlineStr">
        <is>
          <t xml:space="preserve">Both glass broken with burn spot </t>
        </is>
      </c>
      <c r="N1723" s="6" t="inlineStr">
        <is>
          <t>Glass Breakage with Burn Spot</t>
        </is>
      </c>
      <c r="O1723" s="32" t="n">
        <v>585</v>
      </c>
      <c r="P1723" s="2" t="inlineStr">
        <is>
          <t>NSMI24100556311</t>
        </is>
      </c>
      <c r="Q1723" s="29">
        <f>MID(P1723,5,2)</f>
        <v/>
      </c>
      <c r="R1723" s="14">
        <f>MID(P1723,7,2)</f>
        <v/>
      </c>
      <c r="S1723" s="6" t="inlineStr">
        <is>
          <t>G2G</t>
        </is>
      </c>
      <c r="T1723" s="1" t="inlineStr">
        <is>
          <t>P4 - PEIPL</t>
        </is>
      </c>
      <c r="U1723" s="6" t="inlineStr">
        <is>
          <t>Glass Breakage with Burn Spot</t>
        </is>
      </c>
      <c r="V1723" s="1" t="inlineStr">
        <is>
          <t>Inspection</t>
        </is>
      </c>
      <c r="W1723" s="1" t="inlineStr">
        <is>
          <t>WIP</t>
        </is>
      </c>
      <c r="X1723" s="12" t="n"/>
      <c r="Y1723" s="1">
        <f>IF(X1723="","",X1723-A1723)</f>
        <v/>
      </c>
      <c r="Z1723" s="5" t="n">
        <v>46193</v>
      </c>
      <c r="AA1723" s="3" t="n"/>
      <c r="AB1723" s="3" t="n"/>
      <c r="AE1723" s="146">
        <f>IF(AND(F1723="Closed",X1723&gt;=DATE(2026,6,1),X1723&lt;=DATE(2026,6,30)),"Closed in June","other")</f>
        <v/>
      </c>
    </row>
    <row r="1724" hidden="1">
      <c r="A1724" s="9" t="n">
        <v>46106</v>
      </c>
      <c r="B1724" s="1" t="n">
        <v>2026</v>
      </c>
      <c r="C1724" s="8" t="inlineStr">
        <is>
          <t>Asian Fab Tec Ltd</t>
        </is>
      </c>
      <c r="D1724" s="8" t="inlineStr">
        <is>
          <t>Utility and C&amp;I</t>
        </is>
      </c>
      <c r="E1724" s="1" t="n"/>
      <c r="F1724" s="1" t="inlineStr">
        <is>
          <t>Closed</t>
        </is>
      </c>
      <c r="G1724" s="8" t="inlineStr">
        <is>
          <t>Prakash Reddy</t>
        </is>
      </c>
      <c r="H1724" s="8" t="n">
        <v>9945239707</v>
      </c>
      <c r="I1724" s="26" t="inlineStr">
        <is>
          <t>PE25032602</t>
        </is>
      </c>
      <c r="J1724" s="42" t="inlineStr">
        <is>
          <t xml:space="preserve">Junction Box burnt </t>
        </is>
      </c>
      <c r="K1724" s="8" t="inlineStr">
        <is>
          <t>Bangalore</t>
        </is>
      </c>
      <c r="L1724" s="39" t="inlineStr">
        <is>
          <t>Karnataka</t>
        </is>
      </c>
      <c r="M1724" s="34" t="inlineStr">
        <is>
          <t>BB cleaned &amp; JB Replaced</t>
        </is>
      </c>
      <c r="N1724" s="6" t="inlineStr">
        <is>
          <t>JB Issue</t>
        </is>
      </c>
      <c r="O1724" s="39" t="inlineStr">
        <is>
          <t>NA</t>
        </is>
      </c>
      <c r="P1724" s="35" t="inlineStr">
        <is>
          <t>NSM191207750</t>
        </is>
      </c>
      <c r="Q1724" s="29">
        <f>MID(P1724,4,2)</f>
        <v/>
      </c>
      <c r="R1724" s="14">
        <f>MID(P1724,6,2)</f>
        <v/>
      </c>
      <c r="S1724" s="6" t="inlineStr">
        <is>
          <t>G2B</t>
        </is>
      </c>
      <c r="T1724" s="6" t="inlineStr">
        <is>
          <t>NA</t>
        </is>
      </c>
      <c r="U1724" s="6" t="inlineStr">
        <is>
          <t>JB Issue</t>
        </is>
      </c>
      <c r="V1724" s="1" t="inlineStr">
        <is>
          <t>Inspection</t>
        </is>
      </c>
      <c r="W1724" s="1" t="inlineStr">
        <is>
          <t>Repair</t>
        </is>
      </c>
      <c r="X1724" s="5" t="n">
        <v>46193</v>
      </c>
      <c r="Y1724" s="1">
        <f>IF(X1724="","",X1724-A1724)</f>
        <v/>
      </c>
      <c r="Z1724" s="5" t="n">
        <v>46193</v>
      </c>
      <c r="AA1724" s="3" t="n"/>
      <c r="AB1724" s="3" t="n"/>
      <c r="AE1724" s="146">
        <f>IF(AND(F1724="Closed",X1724&gt;=DATE(2026,6,1),X1724&lt;=DATE(2026,6,30)),"Closed in June","other")</f>
        <v/>
      </c>
    </row>
    <row r="1725" hidden="1">
      <c r="A1725" s="9" t="n">
        <v>46106</v>
      </c>
      <c r="B1725" s="1" t="n">
        <v>2026</v>
      </c>
      <c r="C1725" s="8" t="inlineStr">
        <is>
          <t>Asian Fab Tec Ltd</t>
        </is>
      </c>
      <c r="D1725" s="8" t="inlineStr">
        <is>
          <t>Utility and C&amp;I</t>
        </is>
      </c>
      <c r="E1725" s="1" t="n"/>
      <c r="F1725" s="1" t="inlineStr">
        <is>
          <t>Closed</t>
        </is>
      </c>
      <c r="G1725" s="8" t="inlineStr">
        <is>
          <t>Prakash Reddy</t>
        </is>
      </c>
      <c r="H1725" s="8" t="n">
        <v>9945239707</v>
      </c>
      <c r="I1725" s="26" t="inlineStr">
        <is>
          <t>PE25032602</t>
        </is>
      </c>
      <c r="J1725" s="42" t="inlineStr">
        <is>
          <t xml:space="preserve">Junction Box burnt </t>
        </is>
      </c>
      <c r="K1725" s="8" t="inlineStr">
        <is>
          <t>Bangalore</t>
        </is>
      </c>
      <c r="L1725" s="39" t="inlineStr">
        <is>
          <t>Karnataka</t>
        </is>
      </c>
      <c r="M1725" s="34" t="inlineStr">
        <is>
          <t>JB Replaced</t>
        </is>
      </c>
      <c r="N1725" s="6" t="inlineStr">
        <is>
          <t>JB Issue</t>
        </is>
      </c>
      <c r="O1725" s="39" t="inlineStr">
        <is>
          <t>NA</t>
        </is>
      </c>
      <c r="P1725" s="35" t="inlineStr">
        <is>
          <t>NSM191207707</t>
        </is>
      </c>
      <c r="Q1725" s="29">
        <f>MID(P1725,4,2)</f>
        <v/>
      </c>
      <c r="R1725" s="14">
        <f>MID(P1725,6,2)</f>
        <v/>
      </c>
      <c r="S1725" s="6" t="inlineStr">
        <is>
          <t>G2B</t>
        </is>
      </c>
      <c r="T1725" s="6" t="inlineStr">
        <is>
          <t>NA</t>
        </is>
      </c>
      <c r="U1725" s="6" t="inlineStr">
        <is>
          <t>JB Issue</t>
        </is>
      </c>
      <c r="V1725" s="1" t="inlineStr">
        <is>
          <t>Inspection</t>
        </is>
      </c>
      <c r="W1725" s="1" t="inlineStr">
        <is>
          <t>Repair</t>
        </is>
      </c>
      <c r="X1725" s="5" t="n">
        <v>46193</v>
      </c>
      <c r="Y1725" s="1">
        <f>IF(X1725="","",X1725-A1725)</f>
        <v/>
      </c>
      <c r="Z1725" s="5" t="n">
        <v>46193</v>
      </c>
      <c r="AA1725" s="3" t="n"/>
      <c r="AB1725" s="3" t="n"/>
      <c r="AE1725" s="146">
        <f>IF(AND(F1725="Closed",X1725&gt;=DATE(2026,6,1),X1725&lt;=DATE(2026,6,30)),"Closed in June","other")</f>
        <v/>
      </c>
    </row>
    <row r="1726" hidden="1">
      <c r="A1726" s="9" t="n">
        <v>46106</v>
      </c>
      <c r="B1726" s="1" t="n">
        <v>2026</v>
      </c>
      <c r="C1726" s="8" t="inlineStr">
        <is>
          <t>Asian Fab Tec Ltd</t>
        </is>
      </c>
      <c r="D1726" s="8" t="inlineStr">
        <is>
          <t>Utility and C&amp;I</t>
        </is>
      </c>
      <c r="E1726" s="1" t="n"/>
      <c r="F1726" s="1" t="inlineStr">
        <is>
          <t>Closed</t>
        </is>
      </c>
      <c r="G1726" s="8" t="inlineStr">
        <is>
          <t>Prakash Reddy</t>
        </is>
      </c>
      <c r="H1726" s="8" t="n">
        <v>9945239707</v>
      </c>
      <c r="I1726" s="26" t="inlineStr">
        <is>
          <t>PE25032602</t>
        </is>
      </c>
      <c r="J1726" s="42" t="inlineStr">
        <is>
          <t xml:space="preserve">Junction Box burnt </t>
        </is>
      </c>
      <c r="K1726" s="8" t="inlineStr">
        <is>
          <t>Bangalore</t>
        </is>
      </c>
      <c r="L1726" s="39" t="inlineStr">
        <is>
          <t>Karnataka</t>
        </is>
      </c>
      <c r="M1726" s="34" t="inlineStr">
        <is>
          <t>JB Replaced</t>
        </is>
      </c>
      <c r="N1726" s="6" t="inlineStr">
        <is>
          <t>JB Issue</t>
        </is>
      </c>
      <c r="O1726" s="39" t="inlineStr">
        <is>
          <t>NA</t>
        </is>
      </c>
      <c r="P1726" s="35" t="inlineStr">
        <is>
          <t>NSM191206302</t>
        </is>
      </c>
      <c r="Q1726" s="29">
        <f>MID(P1726,4,2)</f>
        <v/>
      </c>
      <c r="R1726" s="14">
        <f>MID(P1726,6,2)</f>
        <v/>
      </c>
      <c r="S1726" s="6" t="inlineStr">
        <is>
          <t>G2B</t>
        </is>
      </c>
      <c r="T1726" s="6" t="inlineStr">
        <is>
          <t>NA</t>
        </is>
      </c>
      <c r="U1726" s="6" t="inlineStr">
        <is>
          <t>JB Issue</t>
        </is>
      </c>
      <c r="V1726" s="1" t="inlineStr">
        <is>
          <t>Inspection</t>
        </is>
      </c>
      <c r="W1726" s="1" t="inlineStr">
        <is>
          <t>Repair</t>
        </is>
      </c>
      <c r="X1726" s="5" t="n">
        <v>46193</v>
      </c>
      <c r="Y1726" s="1">
        <f>IF(X1726="","",X1726-A1726)</f>
        <v/>
      </c>
      <c r="Z1726" s="5" t="n">
        <v>46193</v>
      </c>
      <c r="AA1726" s="3" t="n"/>
      <c r="AB1726" s="3" t="n"/>
      <c r="AE1726" s="146">
        <f>IF(AND(F1726="Closed",X1726&gt;=DATE(2026,6,1),X1726&lt;=DATE(2026,6,30)),"Closed in June","other")</f>
        <v/>
      </c>
    </row>
    <row r="1727" hidden="1">
      <c r="A1727" s="9" t="n">
        <v>46106</v>
      </c>
      <c r="B1727" s="1" t="n">
        <v>2026</v>
      </c>
      <c r="C1727" s="8" t="inlineStr">
        <is>
          <t>Asian Fab Tec Ltd</t>
        </is>
      </c>
      <c r="D1727" s="8" t="inlineStr">
        <is>
          <t>Utility and C&amp;I</t>
        </is>
      </c>
      <c r="E1727" s="1" t="n"/>
      <c r="F1727" s="1" t="inlineStr">
        <is>
          <t>Closed</t>
        </is>
      </c>
      <c r="G1727" s="8" t="inlineStr">
        <is>
          <t>Prakash Reddy</t>
        </is>
      </c>
      <c r="H1727" s="8" t="n">
        <v>9945239707</v>
      </c>
      <c r="I1727" s="26" t="inlineStr">
        <is>
          <t>PE25032602</t>
        </is>
      </c>
      <c r="J1727" s="42" t="inlineStr">
        <is>
          <t xml:space="preserve">Junction Box burnt </t>
        </is>
      </c>
      <c r="K1727" s="8" t="inlineStr">
        <is>
          <t>Bangalore</t>
        </is>
      </c>
      <c r="L1727" s="39" t="inlineStr">
        <is>
          <t>Karnataka</t>
        </is>
      </c>
      <c r="M1727" s="34" t="inlineStr">
        <is>
          <t>JB Replaced</t>
        </is>
      </c>
      <c r="N1727" s="6" t="inlineStr">
        <is>
          <t>JB Issue</t>
        </is>
      </c>
      <c r="O1727" s="39" t="inlineStr">
        <is>
          <t>NA</t>
        </is>
      </c>
      <c r="P1727" s="35" t="inlineStr">
        <is>
          <t>NSM191206716</t>
        </is>
      </c>
      <c r="Q1727" s="29">
        <f>MID(P1727,4,2)</f>
        <v/>
      </c>
      <c r="R1727" s="14">
        <f>MID(P1727,6,2)</f>
        <v/>
      </c>
      <c r="S1727" s="6" t="inlineStr">
        <is>
          <t>G2B</t>
        </is>
      </c>
      <c r="T1727" s="6" t="inlineStr">
        <is>
          <t>NA</t>
        </is>
      </c>
      <c r="U1727" s="6" t="inlineStr">
        <is>
          <t>JB Issue</t>
        </is>
      </c>
      <c r="V1727" s="1" t="inlineStr">
        <is>
          <t>Inspection</t>
        </is>
      </c>
      <c r="W1727" s="1" t="inlineStr">
        <is>
          <t>Repair</t>
        </is>
      </c>
      <c r="X1727" s="5" t="n">
        <v>46193</v>
      </c>
      <c r="Y1727" s="1">
        <f>IF(X1727="","",X1727-A1727)</f>
        <v/>
      </c>
      <c r="Z1727" s="5" t="n">
        <v>46193</v>
      </c>
      <c r="AA1727" s="3" t="n"/>
      <c r="AB1727" s="3" t="n"/>
      <c r="AE1727" s="146">
        <f>IF(AND(F1727="Closed",X1727&gt;=DATE(2026,6,1),X1727&lt;=DATE(2026,6,30)),"Closed in June","other")</f>
        <v/>
      </c>
    </row>
    <row r="1728" hidden="1">
      <c r="A1728" s="9" t="n">
        <v>46106</v>
      </c>
      <c r="B1728" s="1" t="n">
        <v>2026</v>
      </c>
      <c r="C1728" s="8" t="inlineStr">
        <is>
          <t>Asian Fab Tec Ltd</t>
        </is>
      </c>
      <c r="D1728" s="8" t="inlineStr">
        <is>
          <t>Utility and C&amp;I</t>
        </is>
      </c>
      <c r="E1728" s="1" t="n"/>
      <c r="F1728" s="1" t="inlineStr">
        <is>
          <t>Closed</t>
        </is>
      </c>
      <c r="G1728" s="8" t="inlineStr">
        <is>
          <t>Prakash Reddy</t>
        </is>
      </c>
      <c r="H1728" s="8" t="n">
        <v>9945239707</v>
      </c>
      <c r="I1728" s="26" t="inlineStr">
        <is>
          <t>PE25032602</t>
        </is>
      </c>
      <c r="J1728" s="42" t="inlineStr">
        <is>
          <t xml:space="preserve">Junction Box burnt </t>
        </is>
      </c>
      <c r="K1728" s="8" t="inlineStr">
        <is>
          <t>Bangalore</t>
        </is>
      </c>
      <c r="L1728" s="39" t="inlineStr">
        <is>
          <t>Karnataka</t>
        </is>
      </c>
      <c r="M1728" s="34" t="inlineStr">
        <is>
          <t>JB Replaced</t>
        </is>
      </c>
      <c r="N1728" s="6" t="inlineStr">
        <is>
          <t>JB Issue</t>
        </is>
      </c>
      <c r="O1728" s="39" t="inlineStr">
        <is>
          <t>NA</t>
        </is>
      </c>
      <c r="P1728" s="35" t="inlineStr">
        <is>
          <t>NSM191206125</t>
        </is>
      </c>
      <c r="Q1728" s="29">
        <f>MID(P1728,4,2)</f>
        <v/>
      </c>
      <c r="R1728" s="14">
        <f>MID(P1728,6,2)</f>
        <v/>
      </c>
      <c r="S1728" s="6" t="inlineStr">
        <is>
          <t>G2B</t>
        </is>
      </c>
      <c r="T1728" s="6" t="inlineStr">
        <is>
          <t>NA</t>
        </is>
      </c>
      <c r="U1728" s="6" t="inlineStr">
        <is>
          <t>JB Issue</t>
        </is>
      </c>
      <c r="V1728" s="1" t="inlineStr">
        <is>
          <t>Inspection</t>
        </is>
      </c>
      <c r="W1728" s="1" t="inlineStr">
        <is>
          <t>Repair</t>
        </is>
      </c>
      <c r="X1728" s="5" t="n">
        <v>46193</v>
      </c>
      <c r="Y1728" s="1">
        <f>IF(X1728="","",X1728-A1728)</f>
        <v/>
      </c>
      <c r="Z1728" s="5" t="n">
        <v>46193</v>
      </c>
      <c r="AA1728" s="3" t="n"/>
      <c r="AB1728" s="3" t="n"/>
      <c r="AE1728" s="146">
        <f>IF(AND(F1728="Closed",X1728&gt;=DATE(2026,6,1),X1728&lt;=DATE(2026,6,30)),"Closed in June","other")</f>
        <v/>
      </c>
    </row>
    <row r="1729" hidden="1">
      <c r="A1729" s="9" t="n">
        <v>46106</v>
      </c>
      <c r="B1729" s="1" t="n">
        <v>2026</v>
      </c>
      <c r="C1729" s="8" t="inlineStr">
        <is>
          <t>Asian Fab Tec Ltd</t>
        </is>
      </c>
      <c r="D1729" s="8" t="inlineStr">
        <is>
          <t>Utility and C&amp;I</t>
        </is>
      </c>
      <c r="E1729" s="1" t="n"/>
      <c r="F1729" s="1" t="inlineStr">
        <is>
          <t>Closed</t>
        </is>
      </c>
      <c r="G1729" s="8" t="inlineStr">
        <is>
          <t>Prakash Reddy</t>
        </is>
      </c>
      <c r="H1729" s="8" t="n">
        <v>9945239707</v>
      </c>
      <c r="I1729" s="26" t="inlineStr">
        <is>
          <t>PE25032602</t>
        </is>
      </c>
      <c r="J1729" s="42" t="inlineStr">
        <is>
          <t xml:space="preserve">Junction Box burnt </t>
        </is>
      </c>
      <c r="K1729" s="8" t="inlineStr">
        <is>
          <t>Bangalore</t>
        </is>
      </c>
      <c r="L1729" s="39" t="inlineStr">
        <is>
          <t>Karnataka</t>
        </is>
      </c>
      <c r="M1729" s="34" t="inlineStr">
        <is>
          <t>JB Replaced</t>
        </is>
      </c>
      <c r="N1729" s="6" t="inlineStr">
        <is>
          <t>JB Issue</t>
        </is>
      </c>
      <c r="O1729" s="39" t="inlineStr">
        <is>
          <t>NA</t>
        </is>
      </c>
      <c r="P1729" s="35" t="inlineStr">
        <is>
          <t>NSM191207717</t>
        </is>
      </c>
      <c r="Q1729" s="29">
        <f>MID(P1729,4,2)</f>
        <v/>
      </c>
      <c r="R1729" s="14">
        <f>MID(P1729,6,2)</f>
        <v/>
      </c>
      <c r="S1729" s="6" t="inlineStr">
        <is>
          <t>G2B</t>
        </is>
      </c>
      <c r="T1729" s="6" t="inlineStr">
        <is>
          <t>NA</t>
        </is>
      </c>
      <c r="U1729" s="6" t="inlineStr">
        <is>
          <t>JB Issue</t>
        </is>
      </c>
      <c r="V1729" s="1" t="inlineStr">
        <is>
          <t>Inspection</t>
        </is>
      </c>
      <c r="W1729" s="1" t="inlineStr">
        <is>
          <t>Repair</t>
        </is>
      </c>
      <c r="X1729" s="5" t="n">
        <v>46193</v>
      </c>
      <c r="Y1729" s="1">
        <f>IF(X1729="","",X1729-A1729)</f>
        <v/>
      </c>
      <c r="Z1729" s="5" t="n">
        <v>46193</v>
      </c>
      <c r="AA1729" s="3" t="n"/>
      <c r="AB1729" s="3" t="n"/>
      <c r="AE1729" s="146">
        <f>IF(AND(F1729="Closed",X1729&gt;=DATE(2026,6,1),X1729&lt;=DATE(2026,6,30)),"Closed in June","other")</f>
        <v/>
      </c>
    </row>
    <row r="1730" hidden="1">
      <c r="A1730" s="9" t="n">
        <v>46106</v>
      </c>
      <c r="B1730" s="1" t="n">
        <v>2026</v>
      </c>
      <c r="C1730" s="8" t="inlineStr">
        <is>
          <t>Asian Fab Tec Ltd</t>
        </is>
      </c>
      <c r="D1730" s="8" t="inlineStr">
        <is>
          <t>Utility and C&amp;I</t>
        </is>
      </c>
      <c r="E1730" s="1" t="n"/>
      <c r="F1730" s="1" t="inlineStr">
        <is>
          <t>Closed</t>
        </is>
      </c>
      <c r="G1730" s="8" t="inlineStr">
        <is>
          <t>Prakash Reddy</t>
        </is>
      </c>
      <c r="H1730" s="8" t="n">
        <v>9945239707</v>
      </c>
      <c r="I1730" s="26" t="inlineStr">
        <is>
          <t>PE25032602</t>
        </is>
      </c>
      <c r="J1730" s="42" t="inlineStr">
        <is>
          <t xml:space="preserve">Junction Box burnt </t>
        </is>
      </c>
      <c r="K1730" s="8" t="inlineStr">
        <is>
          <t>Bangalore</t>
        </is>
      </c>
      <c r="L1730" s="39" t="inlineStr">
        <is>
          <t>Karnataka</t>
        </is>
      </c>
      <c r="M1730" s="34" t="inlineStr">
        <is>
          <t>JB Replaced</t>
        </is>
      </c>
      <c r="N1730" s="6" t="inlineStr">
        <is>
          <t>JB Issue</t>
        </is>
      </c>
      <c r="O1730" s="39" t="inlineStr">
        <is>
          <t>NA</t>
        </is>
      </c>
      <c r="P1730" s="35" t="inlineStr">
        <is>
          <t>NSM191206718</t>
        </is>
      </c>
      <c r="Q1730" s="29">
        <f>MID(P1730,4,2)</f>
        <v/>
      </c>
      <c r="R1730" s="14">
        <f>MID(P1730,6,2)</f>
        <v/>
      </c>
      <c r="S1730" s="6" t="inlineStr">
        <is>
          <t>G2B</t>
        </is>
      </c>
      <c r="T1730" s="6" t="inlineStr">
        <is>
          <t>NA</t>
        </is>
      </c>
      <c r="U1730" s="6" t="inlineStr">
        <is>
          <t>JB Issue</t>
        </is>
      </c>
      <c r="V1730" s="1" t="inlineStr">
        <is>
          <t>Inspection</t>
        </is>
      </c>
      <c r="W1730" s="1" t="inlineStr">
        <is>
          <t>Repair</t>
        </is>
      </c>
      <c r="X1730" s="5" t="n">
        <v>46193</v>
      </c>
      <c r="Y1730" s="1">
        <f>IF(X1730="","",X1730-A1730)</f>
        <v/>
      </c>
      <c r="Z1730" s="5" t="n">
        <v>46193</v>
      </c>
      <c r="AA1730" s="3" t="n"/>
      <c r="AB1730" s="3" t="n"/>
      <c r="AE1730" s="146">
        <f>IF(AND(F1730="Closed",X1730&gt;=DATE(2026,6,1),X1730&lt;=DATE(2026,6,30)),"Closed in June","other")</f>
        <v/>
      </c>
    </row>
    <row r="1731" hidden="1">
      <c r="A1731" s="9" t="n">
        <v>46106</v>
      </c>
      <c r="B1731" s="1" t="n">
        <v>2026</v>
      </c>
      <c r="C1731" s="8" t="inlineStr">
        <is>
          <t>Asian Fab Tec Ltd</t>
        </is>
      </c>
      <c r="D1731" s="8" t="inlineStr">
        <is>
          <t>Utility and C&amp;I</t>
        </is>
      </c>
      <c r="E1731" s="1" t="n"/>
      <c r="F1731" s="1" t="inlineStr">
        <is>
          <t>Closed</t>
        </is>
      </c>
      <c r="G1731" s="8" t="inlineStr">
        <is>
          <t>Prakash Reddy</t>
        </is>
      </c>
      <c r="H1731" s="8" t="n">
        <v>9945239707</v>
      </c>
      <c r="I1731" s="26" t="inlineStr">
        <is>
          <t>PE25032602</t>
        </is>
      </c>
      <c r="J1731" s="42" t="inlineStr">
        <is>
          <t xml:space="preserve">Junction Box burnt </t>
        </is>
      </c>
      <c r="K1731" s="8" t="inlineStr">
        <is>
          <t>Bangalore</t>
        </is>
      </c>
      <c r="L1731" s="39" t="inlineStr">
        <is>
          <t>Karnataka</t>
        </is>
      </c>
      <c r="M1731" s="34" t="inlineStr">
        <is>
          <t>JB Replaced</t>
        </is>
      </c>
      <c r="N1731" s="6" t="inlineStr">
        <is>
          <t>JB Issue</t>
        </is>
      </c>
      <c r="O1731" s="39" t="inlineStr">
        <is>
          <t>NA</t>
        </is>
      </c>
      <c r="P1731" s="35" t="inlineStr">
        <is>
          <t>NSM191206135</t>
        </is>
      </c>
      <c r="Q1731" s="29">
        <f>MID(P1731,4,2)</f>
        <v/>
      </c>
      <c r="R1731" s="14">
        <f>MID(P1731,6,2)</f>
        <v/>
      </c>
      <c r="S1731" s="6" t="inlineStr">
        <is>
          <t>G2B</t>
        </is>
      </c>
      <c r="T1731" s="6" t="inlineStr">
        <is>
          <t>NA</t>
        </is>
      </c>
      <c r="U1731" s="6" t="inlineStr">
        <is>
          <t>JB Issue</t>
        </is>
      </c>
      <c r="V1731" s="1" t="inlineStr">
        <is>
          <t>Inspection</t>
        </is>
      </c>
      <c r="W1731" s="1" t="inlineStr">
        <is>
          <t>Repair</t>
        </is>
      </c>
      <c r="X1731" s="5" t="n">
        <v>46193</v>
      </c>
      <c r="Y1731" s="1">
        <f>IF(X1731="","",X1731-A1731)</f>
        <v/>
      </c>
      <c r="Z1731" s="5" t="n">
        <v>46193</v>
      </c>
      <c r="AA1731" s="3" t="n"/>
      <c r="AB1731" s="3" t="n"/>
      <c r="AE1731" s="146">
        <f>IF(AND(F1731="Closed",X1731&gt;=DATE(2026,6,1),X1731&lt;=DATE(2026,6,30)),"Closed in June","other")</f>
        <v/>
      </c>
    </row>
    <row r="1732" hidden="1">
      <c r="A1732" s="9" t="n">
        <v>46106</v>
      </c>
      <c r="B1732" s="1" t="n">
        <v>2026</v>
      </c>
      <c r="C1732" s="8" t="inlineStr">
        <is>
          <t>Asian Fab Tec Ltd</t>
        </is>
      </c>
      <c r="D1732" s="8" t="inlineStr">
        <is>
          <t>Utility and C&amp;I</t>
        </is>
      </c>
      <c r="E1732" s="1" t="n"/>
      <c r="F1732" s="1" t="inlineStr">
        <is>
          <t>Closed</t>
        </is>
      </c>
      <c r="G1732" s="8" t="inlineStr">
        <is>
          <t>Prakash Reddy</t>
        </is>
      </c>
      <c r="H1732" s="8" t="n">
        <v>9945239707</v>
      </c>
      <c r="I1732" s="26" t="inlineStr">
        <is>
          <t>PE25032602</t>
        </is>
      </c>
      <c r="J1732" s="42" t="inlineStr">
        <is>
          <t xml:space="preserve">Junction Box burnt </t>
        </is>
      </c>
      <c r="K1732" s="8" t="inlineStr">
        <is>
          <t>Bangalore</t>
        </is>
      </c>
      <c r="L1732" s="39" t="inlineStr">
        <is>
          <t>Karnataka</t>
        </is>
      </c>
      <c r="M1732" s="34" t="inlineStr">
        <is>
          <t>JB Replaced</t>
        </is>
      </c>
      <c r="N1732" s="6" t="inlineStr">
        <is>
          <t>JB Issue</t>
        </is>
      </c>
      <c r="O1732" s="39" t="inlineStr">
        <is>
          <t>NA</t>
        </is>
      </c>
      <c r="P1732" s="35" t="inlineStr">
        <is>
          <t>NSM191207752</t>
        </is>
      </c>
      <c r="Q1732" s="29">
        <f>MID(P1732,4,2)</f>
        <v/>
      </c>
      <c r="R1732" s="14">
        <f>MID(P1732,6,2)</f>
        <v/>
      </c>
      <c r="S1732" s="6" t="inlineStr">
        <is>
          <t>G2B</t>
        </is>
      </c>
      <c r="T1732" s="6" t="inlineStr">
        <is>
          <t>NA</t>
        </is>
      </c>
      <c r="U1732" s="6" t="inlineStr">
        <is>
          <t>JB Issue</t>
        </is>
      </c>
      <c r="V1732" s="1" t="inlineStr">
        <is>
          <t>Inspection</t>
        </is>
      </c>
      <c r="W1732" s="1" t="inlineStr">
        <is>
          <t>Repair</t>
        </is>
      </c>
      <c r="X1732" s="5" t="n">
        <v>46193</v>
      </c>
      <c r="Y1732" s="1">
        <f>IF(X1732="","",X1732-A1732)</f>
        <v/>
      </c>
      <c r="Z1732" s="5" t="n">
        <v>46193</v>
      </c>
      <c r="AA1732" s="3" t="n"/>
      <c r="AB1732" s="3" t="n"/>
      <c r="AE1732" s="146">
        <f>IF(AND(F1732="Closed",X1732&gt;=DATE(2026,6,1),X1732&lt;=DATE(2026,6,30)),"Closed in June","other")</f>
        <v/>
      </c>
    </row>
    <row r="1733" hidden="1">
      <c r="A1733" s="9" t="n">
        <v>46106</v>
      </c>
      <c r="B1733" s="1" t="n">
        <v>2026</v>
      </c>
      <c r="C1733" s="8" t="inlineStr">
        <is>
          <t>Asian Fab Tec Ltd</t>
        </is>
      </c>
      <c r="D1733" s="8" t="inlineStr">
        <is>
          <t>Utility and C&amp;I</t>
        </is>
      </c>
      <c r="E1733" s="1" t="n"/>
      <c r="F1733" s="1" t="inlineStr">
        <is>
          <t>Closed</t>
        </is>
      </c>
      <c r="G1733" s="8" t="inlineStr">
        <is>
          <t>Prakash Reddy</t>
        </is>
      </c>
      <c r="H1733" s="8" t="n">
        <v>9945239707</v>
      </c>
      <c r="I1733" s="26" t="inlineStr">
        <is>
          <t>PE25032602</t>
        </is>
      </c>
      <c r="J1733" s="42" t="inlineStr">
        <is>
          <t xml:space="preserve">Junction Box burnt </t>
        </is>
      </c>
      <c r="K1733" s="8" t="inlineStr">
        <is>
          <t>Bangalore</t>
        </is>
      </c>
      <c r="L1733" s="39" t="inlineStr">
        <is>
          <t>Karnataka</t>
        </is>
      </c>
      <c r="M1733" s="34" t="inlineStr">
        <is>
          <t>BB cleaned &amp; JB Replaced</t>
        </is>
      </c>
      <c r="N1733" s="6" t="inlineStr">
        <is>
          <t>JB Issue</t>
        </is>
      </c>
      <c r="O1733" s="39" t="inlineStr">
        <is>
          <t>NA</t>
        </is>
      </c>
      <c r="P1733" s="35" t="inlineStr">
        <is>
          <t>NSM191205853</t>
        </is>
      </c>
      <c r="Q1733" s="29">
        <f>MID(P1733,4,2)</f>
        <v/>
      </c>
      <c r="R1733" s="14">
        <f>MID(P1733,6,2)</f>
        <v/>
      </c>
      <c r="S1733" s="6" t="inlineStr">
        <is>
          <t>G2B</t>
        </is>
      </c>
      <c r="T1733" s="6" t="inlineStr">
        <is>
          <t>NA</t>
        </is>
      </c>
      <c r="U1733" s="6" t="inlineStr">
        <is>
          <t>JB Issue</t>
        </is>
      </c>
      <c r="V1733" s="1" t="inlineStr">
        <is>
          <t>Inspection</t>
        </is>
      </c>
      <c r="W1733" s="1" t="inlineStr">
        <is>
          <t>Repair</t>
        </is>
      </c>
      <c r="X1733" s="5" t="n">
        <v>46193</v>
      </c>
      <c r="Y1733" s="1">
        <f>IF(X1733="","",X1733-A1733)</f>
        <v/>
      </c>
      <c r="Z1733" s="5" t="n">
        <v>46193</v>
      </c>
      <c r="AA1733" s="3" t="n"/>
      <c r="AB1733" s="3" t="n"/>
      <c r="AE1733" s="146">
        <f>IF(AND(F1733="Closed",X1733&gt;=DATE(2026,6,1),X1733&lt;=DATE(2026,6,30)),"Closed in June","other")</f>
        <v/>
      </c>
    </row>
    <row r="1734" hidden="1">
      <c r="A1734" s="9" t="n">
        <v>46106</v>
      </c>
      <c r="B1734" s="1" t="n">
        <v>2026</v>
      </c>
      <c r="C1734" s="8" t="inlineStr">
        <is>
          <t>Asian Fab Tec Ltd</t>
        </is>
      </c>
      <c r="D1734" s="8" t="inlineStr">
        <is>
          <t>Utility and C&amp;I</t>
        </is>
      </c>
      <c r="E1734" s="1" t="n"/>
      <c r="F1734" s="1" t="inlineStr">
        <is>
          <t>Closed</t>
        </is>
      </c>
      <c r="G1734" s="8" t="inlineStr">
        <is>
          <t>Prakash Reddy</t>
        </is>
      </c>
      <c r="H1734" s="8" t="n">
        <v>9945239707</v>
      </c>
      <c r="I1734" s="26" t="inlineStr">
        <is>
          <t>PE25032602</t>
        </is>
      </c>
      <c r="J1734" s="42" t="inlineStr">
        <is>
          <t xml:space="preserve">Junction Box burnt </t>
        </is>
      </c>
      <c r="K1734" s="8" t="inlineStr">
        <is>
          <t>Bangalore</t>
        </is>
      </c>
      <c r="L1734" s="39" t="inlineStr">
        <is>
          <t>Karnataka</t>
        </is>
      </c>
      <c r="M1734" s="34" t="inlineStr">
        <is>
          <t>Replaced missing BB, BB cleaned &amp; JB Replaced</t>
        </is>
      </c>
      <c r="N1734" s="6" t="inlineStr">
        <is>
          <t>JB Issue</t>
        </is>
      </c>
      <c r="O1734" s="39" t="inlineStr">
        <is>
          <t>NA</t>
        </is>
      </c>
      <c r="P1734" s="35" t="inlineStr">
        <is>
          <t>NSM191206518</t>
        </is>
      </c>
      <c r="Q1734" s="29">
        <f>MID(P1734,4,2)</f>
        <v/>
      </c>
      <c r="R1734" s="14">
        <f>MID(P1734,6,2)</f>
        <v/>
      </c>
      <c r="S1734" s="6" t="inlineStr">
        <is>
          <t>G2B</t>
        </is>
      </c>
      <c r="T1734" s="6" t="inlineStr">
        <is>
          <t>NA</t>
        </is>
      </c>
      <c r="U1734" s="6" t="inlineStr">
        <is>
          <t>JB Issue</t>
        </is>
      </c>
      <c r="V1734" s="1" t="inlineStr">
        <is>
          <t>Inspection</t>
        </is>
      </c>
      <c r="W1734" s="1" t="inlineStr">
        <is>
          <t>Repair</t>
        </is>
      </c>
      <c r="X1734" s="5" t="n">
        <v>46193</v>
      </c>
      <c r="Y1734" s="1">
        <f>IF(X1734="","",X1734-A1734)</f>
        <v/>
      </c>
      <c r="Z1734" s="5" t="n">
        <v>46193</v>
      </c>
      <c r="AA1734" s="3" t="n"/>
      <c r="AB1734" s="3" t="n"/>
      <c r="AE1734" s="146">
        <f>IF(AND(F1734="Closed",X1734&gt;=DATE(2026,6,1),X1734&lt;=DATE(2026,6,30)),"Closed in June","other")</f>
        <v/>
      </c>
    </row>
    <row r="1735" hidden="1">
      <c r="A1735" s="9" t="n">
        <v>46106</v>
      </c>
      <c r="B1735" s="1" t="n">
        <v>2026</v>
      </c>
      <c r="C1735" s="8" t="inlineStr">
        <is>
          <t>Asian Fab Tec Ltd</t>
        </is>
      </c>
      <c r="D1735" s="8" t="inlineStr">
        <is>
          <t>Utility and C&amp;I</t>
        </is>
      </c>
      <c r="E1735" s="1" t="n"/>
      <c r="F1735" s="1" t="inlineStr">
        <is>
          <t>Closed</t>
        </is>
      </c>
      <c r="G1735" s="8" t="inlineStr">
        <is>
          <t>Prakash Reddy</t>
        </is>
      </c>
      <c r="H1735" s="8" t="n">
        <v>9945239707</v>
      </c>
      <c r="I1735" s="26" t="inlineStr">
        <is>
          <t>PE25032602</t>
        </is>
      </c>
      <c r="J1735" s="42" t="inlineStr">
        <is>
          <t xml:space="preserve">Junction Box burnt </t>
        </is>
      </c>
      <c r="K1735" s="8" t="inlineStr">
        <is>
          <t>Bangalore</t>
        </is>
      </c>
      <c r="L1735" s="39" t="inlineStr">
        <is>
          <t>Karnataka</t>
        </is>
      </c>
      <c r="M1735" s="34" t="inlineStr">
        <is>
          <t>BB cleaned &amp; JB Replaced</t>
        </is>
      </c>
      <c r="N1735" s="6" t="inlineStr">
        <is>
          <t>JB Issue</t>
        </is>
      </c>
      <c r="O1735" s="39" t="inlineStr">
        <is>
          <t>NA</t>
        </is>
      </c>
      <c r="P1735" s="35" t="inlineStr">
        <is>
          <t>NSM191207600</t>
        </is>
      </c>
      <c r="Q1735" s="29">
        <f>MID(P1735,4,2)</f>
        <v/>
      </c>
      <c r="R1735" s="14">
        <f>MID(P1735,6,2)</f>
        <v/>
      </c>
      <c r="S1735" s="6" t="inlineStr">
        <is>
          <t>G2B</t>
        </is>
      </c>
      <c r="T1735" s="6" t="inlineStr">
        <is>
          <t>NA</t>
        </is>
      </c>
      <c r="U1735" s="6" t="inlineStr">
        <is>
          <t>JB Issue</t>
        </is>
      </c>
      <c r="V1735" s="1" t="inlineStr">
        <is>
          <t>Inspection</t>
        </is>
      </c>
      <c r="W1735" s="1" t="inlineStr">
        <is>
          <t>Repair</t>
        </is>
      </c>
      <c r="X1735" s="5" t="n">
        <v>46193</v>
      </c>
      <c r="Y1735" s="1">
        <f>IF(X1735="","",X1735-A1735)</f>
        <v/>
      </c>
      <c r="Z1735" s="5" t="n">
        <v>46193</v>
      </c>
      <c r="AA1735" s="3" t="n"/>
      <c r="AB1735" s="3" t="n"/>
      <c r="AE1735" s="146">
        <f>IF(AND(F1735="Closed",X1735&gt;=DATE(2026,6,1),X1735&lt;=DATE(2026,6,30)),"Closed in June","other")</f>
        <v/>
      </c>
    </row>
    <row r="1736" hidden="1">
      <c r="A1736" s="9" t="n">
        <v>46106</v>
      </c>
      <c r="B1736" s="1" t="n">
        <v>2026</v>
      </c>
      <c r="C1736" s="8" t="inlineStr">
        <is>
          <t>Asian Fab Tec Ltd</t>
        </is>
      </c>
      <c r="D1736" s="8" t="inlineStr">
        <is>
          <t>Utility and C&amp;I</t>
        </is>
      </c>
      <c r="E1736" s="1" t="n"/>
      <c r="F1736" s="1" t="inlineStr">
        <is>
          <t>Closed</t>
        </is>
      </c>
      <c r="G1736" s="8" t="inlineStr">
        <is>
          <t>Prakash Reddy</t>
        </is>
      </c>
      <c r="H1736" s="8" t="n">
        <v>9945239707</v>
      </c>
      <c r="I1736" s="26" t="inlineStr">
        <is>
          <t>PE25032602</t>
        </is>
      </c>
      <c r="J1736" s="42" t="inlineStr">
        <is>
          <t xml:space="preserve">Junction Box burnt </t>
        </is>
      </c>
      <c r="K1736" s="8" t="inlineStr">
        <is>
          <t>Bangalore</t>
        </is>
      </c>
      <c r="L1736" s="39" t="inlineStr">
        <is>
          <t>Karnataka</t>
        </is>
      </c>
      <c r="M1736" s="34" t="inlineStr">
        <is>
          <t>JB Replaced</t>
        </is>
      </c>
      <c r="N1736" s="6" t="inlineStr">
        <is>
          <t>JB Issue</t>
        </is>
      </c>
      <c r="O1736" s="39" t="inlineStr">
        <is>
          <t>NA</t>
        </is>
      </c>
      <c r="P1736" s="35" t="inlineStr">
        <is>
          <t>NSM191200511</t>
        </is>
      </c>
      <c r="Q1736" s="29">
        <f>MID(P1736,4,2)</f>
        <v/>
      </c>
      <c r="R1736" s="14">
        <f>MID(P1736,6,2)</f>
        <v/>
      </c>
      <c r="S1736" s="6" t="inlineStr">
        <is>
          <t>G2B</t>
        </is>
      </c>
      <c r="T1736" s="6" t="inlineStr">
        <is>
          <t>NA</t>
        </is>
      </c>
      <c r="U1736" s="6" t="inlineStr">
        <is>
          <t>JB Issue</t>
        </is>
      </c>
      <c r="V1736" s="1" t="inlineStr">
        <is>
          <t>Inspection</t>
        </is>
      </c>
      <c r="W1736" s="1" t="inlineStr">
        <is>
          <t>Repair</t>
        </is>
      </c>
      <c r="X1736" s="5" t="n">
        <v>46193</v>
      </c>
      <c r="Y1736" s="1">
        <f>IF(X1736="","",X1736-A1736)</f>
        <v/>
      </c>
      <c r="Z1736" s="5" t="n">
        <v>46193</v>
      </c>
      <c r="AA1736" s="3" t="n"/>
      <c r="AB1736" s="3" t="n"/>
      <c r="AE1736" s="146">
        <f>IF(AND(F1736="Closed",X1736&gt;=DATE(2026,6,1),X1736&lt;=DATE(2026,6,30)),"Closed in June","other")</f>
        <v/>
      </c>
    </row>
    <row r="1737" hidden="1">
      <c r="A1737" s="9" t="n">
        <v>46106</v>
      </c>
      <c r="B1737" s="1" t="n">
        <v>2026</v>
      </c>
      <c r="C1737" s="8" t="inlineStr">
        <is>
          <t>Asian Fab Tec Ltd</t>
        </is>
      </c>
      <c r="D1737" s="8" t="inlineStr">
        <is>
          <t>Utility and C&amp;I</t>
        </is>
      </c>
      <c r="E1737" s="1" t="n"/>
      <c r="F1737" s="1" t="inlineStr">
        <is>
          <t>Closed</t>
        </is>
      </c>
      <c r="G1737" s="8" t="inlineStr">
        <is>
          <t>Prakash Reddy</t>
        </is>
      </c>
      <c r="H1737" s="8" t="n">
        <v>9945239707</v>
      </c>
      <c r="I1737" s="26" t="inlineStr">
        <is>
          <t>PE25032602</t>
        </is>
      </c>
      <c r="J1737" s="42" t="inlineStr">
        <is>
          <t xml:space="preserve">Junction Box burnt </t>
        </is>
      </c>
      <c r="K1737" s="8" t="inlineStr">
        <is>
          <t>Bangalore</t>
        </is>
      </c>
      <c r="L1737" s="39" t="inlineStr">
        <is>
          <t>Karnataka</t>
        </is>
      </c>
      <c r="M1737" s="34" t="inlineStr">
        <is>
          <t>JB Replaced</t>
        </is>
      </c>
      <c r="N1737" s="6" t="inlineStr">
        <is>
          <t>JB Issue</t>
        </is>
      </c>
      <c r="O1737" s="39" t="inlineStr">
        <is>
          <t>NA</t>
        </is>
      </c>
      <c r="P1737" s="35" t="inlineStr">
        <is>
          <t>NSM191200575</t>
        </is>
      </c>
      <c r="Q1737" s="29">
        <f>MID(P1737,4,2)</f>
        <v/>
      </c>
      <c r="R1737" s="14">
        <f>MID(P1737,6,2)</f>
        <v/>
      </c>
      <c r="S1737" s="6" t="inlineStr">
        <is>
          <t>G2B</t>
        </is>
      </c>
      <c r="T1737" s="6" t="inlineStr">
        <is>
          <t>NA</t>
        </is>
      </c>
      <c r="U1737" s="6" t="inlineStr">
        <is>
          <t>JB Issue</t>
        </is>
      </c>
      <c r="V1737" s="1" t="inlineStr">
        <is>
          <t>Inspection</t>
        </is>
      </c>
      <c r="W1737" s="1" t="inlineStr">
        <is>
          <t>Repair</t>
        </is>
      </c>
      <c r="X1737" s="5" t="n">
        <v>46193</v>
      </c>
      <c r="Y1737" s="1">
        <f>IF(X1737="","",X1737-A1737)</f>
        <v/>
      </c>
      <c r="Z1737" s="5" t="n">
        <v>46193</v>
      </c>
      <c r="AA1737" s="3" t="n"/>
      <c r="AB1737" s="3" t="n"/>
      <c r="AE1737" s="146">
        <f>IF(AND(F1737="Closed",X1737&gt;=DATE(2026,6,1),X1737&lt;=DATE(2026,6,30)),"Closed in June","other")</f>
        <v/>
      </c>
    </row>
    <row r="1738" hidden="1">
      <c r="A1738" s="9" t="n">
        <v>46106</v>
      </c>
      <c r="B1738" s="1" t="n">
        <v>2026</v>
      </c>
      <c r="C1738" s="8" t="inlineStr">
        <is>
          <t>Asian Fab Tec Ltd</t>
        </is>
      </c>
      <c r="D1738" s="8" t="inlineStr">
        <is>
          <t>Utility and C&amp;I</t>
        </is>
      </c>
      <c r="E1738" s="1" t="n"/>
      <c r="F1738" s="1" t="inlineStr">
        <is>
          <t>Closed</t>
        </is>
      </c>
      <c r="G1738" s="8" t="inlineStr">
        <is>
          <t>Prakash Reddy</t>
        </is>
      </c>
      <c r="H1738" s="8" t="n">
        <v>9945239707</v>
      </c>
      <c r="I1738" s="26" t="inlineStr">
        <is>
          <t>PE25032602</t>
        </is>
      </c>
      <c r="J1738" s="42" t="inlineStr">
        <is>
          <t xml:space="preserve">Junction Box burnt </t>
        </is>
      </c>
      <c r="K1738" s="8" t="inlineStr">
        <is>
          <t>Bangalore</t>
        </is>
      </c>
      <c r="L1738" s="39" t="inlineStr">
        <is>
          <t>Karnataka</t>
        </is>
      </c>
      <c r="M1738" s="34" t="inlineStr">
        <is>
          <t>JB Replaced</t>
        </is>
      </c>
      <c r="N1738" s="6" t="inlineStr">
        <is>
          <t>JB Issue</t>
        </is>
      </c>
      <c r="O1738" s="39" t="inlineStr">
        <is>
          <t>NA</t>
        </is>
      </c>
      <c r="P1738" s="35" t="inlineStr">
        <is>
          <t>NSM191200765</t>
        </is>
      </c>
      <c r="Q1738" s="29">
        <f>MID(P1738,4,2)</f>
        <v/>
      </c>
      <c r="R1738" s="14">
        <f>MID(P1738,6,2)</f>
        <v/>
      </c>
      <c r="S1738" s="6" t="inlineStr">
        <is>
          <t>G2B</t>
        </is>
      </c>
      <c r="T1738" s="6" t="inlineStr">
        <is>
          <t>NA</t>
        </is>
      </c>
      <c r="U1738" s="6" t="inlineStr">
        <is>
          <t>JB Issue</t>
        </is>
      </c>
      <c r="V1738" s="1" t="inlineStr">
        <is>
          <t>Inspection</t>
        </is>
      </c>
      <c r="W1738" s="1" t="inlineStr">
        <is>
          <t>Repair</t>
        </is>
      </c>
      <c r="X1738" s="5" t="n">
        <v>46193</v>
      </c>
      <c r="Y1738" s="1">
        <f>IF(X1738="","",X1738-A1738)</f>
        <v/>
      </c>
      <c r="Z1738" s="5" t="n">
        <v>46193</v>
      </c>
      <c r="AA1738" s="3" t="n"/>
      <c r="AB1738" s="3" t="n"/>
      <c r="AE1738" s="146">
        <f>IF(AND(F1738="Closed",X1738&gt;=DATE(2026,6,1),X1738&lt;=DATE(2026,6,30)),"Closed in June","other")</f>
        <v/>
      </c>
    </row>
    <row r="1739" hidden="1">
      <c r="A1739" s="9" t="n">
        <v>46106</v>
      </c>
      <c r="B1739" s="1" t="n">
        <v>2026</v>
      </c>
      <c r="C1739" s="8" t="inlineStr">
        <is>
          <t>Asian Fab Tec Ltd</t>
        </is>
      </c>
      <c r="D1739" s="8" t="inlineStr">
        <is>
          <t>Utility and C&amp;I</t>
        </is>
      </c>
      <c r="E1739" s="1" t="n"/>
      <c r="F1739" s="1" t="inlineStr">
        <is>
          <t>Closed</t>
        </is>
      </c>
      <c r="G1739" s="8" t="inlineStr">
        <is>
          <t>Prakash Reddy</t>
        </is>
      </c>
      <c r="H1739" s="8" t="n">
        <v>9945239707</v>
      </c>
      <c r="I1739" s="26" t="inlineStr">
        <is>
          <t>PE25032602</t>
        </is>
      </c>
      <c r="J1739" s="42" t="inlineStr">
        <is>
          <t xml:space="preserve">Junction Box burnt </t>
        </is>
      </c>
      <c r="K1739" s="8" t="inlineStr">
        <is>
          <t>Bangalore</t>
        </is>
      </c>
      <c r="L1739" s="39" t="inlineStr">
        <is>
          <t>Karnataka</t>
        </is>
      </c>
      <c r="M1739" s="34" t="inlineStr">
        <is>
          <t>JB Replaced</t>
        </is>
      </c>
      <c r="N1739" s="6" t="inlineStr">
        <is>
          <t>JB Issue</t>
        </is>
      </c>
      <c r="O1739" s="39" t="inlineStr">
        <is>
          <t>NA</t>
        </is>
      </c>
      <c r="P1739" s="35" t="inlineStr">
        <is>
          <t>NSM191200573</t>
        </is>
      </c>
      <c r="Q1739" s="29">
        <f>MID(P1739,4,2)</f>
        <v/>
      </c>
      <c r="R1739" s="14">
        <f>MID(P1739,6,2)</f>
        <v/>
      </c>
      <c r="S1739" s="6" t="inlineStr">
        <is>
          <t>G2B</t>
        </is>
      </c>
      <c r="T1739" s="6" t="inlineStr">
        <is>
          <t>NA</t>
        </is>
      </c>
      <c r="U1739" s="6" t="inlineStr">
        <is>
          <t>JB Issue</t>
        </is>
      </c>
      <c r="V1739" s="1" t="inlineStr">
        <is>
          <t>Inspection</t>
        </is>
      </c>
      <c r="W1739" s="1" t="inlineStr">
        <is>
          <t>Repair</t>
        </is>
      </c>
      <c r="X1739" s="5" t="n">
        <v>46193</v>
      </c>
      <c r="Y1739" s="1">
        <f>IF(X1739="","",X1739-A1739)</f>
        <v/>
      </c>
      <c r="Z1739" s="5" t="n">
        <v>46193</v>
      </c>
      <c r="AA1739" s="3" t="n"/>
      <c r="AB1739" s="3" t="n"/>
      <c r="AE1739" s="146">
        <f>IF(AND(F1739="Closed",X1739&gt;=DATE(2026,6,1),X1739&lt;=DATE(2026,6,30)),"Closed in June","other")</f>
        <v/>
      </c>
    </row>
    <row r="1740" hidden="1">
      <c r="A1740" s="9" t="n">
        <v>46106</v>
      </c>
      <c r="B1740" s="1" t="n">
        <v>2026</v>
      </c>
      <c r="C1740" s="8" t="inlineStr">
        <is>
          <t>Asian Fab Tec Ltd</t>
        </is>
      </c>
      <c r="D1740" s="8" t="inlineStr">
        <is>
          <t>Utility and C&amp;I</t>
        </is>
      </c>
      <c r="E1740" s="1" t="n"/>
      <c r="F1740" s="1" t="inlineStr">
        <is>
          <t>Closed</t>
        </is>
      </c>
      <c r="G1740" s="8" t="inlineStr">
        <is>
          <t>Prakash Reddy</t>
        </is>
      </c>
      <c r="H1740" s="8" t="n">
        <v>9945239707</v>
      </c>
      <c r="I1740" s="26" t="inlineStr">
        <is>
          <t>PE25032602</t>
        </is>
      </c>
      <c r="J1740" s="42" t="inlineStr">
        <is>
          <t xml:space="preserve">Junction Box burnt </t>
        </is>
      </c>
      <c r="K1740" s="8" t="inlineStr">
        <is>
          <t>Bangalore</t>
        </is>
      </c>
      <c r="L1740" s="39" t="inlineStr">
        <is>
          <t>Karnataka</t>
        </is>
      </c>
      <c r="M1740" s="34" t="inlineStr">
        <is>
          <t>JB Replaced</t>
        </is>
      </c>
      <c r="N1740" s="6" t="inlineStr">
        <is>
          <t>JB Issue</t>
        </is>
      </c>
      <c r="O1740" s="39" t="inlineStr">
        <is>
          <t>NA</t>
        </is>
      </c>
      <c r="P1740" s="35" t="inlineStr">
        <is>
          <t>NSM191200743</t>
        </is>
      </c>
      <c r="Q1740" s="29">
        <f>MID(P1740,4,2)</f>
        <v/>
      </c>
      <c r="R1740" s="14">
        <f>MID(P1740,6,2)</f>
        <v/>
      </c>
      <c r="S1740" s="6" t="inlineStr">
        <is>
          <t>G2B</t>
        </is>
      </c>
      <c r="T1740" s="6" t="inlineStr">
        <is>
          <t>NA</t>
        </is>
      </c>
      <c r="U1740" s="6" t="inlineStr">
        <is>
          <t>JB Issue</t>
        </is>
      </c>
      <c r="V1740" s="1" t="inlineStr">
        <is>
          <t>Inspection</t>
        </is>
      </c>
      <c r="W1740" s="1" t="inlineStr">
        <is>
          <t>Repair</t>
        </is>
      </c>
      <c r="X1740" s="5" t="n">
        <v>46193</v>
      </c>
      <c r="Y1740" s="1">
        <f>IF(X1740="","",X1740-A1740)</f>
        <v/>
      </c>
      <c r="Z1740" s="5" t="n">
        <v>46193</v>
      </c>
      <c r="AA1740" s="3" t="n"/>
      <c r="AB1740" s="3" t="n"/>
      <c r="AE1740" s="146">
        <f>IF(AND(F1740="Closed",X1740&gt;=DATE(2026,6,1),X1740&lt;=DATE(2026,6,30)),"Closed in June","other")</f>
        <v/>
      </c>
    </row>
    <row r="1741" hidden="1">
      <c r="A1741" s="9" t="n">
        <v>46106</v>
      </c>
      <c r="B1741" s="1" t="n">
        <v>2026</v>
      </c>
      <c r="C1741" s="8" t="inlineStr">
        <is>
          <t>Asian Fab Tec Ltd</t>
        </is>
      </c>
      <c r="D1741" s="8" t="inlineStr">
        <is>
          <t>Utility and C&amp;I</t>
        </is>
      </c>
      <c r="E1741" s="1" t="n"/>
      <c r="F1741" s="1" t="inlineStr">
        <is>
          <t>Closed</t>
        </is>
      </c>
      <c r="G1741" s="8" t="inlineStr">
        <is>
          <t>Prakash Reddy</t>
        </is>
      </c>
      <c r="H1741" s="8" t="n">
        <v>9945239707</v>
      </c>
      <c r="I1741" s="26" t="inlineStr">
        <is>
          <t>PE25032602</t>
        </is>
      </c>
      <c r="J1741" s="42" t="inlineStr">
        <is>
          <t xml:space="preserve">Junction Box burnt </t>
        </is>
      </c>
      <c r="K1741" s="8" t="inlineStr">
        <is>
          <t>Bangalore</t>
        </is>
      </c>
      <c r="L1741" s="39" t="inlineStr">
        <is>
          <t>Karnataka</t>
        </is>
      </c>
      <c r="M1741" s="34" t="inlineStr">
        <is>
          <t>JB Replaced</t>
        </is>
      </c>
      <c r="N1741" s="6" t="inlineStr">
        <is>
          <t>JB Issue</t>
        </is>
      </c>
      <c r="O1741" s="39" t="inlineStr">
        <is>
          <t>NA</t>
        </is>
      </c>
      <c r="P1741" s="35" t="inlineStr">
        <is>
          <t>NSM191200733</t>
        </is>
      </c>
      <c r="Q1741" s="29">
        <f>MID(P1741,4,2)</f>
        <v/>
      </c>
      <c r="R1741" s="14">
        <f>MID(P1741,6,2)</f>
        <v/>
      </c>
      <c r="S1741" s="6" t="inlineStr">
        <is>
          <t>G2B</t>
        </is>
      </c>
      <c r="T1741" s="6" t="inlineStr">
        <is>
          <t>NA</t>
        </is>
      </c>
      <c r="U1741" s="6" t="inlineStr">
        <is>
          <t>JB Issue</t>
        </is>
      </c>
      <c r="V1741" s="1" t="inlineStr">
        <is>
          <t>Inspection</t>
        </is>
      </c>
      <c r="W1741" s="1" t="inlineStr">
        <is>
          <t>Repair</t>
        </is>
      </c>
      <c r="X1741" s="5" t="n">
        <v>46193</v>
      </c>
      <c r="Y1741" s="1">
        <f>IF(X1741="","",X1741-A1741)</f>
        <v/>
      </c>
      <c r="Z1741" s="5" t="n">
        <v>46193</v>
      </c>
      <c r="AA1741" s="3" t="n"/>
      <c r="AB1741" s="3" t="n"/>
      <c r="AE1741" s="146">
        <f>IF(AND(F1741="Closed",X1741&gt;=DATE(2026,6,1),X1741&lt;=DATE(2026,6,30)),"Closed in June","other")</f>
        <v/>
      </c>
    </row>
    <row r="1742" hidden="1">
      <c r="A1742" s="9" t="n">
        <v>46106</v>
      </c>
      <c r="B1742" s="1" t="n">
        <v>2026</v>
      </c>
      <c r="C1742" s="8" t="inlineStr">
        <is>
          <t>Asian Fab Tec Ltd</t>
        </is>
      </c>
      <c r="D1742" s="8" t="inlineStr">
        <is>
          <t>Utility and C&amp;I</t>
        </is>
      </c>
      <c r="E1742" s="1" t="n"/>
      <c r="F1742" s="1" t="inlineStr">
        <is>
          <t>Closed</t>
        </is>
      </c>
      <c r="G1742" s="8" t="inlineStr">
        <is>
          <t>Prakash Reddy</t>
        </is>
      </c>
      <c r="H1742" s="8" t="n">
        <v>9945239707</v>
      </c>
      <c r="I1742" s="26" t="inlineStr">
        <is>
          <t>PE25032602</t>
        </is>
      </c>
      <c r="J1742" s="42" t="inlineStr">
        <is>
          <t xml:space="preserve">Junction Box burnt </t>
        </is>
      </c>
      <c r="K1742" s="8" t="inlineStr">
        <is>
          <t>Bangalore</t>
        </is>
      </c>
      <c r="L1742" s="39" t="inlineStr">
        <is>
          <t>Karnataka</t>
        </is>
      </c>
      <c r="M1742" s="34" t="inlineStr">
        <is>
          <t>JB Replaced</t>
        </is>
      </c>
      <c r="N1742" s="6" t="inlineStr">
        <is>
          <t>JB Issue</t>
        </is>
      </c>
      <c r="O1742" s="39" t="inlineStr">
        <is>
          <t>NA</t>
        </is>
      </c>
      <c r="P1742" s="35" t="inlineStr">
        <is>
          <t>NSM191200731</t>
        </is>
      </c>
      <c r="Q1742" s="29">
        <f>MID(P1742,4,2)</f>
        <v/>
      </c>
      <c r="R1742" s="14">
        <f>MID(P1742,6,2)</f>
        <v/>
      </c>
      <c r="S1742" s="6" t="inlineStr">
        <is>
          <t>G2B</t>
        </is>
      </c>
      <c r="T1742" s="6" t="inlineStr">
        <is>
          <t>NA</t>
        </is>
      </c>
      <c r="U1742" s="6" t="inlineStr">
        <is>
          <t>JB Issue</t>
        </is>
      </c>
      <c r="V1742" s="1" t="inlineStr">
        <is>
          <t>Inspection</t>
        </is>
      </c>
      <c r="W1742" s="1" t="inlineStr">
        <is>
          <t>Repair</t>
        </is>
      </c>
      <c r="X1742" s="5" t="n">
        <v>46193</v>
      </c>
      <c r="Y1742" s="1">
        <f>IF(X1742="","",X1742-A1742)</f>
        <v/>
      </c>
      <c r="Z1742" s="5" t="n">
        <v>46193</v>
      </c>
      <c r="AA1742" s="3" t="n"/>
      <c r="AB1742" s="3" t="n"/>
      <c r="AE1742" s="146">
        <f>IF(AND(F1742="Closed",X1742&gt;=DATE(2026,6,1),X1742&lt;=DATE(2026,6,30)),"Closed in June","other")</f>
        <v/>
      </c>
    </row>
    <row r="1743" hidden="1">
      <c r="A1743" s="9" t="n">
        <v>46106</v>
      </c>
      <c r="B1743" s="1" t="n">
        <v>2026</v>
      </c>
      <c r="C1743" s="8" t="inlineStr">
        <is>
          <t>Asian Fab Tec Ltd</t>
        </is>
      </c>
      <c r="D1743" s="8" t="inlineStr">
        <is>
          <t>Utility and C&amp;I</t>
        </is>
      </c>
      <c r="E1743" s="1" t="n"/>
      <c r="F1743" s="1" t="inlineStr">
        <is>
          <t>Closed</t>
        </is>
      </c>
      <c r="G1743" s="8" t="inlineStr">
        <is>
          <t>Prakash Reddy</t>
        </is>
      </c>
      <c r="H1743" s="8" t="n">
        <v>9945239707</v>
      </c>
      <c r="I1743" s="26" t="inlineStr">
        <is>
          <t>PE25032602</t>
        </is>
      </c>
      <c r="J1743" s="42" t="inlineStr">
        <is>
          <t xml:space="preserve">Junction Box burnt </t>
        </is>
      </c>
      <c r="K1743" s="8" t="inlineStr">
        <is>
          <t>Bangalore</t>
        </is>
      </c>
      <c r="L1743" s="39" t="inlineStr">
        <is>
          <t>Karnataka</t>
        </is>
      </c>
      <c r="M1743" s="34" t="inlineStr">
        <is>
          <t>BB cleaned &amp; JB Replaced</t>
        </is>
      </c>
      <c r="N1743" s="6" t="inlineStr">
        <is>
          <t>JB Issue</t>
        </is>
      </c>
      <c r="O1743" s="39" t="inlineStr">
        <is>
          <t>NA</t>
        </is>
      </c>
      <c r="P1743" s="35" t="inlineStr">
        <is>
          <t>NSM191200718</t>
        </is>
      </c>
      <c r="Q1743" s="29">
        <f>MID(P1743,4,2)</f>
        <v/>
      </c>
      <c r="R1743" s="14">
        <f>MID(P1743,6,2)</f>
        <v/>
      </c>
      <c r="S1743" s="6" t="inlineStr">
        <is>
          <t>G2B</t>
        </is>
      </c>
      <c r="T1743" s="6" t="inlineStr">
        <is>
          <t>NA</t>
        </is>
      </c>
      <c r="U1743" s="6" t="inlineStr">
        <is>
          <t>JB Issue</t>
        </is>
      </c>
      <c r="V1743" s="1" t="inlineStr">
        <is>
          <t>Inspection</t>
        </is>
      </c>
      <c r="W1743" s="1" t="inlineStr">
        <is>
          <t>Repair</t>
        </is>
      </c>
      <c r="X1743" s="5" t="n">
        <v>46193</v>
      </c>
      <c r="Y1743" s="1">
        <f>IF(X1743="","",X1743-A1743)</f>
        <v/>
      </c>
      <c r="Z1743" s="5" t="n">
        <v>46193</v>
      </c>
      <c r="AA1743" s="3" t="n"/>
      <c r="AB1743" s="3" t="n"/>
      <c r="AE1743" s="146">
        <f>IF(AND(F1743="Closed",X1743&gt;=DATE(2026,6,1),X1743&lt;=DATE(2026,6,30)),"Closed in June","other")</f>
        <v/>
      </c>
    </row>
    <row r="1744" hidden="1">
      <c r="A1744" s="49" t="n">
        <v>46189</v>
      </c>
      <c r="B1744" s="1" t="n">
        <v>2026</v>
      </c>
      <c r="C1744" s="8" t="inlineStr">
        <is>
          <t>Panasonic</t>
        </is>
      </c>
      <c r="D1744" s="8" t="inlineStr">
        <is>
          <t>OEM</t>
        </is>
      </c>
      <c r="E1744" s="1" t="n"/>
      <c r="F1744" s="1" t="inlineStr">
        <is>
          <t>Closed</t>
        </is>
      </c>
      <c r="G1744" s="8" t="inlineStr">
        <is>
          <t>Chirag Tare</t>
        </is>
      </c>
      <c r="H1744" s="8" t="n">
        <v>7719846027</v>
      </c>
      <c r="I1744" s="26" t="inlineStr">
        <is>
          <t>PE16062601</t>
        </is>
      </c>
      <c r="J1744" s="8" t="inlineStr">
        <is>
          <t>Low VOC</t>
        </is>
      </c>
      <c r="K1744" s="8" t="inlineStr">
        <is>
          <t>Bangalore</t>
        </is>
      </c>
      <c r="L1744" s="39" t="inlineStr">
        <is>
          <t>Karnataka</t>
        </is>
      </c>
      <c r="M1744" s="45" t="inlineStr">
        <is>
          <t>PS</t>
        </is>
      </c>
      <c r="N1744" s="6" t="inlineStr">
        <is>
          <t>Cold Soldering</t>
        </is>
      </c>
      <c r="O1744" s="6" t="n">
        <v>550</v>
      </c>
      <c r="P1744" s="44" t="inlineStr">
        <is>
          <t>NSMP2304007611</t>
        </is>
      </c>
      <c r="Q1744" s="29">
        <f>MID(P1744,5,2)</f>
        <v/>
      </c>
      <c r="R1744" s="14">
        <f>MID(P1744,7,2)</f>
        <v/>
      </c>
      <c r="S1744" s="6" t="inlineStr">
        <is>
          <t>G2B</t>
        </is>
      </c>
      <c r="T1744" s="1" t="inlineStr">
        <is>
          <t>P2 - PEPPL</t>
        </is>
      </c>
      <c r="U1744" s="6" t="inlineStr">
        <is>
          <t>P JB Cold Soldering</t>
        </is>
      </c>
      <c r="V1744" s="1" t="inlineStr">
        <is>
          <t>Inspection</t>
        </is>
      </c>
      <c r="W1744" s="1" t="inlineStr">
        <is>
          <t>Repair</t>
        </is>
      </c>
      <c r="X1744" s="5" t="n">
        <v>46195</v>
      </c>
      <c r="Y1744" s="1">
        <f>IF(X1744="","",X1744-A1744)</f>
        <v/>
      </c>
      <c r="Z1744" s="5" t="n">
        <v>46195</v>
      </c>
      <c r="AA1744" s="12" t="n"/>
      <c r="AB1744" s="12" t="n"/>
      <c r="AE1744" s="146">
        <f>IF(AND(F1744="Closed",X1744&gt;=DATE(2026,6,1),X1744&lt;=DATE(2026,6,30)),"Closed in June","other")</f>
        <v/>
      </c>
    </row>
    <row r="1745" hidden="1">
      <c r="A1745" s="49" t="n">
        <v>46189</v>
      </c>
      <c r="B1745" s="1" t="n">
        <v>2026</v>
      </c>
      <c r="C1745" s="8" t="inlineStr">
        <is>
          <t>Panasonic</t>
        </is>
      </c>
      <c r="D1745" s="8" t="inlineStr">
        <is>
          <t>OEM</t>
        </is>
      </c>
      <c r="E1745" s="1" t="n"/>
      <c r="F1745" s="1" t="inlineStr">
        <is>
          <t>Closed</t>
        </is>
      </c>
      <c r="G1745" s="8" t="inlineStr">
        <is>
          <t>Chirag Tare</t>
        </is>
      </c>
      <c r="H1745" s="8" t="n">
        <v>7719846027</v>
      </c>
      <c r="I1745" s="26" t="inlineStr">
        <is>
          <t>PE16062601</t>
        </is>
      </c>
      <c r="J1745" s="8" t="inlineStr">
        <is>
          <t>Low VOC</t>
        </is>
      </c>
      <c r="K1745" s="8" t="inlineStr">
        <is>
          <t>Bangalore</t>
        </is>
      </c>
      <c r="L1745" s="39" t="inlineStr">
        <is>
          <t>Karnataka</t>
        </is>
      </c>
      <c r="M1745" s="46" t="inlineStr">
        <is>
          <t>NS</t>
        </is>
      </c>
      <c r="N1745" s="6" t="inlineStr">
        <is>
          <t>Cold Soldering</t>
        </is>
      </c>
      <c r="O1745" s="6" t="n">
        <v>550</v>
      </c>
      <c r="P1745" s="38" t="inlineStr">
        <is>
          <t>NSMP2304007612</t>
        </is>
      </c>
      <c r="Q1745" s="29">
        <f>MID(P1745,5,2)</f>
        <v/>
      </c>
      <c r="R1745" s="14">
        <f>MID(P1745,7,2)</f>
        <v/>
      </c>
      <c r="S1745" s="6" t="inlineStr">
        <is>
          <t>G2B</t>
        </is>
      </c>
      <c r="T1745" s="1" t="inlineStr">
        <is>
          <t>P2 - PEPPL</t>
        </is>
      </c>
      <c r="U1745" s="6" t="inlineStr">
        <is>
          <t>N JB Cold Soldering</t>
        </is>
      </c>
      <c r="V1745" s="1" t="inlineStr">
        <is>
          <t>Inspection</t>
        </is>
      </c>
      <c r="W1745" s="1" t="inlineStr">
        <is>
          <t>Repair</t>
        </is>
      </c>
      <c r="X1745" s="5" t="n">
        <v>46195</v>
      </c>
      <c r="Y1745" s="1">
        <f>IF(X1745="","",X1745-A1745)</f>
        <v/>
      </c>
      <c r="Z1745" s="5" t="n">
        <v>46195</v>
      </c>
      <c r="AA1745" s="12" t="n"/>
      <c r="AB1745" s="12" t="n"/>
      <c r="AE1745" s="146">
        <f>IF(AND(F1745="Closed",X1745&gt;=DATE(2026,6,1),X1745&lt;=DATE(2026,6,30)),"Closed in June","other")</f>
        <v/>
      </c>
    </row>
    <row r="1746" hidden="1">
      <c r="A1746" s="49" t="n">
        <v>46180</v>
      </c>
      <c r="B1746" s="1" t="n">
        <v>2026</v>
      </c>
      <c r="C1746" s="8" t="inlineStr">
        <is>
          <t>True Sun Trading Company</t>
        </is>
      </c>
      <c r="D1746" s="8" t="inlineStr">
        <is>
          <t>Channel Sales</t>
        </is>
      </c>
      <c r="E1746" s="1" t="n"/>
      <c r="F1746" s="1" t="inlineStr">
        <is>
          <t>Closed</t>
        </is>
      </c>
      <c r="G1746" s="8" t="inlineStr">
        <is>
          <t>Sarath Ananda</t>
        </is>
      </c>
      <c r="H1746" s="8" t="n">
        <v>8848944464</v>
      </c>
      <c r="I1746" s="26" t="inlineStr">
        <is>
          <t>PE07062604</t>
        </is>
      </c>
      <c r="J1746" s="8" t="inlineStr">
        <is>
          <t>Low VOC</t>
        </is>
      </c>
      <c r="K1746" s="8" t="inlineStr">
        <is>
          <t>Bengaluru</t>
        </is>
      </c>
      <c r="L1746" s="8" t="inlineStr">
        <is>
          <t>Karnataka</t>
        </is>
      </c>
      <c r="M1746" s="54" t="inlineStr">
        <is>
          <t>MR</t>
        </is>
      </c>
      <c r="N1746" s="52" t="inlineStr">
        <is>
          <t>JB Issue</t>
        </is>
      </c>
      <c r="O1746" s="6" t="n">
        <v>550</v>
      </c>
      <c r="P1746" s="31" t="inlineStr">
        <is>
          <t>NSMP2304024422</t>
        </is>
      </c>
      <c r="Q1746" s="29">
        <f>MID(P1746,5,2)</f>
        <v/>
      </c>
      <c r="R1746" s="14">
        <f>MID(P1746,7,2)</f>
        <v/>
      </c>
      <c r="S1746" s="6" t="inlineStr">
        <is>
          <t>G2B</t>
        </is>
      </c>
      <c r="T1746" s="1" t="inlineStr">
        <is>
          <t>P2 - PEPPL</t>
        </is>
      </c>
      <c r="U1746" s="6" t="inlineStr">
        <is>
          <t>M JB Issue</t>
        </is>
      </c>
      <c r="V1746" s="1" t="inlineStr">
        <is>
          <t>Inspection</t>
        </is>
      </c>
      <c r="W1746" s="1" t="inlineStr">
        <is>
          <t>Repair</t>
        </is>
      </c>
      <c r="X1746" s="5" t="n">
        <v>46195</v>
      </c>
      <c r="Y1746" s="1">
        <f>IF(X1746="","",X1746-A1746)</f>
        <v/>
      </c>
      <c r="Z1746" s="5" t="n">
        <v>46195</v>
      </c>
      <c r="AA1746" s="12" t="n"/>
      <c r="AB1746" s="12" t="n"/>
      <c r="AE1746" s="146">
        <f>IF(AND(F1746="Closed",X1746&gt;=DATE(2026,6,1),X1746&lt;=DATE(2026,6,30)),"Closed in June","other")</f>
        <v/>
      </c>
    </row>
    <row r="1747" hidden="1">
      <c r="A1747" s="49" t="n">
        <v>46177</v>
      </c>
      <c r="B1747" s="1" t="n">
        <v>2026</v>
      </c>
      <c r="C1747" s="8" t="inlineStr">
        <is>
          <t>Ayana</t>
        </is>
      </c>
      <c r="D1747" s="11" t="inlineStr">
        <is>
          <t>Utility and C&amp;I</t>
        </is>
      </c>
      <c r="E1747" s="1" t="n"/>
      <c r="F1747" s="1" t="inlineStr">
        <is>
          <t>WIP</t>
        </is>
      </c>
      <c r="G1747" s="11" t="inlineStr">
        <is>
          <t>Vasu.N</t>
        </is>
      </c>
      <c r="H1747" s="8" t="n">
        <v>9578099893</v>
      </c>
      <c r="I1747" s="10" t="inlineStr">
        <is>
          <t>PE04062601</t>
        </is>
      </c>
      <c r="J1747" s="28" t="inlineStr">
        <is>
          <t>Module burnt</t>
        </is>
      </c>
      <c r="K1747" s="8" t="inlineStr">
        <is>
          <t>Zura</t>
        </is>
      </c>
      <c r="L1747" s="39" t="inlineStr">
        <is>
          <t>Gujarat</t>
        </is>
      </c>
      <c r="M1747" s="53" t="inlineStr">
        <is>
          <t xml:space="preserve">burn </t>
        </is>
      </c>
      <c r="N1747" s="6" t="inlineStr">
        <is>
          <t>Module Burn</t>
        </is>
      </c>
      <c r="O1747" s="32" t="n">
        <v>590</v>
      </c>
      <c r="P1747" s="2" t="inlineStr">
        <is>
          <t>NSMI24100660167</t>
        </is>
      </c>
      <c r="Q1747" s="29">
        <f>MID(P1747,5,2)</f>
        <v/>
      </c>
      <c r="R1747" s="14">
        <f>MID(P1747,7,2)</f>
        <v/>
      </c>
      <c r="S1747" s="6" t="inlineStr">
        <is>
          <t>G2G</t>
        </is>
      </c>
      <c r="T1747" s="1" t="inlineStr">
        <is>
          <t>P4 - PEIPL</t>
        </is>
      </c>
      <c r="U1747" s="6" t="inlineStr">
        <is>
          <t>Module Burn</t>
        </is>
      </c>
      <c r="V1747" s="1" t="inlineStr">
        <is>
          <t>Inspection</t>
        </is>
      </c>
      <c r="W1747" s="1" t="inlineStr">
        <is>
          <t>WIP</t>
        </is>
      </c>
      <c r="X1747" s="12" t="n"/>
      <c r="Y1747" s="1">
        <f>IF(X1747="","",X1747-A1747)</f>
        <v/>
      </c>
      <c r="Z1747" s="5" t="n">
        <v>46196</v>
      </c>
      <c r="AA1747" s="3" t="n"/>
      <c r="AB1747" s="3" t="n"/>
      <c r="AE1747" s="146">
        <f>IF(AND(F1747="Closed",X1747&gt;=DATE(2026,6,1),X1747&lt;=DATE(2026,6,30)),"Closed in June","other")</f>
        <v/>
      </c>
    </row>
    <row r="1748" hidden="1">
      <c r="A1748" s="49" t="n">
        <v>46177</v>
      </c>
      <c r="B1748" s="1" t="n">
        <v>2026</v>
      </c>
      <c r="C1748" s="8" t="inlineStr">
        <is>
          <t>Ayana</t>
        </is>
      </c>
      <c r="D1748" s="11" t="inlineStr">
        <is>
          <t>Utility and C&amp;I</t>
        </is>
      </c>
      <c r="E1748" s="1" t="n"/>
      <c r="F1748" s="1" t="inlineStr">
        <is>
          <t>WIP</t>
        </is>
      </c>
      <c r="G1748" s="11" t="inlineStr">
        <is>
          <t>Vasu.N</t>
        </is>
      </c>
      <c r="H1748" s="8" t="n">
        <v>9578099893</v>
      </c>
      <c r="I1748" s="10" t="inlineStr">
        <is>
          <t>PE04062601</t>
        </is>
      </c>
      <c r="J1748" s="28" t="inlineStr">
        <is>
          <t>Module burnt</t>
        </is>
      </c>
      <c r="K1748" s="8" t="inlineStr">
        <is>
          <t>Zura</t>
        </is>
      </c>
      <c r="L1748" s="39" t="inlineStr">
        <is>
          <t>Gujarat</t>
        </is>
      </c>
      <c r="M1748" s="2" t="inlineStr">
        <is>
          <t xml:space="preserve">burn </t>
        </is>
      </c>
      <c r="N1748" s="6" t="inlineStr">
        <is>
          <t>Module Burn</t>
        </is>
      </c>
      <c r="O1748" s="32" t="n">
        <v>590</v>
      </c>
      <c r="P1748" s="2" t="inlineStr">
        <is>
          <t>NSMI24110794269</t>
        </is>
      </c>
      <c r="Q1748" s="29">
        <f>MID(P1748,5,2)</f>
        <v/>
      </c>
      <c r="R1748" s="14">
        <f>MID(P1748,7,2)</f>
        <v/>
      </c>
      <c r="S1748" s="6" t="inlineStr">
        <is>
          <t>G2G</t>
        </is>
      </c>
      <c r="T1748" s="1" t="inlineStr">
        <is>
          <t>P4 - PEIPL</t>
        </is>
      </c>
      <c r="U1748" s="6" t="inlineStr">
        <is>
          <t>Module Burn</t>
        </is>
      </c>
      <c r="V1748" s="1" t="inlineStr">
        <is>
          <t>Inspection</t>
        </is>
      </c>
      <c r="W1748" s="1" t="inlineStr">
        <is>
          <t>WIP</t>
        </is>
      </c>
      <c r="X1748" s="12" t="n"/>
      <c r="Y1748" s="1">
        <f>IF(X1748="","",X1748-A1748)</f>
        <v/>
      </c>
      <c r="Z1748" s="5" t="n">
        <v>46196</v>
      </c>
      <c r="AA1748" s="3" t="n"/>
      <c r="AB1748" s="3" t="n"/>
      <c r="AE1748" s="146">
        <f>IF(AND(F1748="Closed",X1748&gt;=DATE(2026,6,1),X1748&lt;=DATE(2026,6,30)),"Closed in June","other")</f>
        <v/>
      </c>
    </row>
    <row r="1749" hidden="1">
      <c r="A1749" s="49" t="n">
        <v>46177</v>
      </c>
      <c r="B1749" s="1" t="n">
        <v>2026</v>
      </c>
      <c r="C1749" s="8" t="inlineStr">
        <is>
          <t>Ayana</t>
        </is>
      </c>
      <c r="D1749" s="11" t="inlineStr">
        <is>
          <t>Utility and C&amp;I</t>
        </is>
      </c>
      <c r="E1749" s="1" t="n"/>
      <c r="F1749" s="1" t="inlineStr">
        <is>
          <t>WIP</t>
        </is>
      </c>
      <c r="G1749" s="11" t="inlineStr">
        <is>
          <t>Vasu.N</t>
        </is>
      </c>
      <c r="H1749" s="8" t="n">
        <v>9578099893</v>
      </c>
      <c r="I1749" s="10" t="inlineStr">
        <is>
          <t>PE04062601</t>
        </is>
      </c>
      <c r="J1749" s="28" t="inlineStr">
        <is>
          <t>Module burnt</t>
        </is>
      </c>
      <c r="K1749" s="8" t="inlineStr">
        <is>
          <t>Zura</t>
        </is>
      </c>
      <c r="L1749" s="39" t="inlineStr">
        <is>
          <t>Gujarat</t>
        </is>
      </c>
      <c r="M1749" s="2" t="inlineStr">
        <is>
          <t xml:space="preserve">burn </t>
        </is>
      </c>
      <c r="N1749" s="6" t="inlineStr">
        <is>
          <t>Module Burn</t>
        </is>
      </c>
      <c r="O1749" s="32" t="n">
        <v>590</v>
      </c>
      <c r="P1749" s="2" t="inlineStr">
        <is>
          <t>NSMI24110799085</t>
        </is>
      </c>
      <c r="Q1749" s="29">
        <f>MID(P1749,5,2)</f>
        <v/>
      </c>
      <c r="R1749" s="14">
        <f>MID(P1749,7,2)</f>
        <v/>
      </c>
      <c r="S1749" s="6" t="inlineStr">
        <is>
          <t>G2G</t>
        </is>
      </c>
      <c r="T1749" s="1" t="inlineStr">
        <is>
          <t>P4 - PEIPL</t>
        </is>
      </c>
      <c r="U1749" s="6" t="inlineStr">
        <is>
          <t>Module Burn</t>
        </is>
      </c>
      <c r="V1749" s="1" t="inlineStr">
        <is>
          <t>Inspection</t>
        </is>
      </c>
      <c r="W1749" s="1" t="inlineStr">
        <is>
          <t>WIP</t>
        </is>
      </c>
      <c r="X1749" s="12" t="n"/>
      <c r="Y1749" s="1">
        <f>IF(X1749="","",X1749-A1749)</f>
        <v/>
      </c>
      <c r="Z1749" s="5" t="n">
        <v>46196</v>
      </c>
      <c r="AA1749" s="3" t="n"/>
      <c r="AB1749" s="3" t="n"/>
      <c r="AE1749" s="146">
        <f>IF(AND(F1749="Closed",X1749&gt;=DATE(2026,6,1),X1749&lt;=DATE(2026,6,30)),"Closed in June","other")</f>
        <v/>
      </c>
    </row>
    <row r="1750" hidden="1">
      <c r="A1750" s="49" t="n">
        <v>46177</v>
      </c>
      <c r="B1750" s="1" t="n">
        <v>2026</v>
      </c>
      <c r="C1750" s="8" t="inlineStr">
        <is>
          <t>Ayana</t>
        </is>
      </c>
      <c r="D1750" s="11" t="inlineStr">
        <is>
          <t>Utility and C&amp;I</t>
        </is>
      </c>
      <c r="E1750" s="1" t="n"/>
      <c r="F1750" s="1" t="inlineStr">
        <is>
          <t>Closed</t>
        </is>
      </c>
      <c r="G1750" s="11" t="inlineStr">
        <is>
          <t>Vasu.N</t>
        </is>
      </c>
      <c r="H1750" s="8" t="n">
        <v>9578099893</v>
      </c>
      <c r="I1750" s="10" t="inlineStr">
        <is>
          <t>PE04062601</t>
        </is>
      </c>
      <c r="J1750" s="28" t="inlineStr">
        <is>
          <t>Module burnt</t>
        </is>
      </c>
      <c r="K1750" s="8" t="inlineStr">
        <is>
          <t>Zura</t>
        </is>
      </c>
      <c r="L1750" s="39" t="inlineStr">
        <is>
          <t>Gujarat</t>
        </is>
      </c>
      <c r="M1750" s="2" t="inlineStr">
        <is>
          <t>broken</t>
        </is>
      </c>
      <c r="N1750" s="6" t="inlineStr">
        <is>
          <t>Module Breakage</t>
        </is>
      </c>
      <c r="O1750" s="32" t="n">
        <v>590</v>
      </c>
      <c r="P1750" s="2" t="inlineStr">
        <is>
          <t>NSMI24100683507</t>
        </is>
      </c>
      <c r="Q1750" s="29">
        <f>MID(P1750,5,2)</f>
        <v/>
      </c>
      <c r="R1750" s="14">
        <f>MID(P1750,7,2)</f>
        <v/>
      </c>
      <c r="S1750" s="6" t="inlineStr">
        <is>
          <t>G2G</t>
        </is>
      </c>
      <c r="T1750" s="1" t="inlineStr">
        <is>
          <t>P4 - PEIPL</t>
        </is>
      </c>
      <c r="U1750" s="2" t="inlineStr">
        <is>
          <t xml:space="preserve">Hit by stone </t>
        </is>
      </c>
      <c r="V1750" s="1" t="inlineStr">
        <is>
          <t>Inspection</t>
        </is>
      </c>
      <c r="W1750" s="1" t="inlineStr">
        <is>
          <t>Rejected</t>
        </is>
      </c>
      <c r="X1750" s="5" t="n">
        <v>46196</v>
      </c>
      <c r="Y1750" s="1">
        <f>IF(X1750="","",X1750-A1750)</f>
        <v/>
      </c>
      <c r="Z1750" s="5" t="n">
        <v>46196</v>
      </c>
      <c r="AA1750" s="3" t="n"/>
      <c r="AB1750" s="3" t="n"/>
      <c r="AE1750" s="146">
        <f>IF(AND(F1750="Closed",X1750&gt;=DATE(2026,6,1),X1750&lt;=DATE(2026,6,30)),"Closed in June","other")</f>
        <v/>
      </c>
    </row>
    <row r="1751" hidden="1">
      <c r="A1751" s="49" t="n">
        <v>46177</v>
      </c>
      <c r="B1751" s="1" t="n">
        <v>2026</v>
      </c>
      <c r="C1751" s="8" t="inlineStr">
        <is>
          <t>Ayana</t>
        </is>
      </c>
      <c r="D1751" s="11" t="inlineStr">
        <is>
          <t>Utility and C&amp;I</t>
        </is>
      </c>
      <c r="E1751" s="1" t="n"/>
      <c r="F1751" s="1" t="inlineStr">
        <is>
          <t>WIP</t>
        </is>
      </c>
      <c r="G1751" s="11" t="inlineStr">
        <is>
          <t>Vasu.N</t>
        </is>
      </c>
      <c r="H1751" s="8" t="n">
        <v>9578099893</v>
      </c>
      <c r="I1751" s="10" t="inlineStr">
        <is>
          <t>PE04062601</t>
        </is>
      </c>
      <c r="J1751" s="28" t="inlineStr">
        <is>
          <t>Module burnt</t>
        </is>
      </c>
      <c r="K1751" s="8" t="inlineStr">
        <is>
          <t>Zura</t>
        </is>
      </c>
      <c r="L1751" s="39" t="inlineStr">
        <is>
          <t>Gujarat</t>
        </is>
      </c>
      <c r="M1751" s="2" t="inlineStr">
        <is>
          <t xml:space="preserve">burn </t>
        </is>
      </c>
      <c r="N1751" s="6" t="inlineStr">
        <is>
          <t>Module Burn</t>
        </is>
      </c>
      <c r="O1751" s="32" t="n">
        <v>590</v>
      </c>
      <c r="P1751" s="2" t="inlineStr">
        <is>
          <t>NSMI24100681645</t>
        </is>
      </c>
      <c r="Q1751" s="29">
        <f>MID(P1751,5,2)</f>
        <v/>
      </c>
      <c r="R1751" s="14">
        <f>MID(P1751,7,2)</f>
        <v/>
      </c>
      <c r="S1751" s="6" t="inlineStr">
        <is>
          <t>G2G</t>
        </is>
      </c>
      <c r="T1751" s="1" t="inlineStr">
        <is>
          <t>P4 - PEIPL</t>
        </is>
      </c>
      <c r="U1751" s="6" t="inlineStr">
        <is>
          <t>Module Burn</t>
        </is>
      </c>
      <c r="V1751" s="1" t="inlineStr">
        <is>
          <t>Inspection</t>
        </is>
      </c>
      <c r="W1751" s="1" t="inlineStr">
        <is>
          <t>WIP</t>
        </is>
      </c>
      <c r="X1751" s="5" t="n">
        <v>46196</v>
      </c>
      <c r="Y1751" s="1">
        <f>IF(X1751="","",X1751-A1751)</f>
        <v/>
      </c>
      <c r="Z1751" s="5" t="n">
        <v>46196</v>
      </c>
      <c r="AA1751" s="3" t="n"/>
      <c r="AB1751" s="3" t="n"/>
      <c r="AE1751" s="146">
        <f>IF(AND(F1751="Closed",X1751&gt;=DATE(2026,6,1),X1751&lt;=DATE(2026,6,30)),"Closed in June","other")</f>
        <v/>
      </c>
    </row>
    <row r="1752" hidden="1">
      <c r="A1752" s="49" t="n">
        <v>46177</v>
      </c>
      <c r="B1752" s="1" t="n">
        <v>2026</v>
      </c>
      <c r="C1752" s="8" t="inlineStr">
        <is>
          <t>Ayana</t>
        </is>
      </c>
      <c r="D1752" s="11" t="inlineStr">
        <is>
          <t>Utility and C&amp;I</t>
        </is>
      </c>
      <c r="E1752" s="1" t="n"/>
      <c r="F1752" s="1" t="inlineStr">
        <is>
          <t>WIP</t>
        </is>
      </c>
      <c r="G1752" s="11" t="inlineStr">
        <is>
          <t>Vasu.N</t>
        </is>
      </c>
      <c r="H1752" s="8" t="n">
        <v>9578099893</v>
      </c>
      <c r="I1752" s="10" t="inlineStr">
        <is>
          <t>PE04062601</t>
        </is>
      </c>
      <c r="J1752" s="28" t="inlineStr">
        <is>
          <t>Module burnt</t>
        </is>
      </c>
      <c r="K1752" s="8" t="inlineStr">
        <is>
          <t>Zura</t>
        </is>
      </c>
      <c r="L1752" s="39" t="inlineStr">
        <is>
          <t>Gujarat</t>
        </is>
      </c>
      <c r="M1752" s="2" t="inlineStr">
        <is>
          <t xml:space="preserve">burn </t>
        </is>
      </c>
      <c r="N1752" s="6" t="inlineStr">
        <is>
          <t>Module Burn</t>
        </is>
      </c>
      <c r="O1752" s="32" t="n">
        <v>590</v>
      </c>
      <c r="P1752" s="2" t="inlineStr">
        <is>
          <t>NSMI24110796216</t>
        </is>
      </c>
      <c r="Q1752" s="29">
        <f>MID(P1752,5,2)</f>
        <v/>
      </c>
      <c r="R1752" s="14">
        <f>MID(P1752,7,2)</f>
        <v/>
      </c>
      <c r="S1752" s="6" t="inlineStr">
        <is>
          <t>G2G</t>
        </is>
      </c>
      <c r="T1752" s="1" t="inlineStr">
        <is>
          <t>P4 - PEIPL</t>
        </is>
      </c>
      <c r="U1752" s="6" t="inlineStr">
        <is>
          <t>Module Burn</t>
        </is>
      </c>
      <c r="V1752" s="1" t="inlineStr">
        <is>
          <t>Inspection</t>
        </is>
      </c>
      <c r="W1752" s="1" t="inlineStr">
        <is>
          <t>WIP</t>
        </is>
      </c>
      <c r="X1752" s="5" t="n">
        <v>46196</v>
      </c>
      <c r="Y1752" s="1">
        <f>IF(X1752="","",X1752-A1752)</f>
        <v/>
      </c>
      <c r="Z1752" s="5" t="n">
        <v>46196</v>
      </c>
      <c r="AA1752" s="3" t="n"/>
      <c r="AB1752" s="3" t="n"/>
      <c r="AE1752" s="146">
        <f>IF(AND(F1752="Closed",X1752&gt;=DATE(2026,6,1),X1752&lt;=DATE(2026,6,30)),"Closed in June","other")</f>
        <v/>
      </c>
    </row>
    <row r="1753" hidden="1">
      <c r="A1753" s="49" t="n">
        <v>46177</v>
      </c>
      <c r="B1753" s="1" t="n">
        <v>2026</v>
      </c>
      <c r="C1753" s="8" t="inlineStr">
        <is>
          <t>Ayana</t>
        </is>
      </c>
      <c r="D1753" s="11" t="inlineStr">
        <is>
          <t>Utility and C&amp;I</t>
        </is>
      </c>
      <c r="E1753" s="1" t="n"/>
      <c r="F1753" s="1" t="inlineStr">
        <is>
          <t>WIP</t>
        </is>
      </c>
      <c r="G1753" s="11" t="inlineStr">
        <is>
          <t>Vasu.N</t>
        </is>
      </c>
      <c r="H1753" s="8" t="n">
        <v>9578099893</v>
      </c>
      <c r="I1753" s="10" t="inlineStr">
        <is>
          <t>PE04062601</t>
        </is>
      </c>
      <c r="J1753" s="28" t="inlineStr">
        <is>
          <t>Module burnt</t>
        </is>
      </c>
      <c r="K1753" s="8" t="inlineStr">
        <is>
          <t>Zura</t>
        </is>
      </c>
      <c r="L1753" s="39" t="inlineStr">
        <is>
          <t>Gujarat</t>
        </is>
      </c>
      <c r="M1753" s="2" t="inlineStr">
        <is>
          <t xml:space="preserve">burn </t>
        </is>
      </c>
      <c r="N1753" s="6" t="inlineStr">
        <is>
          <t>Module Burn</t>
        </is>
      </c>
      <c r="O1753" s="32" t="n">
        <v>590</v>
      </c>
      <c r="P1753" s="2" t="inlineStr">
        <is>
          <t>NSMI24110799812</t>
        </is>
      </c>
      <c r="Q1753" s="29">
        <f>MID(P1753,5,2)</f>
        <v/>
      </c>
      <c r="R1753" s="14">
        <f>MID(P1753,7,2)</f>
        <v/>
      </c>
      <c r="S1753" s="6" t="inlineStr">
        <is>
          <t>G2G</t>
        </is>
      </c>
      <c r="T1753" s="1" t="inlineStr">
        <is>
          <t>P4 - PEIPL</t>
        </is>
      </c>
      <c r="U1753" s="6" t="inlineStr">
        <is>
          <t>Module Burn</t>
        </is>
      </c>
      <c r="V1753" s="1" t="inlineStr">
        <is>
          <t>Inspection</t>
        </is>
      </c>
      <c r="W1753" s="1" t="inlineStr">
        <is>
          <t>WIP</t>
        </is>
      </c>
      <c r="X1753" s="5" t="n">
        <v>46196</v>
      </c>
      <c r="Y1753" s="1">
        <f>IF(X1753="","",X1753-A1753)</f>
        <v/>
      </c>
      <c r="Z1753" s="5" t="n">
        <v>46196</v>
      </c>
      <c r="AA1753" s="3" t="n"/>
      <c r="AB1753" s="3" t="n"/>
      <c r="AE1753" s="146">
        <f>IF(AND(F1753="Closed",X1753&gt;=DATE(2026,6,1),X1753&lt;=DATE(2026,6,30)),"Closed in June","other")</f>
        <v/>
      </c>
    </row>
    <row r="1754" hidden="1">
      <c r="A1754" s="49" t="n">
        <v>46177</v>
      </c>
      <c r="B1754" s="1" t="n">
        <v>2026</v>
      </c>
      <c r="C1754" s="8" t="inlineStr">
        <is>
          <t>Ayana</t>
        </is>
      </c>
      <c r="D1754" s="11" t="inlineStr">
        <is>
          <t>Utility and C&amp;I</t>
        </is>
      </c>
      <c r="E1754" s="1" t="n"/>
      <c r="F1754" s="1" t="inlineStr">
        <is>
          <t>WIP</t>
        </is>
      </c>
      <c r="G1754" s="11" t="inlineStr">
        <is>
          <t>Vasu.N</t>
        </is>
      </c>
      <c r="H1754" s="8" t="n">
        <v>9578099893</v>
      </c>
      <c r="I1754" s="10" t="inlineStr">
        <is>
          <t>PE04062601</t>
        </is>
      </c>
      <c r="J1754" s="28" t="inlineStr">
        <is>
          <t>Module burnt</t>
        </is>
      </c>
      <c r="K1754" s="8" t="inlineStr">
        <is>
          <t>Zura</t>
        </is>
      </c>
      <c r="L1754" s="39" t="inlineStr">
        <is>
          <t>Gujarat</t>
        </is>
      </c>
      <c r="M1754" s="2" t="inlineStr">
        <is>
          <t xml:space="preserve">burn </t>
        </is>
      </c>
      <c r="N1754" s="6" t="inlineStr">
        <is>
          <t>Module Burn</t>
        </is>
      </c>
      <c r="O1754" s="32" t="n">
        <v>590</v>
      </c>
      <c r="P1754" s="2" t="inlineStr">
        <is>
          <t>NSMI24100687222</t>
        </is>
      </c>
      <c r="Q1754" s="29">
        <f>MID(P1754,5,2)</f>
        <v/>
      </c>
      <c r="R1754" s="14">
        <f>MID(P1754,7,2)</f>
        <v/>
      </c>
      <c r="S1754" s="6" t="inlineStr">
        <is>
          <t>G2G</t>
        </is>
      </c>
      <c r="T1754" s="1" t="inlineStr">
        <is>
          <t>P4 - PEIPL</t>
        </is>
      </c>
      <c r="U1754" s="6" t="inlineStr">
        <is>
          <t>Module Burn</t>
        </is>
      </c>
      <c r="V1754" s="1" t="inlineStr">
        <is>
          <t>Inspection</t>
        </is>
      </c>
      <c r="W1754" s="1" t="inlineStr">
        <is>
          <t>WIP</t>
        </is>
      </c>
      <c r="X1754" s="5" t="n">
        <v>46196</v>
      </c>
      <c r="Y1754" s="1">
        <f>IF(X1754="","",X1754-A1754)</f>
        <v/>
      </c>
      <c r="Z1754" s="5" t="n">
        <v>46196</v>
      </c>
      <c r="AA1754" s="3" t="n"/>
      <c r="AB1754" s="3" t="n"/>
      <c r="AE1754" s="146">
        <f>IF(AND(F1754="Closed",X1754&gt;=DATE(2026,6,1),X1754&lt;=DATE(2026,6,30)),"Closed in June","other")</f>
        <v/>
      </c>
    </row>
    <row r="1755" hidden="1">
      <c r="A1755" s="49" t="n">
        <v>46177</v>
      </c>
      <c r="B1755" s="1" t="n">
        <v>2026</v>
      </c>
      <c r="C1755" s="8" t="inlineStr">
        <is>
          <t>Ayana</t>
        </is>
      </c>
      <c r="D1755" s="11" t="inlineStr">
        <is>
          <t>Utility and C&amp;I</t>
        </is>
      </c>
      <c r="E1755" s="1" t="n"/>
      <c r="F1755" s="1" t="inlineStr">
        <is>
          <t>WIP</t>
        </is>
      </c>
      <c r="G1755" s="11" t="inlineStr">
        <is>
          <t>Vasu.N</t>
        </is>
      </c>
      <c r="H1755" s="8" t="n">
        <v>9578099893</v>
      </c>
      <c r="I1755" s="10" t="inlineStr">
        <is>
          <t>PE04062601</t>
        </is>
      </c>
      <c r="J1755" s="28" t="inlineStr">
        <is>
          <t>Module burnt</t>
        </is>
      </c>
      <c r="K1755" s="8" t="inlineStr">
        <is>
          <t>Zura</t>
        </is>
      </c>
      <c r="L1755" s="39" t="inlineStr">
        <is>
          <t>Gujarat</t>
        </is>
      </c>
      <c r="M1755" s="2" t="inlineStr">
        <is>
          <t xml:space="preserve">burn </t>
        </is>
      </c>
      <c r="N1755" s="6" t="inlineStr">
        <is>
          <t>Module Burn</t>
        </is>
      </c>
      <c r="O1755" s="32" t="n">
        <v>590</v>
      </c>
      <c r="P1755" s="2" t="inlineStr">
        <is>
          <t>NSMI24100668159</t>
        </is>
      </c>
      <c r="Q1755" s="29">
        <f>MID(P1755,5,2)</f>
        <v/>
      </c>
      <c r="R1755" s="14">
        <f>MID(P1755,7,2)</f>
        <v/>
      </c>
      <c r="S1755" s="6" t="inlineStr">
        <is>
          <t>G2G</t>
        </is>
      </c>
      <c r="T1755" s="1" t="inlineStr">
        <is>
          <t>P4 - PEIPL</t>
        </is>
      </c>
      <c r="U1755" s="6" t="inlineStr">
        <is>
          <t>Module Burn</t>
        </is>
      </c>
      <c r="V1755" s="1" t="inlineStr">
        <is>
          <t>Inspection</t>
        </is>
      </c>
      <c r="W1755" s="1" t="inlineStr">
        <is>
          <t>WIP</t>
        </is>
      </c>
      <c r="X1755" s="5" t="n">
        <v>46196</v>
      </c>
      <c r="Y1755" s="1">
        <f>IF(X1755="","",X1755-A1755)</f>
        <v/>
      </c>
      <c r="Z1755" s="5" t="n">
        <v>46196</v>
      </c>
      <c r="AA1755" s="3" t="n"/>
      <c r="AB1755" s="3" t="n"/>
      <c r="AE1755" s="146">
        <f>IF(AND(F1755="Closed",X1755&gt;=DATE(2026,6,1),X1755&lt;=DATE(2026,6,30)),"Closed in June","other")</f>
        <v/>
      </c>
    </row>
    <row r="1756" hidden="1">
      <c r="A1756" s="49" t="n">
        <v>46177</v>
      </c>
      <c r="B1756" s="1" t="n">
        <v>2026</v>
      </c>
      <c r="C1756" s="8" t="inlineStr">
        <is>
          <t>Ayana</t>
        </is>
      </c>
      <c r="D1756" s="11" t="inlineStr">
        <is>
          <t>Utility and C&amp;I</t>
        </is>
      </c>
      <c r="E1756" s="1" t="n"/>
      <c r="F1756" s="1" t="inlineStr">
        <is>
          <t>WIP</t>
        </is>
      </c>
      <c r="G1756" s="11" t="inlineStr">
        <is>
          <t>Vasu.N</t>
        </is>
      </c>
      <c r="H1756" s="8" t="n">
        <v>9578099893</v>
      </c>
      <c r="I1756" s="10" t="inlineStr">
        <is>
          <t>PE04062601</t>
        </is>
      </c>
      <c r="J1756" s="28" t="inlineStr">
        <is>
          <t>Module burnt</t>
        </is>
      </c>
      <c r="K1756" s="8" t="inlineStr">
        <is>
          <t>Zura</t>
        </is>
      </c>
      <c r="L1756" s="39" t="inlineStr">
        <is>
          <t>Gujarat</t>
        </is>
      </c>
      <c r="M1756" s="2" t="inlineStr">
        <is>
          <t xml:space="preserve">burn </t>
        </is>
      </c>
      <c r="N1756" s="6" t="inlineStr">
        <is>
          <t>Module Burn</t>
        </is>
      </c>
      <c r="O1756" s="32" t="n">
        <v>590</v>
      </c>
      <c r="P1756" s="2" t="inlineStr">
        <is>
          <t>NSMI24100668187</t>
        </is>
      </c>
      <c r="Q1756" s="29">
        <f>MID(P1756,5,2)</f>
        <v/>
      </c>
      <c r="R1756" s="14">
        <f>MID(P1756,7,2)</f>
        <v/>
      </c>
      <c r="S1756" s="6" t="inlineStr">
        <is>
          <t>G2G</t>
        </is>
      </c>
      <c r="T1756" s="1" t="inlineStr">
        <is>
          <t>P4 - PEIPL</t>
        </is>
      </c>
      <c r="U1756" s="6" t="inlineStr">
        <is>
          <t>Module Burn</t>
        </is>
      </c>
      <c r="V1756" s="1" t="inlineStr">
        <is>
          <t>Inspection</t>
        </is>
      </c>
      <c r="W1756" s="1" t="inlineStr">
        <is>
          <t>WIP</t>
        </is>
      </c>
      <c r="X1756" s="5" t="n">
        <v>46196</v>
      </c>
      <c r="Y1756" s="1">
        <f>IF(X1756="","",X1756-A1756)</f>
        <v/>
      </c>
      <c r="Z1756" s="5" t="n">
        <v>46196</v>
      </c>
      <c r="AA1756" s="3" t="n"/>
      <c r="AB1756" s="3" t="n"/>
      <c r="AE1756" s="146">
        <f>IF(AND(F1756="Closed",X1756&gt;=DATE(2026,6,1),X1756&lt;=DATE(2026,6,30)),"Closed in June","other")</f>
        <v/>
      </c>
    </row>
    <row r="1757" hidden="1">
      <c r="A1757" s="49" t="n">
        <v>46177</v>
      </c>
      <c r="B1757" s="1" t="n">
        <v>2026</v>
      </c>
      <c r="C1757" s="8" t="inlineStr">
        <is>
          <t>Ayana</t>
        </is>
      </c>
      <c r="D1757" s="11" t="inlineStr">
        <is>
          <t>Utility and C&amp;I</t>
        </is>
      </c>
      <c r="E1757" s="1" t="n"/>
      <c r="F1757" s="1" t="inlineStr">
        <is>
          <t>WIP</t>
        </is>
      </c>
      <c r="G1757" s="11" t="inlineStr">
        <is>
          <t>Vasu.N</t>
        </is>
      </c>
      <c r="H1757" s="8" t="n">
        <v>9578099893</v>
      </c>
      <c r="I1757" s="10" t="inlineStr">
        <is>
          <t>PE04062601</t>
        </is>
      </c>
      <c r="J1757" s="28" t="inlineStr">
        <is>
          <t>Module burnt</t>
        </is>
      </c>
      <c r="K1757" s="8" t="inlineStr">
        <is>
          <t>Zura</t>
        </is>
      </c>
      <c r="L1757" s="39" t="inlineStr">
        <is>
          <t>Gujarat</t>
        </is>
      </c>
      <c r="M1757" s="2" t="inlineStr">
        <is>
          <t xml:space="preserve">burn </t>
        </is>
      </c>
      <c r="N1757" s="6" t="inlineStr">
        <is>
          <t>Module Burn</t>
        </is>
      </c>
      <c r="O1757" s="32" t="n">
        <v>590</v>
      </c>
      <c r="P1757" s="2" t="inlineStr">
        <is>
          <t>NSMI24100660103</t>
        </is>
      </c>
      <c r="Q1757" s="29">
        <f>MID(P1757,5,2)</f>
        <v/>
      </c>
      <c r="R1757" s="14">
        <f>MID(P1757,7,2)</f>
        <v/>
      </c>
      <c r="S1757" s="6" t="inlineStr">
        <is>
          <t>G2G</t>
        </is>
      </c>
      <c r="T1757" s="1" t="inlineStr">
        <is>
          <t>P4 - PEIPL</t>
        </is>
      </c>
      <c r="U1757" s="6" t="inlineStr">
        <is>
          <t>Module Burn</t>
        </is>
      </c>
      <c r="V1757" s="1" t="inlineStr">
        <is>
          <t>Inspection</t>
        </is>
      </c>
      <c r="W1757" s="1" t="inlineStr">
        <is>
          <t>WIP</t>
        </is>
      </c>
      <c r="X1757" s="5" t="n">
        <v>46196</v>
      </c>
      <c r="Y1757" s="1">
        <f>IF(X1757="","",X1757-A1757)</f>
        <v/>
      </c>
      <c r="Z1757" s="5" t="n">
        <v>46196</v>
      </c>
      <c r="AA1757" s="3" t="n"/>
      <c r="AB1757" s="3" t="n"/>
      <c r="AE1757" s="146">
        <f>IF(AND(F1757="Closed",X1757&gt;=DATE(2026,6,1),X1757&lt;=DATE(2026,6,30)),"Closed in June","other")</f>
        <v/>
      </c>
    </row>
    <row r="1758" hidden="1">
      <c r="A1758" s="49" t="n">
        <v>46177</v>
      </c>
      <c r="B1758" s="1" t="n">
        <v>2026</v>
      </c>
      <c r="C1758" s="8" t="inlineStr">
        <is>
          <t>Ayana</t>
        </is>
      </c>
      <c r="D1758" s="11" t="inlineStr">
        <is>
          <t>Utility and C&amp;I</t>
        </is>
      </c>
      <c r="E1758" s="1" t="n"/>
      <c r="F1758" s="1" t="inlineStr">
        <is>
          <t>WIP</t>
        </is>
      </c>
      <c r="G1758" s="11" t="inlineStr">
        <is>
          <t>Vasu.N</t>
        </is>
      </c>
      <c r="H1758" s="8" t="n">
        <v>9578099893</v>
      </c>
      <c r="I1758" s="10" t="inlineStr">
        <is>
          <t>PE04062601</t>
        </is>
      </c>
      <c r="J1758" s="28" t="inlineStr">
        <is>
          <t>Module burnt</t>
        </is>
      </c>
      <c r="K1758" s="8" t="inlineStr">
        <is>
          <t>Zura</t>
        </is>
      </c>
      <c r="L1758" s="39" t="inlineStr">
        <is>
          <t>Gujarat</t>
        </is>
      </c>
      <c r="M1758" s="2" t="inlineStr">
        <is>
          <t xml:space="preserve">burn </t>
        </is>
      </c>
      <c r="N1758" s="6" t="inlineStr">
        <is>
          <t>Module Burn</t>
        </is>
      </c>
      <c r="O1758" s="32" t="n">
        <v>590</v>
      </c>
      <c r="P1758" s="2" t="inlineStr">
        <is>
          <t>NSMI24100656993</t>
        </is>
      </c>
      <c r="Q1758" s="29">
        <f>MID(P1758,5,2)</f>
        <v/>
      </c>
      <c r="R1758" s="14">
        <f>MID(P1758,7,2)</f>
        <v/>
      </c>
      <c r="S1758" s="6" t="inlineStr">
        <is>
          <t>G2G</t>
        </is>
      </c>
      <c r="T1758" s="1" t="inlineStr">
        <is>
          <t>P4 - PEIPL</t>
        </is>
      </c>
      <c r="U1758" s="6" t="inlineStr">
        <is>
          <t>Module Burn</t>
        </is>
      </c>
      <c r="V1758" s="1" t="inlineStr">
        <is>
          <t>Inspection</t>
        </is>
      </c>
      <c r="W1758" s="1" t="inlineStr">
        <is>
          <t>WIP</t>
        </is>
      </c>
      <c r="X1758" s="5" t="n">
        <v>46196</v>
      </c>
      <c r="Y1758" s="1">
        <f>IF(X1758="","",X1758-A1758)</f>
        <v/>
      </c>
      <c r="Z1758" s="5" t="n">
        <v>46196</v>
      </c>
      <c r="AA1758" s="3" t="n"/>
      <c r="AB1758" s="3" t="n"/>
      <c r="AE1758" s="146">
        <f>IF(AND(F1758="Closed",X1758&gt;=DATE(2026,6,1),X1758&lt;=DATE(2026,6,30)),"Closed in June","other")</f>
        <v/>
      </c>
    </row>
    <row r="1759" hidden="1">
      <c r="A1759" s="49" t="n">
        <v>46177</v>
      </c>
      <c r="B1759" s="1" t="n">
        <v>2026</v>
      </c>
      <c r="C1759" s="8" t="inlineStr">
        <is>
          <t>Ayana</t>
        </is>
      </c>
      <c r="D1759" s="11" t="inlineStr">
        <is>
          <t>Utility and C&amp;I</t>
        </is>
      </c>
      <c r="E1759" s="1" t="n"/>
      <c r="F1759" s="1" t="inlineStr">
        <is>
          <t>WIP</t>
        </is>
      </c>
      <c r="G1759" s="11" t="inlineStr">
        <is>
          <t>Vasu.N</t>
        </is>
      </c>
      <c r="H1759" s="8" t="n">
        <v>9578099893</v>
      </c>
      <c r="I1759" s="10" t="inlineStr">
        <is>
          <t>PE04062601</t>
        </is>
      </c>
      <c r="J1759" s="28" t="inlineStr">
        <is>
          <t>Module burnt</t>
        </is>
      </c>
      <c r="K1759" s="8" t="inlineStr">
        <is>
          <t>Zura</t>
        </is>
      </c>
      <c r="L1759" s="39" t="inlineStr">
        <is>
          <t>Gujarat</t>
        </is>
      </c>
      <c r="M1759" s="2" t="inlineStr">
        <is>
          <t xml:space="preserve">burn </t>
        </is>
      </c>
      <c r="N1759" s="6" t="inlineStr">
        <is>
          <t>Module Burn</t>
        </is>
      </c>
      <c r="O1759" s="32" t="n">
        <v>590</v>
      </c>
      <c r="P1759" s="2" t="inlineStr">
        <is>
          <t>NSMI24100646800</t>
        </is>
      </c>
      <c r="Q1759" s="29">
        <f>MID(P1759,5,2)</f>
        <v/>
      </c>
      <c r="R1759" s="14">
        <f>MID(P1759,7,2)</f>
        <v/>
      </c>
      <c r="S1759" s="6" t="inlineStr">
        <is>
          <t>G2G</t>
        </is>
      </c>
      <c r="T1759" s="1" t="inlineStr">
        <is>
          <t>P4 - PEIPL</t>
        </is>
      </c>
      <c r="U1759" s="6" t="inlineStr">
        <is>
          <t>Module Burn</t>
        </is>
      </c>
      <c r="V1759" s="1" t="inlineStr">
        <is>
          <t>Inspection</t>
        </is>
      </c>
      <c r="W1759" s="1" t="inlineStr">
        <is>
          <t>WIP</t>
        </is>
      </c>
      <c r="X1759" s="5" t="n">
        <v>46196</v>
      </c>
      <c r="Y1759" s="1">
        <f>IF(X1759="","",X1759-A1759)</f>
        <v/>
      </c>
      <c r="Z1759" s="5" t="n">
        <v>46196</v>
      </c>
      <c r="AA1759" s="3" t="n"/>
      <c r="AB1759" s="3" t="n"/>
      <c r="AE1759" s="146">
        <f>IF(AND(F1759="Closed",X1759&gt;=DATE(2026,6,1),X1759&lt;=DATE(2026,6,30)),"Closed in June","other")</f>
        <v/>
      </c>
    </row>
    <row r="1760" hidden="1">
      <c r="A1760" s="49" t="n">
        <v>46177</v>
      </c>
      <c r="B1760" s="1" t="n">
        <v>2026</v>
      </c>
      <c r="C1760" s="8" t="inlineStr">
        <is>
          <t>Ayana</t>
        </is>
      </c>
      <c r="D1760" s="11" t="inlineStr">
        <is>
          <t>Utility and C&amp;I</t>
        </is>
      </c>
      <c r="E1760" s="1" t="n"/>
      <c r="F1760" s="1" t="inlineStr">
        <is>
          <t>WIP</t>
        </is>
      </c>
      <c r="G1760" s="11" t="inlineStr">
        <is>
          <t>Vasu.N</t>
        </is>
      </c>
      <c r="H1760" s="8" t="n">
        <v>9578099893</v>
      </c>
      <c r="I1760" s="10" t="inlineStr">
        <is>
          <t>PE04062601</t>
        </is>
      </c>
      <c r="J1760" s="28" t="inlineStr">
        <is>
          <t>Module burnt</t>
        </is>
      </c>
      <c r="K1760" s="8" t="inlineStr">
        <is>
          <t>Zura</t>
        </is>
      </c>
      <c r="L1760" s="39" t="inlineStr">
        <is>
          <t>Gujarat</t>
        </is>
      </c>
      <c r="M1760" s="2" t="inlineStr">
        <is>
          <t xml:space="preserve">burn </t>
        </is>
      </c>
      <c r="N1760" s="6" t="inlineStr">
        <is>
          <t>Module Burn</t>
        </is>
      </c>
      <c r="O1760" s="32" t="n">
        <v>590</v>
      </c>
      <c r="P1760" s="2" t="inlineStr">
        <is>
          <t>NSMI24110795956</t>
        </is>
      </c>
      <c r="Q1760" s="29">
        <f>MID(P1760,5,2)</f>
        <v/>
      </c>
      <c r="R1760" s="14">
        <f>MID(P1760,7,2)</f>
        <v/>
      </c>
      <c r="S1760" s="6" t="inlineStr">
        <is>
          <t>G2G</t>
        </is>
      </c>
      <c r="T1760" s="1" t="inlineStr">
        <is>
          <t>P4 - PEIPL</t>
        </is>
      </c>
      <c r="U1760" s="6" t="inlineStr">
        <is>
          <t>Module Burn</t>
        </is>
      </c>
      <c r="V1760" s="1" t="inlineStr">
        <is>
          <t>Inspection</t>
        </is>
      </c>
      <c r="W1760" s="1" t="inlineStr">
        <is>
          <t>WIP</t>
        </is>
      </c>
      <c r="X1760" s="5" t="n">
        <v>46196</v>
      </c>
      <c r="Y1760" s="1">
        <f>IF(X1760="","",X1760-A1760)</f>
        <v/>
      </c>
      <c r="Z1760" s="5" t="n">
        <v>46196</v>
      </c>
      <c r="AA1760" s="3" t="n"/>
      <c r="AB1760" s="3" t="n"/>
      <c r="AE1760" s="146">
        <f>IF(AND(F1760="Closed",X1760&gt;=DATE(2026,6,1),X1760&lt;=DATE(2026,6,30)),"Closed in June","other")</f>
        <v/>
      </c>
    </row>
    <row r="1761" hidden="1">
      <c r="A1761" s="49" t="n">
        <v>46177</v>
      </c>
      <c r="B1761" s="1" t="n">
        <v>2026</v>
      </c>
      <c r="C1761" s="8" t="inlineStr">
        <is>
          <t>Ayana</t>
        </is>
      </c>
      <c r="D1761" s="11" t="inlineStr">
        <is>
          <t>Utility and C&amp;I</t>
        </is>
      </c>
      <c r="E1761" s="1" t="n"/>
      <c r="F1761" s="1" t="inlineStr">
        <is>
          <t>Closed</t>
        </is>
      </c>
      <c r="G1761" s="11" t="inlineStr">
        <is>
          <t>Vasu.N</t>
        </is>
      </c>
      <c r="H1761" s="8" t="n">
        <v>9578099893</v>
      </c>
      <c r="I1761" s="10" t="inlineStr">
        <is>
          <t>PE04062601</t>
        </is>
      </c>
      <c r="J1761" s="28" t="inlineStr">
        <is>
          <t>Module burnt</t>
        </is>
      </c>
      <c r="K1761" s="8" t="inlineStr">
        <is>
          <t>Zura</t>
        </is>
      </c>
      <c r="L1761" s="39" t="inlineStr">
        <is>
          <t>Gujarat</t>
        </is>
      </c>
      <c r="M1761" s="2" t="inlineStr">
        <is>
          <t>broken</t>
        </is>
      </c>
      <c r="N1761" s="6" t="inlineStr">
        <is>
          <t>Module Breakage</t>
        </is>
      </c>
      <c r="O1761" s="32" t="n">
        <v>590</v>
      </c>
      <c r="P1761" s="2" t="inlineStr">
        <is>
          <t>NSMI24110795689</t>
        </is>
      </c>
      <c r="Q1761" s="29">
        <f>MID(P1761,5,2)</f>
        <v/>
      </c>
      <c r="R1761" s="14">
        <f>MID(P1761,7,2)</f>
        <v/>
      </c>
      <c r="S1761" s="6" t="inlineStr">
        <is>
          <t>G2G</t>
        </is>
      </c>
      <c r="T1761" s="1" t="inlineStr">
        <is>
          <t>P4 - PEIPL</t>
        </is>
      </c>
      <c r="U1761" s="2" t="inlineStr">
        <is>
          <t xml:space="preserve">Hit by stone </t>
        </is>
      </c>
      <c r="V1761" s="1" t="inlineStr">
        <is>
          <t>Inspection</t>
        </is>
      </c>
      <c r="W1761" s="1" t="inlineStr">
        <is>
          <t>Rejected</t>
        </is>
      </c>
      <c r="X1761" s="5" t="n">
        <v>46196</v>
      </c>
      <c r="Y1761" s="1">
        <f>IF(X1761="","",X1761-A1761)</f>
        <v/>
      </c>
      <c r="Z1761" s="5" t="n">
        <v>46196</v>
      </c>
      <c r="AA1761" s="3" t="n"/>
      <c r="AB1761" s="3" t="n"/>
      <c r="AE1761" s="146">
        <f>IF(AND(F1761="Closed",X1761&gt;=DATE(2026,6,1),X1761&lt;=DATE(2026,6,30)),"Closed in June","other")</f>
        <v/>
      </c>
    </row>
    <row r="1762" hidden="1">
      <c r="A1762" s="49" t="n">
        <v>46177</v>
      </c>
      <c r="B1762" s="1" t="n">
        <v>2026</v>
      </c>
      <c r="C1762" s="8" t="inlineStr">
        <is>
          <t>Ayana</t>
        </is>
      </c>
      <c r="D1762" s="11" t="inlineStr">
        <is>
          <t>Utility and C&amp;I</t>
        </is>
      </c>
      <c r="E1762" s="1" t="n"/>
      <c r="F1762" s="1" t="inlineStr">
        <is>
          <t>WIP</t>
        </is>
      </c>
      <c r="G1762" s="11" t="inlineStr">
        <is>
          <t>Vasu.N</t>
        </is>
      </c>
      <c r="H1762" s="8" t="n">
        <v>9578099893</v>
      </c>
      <c r="I1762" s="10" t="inlineStr">
        <is>
          <t>PE04062601</t>
        </is>
      </c>
      <c r="J1762" s="28" t="inlineStr">
        <is>
          <t>Module burnt</t>
        </is>
      </c>
      <c r="K1762" s="8" t="inlineStr">
        <is>
          <t>Zura</t>
        </is>
      </c>
      <c r="L1762" s="39" t="inlineStr">
        <is>
          <t>Gujarat</t>
        </is>
      </c>
      <c r="M1762" s="2" t="inlineStr">
        <is>
          <t xml:space="preserve">burn </t>
        </is>
      </c>
      <c r="N1762" s="6" t="inlineStr">
        <is>
          <t>Module Burn</t>
        </is>
      </c>
      <c r="O1762" s="32" t="n">
        <v>590</v>
      </c>
      <c r="P1762" s="2" t="inlineStr">
        <is>
          <t>NSMI24110794517</t>
        </is>
      </c>
      <c r="Q1762" s="29">
        <f>MID(P1762,5,2)</f>
        <v/>
      </c>
      <c r="R1762" s="14">
        <f>MID(P1762,7,2)</f>
        <v/>
      </c>
      <c r="S1762" s="6" t="inlineStr">
        <is>
          <t>G2G</t>
        </is>
      </c>
      <c r="T1762" s="1" t="inlineStr">
        <is>
          <t>P4 - PEIPL</t>
        </is>
      </c>
      <c r="U1762" s="6" t="inlineStr">
        <is>
          <t>Module Burn</t>
        </is>
      </c>
      <c r="V1762" s="1" t="inlineStr">
        <is>
          <t>Inspection</t>
        </is>
      </c>
      <c r="W1762" s="1" t="inlineStr">
        <is>
          <t>WIP</t>
        </is>
      </c>
      <c r="X1762" s="5" t="n">
        <v>46196</v>
      </c>
      <c r="Y1762" s="1">
        <f>IF(X1762="","",X1762-A1762)</f>
        <v/>
      </c>
      <c r="Z1762" s="5" t="n">
        <v>46196</v>
      </c>
      <c r="AA1762" s="3" t="n"/>
      <c r="AB1762" s="3" t="n"/>
      <c r="AE1762" s="146">
        <f>IF(AND(F1762="Closed",X1762&gt;=DATE(2026,6,1),X1762&lt;=DATE(2026,6,30)),"Closed in June","other")</f>
        <v/>
      </c>
    </row>
    <row r="1763" hidden="1">
      <c r="A1763" s="49" t="n">
        <v>46177</v>
      </c>
      <c r="B1763" s="1" t="n">
        <v>2026</v>
      </c>
      <c r="C1763" s="8" t="inlineStr">
        <is>
          <t>Ayana</t>
        </is>
      </c>
      <c r="D1763" s="11" t="inlineStr">
        <is>
          <t>Utility and C&amp;I</t>
        </is>
      </c>
      <c r="E1763" s="1" t="n"/>
      <c r="F1763" s="1" t="inlineStr">
        <is>
          <t>Closed</t>
        </is>
      </c>
      <c r="G1763" s="11" t="inlineStr">
        <is>
          <t>Vasu.N</t>
        </is>
      </c>
      <c r="H1763" s="8" t="n">
        <v>9578099893</v>
      </c>
      <c r="I1763" s="10" t="inlineStr">
        <is>
          <t>PE04062601</t>
        </is>
      </c>
      <c r="J1763" s="28" t="inlineStr">
        <is>
          <t>Module burnt</t>
        </is>
      </c>
      <c r="K1763" s="8" t="inlineStr">
        <is>
          <t>Zura</t>
        </is>
      </c>
      <c r="L1763" s="39" t="inlineStr">
        <is>
          <t>Gujarat</t>
        </is>
      </c>
      <c r="M1763" s="2" t="inlineStr">
        <is>
          <t>broken</t>
        </is>
      </c>
      <c r="N1763" s="6" t="inlineStr">
        <is>
          <t>Module Breakage</t>
        </is>
      </c>
      <c r="O1763" s="32" t="n">
        <v>590</v>
      </c>
      <c r="P1763" s="2" t="inlineStr">
        <is>
          <t>NSMI24110808207</t>
        </is>
      </c>
      <c r="Q1763" s="29">
        <f>MID(P1763,5,2)</f>
        <v/>
      </c>
      <c r="R1763" s="14">
        <f>MID(P1763,7,2)</f>
        <v/>
      </c>
      <c r="S1763" s="6" t="inlineStr">
        <is>
          <t>G2G</t>
        </is>
      </c>
      <c r="T1763" s="1" t="inlineStr">
        <is>
          <t>P4 - PEIPL</t>
        </is>
      </c>
      <c r="U1763" s="2" t="inlineStr">
        <is>
          <t xml:space="preserve">physically damaged </t>
        </is>
      </c>
      <c r="V1763" s="1" t="inlineStr">
        <is>
          <t>Inspection</t>
        </is>
      </c>
      <c r="W1763" s="1" t="inlineStr">
        <is>
          <t>Rejected</t>
        </is>
      </c>
      <c r="X1763" s="5">
        <f>Z1763</f>
        <v/>
      </c>
      <c r="Y1763" s="1">
        <f>X1763-A1763</f>
        <v/>
      </c>
      <c r="Z1763" s="5" t="n">
        <v>46196</v>
      </c>
      <c r="AA1763" s="3" t="n"/>
      <c r="AB1763" s="3" t="n"/>
      <c r="AE1763" s="146">
        <f>IF(AND(F1763="Closed",X1763&gt;=DATE(2026,6,1),X1763&lt;=DATE(2026,6,30)),"Closed in June","other")</f>
        <v/>
      </c>
    </row>
    <row r="1764" hidden="1">
      <c r="A1764" s="49" t="n">
        <v>46177</v>
      </c>
      <c r="B1764" s="1" t="n">
        <v>2026</v>
      </c>
      <c r="C1764" s="8" t="inlineStr">
        <is>
          <t>Ayana</t>
        </is>
      </c>
      <c r="D1764" s="11" t="inlineStr">
        <is>
          <t>Utility and C&amp;I</t>
        </is>
      </c>
      <c r="E1764" s="1" t="n"/>
      <c r="F1764" s="1" t="inlineStr">
        <is>
          <t>Closed</t>
        </is>
      </c>
      <c r="G1764" s="11" t="inlineStr">
        <is>
          <t>Vasu.N</t>
        </is>
      </c>
      <c r="H1764" s="8" t="n">
        <v>9578099893</v>
      </c>
      <c r="I1764" s="10" t="inlineStr">
        <is>
          <t>PE04062601</t>
        </is>
      </c>
      <c r="J1764" s="28" t="inlineStr">
        <is>
          <t>Module burnt</t>
        </is>
      </c>
      <c r="K1764" s="8" t="inlineStr">
        <is>
          <t>Zura</t>
        </is>
      </c>
      <c r="L1764" s="39" t="inlineStr">
        <is>
          <t>Gujarat</t>
        </is>
      </c>
      <c r="M1764" s="2" t="inlineStr">
        <is>
          <t>broken</t>
        </is>
      </c>
      <c r="N1764" s="6" t="inlineStr">
        <is>
          <t>Module Breakage</t>
        </is>
      </c>
      <c r="O1764" s="32" t="n">
        <v>590</v>
      </c>
      <c r="P1764" s="2" t="inlineStr">
        <is>
          <t>NSMI24110813731</t>
        </is>
      </c>
      <c r="Q1764" s="29">
        <f>MID(P1764,5,2)</f>
        <v/>
      </c>
      <c r="R1764" s="14">
        <f>MID(P1764,7,2)</f>
        <v/>
      </c>
      <c r="S1764" s="6" t="inlineStr">
        <is>
          <t>G2G</t>
        </is>
      </c>
      <c r="T1764" s="1" t="inlineStr">
        <is>
          <t>P4 - PEIPL</t>
        </is>
      </c>
      <c r="U1764" s="2" t="inlineStr">
        <is>
          <t xml:space="preserve">Hit by stone </t>
        </is>
      </c>
      <c r="V1764" s="1" t="inlineStr">
        <is>
          <t>Inspection</t>
        </is>
      </c>
      <c r="W1764" s="1" t="inlineStr">
        <is>
          <t>Rejected</t>
        </is>
      </c>
      <c r="X1764" s="5" t="n">
        <v>46196</v>
      </c>
      <c r="Y1764" s="1">
        <f>IF(X1764="","",X1764-A1764)</f>
        <v/>
      </c>
      <c r="Z1764" s="5" t="n">
        <v>46196</v>
      </c>
      <c r="AA1764" s="3" t="n"/>
      <c r="AB1764" s="3" t="n"/>
      <c r="AE1764" s="146">
        <f>IF(AND(F1764="Closed",X1764&gt;=DATE(2026,6,1),X1764&lt;=DATE(2026,6,30)),"Closed in June","other")</f>
        <v/>
      </c>
    </row>
    <row r="1765" hidden="1">
      <c r="A1765" s="49" t="n">
        <v>46177</v>
      </c>
      <c r="B1765" s="1" t="n">
        <v>2026</v>
      </c>
      <c r="C1765" s="8" t="inlineStr">
        <is>
          <t>Ayana</t>
        </is>
      </c>
      <c r="D1765" s="11" t="inlineStr">
        <is>
          <t>Utility and C&amp;I</t>
        </is>
      </c>
      <c r="E1765" s="1" t="n"/>
      <c r="F1765" s="1" t="inlineStr">
        <is>
          <t>Closed</t>
        </is>
      </c>
      <c r="G1765" s="11" t="inlineStr">
        <is>
          <t>Vasu.N</t>
        </is>
      </c>
      <c r="H1765" s="8" t="n">
        <v>9578099893</v>
      </c>
      <c r="I1765" s="10" t="inlineStr">
        <is>
          <t>PE04062601</t>
        </is>
      </c>
      <c r="J1765" s="28" t="inlineStr">
        <is>
          <t>Module burnt</t>
        </is>
      </c>
      <c r="K1765" s="8" t="inlineStr">
        <is>
          <t>Zura</t>
        </is>
      </c>
      <c r="L1765" s="39" t="inlineStr">
        <is>
          <t>Gujarat</t>
        </is>
      </c>
      <c r="M1765" s="2" t="inlineStr">
        <is>
          <t>broken</t>
        </is>
      </c>
      <c r="N1765" s="6" t="inlineStr">
        <is>
          <t>Module Breakage</t>
        </is>
      </c>
      <c r="O1765" s="32" t="n">
        <v>590</v>
      </c>
      <c r="P1765" s="2" t="inlineStr">
        <is>
          <t>NSMI24100594927</t>
        </is>
      </c>
      <c r="Q1765" s="29">
        <f>MID(P1765,5,2)</f>
        <v/>
      </c>
      <c r="R1765" s="14">
        <f>MID(P1765,7,2)</f>
        <v/>
      </c>
      <c r="S1765" s="6" t="inlineStr">
        <is>
          <t>G2G</t>
        </is>
      </c>
      <c r="T1765" s="1" t="inlineStr">
        <is>
          <t>P4 - PEIPL</t>
        </is>
      </c>
      <c r="U1765" s="2" t="inlineStr">
        <is>
          <t xml:space="preserve">Hit by stone </t>
        </is>
      </c>
      <c r="V1765" s="1" t="inlineStr">
        <is>
          <t>Inspection</t>
        </is>
      </c>
      <c r="W1765" s="1" t="inlineStr">
        <is>
          <t>Rejected</t>
        </is>
      </c>
      <c r="X1765" s="5" t="n">
        <v>46196</v>
      </c>
      <c r="Y1765" s="1">
        <f>IF(X1765="","",X1765-A1765)</f>
        <v/>
      </c>
      <c r="Z1765" s="5" t="n">
        <v>46196</v>
      </c>
      <c r="AA1765" s="3" t="n"/>
      <c r="AB1765" s="3" t="n"/>
      <c r="AE1765" s="146">
        <f>IF(AND(F1765="Closed",X1765&gt;=DATE(2026,6,1),X1765&lt;=DATE(2026,6,30)),"Closed in June","other")</f>
        <v/>
      </c>
    </row>
    <row r="1766" hidden="1">
      <c r="A1766" s="49" t="n">
        <v>46177</v>
      </c>
      <c r="B1766" s="1" t="n">
        <v>2026</v>
      </c>
      <c r="C1766" s="8" t="inlineStr">
        <is>
          <t>Ayana</t>
        </is>
      </c>
      <c r="D1766" s="11" t="inlineStr">
        <is>
          <t>Utility and C&amp;I</t>
        </is>
      </c>
      <c r="E1766" s="1" t="n"/>
      <c r="F1766" s="1" t="inlineStr">
        <is>
          <t>Closed</t>
        </is>
      </c>
      <c r="G1766" s="11" t="inlineStr">
        <is>
          <t>Vasu.N</t>
        </is>
      </c>
      <c r="H1766" s="8" t="n">
        <v>9578099893</v>
      </c>
      <c r="I1766" s="10" t="inlineStr">
        <is>
          <t>PE04062601</t>
        </is>
      </c>
      <c r="J1766" s="28" t="inlineStr">
        <is>
          <t>Module burnt</t>
        </is>
      </c>
      <c r="K1766" s="8" t="inlineStr">
        <is>
          <t>Zura</t>
        </is>
      </c>
      <c r="L1766" s="39" t="inlineStr">
        <is>
          <t>Gujarat</t>
        </is>
      </c>
      <c r="M1766" s="2" t="inlineStr">
        <is>
          <t>broken</t>
        </is>
      </c>
      <c r="N1766" s="6" t="inlineStr">
        <is>
          <t>Module Breakage</t>
        </is>
      </c>
      <c r="O1766" s="32" t="n">
        <v>590</v>
      </c>
      <c r="P1766" s="2" t="inlineStr">
        <is>
          <t>NSMI24100683414</t>
        </is>
      </c>
      <c r="Q1766" s="29">
        <f>MID(P1766,5,2)</f>
        <v/>
      </c>
      <c r="R1766" s="14">
        <f>MID(P1766,7,2)</f>
        <v/>
      </c>
      <c r="S1766" s="6" t="inlineStr">
        <is>
          <t>G2G</t>
        </is>
      </c>
      <c r="T1766" s="1" t="inlineStr">
        <is>
          <t>P4 - PEIPL</t>
        </is>
      </c>
      <c r="U1766" s="2" t="inlineStr">
        <is>
          <t xml:space="preserve">Hit by stone </t>
        </is>
      </c>
      <c r="V1766" s="1" t="inlineStr">
        <is>
          <t>Inspection</t>
        </is>
      </c>
      <c r="W1766" s="1" t="inlineStr">
        <is>
          <t>Rejected</t>
        </is>
      </c>
      <c r="X1766" s="5" t="n">
        <v>46196</v>
      </c>
      <c r="Y1766" s="1">
        <f>IF(X1766="","",X1766-A1766)</f>
        <v/>
      </c>
      <c r="Z1766" s="5" t="n">
        <v>46196</v>
      </c>
      <c r="AA1766" s="3" t="n"/>
      <c r="AB1766" s="3" t="n"/>
      <c r="AE1766" s="146">
        <f>IF(AND(F1766="Closed",X1766&gt;=DATE(2026,6,1),X1766&lt;=DATE(2026,6,30)),"Closed in June","other")</f>
        <v/>
      </c>
    </row>
    <row r="1767" hidden="1">
      <c r="A1767" s="49" t="n">
        <v>46177</v>
      </c>
      <c r="B1767" s="1" t="n">
        <v>2026</v>
      </c>
      <c r="C1767" s="8" t="inlineStr">
        <is>
          <t>Ayana</t>
        </is>
      </c>
      <c r="D1767" s="11" t="inlineStr">
        <is>
          <t>Utility and C&amp;I</t>
        </is>
      </c>
      <c r="E1767" s="1" t="n"/>
      <c r="F1767" s="1" t="inlineStr">
        <is>
          <t>Closed</t>
        </is>
      </c>
      <c r="G1767" s="11" t="inlineStr">
        <is>
          <t>Vasu.N</t>
        </is>
      </c>
      <c r="H1767" s="8" t="n">
        <v>9578099893</v>
      </c>
      <c r="I1767" s="10" t="inlineStr">
        <is>
          <t>PE04062601</t>
        </is>
      </c>
      <c r="J1767" s="28" t="inlineStr">
        <is>
          <t>Module burnt</t>
        </is>
      </c>
      <c r="K1767" s="8" t="inlineStr">
        <is>
          <t>Zura</t>
        </is>
      </c>
      <c r="L1767" s="39" t="inlineStr">
        <is>
          <t>Gujarat</t>
        </is>
      </c>
      <c r="M1767" s="2" t="inlineStr">
        <is>
          <t>broken</t>
        </is>
      </c>
      <c r="N1767" s="6" t="inlineStr">
        <is>
          <t>Module Breakage</t>
        </is>
      </c>
      <c r="O1767" s="32" t="n">
        <v>590</v>
      </c>
      <c r="P1767" s="2" t="inlineStr">
        <is>
          <t>NSMI24100682497</t>
        </is>
      </c>
      <c r="Q1767" s="29">
        <f>MID(P1767,5,2)</f>
        <v/>
      </c>
      <c r="R1767" s="14">
        <f>MID(P1767,7,2)</f>
        <v/>
      </c>
      <c r="S1767" s="6" t="inlineStr">
        <is>
          <t>G2G</t>
        </is>
      </c>
      <c r="T1767" s="1" t="inlineStr">
        <is>
          <t>P4 - PEIPL</t>
        </is>
      </c>
      <c r="U1767" s="2" t="inlineStr">
        <is>
          <t xml:space="preserve">Hit by stone </t>
        </is>
      </c>
      <c r="V1767" s="1" t="inlineStr">
        <is>
          <t>Inspection</t>
        </is>
      </c>
      <c r="W1767" s="1" t="inlineStr">
        <is>
          <t>Rejected</t>
        </is>
      </c>
      <c r="X1767" s="5" t="n">
        <v>46196</v>
      </c>
      <c r="Y1767" s="1">
        <f>IF(X1767="","",X1767-A1767)</f>
        <v/>
      </c>
      <c r="Z1767" s="5" t="n">
        <v>46196</v>
      </c>
      <c r="AA1767" s="3" t="n"/>
      <c r="AB1767" s="3" t="n"/>
      <c r="AE1767" s="146">
        <f>IF(AND(F1767="Closed",X1767&gt;=DATE(2026,6,1),X1767&lt;=DATE(2026,6,30)),"Closed in June","other")</f>
        <v/>
      </c>
    </row>
    <row r="1768" hidden="1">
      <c r="A1768" s="49" t="n">
        <v>46177</v>
      </c>
      <c r="B1768" s="1" t="n">
        <v>2026</v>
      </c>
      <c r="C1768" s="8" t="inlineStr">
        <is>
          <t>Ayana</t>
        </is>
      </c>
      <c r="D1768" s="11" t="inlineStr">
        <is>
          <t>Utility and C&amp;I</t>
        </is>
      </c>
      <c r="E1768" s="1" t="n"/>
      <c r="F1768" s="1" t="inlineStr">
        <is>
          <t>WIP</t>
        </is>
      </c>
      <c r="G1768" s="11" t="inlineStr">
        <is>
          <t>Vasu.N</t>
        </is>
      </c>
      <c r="H1768" s="8" t="n">
        <v>9578099893</v>
      </c>
      <c r="I1768" s="10" t="inlineStr">
        <is>
          <t>PE04062601</t>
        </is>
      </c>
      <c r="J1768" s="28" t="inlineStr">
        <is>
          <t>Module burnt</t>
        </is>
      </c>
      <c r="K1768" s="8" t="inlineStr">
        <is>
          <t>Zura</t>
        </is>
      </c>
      <c r="L1768" s="39" t="inlineStr">
        <is>
          <t>Gujarat</t>
        </is>
      </c>
      <c r="M1768" s="2" t="inlineStr">
        <is>
          <t xml:space="preserve">burn </t>
        </is>
      </c>
      <c r="N1768" s="6" t="inlineStr">
        <is>
          <t>Module Burn</t>
        </is>
      </c>
      <c r="O1768" s="32" t="n">
        <v>590</v>
      </c>
      <c r="P1768" s="2" t="inlineStr">
        <is>
          <t>NSMI24100683409</t>
        </is>
      </c>
      <c r="Q1768" s="29">
        <f>MID(P1768,5,2)</f>
        <v/>
      </c>
      <c r="R1768" s="14">
        <f>MID(P1768,7,2)</f>
        <v/>
      </c>
      <c r="S1768" s="6" t="inlineStr">
        <is>
          <t>G2G</t>
        </is>
      </c>
      <c r="T1768" s="1" t="inlineStr">
        <is>
          <t>P4 - PEIPL</t>
        </is>
      </c>
      <c r="U1768" s="6" t="inlineStr">
        <is>
          <t>Module Burn</t>
        </is>
      </c>
      <c r="V1768" s="1" t="inlineStr">
        <is>
          <t>Inspection</t>
        </is>
      </c>
      <c r="W1768" s="1" t="inlineStr">
        <is>
          <t>WIP</t>
        </is>
      </c>
      <c r="X1768" s="5" t="n">
        <v>46196</v>
      </c>
      <c r="Y1768" s="1">
        <f>IF(X1768="","",X1768-A1768)</f>
        <v/>
      </c>
      <c r="Z1768" s="5" t="n">
        <v>46196</v>
      </c>
      <c r="AA1768" s="3" t="n"/>
      <c r="AB1768" s="3" t="n"/>
      <c r="AE1768" s="146">
        <f>IF(AND(F1768="Closed",X1768&gt;=DATE(2026,6,1),X1768&lt;=DATE(2026,6,30)),"Closed in June","other")</f>
        <v/>
      </c>
    </row>
    <row r="1769" hidden="1">
      <c r="A1769" s="49" t="n">
        <v>46177</v>
      </c>
      <c r="B1769" s="1" t="n">
        <v>2026</v>
      </c>
      <c r="C1769" s="8" t="inlineStr">
        <is>
          <t>Ayana</t>
        </is>
      </c>
      <c r="D1769" s="11" t="inlineStr">
        <is>
          <t>Utility and C&amp;I</t>
        </is>
      </c>
      <c r="E1769" s="1" t="n"/>
      <c r="F1769" s="1" t="inlineStr">
        <is>
          <t>WIP</t>
        </is>
      </c>
      <c r="G1769" s="11" t="inlineStr">
        <is>
          <t>Vasu.N</t>
        </is>
      </c>
      <c r="H1769" s="8" t="n">
        <v>9578099893</v>
      </c>
      <c r="I1769" s="10" t="inlineStr">
        <is>
          <t>PE04062601</t>
        </is>
      </c>
      <c r="J1769" s="28" t="inlineStr">
        <is>
          <t>Module burnt</t>
        </is>
      </c>
      <c r="K1769" s="8" t="inlineStr">
        <is>
          <t>Zura</t>
        </is>
      </c>
      <c r="L1769" s="39" t="inlineStr">
        <is>
          <t>Gujarat</t>
        </is>
      </c>
      <c r="M1769" s="2" t="inlineStr">
        <is>
          <t xml:space="preserve">burn </t>
        </is>
      </c>
      <c r="N1769" s="6" t="inlineStr">
        <is>
          <t>Module Burn</t>
        </is>
      </c>
      <c r="O1769" s="32" t="n">
        <v>590</v>
      </c>
      <c r="P1769" s="2" t="inlineStr">
        <is>
          <t>NSMI24110798914</t>
        </is>
      </c>
      <c r="Q1769" s="29">
        <f>MID(P1769,5,2)</f>
        <v/>
      </c>
      <c r="R1769" s="14">
        <f>MID(P1769,7,2)</f>
        <v/>
      </c>
      <c r="S1769" s="6" t="inlineStr">
        <is>
          <t>G2G</t>
        </is>
      </c>
      <c r="T1769" s="1" t="inlineStr">
        <is>
          <t>P4 - PEIPL</t>
        </is>
      </c>
      <c r="U1769" s="6" t="inlineStr">
        <is>
          <t>Module Burn</t>
        </is>
      </c>
      <c r="V1769" s="1" t="inlineStr">
        <is>
          <t>Inspection</t>
        </is>
      </c>
      <c r="W1769" s="1" t="inlineStr">
        <is>
          <t>WIP</t>
        </is>
      </c>
      <c r="X1769" s="5" t="n">
        <v>46196</v>
      </c>
      <c r="Y1769" s="1">
        <f>IF(X1769="","",X1769-A1769)</f>
        <v/>
      </c>
      <c r="Z1769" s="5" t="n">
        <v>46196</v>
      </c>
      <c r="AA1769" s="3" t="n"/>
      <c r="AB1769" s="3" t="n"/>
      <c r="AE1769" s="146">
        <f>IF(AND(F1769="Closed",X1769&gt;=DATE(2026,6,1),X1769&lt;=DATE(2026,6,30)),"Closed in June","other")</f>
        <v/>
      </c>
    </row>
    <row r="1770" hidden="1">
      <c r="A1770" s="49" t="n">
        <v>46177</v>
      </c>
      <c r="B1770" s="1" t="n">
        <v>2026</v>
      </c>
      <c r="C1770" s="8" t="inlineStr">
        <is>
          <t>Ayana</t>
        </is>
      </c>
      <c r="D1770" s="11" t="inlineStr">
        <is>
          <t>Utility and C&amp;I</t>
        </is>
      </c>
      <c r="E1770" s="1" t="n"/>
      <c r="F1770" s="1" t="inlineStr">
        <is>
          <t>WIP</t>
        </is>
      </c>
      <c r="G1770" s="11" t="inlineStr">
        <is>
          <t>Vasu.N</t>
        </is>
      </c>
      <c r="H1770" s="8" t="n">
        <v>9578099893</v>
      </c>
      <c r="I1770" s="10" t="inlineStr">
        <is>
          <t>PE04062601</t>
        </is>
      </c>
      <c r="J1770" s="28" t="inlineStr">
        <is>
          <t>Module burnt</t>
        </is>
      </c>
      <c r="K1770" s="8" t="inlineStr">
        <is>
          <t>Zura</t>
        </is>
      </c>
      <c r="L1770" s="39" t="inlineStr">
        <is>
          <t>Gujarat</t>
        </is>
      </c>
      <c r="M1770" s="2" t="inlineStr">
        <is>
          <t xml:space="preserve">burn </t>
        </is>
      </c>
      <c r="N1770" s="6" t="inlineStr">
        <is>
          <t>Module Burn</t>
        </is>
      </c>
      <c r="O1770" s="32" t="n">
        <v>590</v>
      </c>
      <c r="P1770" s="2" t="inlineStr">
        <is>
          <t>NSMI24100643166</t>
        </is>
      </c>
      <c r="Q1770" s="29">
        <f>MID(P1770,5,2)</f>
        <v/>
      </c>
      <c r="R1770" s="14">
        <f>MID(P1770,7,2)</f>
        <v/>
      </c>
      <c r="S1770" s="6" t="inlineStr">
        <is>
          <t>G2G</t>
        </is>
      </c>
      <c r="T1770" s="1" t="inlineStr">
        <is>
          <t>P4 - PEIPL</t>
        </is>
      </c>
      <c r="U1770" s="6" t="inlineStr">
        <is>
          <t>Module Burn</t>
        </is>
      </c>
      <c r="V1770" s="1" t="inlineStr">
        <is>
          <t>Inspection</t>
        </is>
      </c>
      <c r="W1770" s="1" t="inlineStr">
        <is>
          <t>WIP</t>
        </is>
      </c>
      <c r="X1770" s="5" t="n">
        <v>46196</v>
      </c>
      <c r="Y1770" s="1">
        <f>IF(X1770="","",X1770-A1770)</f>
        <v/>
      </c>
      <c r="Z1770" s="5" t="n">
        <v>46196</v>
      </c>
      <c r="AA1770" s="3" t="n"/>
      <c r="AB1770" s="3" t="n"/>
      <c r="AE1770" s="146">
        <f>IF(AND(F1770="Closed",X1770&gt;=DATE(2026,6,1),X1770&lt;=DATE(2026,6,30)),"Closed in June","other")</f>
        <v/>
      </c>
    </row>
    <row r="1771" hidden="1">
      <c r="A1771" s="49" t="n">
        <v>46177</v>
      </c>
      <c r="B1771" s="1" t="n">
        <v>2026</v>
      </c>
      <c r="C1771" s="8" t="inlineStr">
        <is>
          <t>Ayana</t>
        </is>
      </c>
      <c r="D1771" s="11" t="inlineStr">
        <is>
          <t>Utility and C&amp;I</t>
        </is>
      </c>
      <c r="E1771" s="1" t="n"/>
      <c r="F1771" s="1" t="inlineStr">
        <is>
          <t>Closed</t>
        </is>
      </c>
      <c r="G1771" s="11" t="inlineStr">
        <is>
          <t>Vasu.N</t>
        </is>
      </c>
      <c r="H1771" s="8" t="n">
        <v>9578099893</v>
      </c>
      <c r="I1771" s="10" t="inlineStr">
        <is>
          <t>PE04062601</t>
        </is>
      </c>
      <c r="J1771" s="28" t="inlineStr">
        <is>
          <t>Module burnt</t>
        </is>
      </c>
      <c r="K1771" s="8" t="inlineStr">
        <is>
          <t>Zura</t>
        </is>
      </c>
      <c r="L1771" s="39" t="inlineStr">
        <is>
          <t>Gujarat</t>
        </is>
      </c>
      <c r="M1771" s="2" t="inlineStr">
        <is>
          <t>broken</t>
        </is>
      </c>
      <c r="N1771" s="6" t="inlineStr">
        <is>
          <t>Module Breakage</t>
        </is>
      </c>
      <c r="O1771" s="32" t="n">
        <v>590</v>
      </c>
      <c r="P1771" s="2" t="inlineStr">
        <is>
          <t>NSMI24110796885</t>
        </is>
      </c>
      <c r="Q1771" s="29">
        <f>MID(P1771,5,2)</f>
        <v/>
      </c>
      <c r="R1771" s="14">
        <f>MID(P1771,7,2)</f>
        <v/>
      </c>
      <c r="S1771" s="6" t="inlineStr">
        <is>
          <t>G2G</t>
        </is>
      </c>
      <c r="T1771" s="1" t="inlineStr">
        <is>
          <t>P4 - PEIPL</t>
        </is>
      </c>
      <c r="U1771" s="2" t="inlineStr">
        <is>
          <t xml:space="preserve">physically damaged </t>
        </is>
      </c>
      <c r="V1771" s="1" t="inlineStr">
        <is>
          <t>Inspection</t>
        </is>
      </c>
      <c r="W1771" s="1" t="inlineStr">
        <is>
          <t>Rejected</t>
        </is>
      </c>
      <c r="X1771" s="5">
        <f>Z1771</f>
        <v/>
      </c>
      <c r="Y1771" s="1">
        <f>X1771-A1771</f>
        <v/>
      </c>
      <c r="Z1771" s="5" t="n">
        <v>46196</v>
      </c>
      <c r="AA1771" s="3" t="n"/>
      <c r="AB1771" s="3" t="n"/>
      <c r="AE1771" s="146">
        <f>IF(AND(F1771="Closed",X1771&gt;=DATE(2026,6,1),X1771&lt;=DATE(2026,6,30)),"Closed in June","other")</f>
        <v/>
      </c>
    </row>
    <row r="1772" hidden="1">
      <c r="A1772" s="49" t="n">
        <v>46177</v>
      </c>
      <c r="B1772" s="1" t="n">
        <v>2026</v>
      </c>
      <c r="C1772" s="8" t="inlineStr">
        <is>
          <t>Ayana</t>
        </is>
      </c>
      <c r="D1772" s="11" t="inlineStr">
        <is>
          <t>Utility and C&amp;I</t>
        </is>
      </c>
      <c r="E1772" s="1" t="n"/>
      <c r="F1772" s="1" t="inlineStr">
        <is>
          <t>WIP</t>
        </is>
      </c>
      <c r="G1772" s="11" t="inlineStr">
        <is>
          <t>Vasu.N</t>
        </is>
      </c>
      <c r="H1772" s="8" t="n">
        <v>9578099893</v>
      </c>
      <c r="I1772" s="10" t="inlineStr">
        <is>
          <t>PE04062601</t>
        </is>
      </c>
      <c r="J1772" s="28" t="inlineStr">
        <is>
          <t>Module burnt</t>
        </is>
      </c>
      <c r="K1772" s="8" t="inlineStr">
        <is>
          <t>Zura</t>
        </is>
      </c>
      <c r="L1772" s="39" t="inlineStr">
        <is>
          <t>Gujarat</t>
        </is>
      </c>
      <c r="M1772" s="2" t="inlineStr">
        <is>
          <t xml:space="preserve">burn </t>
        </is>
      </c>
      <c r="N1772" s="6" t="inlineStr">
        <is>
          <t>Module Burn</t>
        </is>
      </c>
      <c r="O1772" s="32" t="n">
        <v>590</v>
      </c>
      <c r="P1772" s="2" t="inlineStr">
        <is>
          <t>NSMI24110792464</t>
        </is>
      </c>
      <c r="Q1772" s="29">
        <f>MID(P1772,5,2)</f>
        <v/>
      </c>
      <c r="R1772" s="14">
        <f>MID(P1772,7,2)</f>
        <v/>
      </c>
      <c r="S1772" s="6" t="inlineStr">
        <is>
          <t>G2G</t>
        </is>
      </c>
      <c r="T1772" s="1" t="inlineStr">
        <is>
          <t>P4 - PEIPL</t>
        </is>
      </c>
      <c r="U1772" s="6" t="inlineStr">
        <is>
          <t>Module Burn</t>
        </is>
      </c>
      <c r="V1772" s="1" t="inlineStr">
        <is>
          <t>Inspection</t>
        </is>
      </c>
      <c r="W1772" s="1" t="inlineStr">
        <is>
          <t>WIP</t>
        </is>
      </c>
      <c r="X1772" s="12" t="n"/>
      <c r="Y1772" s="1">
        <f>IF(X1772="","",X1772-A1772)</f>
        <v/>
      </c>
      <c r="Z1772" s="5" t="n">
        <v>46196</v>
      </c>
      <c r="AA1772" s="3" t="n"/>
      <c r="AB1772" s="3" t="n"/>
      <c r="AE1772" s="146">
        <f>IF(AND(F1772="Closed",X1772&gt;=DATE(2026,6,1),X1772&lt;=DATE(2026,6,30)),"Closed in June","other")</f>
        <v/>
      </c>
    </row>
    <row r="1773" hidden="1">
      <c r="A1773" s="49" t="n">
        <v>46177</v>
      </c>
      <c r="B1773" s="1" t="n">
        <v>2026</v>
      </c>
      <c r="C1773" s="8" t="inlineStr">
        <is>
          <t>Ayana</t>
        </is>
      </c>
      <c r="D1773" s="11" t="inlineStr">
        <is>
          <t>Utility and C&amp;I</t>
        </is>
      </c>
      <c r="E1773" s="1" t="n"/>
      <c r="F1773" s="1" t="inlineStr">
        <is>
          <t>Closed</t>
        </is>
      </c>
      <c r="G1773" s="11" t="inlineStr">
        <is>
          <t>Vasu.N</t>
        </is>
      </c>
      <c r="H1773" s="8" t="n">
        <v>9578099893</v>
      </c>
      <c r="I1773" s="10" t="inlineStr">
        <is>
          <t>PE04062601</t>
        </is>
      </c>
      <c r="J1773" s="28" t="inlineStr">
        <is>
          <t>Module burnt</t>
        </is>
      </c>
      <c r="K1773" s="8" t="inlineStr">
        <is>
          <t>Zura</t>
        </is>
      </c>
      <c r="L1773" s="39" t="inlineStr">
        <is>
          <t>Gujarat</t>
        </is>
      </c>
      <c r="M1773" s="2" t="inlineStr">
        <is>
          <t>broken</t>
        </is>
      </c>
      <c r="N1773" s="6" t="inlineStr">
        <is>
          <t>Module Breakage</t>
        </is>
      </c>
      <c r="O1773" s="32" t="n">
        <v>590</v>
      </c>
      <c r="P1773" s="2" t="inlineStr">
        <is>
          <t>NSMI24110798942</t>
        </is>
      </c>
      <c r="Q1773" s="29">
        <f>MID(P1773,5,2)</f>
        <v/>
      </c>
      <c r="R1773" s="14">
        <f>MID(P1773,7,2)</f>
        <v/>
      </c>
      <c r="S1773" s="6" t="inlineStr">
        <is>
          <t>G2G</t>
        </is>
      </c>
      <c r="T1773" s="1" t="inlineStr">
        <is>
          <t>P4 - PEIPL</t>
        </is>
      </c>
      <c r="U1773" s="2" t="inlineStr">
        <is>
          <t xml:space="preserve">physically damaged </t>
        </is>
      </c>
      <c r="V1773" s="1" t="inlineStr">
        <is>
          <t>Inspection</t>
        </is>
      </c>
      <c r="W1773" s="1" t="inlineStr">
        <is>
          <t>Rejected</t>
        </is>
      </c>
      <c r="X1773" s="5">
        <f>Z1773</f>
        <v/>
      </c>
      <c r="Y1773" s="1">
        <f>X1773-A1773</f>
        <v/>
      </c>
      <c r="Z1773" s="5" t="n">
        <v>46196</v>
      </c>
      <c r="AA1773" s="3" t="n"/>
      <c r="AB1773" s="3" t="n"/>
      <c r="AE1773" s="146">
        <f>IF(AND(F1773="Closed",X1773&gt;=DATE(2026,6,1),X1773&lt;=DATE(2026,6,30)),"Closed in June","other")</f>
        <v/>
      </c>
    </row>
    <row r="1774" hidden="1">
      <c r="A1774" s="49" t="n">
        <v>46177</v>
      </c>
      <c r="B1774" s="1" t="n">
        <v>2026</v>
      </c>
      <c r="C1774" s="8" t="inlineStr">
        <is>
          <t>Ayana</t>
        </is>
      </c>
      <c r="D1774" s="11" t="inlineStr">
        <is>
          <t>Utility and C&amp;I</t>
        </is>
      </c>
      <c r="E1774" s="1" t="n"/>
      <c r="F1774" s="1" t="inlineStr">
        <is>
          <t>WIP</t>
        </is>
      </c>
      <c r="G1774" s="11" t="inlineStr">
        <is>
          <t>Vasu.N</t>
        </is>
      </c>
      <c r="H1774" s="8" t="n">
        <v>9578099893</v>
      </c>
      <c r="I1774" s="10" t="inlineStr">
        <is>
          <t>PE04062601</t>
        </is>
      </c>
      <c r="J1774" s="28" t="inlineStr">
        <is>
          <t>Module burnt</t>
        </is>
      </c>
      <c r="K1774" s="8" t="inlineStr">
        <is>
          <t>Zura</t>
        </is>
      </c>
      <c r="L1774" s="39" t="inlineStr">
        <is>
          <t>Gujarat</t>
        </is>
      </c>
      <c r="M1774" s="2" t="inlineStr">
        <is>
          <t>broken</t>
        </is>
      </c>
      <c r="N1774" s="6" t="inlineStr">
        <is>
          <t>Module Breakage</t>
        </is>
      </c>
      <c r="O1774" s="32" t="n">
        <v>590</v>
      </c>
      <c r="P1774" s="2" t="inlineStr">
        <is>
          <t>NSMI24100682397</t>
        </is>
      </c>
      <c r="Q1774" s="29">
        <f>MID(P1774,5,2)</f>
        <v/>
      </c>
      <c r="R1774" s="14">
        <f>MID(P1774,7,2)</f>
        <v/>
      </c>
      <c r="S1774" s="6" t="inlineStr">
        <is>
          <t>G2G</t>
        </is>
      </c>
      <c r="T1774" s="1" t="inlineStr">
        <is>
          <t>P4 - PEIPL</t>
        </is>
      </c>
      <c r="U1774" s="2" t="inlineStr">
        <is>
          <t>Frame Damaged</t>
        </is>
      </c>
      <c r="V1774" s="1" t="inlineStr">
        <is>
          <t>Inspection</t>
        </is>
      </c>
      <c r="W1774" s="1" t="inlineStr">
        <is>
          <t>WIP</t>
        </is>
      </c>
      <c r="X1774" s="12" t="n"/>
      <c r="Y1774" s="1">
        <f>IF(X1774="","",X1774-A1774)</f>
        <v/>
      </c>
      <c r="Z1774" s="5" t="n">
        <v>46196</v>
      </c>
      <c r="AA1774" s="3" t="n"/>
      <c r="AB1774" s="3" t="n"/>
      <c r="AE1774" s="146">
        <f>IF(AND(F1774="Closed",X1774&gt;=DATE(2026,6,1),X1774&lt;=DATE(2026,6,30)),"Closed in June","other")</f>
        <v/>
      </c>
    </row>
    <row r="1775" hidden="1">
      <c r="A1775" s="49" t="n">
        <v>46177</v>
      </c>
      <c r="B1775" s="1" t="n">
        <v>2026</v>
      </c>
      <c r="C1775" s="8" t="inlineStr">
        <is>
          <t>Ayana</t>
        </is>
      </c>
      <c r="D1775" s="11" t="inlineStr">
        <is>
          <t>Utility and C&amp;I</t>
        </is>
      </c>
      <c r="E1775" s="1" t="n"/>
      <c r="F1775" s="1" t="inlineStr">
        <is>
          <t>WIP</t>
        </is>
      </c>
      <c r="G1775" s="11" t="inlineStr">
        <is>
          <t>Vasu.N</t>
        </is>
      </c>
      <c r="H1775" s="8" t="n">
        <v>9578099893</v>
      </c>
      <c r="I1775" s="10" t="inlineStr">
        <is>
          <t>PE04062601</t>
        </is>
      </c>
      <c r="J1775" s="28" t="inlineStr">
        <is>
          <t>Module burnt</t>
        </is>
      </c>
      <c r="K1775" s="8" t="inlineStr">
        <is>
          <t>Zura</t>
        </is>
      </c>
      <c r="L1775" s="39" t="inlineStr">
        <is>
          <t>Gujarat</t>
        </is>
      </c>
      <c r="M1775" s="2" t="inlineStr">
        <is>
          <t xml:space="preserve">burn </t>
        </is>
      </c>
      <c r="N1775" s="6" t="inlineStr">
        <is>
          <t>Module Burn</t>
        </is>
      </c>
      <c r="O1775" s="32" t="n">
        <v>590</v>
      </c>
      <c r="P1775" s="2" t="inlineStr">
        <is>
          <t>NSMI24100668739</t>
        </is>
      </c>
      <c r="Q1775" s="29">
        <f>MID(P1775,5,2)</f>
        <v/>
      </c>
      <c r="R1775" s="14">
        <f>MID(P1775,7,2)</f>
        <v/>
      </c>
      <c r="S1775" s="6" t="inlineStr">
        <is>
          <t>G2G</t>
        </is>
      </c>
      <c r="T1775" s="1" t="inlineStr">
        <is>
          <t>P4 - PEIPL</t>
        </is>
      </c>
      <c r="U1775" s="6" t="inlineStr">
        <is>
          <t>Module Burn</t>
        </is>
      </c>
      <c r="V1775" s="1" t="inlineStr">
        <is>
          <t>Inspection</t>
        </is>
      </c>
      <c r="W1775" s="1" t="inlineStr">
        <is>
          <t>WIP</t>
        </is>
      </c>
      <c r="X1775" s="12" t="n"/>
      <c r="Y1775" s="1">
        <f>IF(X1775="","",X1775-A1775)</f>
        <v/>
      </c>
      <c r="Z1775" s="5" t="n">
        <v>46196</v>
      </c>
      <c r="AA1775" s="3" t="n"/>
      <c r="AB1775" s="3" t="n"/>
      <c r="AE1775" s="146">
        <f>IF(AND(F1775="Closed",X1775&gt;=DATE(2026,6,1),X1775&lt;=DATE(2026,6,30)),"Closed in June","other")</f>
        <v/>
      </c>
    </row>
    <row r="1776" hidden="1">
      <c r="A1776" s="49" t="n">
        <v>46177</v>
      </c>
      <c r="B1776" s="1" t="n">
        <v>2026</v>
      </c>
      <c r="C1776" s="8" t="inlineStr">
        <is>
          <t>Ayana</t>
        </is>
      </c>
      <c r="D1776" s="11" t="inlineStr">
        <is>
          <t>Utility and C&amp;I</t>
        </is>
      </c>
      <c r="E1776" s="1" t="n"/>
      <c r="F1776" s="1" t="inlineStr">
        <is>
          <t>Closed</t>
        </is>
      </c>
      <c r="G1776" s="11" t="inlineStr">
        <is>
          <t>Vasu.N</t>
        </is>
      </c>
      <c r="H1776" s="8" t="n">
        <v>9578099893</v>
      </c>
      <c r="I1776" s="10" t="inlineStr">
        <is>
          <t>PE04062601</t>
        </is>
      </c>
      <c r="J1776" s="28" t="inlineStr">
        <is>
          <t>Module burnt</t>
        </is>
      </c>
      <c r="K1776" s="8" t="inlineStr">
        <is>
          <t>Zura</t>
        </is>
      </c>
      <c r="L1776" s="39" t="inlineStr">
        <is>
          <t>Gujarat</t>
        </is>
      </c>
      <c r="M1776" s="2" t="inlineStr">
        <is>
          <t>broken</t>
        </is>
      </c>
      <c r="N1776" s="6" t="inlineStr">
        <is>
          <t>Module Breakage</t>
        </is>
      </c>
      <c r="O1776" s="32" t="n">
        <v>590</v>
      </c>
      <c r="P1776" s="2" t="inlineStr">
        <is>
          <t>NSMI24090427845</t>
        </is>
      </c>
      <c r="Q1776" s="29">
        <f>MID(P1776,5,2)</f>
        <v/>
      </c>
      <c r="R1776" s="14">
        <f>MID(P1776,7,2)</f>
        <v/>
      </c>
      <c r="S1776" s="6" t="inlineStr">
        <is>
          <t>G2G</t>
        </is>
      </c>
      <c r="T1776" s="1" t="inlineStr">
        <is>
          <t>P4 - PEIPL</t>
        </is>
      </c>
      <c r="U1776" s="2" t="inlineStr">
        <is>
          <t xml:space="preserve">physically damaged </t>
        </is>
      </c>
      <c r="V1776" s="1" t="inlineStr">
        <is>
          <t>Inspection</t>
        </is>
      </c>
      <c r="W1776" s="1" t="inlineStr">
        <is>
          <t>Rejected</t>
        </is>
      </c>
      <c r="X1776" s="5">
        <f>Z1776</f>
        <v/>
      </c>
      <c r="Y1776" s="1">
        <f>X1776-A1776</f>
        <v/>
      </c>
      <c r="Z1776" s="5" t="n">
        <v>46196</v>
      </c>
      <c r="AA1776" s="3" t="n"/>
      <c r="AB1776" s="3" t="n"/>
      <c r="AE1776" s="146">
        <f>IF(AND(F1776="Closed",X1776&gt;=DATE(2026,6,1),X1776&lt;=DATE(2026,6,30)),"Closed in June","other")</f>
        <v/>
      </c>
    </row>
    <row r="1777" hidden="1">
      <c r="A1777" s="49" t="n">
        <v>46177</v>
      </c>
      <c r="B1777" s="1" t="n">
        <v>2026</v>
      </c>
      <c r="C1777" s="8" t="inlineStr">
        <is>
          <t>Ayana</t>
        </is>
      </c>
      <c r="D1777" s="11" t="inlineStr">
        <is>
          <t>Utility and C&amp;I</t>
        </is>
      </c>
      <c r="E1777" s="1" t="n"/>
      <c r="F1777" s="1" t="inlineStr">
        <is>
          <t>Closed</t>
        </is>
      </c>
      <c r="G1777" s="11" t="inlineStr">
        <is>
          <t>Vasu.N</t>
        </is>
      </c>
      <c r="H1777" s="8" t="n">
        <v>9578099893</v>
      </c>
      <c r="I1777" s="10" t="inlineStr">
        <is>
          <t>PE04062601</t>
        </is>
      </c>
      <c r="J1777" s="28" t="inlineStr">
        <is>
          <t>Module burnt</t>
        </is>
      </c>
      <c r="K1777" s="8" t="inlineStr">
        <is>
          <t>Zura</t>
        </is>
      </c>
      <c r="L1777" s="39" t="inlineStr">
        <is>
          <t>Gujarat</t>
        </is>
      </c>
      <c r="M1777" s="2" t="inlineStr">
        <is>
          <t>broken</t>
        </is>
      </c>
      <c r="N1777" s="6" t="inlineStr">
        <is>
          <t>Module Breakage</t>
        </is>
      </c>
      <c r="O1777" s="32" t="n">
        <v>590</v>
      </c>
      <c r="P1777" s="2" t="inlineStr">
        <is>
          <t>NSMI24100681622</t>
        </is>
      </c>
      <c r="Q1777" s="29">
        <f>MID(P1777,5,2)</f>
        <v/>
      </c>
      <c r="R1777" s="14">
        <f>MID(P1777,7,2)</f>
        <v/>
      </c>
      <c r="S1777" s="6" t="inlineStr">
        <is>
          <t>G2G</t>
        </is>
      </c>
      <c r="T1777" s="1" t="inlineStr">
        <is>
          <t>P4 - PEIPL</t>
        </is>
      </c>
      <c r="U1777" s="2" t="inlineStr">
        <is>
          <t xml:space="preserve">physically damaged </t>
        </is>
      </c>
      <c r="V1777" s="1" t="inlineStr">
        <is>
          <t>Inspection</t>
        </is>
      </c>
      <c r="W1777" s="1" t="inlineStr">
        <is>
          <t>Rejected</t>
        </is>
      </c>
      <c r="X1777" s="5">
        <f>Z1777</f>
        <v/>
      </c>
      <c r="Y1777" s="1">
        <f>X1777-A1777</f>
        <v/>
      </c>
      <c r="Z1777" s="5" t="n">
        <v>46196</v>
      </c>
      <c r="AA1777" s="3" t="n"/>
      <c r="AB1777" s="3" t="n"/>
      <c r="AE1777" s="146">
        <f>IF(AND(F1777="Closed",X1777&gt;=DATE(2026,6,1),X1777&lt;=DATE(2026,6,30)),"Closed in June","other")</f>
        <v/>
      </c>
    </row>
    <row r="1778" hidden="1">
      <c r="A1778" s="49" t="n">
        <v>46177</v>
      </c>
      <c r="B1778" s="1" t="n">
        <v>2026</v>
      </c>
      <c r="C1778" s="8" t="inlineStr">
        <is>
          <t>Ayana</t>
        </is>
      </c>
      <c r="D1778" s="11" t="inlineStr">
        <is>
          <t>Utility and C&amp;I</t>
        </is>
      </c>
      <c r="E1778" s="1" t="n"/>
      <c r="F1778" s="1" t="inlineStr">
        <is>
          <t>Closed</t>
        </is>
      </c>
      <c r="G1778" s="11" t="inlineStr">
        <is>
          <t>Vasu.N</t>
        </is>
      </c>
      <c r="H1778" s="8" t="n">
        <v>9578099893</v>
      </c>
      <c r="I1778" s="10" t="inlineStr">
        <is>
          <t>PE04062601</t>
        </is>
      </c>
      <c r="J1778" s="28" t="inlineStr">
        <is>
          <t>Module burnt</t>
        </is>
      </c>
      <c r="K1778" s="8" t="inlineStr">
        <is>
          <t>Zura</t>
        </is>
      </c>
      <c r="L1778" s="39" t="inlineStr">
        <is>
          <t>Gujarat</t>
        </is>
      </c>
      <c r="M1778" s="2" t="inlineStr">
        <is>
          <t>broken</t>
        </is>
      </c>
      <c r="N1778" s="6" t="inlineStr">
        <is>
          <t>Module Breakage</t>
        </is>
      </c>
      <c r="O1778" s="32" t="n">
        <v>590</v>
      </c>
      <c r="P1778" s="2" t="inlineStr">
        <is>
          <t>NSMI24110799408</t>
        </is>
      </c>
      <c r="Q1778" s="29">
        <f>MID(P1778,5,2)</f>
        <v/>
      </c>
      <c r="R1778" s="14">
        <f>MID(P1778,7,2)</f>
        <v/>
      </c>
      <c r="S1778" s="6" t="inlineStr">
        <is>
          <t>G2G</t>
        </is>
      </c>
      <c r="T1778" s="1" t="inlineStr">
        <is>
          <t>P4 - PEIPL</t>
        </is>
      </c>
      <c r="U1778" s="2" t="inlineStr">
        <is>
          <t xml:space="preserve">physically damaged </t>
        </is>
      </c>
      <c r="V1778" s="1" t="inlineStr">
        <is>
          <t>Inspection</t>
        </is>
      </c>
      <c r="W1778" s="1" t="inlineStr">
        <is>
          <t>Rejected</t>
        </is>
      </c>
      <c r="X1778" s="5">
        <f>Z1778</f>
        <v/>
      </c>
      <c r="Y1778" s="1">
        <f>X1778-A1778</f>
        <v/>
      </c>
      <c r="Z1778" s="5" t="n">
        <v>46196</v>
      </c>
      <c r="AA1778" s="3" t="n"/>
      <c r="AB1778" s="3" t="n"/>
      <c r="AE1778" s="146">
        <f>IF(AND(F1778="Closed",X1778&gt;=DATE(2026,6,1),X1778&lt;=DATE(2026,6,30)),"Closed in June","other")</f>
        <v/>
      </c>
    </row>
    <row r="1779" hidden="1">
      <c r="A1779" s="49" t="n">
        <v>46177</v>
      </c>
      <c r="B1779" s="1" t="n">
        <v>2026</v>
      </c>
      <c r="C1779" s="8" t="inlineStr">
        <is>
          <t>Ayana</t>
        </is>
      </c>
      <c r="D1779" s="11" t="inlineStr">
        <is>
          <t>Utility and C&amp;I</t>
        </is>
      </c>
      <c r="E1779" s="1" t="n"/>
      <c r="F1779" s="1" t="inlineStr">
        <is>
          <t>Closed</t>
        </is>
      </c>
      <c r="G1779" s="11" t="inlineStr">
        <is>
          <t>Vasu.N</t>
        </is>
      </c>
      <c r="H1779" s="8" t="n">
        <v>9578099893</v>
      </c>
      <c r="I1779" s="10" t="inlineStr">
        <is>
          <t>PE04062601</t>
        </is>
      </c>
      <c r="J1779" s="28" t="inlineStr">
        <is>
          <t>Module burnt</t>
        </is>
      </c>
      <c r="K1779" s="8" t="inlineStr">
        <is>
          <t>Zura</t>
        </is>
      </c>
      <c r="L1779" s="39" t="inlineStr">
        <is>
          <t>Gujarat</t>
        </is>
      </c>
      <c r="M1779" s="2" t="inlineStr">
        <is>
          <t>broken</t>
        </is>
      </c>
      <c r="N1779" s="6" t="inlineStr">
        <is>
          <t>Module Breakage</t>
        </is>
      </c>
      <c r="O1779" s="32" t="n">
        <v>590</v>
      </c>
      <c r="P1779" s="2" t="inlineStr">
        <is>
          <t>NSMI24100659706</t>
        </is>
      </c>
      <c r="Q1779" s="29">
        <f>MID(P1779,5,2)</f>
        <v/>
      </c>
      <c r="R1779" s="14">
        <f>MID(P1779,7,2)</f>
        <v/>
      </c>
      <c r="S1779" s="6" t="inlineStr">
        <is>
          <t>G2G</t>
        </is>
      </c>
      <c r="T1779" s="1" t="inlineStr">
        <is>
          <t>P4 - PEIPL</t>
        </is>
      </c>
      <c r="U1779" s="2" t="inlineStr">
        <is>
          <t xml:space="preserve">Hit by stone </t>
        </is>
      </c>
      <c r="V1779" s="1" t="inlineStr">
        <is>
          <t>Inspection</t>
        </is>
      </c>
      <c r="W1779" s="1" t="inlineStr">
        <is>
          <t>Rejected</t>
        </is>
      </c>
      <c r="X1779" s="5" t="n">
        <v>46196</v>
      </c>
      <c r="Y1779" s="1">
        <f>IF(X1779="","",X1779-A1779)</f>
        <v/>
      </c>
      <c r="Z1779" s="5" t="n">
        <v>46196</v>
      </c>
      <c r="AA1779" s="3" t="n"/>
      <c r="AB1779" s="3" t="n"/>
      <c r="AE1779" s="146">
        <f>IF(AND(F1779="Closed",X1779&gt;=DATE(2026,6,1),X1779&lt;=DATE(2026,6,30)),"Closed in June","other")</f>
        <v/>
      </c>
    </row>
    <row r="1780" hidden="1">
      <c r="A1780" s="49" t="n">
        <v>46177</v>
      </c>
      <c r="B1780" s="1" t="n">
        <v>2026</v>
      </c>
      <c r="C1780" s="8" t="inlineStr">
        <is>
          <t>Ayana</t>
        </is>
      </c>
      <c r="D1780" s="11" t="inlineStr">
        <is>
          <t>Utility and C&amp;I</t>
        </is>
      </c>
      <c r="E1780" s="1" t="n"/>
      <c r="F1780" s="1" t="inlineStr">
        <is>
          <t>Closed</t>
        </is>
      </c>
      <c r="G1780" s="11" t="inlineStr">
        <is>
          <t>Vasu.N</t>
        </is>
      </c>
      <c r="H1780" s="8" t="n">
        <v>9578099893</v>
      </c>
      <c r="I1780" s="10" t="inlineStr">
        <is>
          <t>PE04062601</t>
        </is>
      </c>
      <c r="J1780" s="28" t="inlineStr">
        <is>
          <t>Module burnt</t>
        </is>
      </c>
      <c r="K1780" s="8" t="inlineStr">
        <is>
          <t>Zura</t>
        </is>
      </c>
      <c r="L1780" s="39" t="inlineStr">
        <is>
          <t>Gujarat</t>
        </is>
      </c>
      <c r="M1780" s="2" t="inlineStr">
        <is>
          <t>broken</t>
        </is>
      </c>
      <c r="N1780" s="6" t="inlineStr">
        <is>
          <t>Module Breakage</t>
        </is>
      </c>
      <c r="O1780" s="32" t="n">
        <v>590</v>
      </c>
      <c r="P1780" s="2" t="inlineStr">
        <is>
          <t>NSMI24100594944</t>
        </is>
      </c>
      <c r="Q1780" s="29">
        <f>MID(P1780,5,2)</f>
        <v/>
      </c>
      <c r="R1780" s="14">
        <f>MID(P1780,7,2)</f>
        <v/>
      </c>
      <c r="S1780" s="6" t="inlineStr">
        <is>
          <t>G2G</t>
        </is>
      </c>
      <c r="T1780" s="1" t="inlineStr">
        <is>
          <t>P4 - PEIPL</t>
        </is>
      </c>
      <c r="U1780" s="2" t="inlineStr">
        <is>
          <t xml:space="preserve">physically damaged </t>
        </is>
      </c>
      <c r="V1780" s="1" t="inlineStr">
        <is>
          <t>Inspection</t>
        </is>
      </c>
      <c r="W1780" s="1" t="inlineStr">
        <is>
          <t>Rejected</t>
        </is>
      </c>
      <c r="X1780" s="5">
        <f>Z1780</f>
        <v/>
      </c>
      <c r="Y1780" s="1">
        <f>X1780-A1780</f>
        <v/>
      </c>
      <c r="Z1780" s="5" t="n">
        <v>46196</v>
      </c>
      <c r="AA1780" s="3" t="n"/>
      <c r="AB1780" s="3" t="n"/>
      <c r="AE1780" s="146">
        <f>IF(AND(F1780="Closed",X1780&gt;=DATE(2026,6,1),X1780&lt;=DATE(2026,6,30)),"Closed in June","other")</f>
        <v/>
      </c>
    </row>
    <row r="1781" hidden="1">
      <c r="A1781" s="49" t="n">
        <v>46177</v>
      </c>
      <c r="B1781" s="1" t="n">
        <v>2026</v>
      </c>
      <c r="C1781" s="8" t="inlineStr">
        <is>
          <t>Ayana</t>
        </is>
      </c>
      <c r="D1781" s="11" t="inlineStr">
        <is>
          <t>Utility and C&amp;I</t>
        </is>
      </c>
      <c r="E1781" s="1" t="n"/>
      <c r="F1781" s="1" t="inlineStr">
        <is>
          <t>Closed</t>
        </is>
      </c>
      <c r="G1781" s="11" t="inlineStr">
        <is>
          <t>Vasu.N</t>
        </is>
      </c>
      <c r="H1781" s="8" t="n">
        <v>9578099893</v>
      </c>
      <c r="I1781" s="10" t="inlineStr">
        <is>
          <t>PE04062601</t>
        </is>
      </c>
      <c r="J1781" s="28" t="inlineStr">
        <is>
          <t>Module burnt</t>
        </is>
      </c>
      <c r="K1781" s="8" t="inlineStr">
        <is>
          <t>Zura</t>
        </is>
      </c>
      <c r="L1781" s="39" t="inlineStr">
        <is>
          <t>Gujarat</t>
        </is>
      </c>
      <c r="M1781" s="2" t="inlineStr">
        <is>
          <t>broken</t>
        </is>
      </c>
      <c r="N1781" s="6" t="inlineStr">
        <is>
          <t>Module Breakage</t>
        </is>
      </c>
      <c r="O1781" s="32" t="n">
        <v>590</v>
      </c>
      <c r="P1781" s="2" t="inlineStr">
        <is>
          <t>NSMI24100597902</t>
        </is>
      </c>
      <c r="Q1781" s="29">
        <f>MID(P1781,5,2)</f>
        <v/>
      </c>
      <c r="R1781" s="14">
        <f>MID(P1781,7,2)</f>
        <v/>
      </c>
      <c r="S1781" s="6" t="inlineStr">
        <is>
          <t>G2G</t>
        </is>
      </c>
      <c r="T1781" s="1" t="inlineStr">
        <is>
          <t>P4 - PEIPL</t>
        </is>
      </c>
      <c r="U1781" s="2" t="inlineStr">
        <is>
          <t xml:space="preserve">physically damaged </t>
        </is>
      </c>
      <c r="V1781" s="1" t="inlineStr">
        <is>
          <t>Inspection</t>
        </is>
      </c>
      <c r="W1781" s="1" t="inlineStr">
        <is>
          <t>Rejected</t>
        </is>
      </c>
      <c r="X1781" s="5">
        <f>Z1781</f>
        <v/>
      </c>
      <c r="Y1781" s="1">
        <f>X1781-A1781</f>
        <v/>
      </c>
      <c r="Z1781" s="5" t="n">
        <v>46196</v>
      </c>
      <c r="AA1781" s="3" t="n"/>
      <c r="AB1781" s="3" t="n"/>
      <c r="AE1781" s="146">
        <f>IF(AND(F1781="Closed",X1781&gt;=DATE(2026,6,1),X1781&lt;=DATE(2026,6,30)),"Closed in June","other")</f>
        <v/>
      </c>
    </row>
    <row r="1782" hidden="1">
      <c r="A1782" s="49" t="n">
        <v>46177</v>
      </c>
      <c r="B1782" s="1" t="n">
        <v>2026</v>
      </c>
      <c r="C1782" s="8" t="inlineStr">
        <is>
          <t>Ayana</t>
        </is>
      </c>
      <c r="D1782" s="11" t="inlineStr">
        <is>
          <t>Utility and C&amp;I</t>
        </is>
      </c>
      <c r="E1782" s="1" t="n"/>
      <c r="F1782" s="1" t="inlineStr">
        <is>
          <t>Closed</t>
        </is>
      </c>
      <c r="G1782" s="11" t="inlineStr">
        <is>
          <t>Vasu.N</t>
        </is>
      </c>
      <c r="H1782" s="8" t="n">
        <v>9578099893</v>
      </c>
      <c r="I1782" s="10" t="inlineStr">
        <is>
          <t>PE04062601</t>
        </is>
      </c>
      <c r="J1782" s="28" t="inlineStr">
        <is>
          <t>Module burnt</t>
        </is>
      </c>
      <c r="K1782" s="8" t="inlineStr">
        <is>
          <t>Zura</t>
        </is>
      </c>
      <c r="L1782" s="39" t="inlineStr">
        <is>
          <t>Gujarat</t>
        </is>
      </c>
      <c r="M1782" s="2" t="inlineStr">
        <is>
          <t>broken</t>
        </is>
      </c>
      <c r="N1782" s="6" t="inlineStr">
        <is>
          <t>Module Breakage</t>
        </is>
      </c>
      <c r="O1782" s="32" t="n">
        <v>590</v>
      </c>
      <c r="P1782" s="2" t="inlineStr">
        <is>
          <t>NSMI24100598116</t>
        </is>
      </c>
      <c r="Q1782" s="29">
        <f>MID(P1782,5,2)</f>
        <v/>
      </c>
      <c r="R1782" s="14">
        <f>MID(P1782,7,2)</f>
        <v/>
      </c>
      <c r="S1782" s="6" t="inlineStr">
        <is>
          <t>G2G</t>
        </is>
      </c>
      <c r="T1782" s="1" t="inlineStr">
        <is>
          <t>P4 - PEIPL</t>
        </is>
      </c>
      <c r="U1782" s="2" t="inlineStr">
        <is>
          <t xml:space="preserve">Hit by stone </t>
        </is>
      </c>
      <c r="V1782" s="1" t="inlineStr">
        <is>
          <t>Inspection</t>
        </is>
      </c>
      <c r="W1782" s="1" t="inlineStr">
        <is>
          <t>Rejected</t>
        </is>
      </c>
      <c r="X1782" s="5" t="n">
        <v>46196</v>
      </c>
      <c r="Y1782" s="1">
        <f>IF(X1782="","",X1782-A1782)</f>
        <v/>
      </c>
      <c r="Z1782" s="5" t="n">
        <v>46196</v>
      </c>
      <c r="AA1782" s="3" t="n"/>
      <c r="AB1782" s="3" t="n"/>
      <c r="AE1782" s="146">
        <f>IF(AND(F1782="Closed",X1782&gt;=DATE(2026,6,1),X1782&lt;=DATE(2026,6,30)),"Closed in June","other")</f>
        <v/>
      </c>
    </row>
    <row r="1783" hidden="1">
      <c r="A1783" s="49" t="n">
        <v>46177</v>
      </c>
      <c r="B1783" s="1" t="n">
        <v>2026</v>
      </c>
      <c r="C1783" s="8" t="inlineStr">
        <is>
          <t>Ayana</t>
        </is>
      </c>
      <c r="D1783" s="11" t="inlineStr">
        <is>
          <t>Utility and C&amp;I</t>
        </is>
      </c>
      <c r="E1783" s="1" t="n"/>
      <c r="F1783" s="1" t="inlineStr">
        <is>
          <t>Closed</t>
        </is>
      </c>
      <c r="G1783" s="11" t="inlineStr">
        <is>
          <t>Vasu.N</t>
        </is>
      </c>
      <c r="H1783" s="8" t="n">
        <v>9578099893</v>
      </c>
      <c r="I1783" s="10" t="inlineStr">
        <is>
          <t>PE04062601</t>
        </is>
      </c>
      <c r="J1783" s="28" t="inlineStr">
        <is>
          <t>Module burnt</t>
        </is>
      </c>
      <c r="K1783" s="8" t="inlineStr">
        <is>
          <t>Zura</t>
        </is>
      </c>
      <c r="L1783" s="39" t="inlineStr">
        <is>
          <t>Gujarat</t>
        </is>
      </c>
      <c r="M1783" s="2" t="inlineStr">
        <is>
          <t>broken</t>
        </is>
      </c>
      <c r="N1783" s="6" t="inlineStr">
        <is>
          <t>Module Breakage</t>
        </is>
      </c>
      <c r="O1783" s="32" t="n">
        <v>590</v>
      </c>
      <c r="P1783" s="2" t="inlineStr">
        <is>
          <t>NSMI24100605079</t>
        </is>
      </c>
      <c r="Q1783" s="29">
        <f>MID(P1783,5,2)</f>
        <v/>
      </c>
      <c r="R1783" s="14">
        <f>MID(P1783,7,2)</f>
        <v/>
      </c>
      <c r="S1783" s="6" t="inlineStr">
        <is>
          <t>G2G</t>
        </is>
      </c>
      <c r="T1783" s="1" t="inlineStr">
        <is>
          <t>P4 - PEIPL</t>
        </is>
      </c>
      <c r="U1783" s="2" t="inlineStr">
        <is>
          <t xml:space="preserve">Hit by stone </t>
        </is>
      </c>
      <c r="V1783" s="1" t="inlineStr">
        <is>
          <t>Inspection</t>
        </is>
      </c>
      <c r="W1783" s="1" t="inlineStr">
        <is>
          <t>Rejected</t>
        </is>
      </c>
      <c r="X1783" s="5" t="n">
        <v>46196</v>
      </c>
      <c r="Y1783" s="1">
        <f>IF(X1783="","",X1783-A1783)</f>
        <v/>
      </c>
      <c r="Z1783" s="5" t="n">
        <v>46196</v>
      </c>
      <c r="AA1783" s="3" t="n"/>
      <c r="AB1783" s="3" t="n"/>
      <c r="AE1783" s="146">
        <f>IF(AND(F1783="Closed",X1783&gt;=DATE(2026,6,1),X1783&lt;=DATE(2026,6,30)),"Closed in June","other")</f>
        <v/>
      </c>
    </row>
    <row r="1784" hidden="1">
      <c r="A1784" s="49" t="n">
        <v>46177</v>
      </c>
      <c r="B1784" s="1" t="n">
        <v>2026</v>
      </c>
      <c r="C1784" s="8" t="inlineStr">
        <is>
          <t>Ayana</t>
        </is>
      </c>
      <c r="D1784" s="11" t="inlineStr">
        <is>
          <t>Utility and C&amp;I</t>
        </is>
      </c>
      <c r="E1784" s="1" t="n"/>
      <c r="F1784" s="1" t="inlineStr">
        <is>
          <t>Closed</t>
        </is>
      </c>
      <c r="G1784" s="11" t="inlineStr">
        <is>
          <t>Vasu.N</t>
        </is>
      </c>
      <c r="H1784" s="8" t="n">
        <v>9578099893</v>
      </c>
      <c r="I1784" s="10" t="inlineStr">
        <is>
          <t>PE04062601</t>
        </is>
      </c>
      <c r="J1784" s="28" t="inlineStr">
        <is>
          <t>Module burnt</t>
        </is>
      </c>
      <c r="K1784" s="8" t="inlineStr">
        <is>
          <t>Zura</t>
        </is>
      </c>
      <c r="L1784" s="39" t="inlineStr">
        <is>
          <t>Gujarat</t>
        </is>
      </c>
      <c r="M1784" s="2" t="inlineStr">
        <is>
          <t>broken</t>
        </is>
      </c>
      <c r="N1784" s="6" t="inlineStr">
        <is>
          <t>Module Breakage</t>
        </is>
      </c>
      <c r="O1784" s="32" t="n">
        <v>590</v>
      </c>
      <c r="P1784" s="2" t="inlineStr">
        <is>
          <t>NSMI24100598098</t>
        </is>
      </c>
      <c r="Q1784" s="29">
        <f>MID(P1784,5,2)</f>
        <v/>
      </c>
      <c r="R1784" s="14">
        <f>MID(P1784,7,2)</f>
        <v/>
      </c>
      <c r="S1784" s="6" t="inlineStr">
        <is>
          <t>G2G</t>
        </is>
      </c>
      <c r="T1784" s="1" t="inlineStr">
        <is>
          <t>P4 - PEIPL</t>
        </is>
      </c>
      <c r="U1784" s="2" t="inlineStr">
        <is>
          <t xml:space="preserve">Hit by stone </t>
        </is>
      </c>
      <c r="V1784" s="1" t="inlineStr">
        <is>
          <t>Inspection</t>
        </is>
      </c>
      <c r="W1784" s="1" t="inlineStr">
        <is>
          <t>Rejected</t>
        </is>
      </c>
      <c r="X1784" s="5" t="n">
        <v>46196</v>
      </c>
      <c r="Y1784" s="1">
        <f>IF(X1784="","",X1784-A1784)</f>
        <v/>
      </c>
      <c r="Z1784" s="5" t="n">
        <v>46196</v>
      </c>
      <c r="AA1784" s="3" t="n"/>
      <c r="AB1784" s="3" t="n"/>
      <c r="AE1784" s="146">
        <f>IF(AND(F1784="Closed",X1784&gt;=DATE(2026,6,1),X1784&lt;=DATE(2026,6,30)),"Closed in June","other")</f>
        <v/>
      </c>
    </row>
    <row r="1785" hidden="1">
      <c r="A1785" s="49" t="n">
        <v>46177</v>
      </c>
      <c r="B1785" s="1" t="n">
        <v>2026</v>
      </c>
      <c r="C1785" s="8" t="inlineStr">
        <is>
          <t>Ayana</t>
        </is>
      </c>
      <c r="D1785" s="11" t="inlineStr">
        <is>
          <t>Utility and C&amp;I</t>
        </is>
      </c>
      <c r="E1785" s="1" t="n"/>
      <c r="F1785" s="1" t="inlineStr">
        <is>
          <t>Closed</t>
        </is>
      </c>
      <c r="G1785" s="11" t="inlineStr">
        <is>
          <t>Vasu.N</t>
        </is>
      </c>
      <c r="H1785" s="8" t="n">
        <v>9578099893</v>
      </c>
      <c r="I1785" s="10" t="inlineStr">
        <is>
          <t>PE04062601</t>
        </is>
      </c>
      <c r="J1785" s="28" t="inlineStr">
        <is>
          <t>Module burnt</t>
        </is>
      </c>
      <c r="K1785" s="8" t="inlineStr">
        <is>
          <t>Zura</t>
        </is>
      </c>
      <c r="L1785" s="39" t="inlineStr">
        <is>
          <t>Gujarat</t>
        </is>
      </c>
      <c r="M1785" s="2" t="inlineStr">
        <is>
          <t>broken</t>
        </is>
      </c>
      <c r="N1785" s="6" t="inlineStr">
        <is>
          <t>Module Breakage</t>
        </is>
      </c>
      <c r="O1785" s="32" t="n">
        <v>590</v>
      </c>
      <c r="P1785" s="2" t="inlineStr">
        <is>
          <t>NSMI24100598115</t>
        </is>
      </c>
      <c r="Q1785" s="29">
        <f>MID(P1785,5,2)</f>
        <v/>
      </c>
      <c r="R1785" s="14">
        <f>MID(P1785,7,2)</f>
        <v/>
      </c>
      <c r="S1785" s="6" t="inlineStr">
        <is>
          <t>G2G</t>
        </is>
      </c>
      <c r="T1785" s="1" t="inlineStr">
        <is>
          <t>P4 - PEIPL</t>
        </is>
      </c>
      <c r="U1785" s="2" t="inlineStr">
        <is>
          <t xml:space="preserve">Hit by stone </t>
        </is>
      </c>
      <c r="V1785" s="1" t="inlineStr">
        <is>
          <t>Inspection</t>
        </is>
      </c>
      <c r="W1785" s="1" t="inlineStr">
        <is>
          <t>Rejected</t>
        </is>
      </c>
      <c r="X1785" s="5" t="n">
        <v>46196</v>
      </c>
      <c r="Y1785" s="1">
        <f>IF(X1785="","",X1785-A1785)</f>
        <v/>
      </c>
      <c r="Z1785" s="5" t="n">
        <v>46196</v>
      </c>
      <c r="AA1785" s="3" t="n"/>
      <c r="AB1785" s="3" t="n"/>
      <c r="AE1785" s="146">
        <f>IF(AND(F1785="Closed",X1785&gt;=DATE(2026,6,1),X1785&lt;=DATE(2026,6,30)),"Closed in June","other")</f>
        <v/>
      </c>
    </row>
    <row r="1786" hidden="1">
      <c r="A1786" s="49" t="n">
        <v>46177</v>
      </c>
      <c r="B1786" s="1" t="n">
        <v>2026</v>
      </c>
      <c r="C1786" s="8" t="inlineStr">
        <is>
          <t>Ayana</t>
        </is>
      </c>
      <c r="D1786" s="11" t="inlineStr">
        <is>
          <t>Utility and C&amp;I</t>
        </is>
      </c>
      <c r="E1786" s="1" t="n"/>
      <c r="F1786" s="1" t="inlineStr">
        <is>
          <t>Closed</t>
        </is>
      </c>
      <c r="G1786" s="11" t="inlineStr">
        <is>
          <t>Vasu.N</t>
        </is>
      </c>
      <c r="H1786" s="8" t="n">
        <v>9578099893</v>
      </c>
      <c r="I1786" s="10" t="inlineStr">
        <is>
          <t>PE04062601</t>
        </is>
      </c>
      <c r="J1786" s="28" t="inlineStr">
        <is>
          <t>Module burnt</t>
        </is>
      </c>
      <c r="K1786" s="8" t="inlineStr">
        <is>
          <t>Zura</t>
        </is>
      </c>
      <c r="L1786" s="39" t="inlineStr">
        <is>
          <t>Gujarat</t>
        </is>
      </c>
      <c r="M1786" s="2" t="inlineStr">
        <is>
          <t>broken</t>
        </is>
      </c>
      <c r="N1786" s="6" t="inlineStr">
        <is>
          <t>Module Breakage</t>
        </is>
      </c>
      <c r="O1786" s="32" t="n">
        <v>590</v>
      </c>
      <c r="P1786" s="2" t="inlineStr">
        <is>
          <t>NSMI24100555117</t>
        </is>
      </c>
      <c r="Q1786" s="29">
        <f>MID(P1786,5,2)</f>
        <v/>
      </c>
      <c r="R1786" s="14">
        <f>MID(P1786,7,2)</f>
        <v/>
      </c>
      <c r="S1786" s="6" t="inlineStr">
        <is>
          <t>G2G</t>
        </is>
      </c>
      <c r="T1786" s="1" t="inlineStr">
        <is>
          <t>P4 - PEIPL</t>
        </is>
      </c>
      <c r="U1786" s="2" t="inlineStr">
        <is>
          <t xml:space="preserve">Hit by stone </t>
        </is>
      </c>
      <c r="V1786" s="1" t="inlineStr">
        <is>
          <t>Inspection</t>
        </is>
      </c>
      <c r="W1786" s="1" t="inlineStr">
        <is>
          <t>Rejected</t>
        </is>
      </c>
      <c r="X1786" s="5" t="n">
        <v>46196</v>
      </c>
      <c r="Y1786" s="1">
        <f>IF(X1786="","",X1786-A1786)</f>
        <v/>
      </c>
      <c r="Z1786" s="5" t="n">
        <v>46196</v>
      </c>
      <c r="AA1786" s="3" t="n"/>
      <c r="AB1786" s="3" t="n"/>
      <c r="AE1786" s="146">
        <f>IF(AND(F1786="Closed",X1786&gt;=DATE(2026,6,1),X1786&lt;=DATE(2026,6,30)),"Closed in June","other")</f>
        <v/>
      </c>
    </row>
    <row r="1787" hidden="1">
      <c r="A1787" s="49" t="n">
        <v>46177</v>
      </c>
      <c r="B1787" s="1" t="n">
        <v>2026</v>
      </c>
      <c r="C1787" s="8" t="inlineStr">
        <is>
          <t>Ayana</t>
        </is>
      </c>
      <c r="D1787" s="11" t="inlineStr">
        <is>
          <t>Utility and C&amp;I</t>
        </is>
      </c>
      <c r="E1787" s="1" t="n"/>
      <c r="F1787" s="1" t="inlineStr">
        <is>
          <t>Closed</t>
        </is>
      </c>
      <c r="G1787" s="11" t="inlineStr">
        <is>
          <t>Vasu.N</t>
        </is>
      </c>
      <c r="H1787" s="8" t="n">
        <v>9578099893</v>
      </c>
      <c r="I1787" s="10" t="inlineStr">
        <is>
          <t>PE04062601</t>
        </is>
      </c>
      <c r="J1787" s="28" t="inlineStr">
        <is>
          <t>Module burnt</t>
        </is>
      </c>
      <c r="K1787" s="8" t="inlineStr">
        <is>
          <t>Zura</t>
        </is>
      </c>
      <c r="L1787" s="39" t="inlineStr">
        <is>
          <t>Gujarat</t>
        </is>
      </c>
      <c r="M1787" s="2" t="inlineStr">
        <is>
          <t>broken</t>
        </is>
      </c>
      <c r="N1787" s="6" t="inlineStr">
        <is>
          <t>Module Breakage</t>
        </is>
      </c>
      <c r="O1787" s="32" t="n">
        <v>590</v>
      </c>
      <c r="P1787" s="2" t="inlineStr">
        <is>
          <t>NSMI24100555142</t>
        </is>
      </c>
      <c r="Q1787" s="29">
        <f>MID(P1787,5,2)</f>
        <v/>
      </c>
      <c r="R1787" s="14">
        <f>MID(P1787,7,2)</f>
        <v/>
      </c>
      <c r="S1787" s="6" t="inlineStr">
        <is>
          <t>G2G</t>
        </is>
      </c>
      <c r="T1787" s="1" t="inlineStr">
        <is>
          <t>P4 - PEIPL</t>
        </is>
      </c>
      <c r="U1787" s="2" t="inlineStr">
        <is>
          <t xml:space="preserve">Hit by stone </t>
        </is>
      </c>
      <c r="V1787" s="1" t="inlineStr">
        <is>
          <t>Inspection</t>
        </is>
      </c>
      <c r="W1787" s="1" t="inlineStr">
        <is>
          <t>Rejected</t>
        </is>
      </c>
      <c r="X1787" s="5" t="n">
        <v>46196</v>
      </c>
      <c r="Y1787" s="1">
        <f>IF(X1787="","",X1787-A1787)</f>
        <v/>
      </c>
      <c r="Z1787" s="5" t="n">
        <v>46196</v>
      </c>
      <c r="AA1787" s="3" t="n"/>
      <c r="AB1787" s="3" t="n"/>
      <c r="AE1787" s="146">
        <f>IF(AND(F1787="Closed",X1787&gt;=DATE(2026,6,1),X1787&lt;=DATE(2026,6,30)),"Closed in June","other")</f>
        <v/>
      </c>
    </row>
    <row r="1788" hidden="1">
      <c r="A1788" s="49" t="n">
        <v>46177</v>
      </c>
      <c r="B1788" s="1" t="n">
        <v>2026</v>
      </c>
      <c r="C1788" s="8" t="inlineStr">
        <is>
          <t>Ayana</t>
        </is>
      </c>
      <c r="D1788" s="11" t="inlineStr">
        <is>
          <t>Utility and C&amp;I</t>
        </is>
      </c>
      <c r="E1788" s="1" t="n"/>
      <c r="F1788" s="1" t="inlineStr">
        <is>
          <t>Closed</t>
        </is>
      </c>
      <c r="G1788" s="11" t="inlineStr">
        <is>
          <t>Vasu.N</t>
        </is>
      </c>
      <c r="H1788" s="8" t="n">
        <v>9578099893</v>
      </c>
      <c r="I1788" s="10" t="inlineStr">
        <is>
          <t>PE04062601</t>
        </is>
      </c>
      <c r="J1788" s="28" t="inlineStr">
        <is>
          <t>Module burnt</t>
        </is>
      </c>
      <c r="K1788" s="8" t="inlineStr">
        <is>
          <t>Zura</t>
        </is>
      </c>
      <c r="L1788" s="39" t="inlineStr">
        <is>
          <t>Gujarat</t>
        </is>
      </c>
      <c r="M1788" s="2" t="inlineStr">
        <is>
          <t>broken</t>
        </is>
      </c>
      <c r="N1788" s="6" t="inlineStr">
        <is>
          <t>Module Breakage</t>
        </is>
      </c>
      <c r="O1788" s="32" t="n">
        <v>590</v>
      </c>
      <c r="P1788" s="2" t="inlineStr">
        <is>
          <t>NSMI24100597199</t>
        </is>
      </c>
      <c r="Q1788" s="29">
        <f>MID(P1788,5,2)</f>
        <v/>
      </c>
      <c r="R1788" s="14">
        <f>MID(P1788,7,2)</f>
        <v/>
      </c>
      <c r="S1788" s="6" t="inlineStr">
        <is>
          <t>G2G</t>
        </is>
      </c>
      <c r="T1788" s="1" t="inlineStr">
        <is>
          <t>P4 - PEIPL</t>
        </is>
      </c>
      <c r="U1788" s="2" t="inlineStr">
        <is>
          <t xml:space="preserve">physically damaged </t>
        </is>
      </c>
      <c r="V1788" s="1" t="inlineStr">
        <is>
          <t>Inspection</t>
        </is>
      </c>
      <c r="W1788" s="1" t="inlineStr">
        <is>
          <t>Rejected</t>
        </is>
      </c>
      <c r="X1788" s="5">
        <f>Z1788</f>
        <v/>
      </c>
      <c r="Y1788" s="1">
        <f>X1788-A1788</f>
        <v/>
      </c>
      <c r="Z1788" s="5" t="n">
        <v>46196</v>
      </c>
      <c r="AA1788" s="3" t="n"/>
      <c r="AB1788" s="3" t="n"/>
      <c r="AE1788" s="146">
        <f>IF(AND(F1788="Closed",X1788&gt;=DATE(2026,6,1),X1788&lt;=DATE(2026,6,30)),"Closed in June","other")</f>
        <v/>
      </c>
    </row>
    <row r="1789" hidden="1">
      <c r="A1789" s="49" t="n">
        <v>46177</v>
      </c>
      <c r="B1789" s="1" t="n">
        <v>2026</v>
      </c>
      <c r="C1789" s="8" t="inlineStr">
        <is>
          <t>Ayana</t>
        </is>
      </c>
      <c r="D1789" s="11" t="inlineStr">
        <is>
          <t>Utility and C&amp;I</t>
        </is>
      </c>
      <c r="E1789" s="1" t="n"/>
      <c r="F1789" s="1" t="inlineStr">
        <is>
          <t>Closed</t>
        </is>
      </c>
      <c r="G1789" s="11" t="inlineStr">
        <is>
          <t>Vasu.N</t>
        </is>
      </c>
      <c r="H1789" s="8" t="n">
        <v>9578099893</v>
      </c>
      <c r="I1789" s="10" t="inlineStr">
        <is>
          <t>PE04062601</t>
        </is>
      </c>
      <c r="J1789" s="28" t="inlineStr">
        <is>
          <t>Module burnt</t>
        </is>
      </c>
      <c r="K1789" s="8" t="inlineStr">
        <is>
          <t>Zura</t>
        </is>
      </c>
      <c r="L1789" s="39" t="inlineStr">
        <is>
          <t>Gujarat</t>
        </is>
      </c>
      <c r="M1789" s="2" t="inlineStr">
        <is>
          <t>broken</t>
        </is>
      </c>
      <c r="N1789" s="6" t="inlineStr">
        <is>
          <t>Module Breakage</t>
        </is>
      </c>
      <c r="O1789" s="32" t="n">
        <v>590</v>
      </c>
      <c r="P1789" s="2" t="inlineStr">
        <is>
          <t>NSMI24100546197</t>
        </is>
      </c>
      <c r="Q1789" s="29">
        <f>MID(P1789,5,2)</f>
        <v/>
      </c>
      <c r="R1789" s="14">
        <f>MID(P1789,7,2)</f>
        <v/>
      </c>
      <c r="S1789" s="6" t="inlineStr">
        <is>
          <t>G2G</t>
        </is>
      </c>
      <c r="T1789" s="1" t="inlineStr">
        <is>
          <t>P4 - PEIPL</t>
        </is>
      </c>
      <c r="U1789" s="2" t="inlineStr">
        <is>
          <t xml:space="preserve">physically damaged </t>
        </is>
      </c>
      <c r="V1789" s="1" t="inlineStr">
        <is>
          <t>Inspection</t>
        </is>
      </c>
      <c r="W1789" s="1" t="inlineStr">
        <is>
          <t>Rejected</t>
        </is>
      </c>
      <c r="X1789" s="5">
        <f>Z1789</f>
        <v/>
      </c>
      <c r="Y1789" s="1">
        <f>X1789-A1789</f>
        <v/>
      </c>
      <c r="Z1789" s="5" t="n">
        <v>46196</v>
      </c>
      <c r="AA1789" s="3" t="n"/>
      <c r="AB1789" s="3" t="n"/>
      <c r="AE1789" s="146">
        <f>IF(AND(F1789="Closed",X1789&gt;=DATE(2026,6,1),X1789&lt;=DATE(2026,6,30)),"Closed in June","other")</f>
        <v/>
      </c>
    </row>
    <row r="1790" hidden="1">
      <c r="A1790" s="49" t="n">
        <v>46177</v>
      </c>
      <c r="B1790" s="1" t="n">
        <v>2026</v>
      </c>
      <c r="C1790" s="8" t="inlineStr">
        <is>
          <t>Ayana</t>
        </is>
      </c>
      <c r="D1790" s="11" t="inlineStr">
        <is>
          <t>Utility and C&amp;I</t>
        </is>
      </c>
      <c r="E1790" s="1" t="n"/>
      <c r="F1790" s="1" t="inlineStr">
        <is>
          <t>Closed</t>
        </is>
      </c>
      <c r="G1790" s="11" t="inlineStr">
        <is>
          <t>Vasu.N</t>
        </is>
      </c>
      <c r="H1790" s="8" t="n">
        <v>9578099893</v>
      </c>
      <c r="I1790" s="10" t="inlineStr">
        <is>
          <t>PE04062601</t>
        </is>
      </c>
      <c r="J1790" s="28" t="inlineStr">
        <is>
          <t>Module burnt</t>
        </is>
      </c>
      <c r="K1790" s="8" t="inlineStr">
        <is>
          <t>Zura</t>
        </is>
      </c>
      <c r="L1790" s="39" t="inlineStr">
        <is>
          <t>Gujarat</t>
        </is>
      </c>
      <c r="M1790" s="2" t="inlineStr">
        <is>
          <t>broken</t>
        </is>
      </c>
      <c r="N1790" s="6" t="inlineStr">
        <is>
          <t>Module Breakage</t>
        </is>
      </c>
      <c r="O1790" s="32" t="n">
        <v>590</v>
      </c>
      <c r="P1790" s="2" t="inlineStr">
        <is>
          <t>NSMI24100627984</t>
        </is>
      </c>
      <c r="Q1790" s="29">
        <f>MID(P1790,5,2)</f>
        <v/>
      </c>
      <c r="R1790" s="14">
        <f>MID(P1790,7,2)</f>
        <v/>
      </c>
      <c r="S1790" s="6" t="inlineStr">
        <is>
          <t>G2G</t>
        </is>
      </c>
      <c r="T1790" s="1" t="inlineStr">
        <is>
          <t>P4 - PEIPL</t>
        </is>
      </c>
      <c r="U1790" s="2" t="inlineStr">
        <is>
          <t xml:space="preserve">physically damaged </t>
        </is>
      </c>
      <c r="V1790" s="1" t="inlineStr">
        <is>
          <t>Inspection</t>
        </is>
      </c>
      <c r="W1790" s="1" t="inlineStr">
        <is>
          <t>Rejected</t>
        </is>
      </c>
      <c r="X1790" s="5">
        <f>Z1790</f>
        <v/>
      </c>
      <c r="Y1790" s="1">
        <f>X1790-A1790</f>
        <v/>
      </c>
      <c r="Z1790" s="5" t="n">
        <v>46196</v>
      </c>
      <c r="AA1790" s="3" t="n"/>
      <c r="AB1790" s="3" t="n"/>
      <c r="AE1790" s="146">
        <f>IF(AND(F1790="Closed",X1790&gt;=DATE(2026,6,1),X1790&lt;=DATE(2026,6,30)),"Closed in June","other")</f>
        <v/>
      </c>
    </row>
    <row r="1791" hidden="1">
      <c r="A1791" s="49" t="n">
        <v>46177</v>
      </c>
      <c r="B1791" s="1" t="n">
        <v>2026</v>
      </c>
      <c r="C1791" s="8" t="inlineStr">
        <is>
          <t>Ayana</t>
        </is>
      </c>
      <c r="D1791" s="11" t="inlineStr">
        <is>
          <t>Utility and C&amp;I</t>
        </is>
      </c>
      <c r="E1791" s="1" t="n"/>
      <c r="F1791" s="1" t="inlineStr">
        <is>
          <t>Closed</t>
        </is>
      </c>
      <c r="G1791" s="11" t="inlineStr">
        <is>
          <t>Vasu.N</t>
        </is>
      </c>
      <c r="H1791" s="8" t="n">
        <v>9578099893</v>
      </c>
      <c r="I1791" s="10" t="inlineStr">
        <is>
          <t>PE04062601</t>
        </is>
      </c>
      <c r="J1791" s="28" t="inlineStr">
        <is>
          <t>Module burnt</t>
        </is>
      </c>
      <c r="K1791" s="8" t="inlineStr">
        <is>
          <t>Zura</t>
        </is>
      </c>
      <c r="L1791" s="39" t="inlineStr">
        <is>
          <t>Gujarat</t>
        </is>
      </c>
      <c r="M1791" s="2" t="inlineStr">
        <is>
          <t>broken</t>
        </is>
      </c>
      <c r="N1791" s="6" t="inlineStr">
        <is>
          <t>Module Breakage</t>
        </is>
      </c>
      <c r="O1791" s="32" t="n">
        <v>590</v>
      </c>
      <c r="P1791" s="2" t="inlineStr">
        <is>
          <t>NSMI24100555159</t>
        </is>
      </c>
      <c r="Q1791" s="29">
        <f>MID(P1791,5,2)</f>
        <v/>
      </c>
      <c r="R1791" s="14">
        <f>MID(P1791,7,2)</f>
        <v/>
      </c>
      <c r="S1791" s="6" t="inlineStr">
        <is>
          <t>G2G</t>
        </is>
      </c>
      <c r="T1791" s="1" t="inlineStr">
        <is>
          <t>P4 - PEIPL</t>
        </is>
      </c>
      <c r="U1791" s="2" t="inlineStr">
        <is>
          <t xml:space="preserve">physically damaged </t>
        </is>
      </c>
      <c r="V1791" s="1" t="inlineStr">
        <is>
          <t>Inspection</t>
        </is>
      </c>
      <c r="W1791" s="1" t="inlineStr">
        <is>
          <t>Rejected</t>
        </is>
      </c>
      <c r="X1791" s="5">
        <f>Z1791</f>
        <v/>
      </c>
      <c r="Y1791" s="1">
        <f>X1791-A1791</f>
        <v/>
      </c>
      <c r="Z1791" s="5" t="n">
        <v>46196</v>
      </c>
      <c r="AA1791" s="3" t="n"/>
      <c r="AB1791" s="3" t="n"/>
      <c r="AE1791" s="146">
        <f>IF(AND(F1791="Closed",X1791&gt;=DATE(2026,6,1),X1791&lt;=DATE(2026,6,30)),"Closed in June","other")</f>
        <v/>
      </c>
    </row>
    <row r="1792" hidden="1">
      <c r="A1792" s="49" t="n">
        <v>46177</v>
      </c>
      <c r="B1792" s="1" t="n">
        <v>2026</v>
      </c>
      <c r="C1792" s="8" t="inlineStr">
        <is>
          <t>Ayana</t>
        </is>
      </c>
      <c r="D1792" s="11" t="inlineStr">
        <is>
          <t>Utility and C&amp;I</t>
        </is>
      </c>
      <c r="E1792" s="1" t="n"/>
      <c r="F1792" s="1" t="inlineStr">
        <is>
          <t>Closed</t>
        </is>
      </c>
      <c r="G1792" s="11" t="inlineStr">
        <is>
          <t>Vasu.N</t>
        </is>
      </c>
      <c r="H1792" s="8" t="n">
        <v>9578099893</v>
      </c>
      <c r="I1792" s="10" t="inlineStr">
        <is>
          <t>PE04062601</t>
        </is>
      </c>
      <c r="J1792" s="28" t="inlineStr">
        <is>
          <t>Module burnt</t>
        </is>
      </c>
      <c r="K1792" s="8" t="inlineStr">
        <is>
          <t>Zura</t>
        </is>
      </c>
      <c r="L1792" s="39" t="inlineStr">
        <is>
          <t>Gujarat</t>
        </is>
      </c>
      <c r="M1792" s="2" t="inlineStr">
        <is>
          <t>broken</t>
        </is>
      </c>
      <c r="N1792" s="6" t="inlineStr">
        <is>
          <t>Module Breakage</t>
        </is>
      </c>
      <c r="O1792" s="32" t="n">
        <v>590</v>
      </c>
      <c r="P1792" s="2" t="inlineStr">
        <is>
          <t>NSMI24100597183</t>
        </is>
      </c>
      <c r="Q1792" s="29">
        <f>MID(P1792,5,2)</f>
        <v/>
      </c>
      <c r="R1792" s="14">
        <f>MID(P1792,7,2)</f>
        <v/>
      </c>
      <c r="S1792" s="6" t="inlineStr">
        <is>
          <t>G2G</t>
        </is>
      </c>
      <c r="T1792" s="1" t="inlineStr">
        <is>
          <t>P4 - PEIPL</t>
        </is>
      </c>
      <c r="U1792" s="2" t="inlineStr">
        <is>
          <t xml:space="preserve">physically damaged </t>
        </is>
      </c>
      <c r="V1792" s="1" t="inlineStr">
        <is>
          <t>Inspection</t>
        </is>
      </c>
      <c r="W1792" s="1" t="inlineStr">
        <is>
          <t>Rejected</t>
        </is>
      </c>
      <c r="X1792" s="5">
        <f>Z1792</f>
        <v/>
      </c>
      <c r="Y1792" s="1">
        <f>X1792-A1792</f>
        <v/>
      </c>
      <c r="Z1792" s="5" t="n">
        <v>46196</v>
      </c>
      <c r="AA1792" s="3" t="n"/>
      <c r="AB1792" s="3" t="n"/>
      <c r="AE1792" s="146">
        <f>IF(AND(F1792="Closed",X1792&gt;=DATE(2026,6,1),X1792&lt;=DATE(2026,6,30)),"Closed in June","other")</f>
        <v/>
      </c>
    </row>
    <row r="1793" hidden="1">
      <c r="A1793" s="49" t="n">
        <v>46177</v>
      </c>
      <c r="B1793" s="1" t="n">
        <v>2026</v>
      </c>
      <c r="C1793" s="8" t="inlineStr">
        <is>
          <t>Ayana</t>
        </is>
      </c>
      <c r="D1793" s="11" t="inlineStr">
        <is>
          <t>Utility and C&amp;I</t>
        </is>
      </c>
      <c r="E1793" s="1" t="n"/>
      <c r="F1793" s="1" t="inlineStr">
        <is>
          <t>Closed</t>
        </is>
      </c>
      <c r="G1793" s="11" t="inlineStr">
        <is>
          <t>Vasu.N</t>
        </is>
      </c>
      <c r="H1793" s="8" t="n">
        <v>9578099893</v>
      </c>
      <c r="I1793" s="10" t="inlineStr">
        <is>
          <t>PE04062601</t>
        </is>
      </c>
      <c r="J1793" s="28" t="inlineStr">
        <is>
          <t>Module burnt</t>
        </is>
      </c>
      <c r="K1793" s="8" t="inlineStr">
        <is>
          <t>Zura</t>
        </is>
      </c>
      <c r="L1793" s="39" t="inlineStr">
        <is>
          <t>Gujarat</t>
        </is>
      </c>
      <c r="M1793" s="2" t="inlineStr">
        <is>
          <t>broken</t>
        </is>
      </c>
      <c r="N1793" s="6" t="inlineStr">
        <is>
          <t>Module Breakage</t>
        </is>
      </c>
      <c r="O1793" s="32" t="n">
        <v>590</v>
      </c>
      <c r="P1793" s="2" t="inlineStr">
        <is>
          <t>NSMI24110806695</t>
        </is>
      </c>
      <c r="Q1793" s="29">
        <f>MID(P1793,5,2)</f>
        <v/>
      </c>
      <c r="R1793" s="14">
        <f>MID(P1793,7,2)</f>
        <v/>
      </c>
      <c r="S1793" s="6" t="inlineStr">
        <is>
          <t>G2G</t>
        </is>
      </c>
      <c r="T1793" s="1" t="inlineStr">
        <is>
          <t>P4 - PEIPL</t>
        </is>
      </c>
      <c r="U1793" s="2" t="inlineStr">
        <is>
          <t xml:space="preserve">Hit by stone </t>
        </is>
      </c>
      <c r="V1793" s="1" t="inlineStr">
        <is>
          <t>Inspection</t>
        </is>
      </c>
      <c r="W1793" s="1" t="inlineStr">
        <is>
          <t>Rejected</t>
        </is>
      </c>
      <c r="X1793" s="5" t="n">
        <v>46196</v>
      </c>
      <c r="Y1793" s="1">
        <f>IF(X1793="","",X1793-A1793)</f>
        <v/>
      </c>
      <c r="Z1793" s="5" t="n">
        <v>46196</v>
      </c>
      <c r="AA1793" s="3" t="n"/>
      <c r="AB1793" s="3" t="n"/>
      <c r="AE1793" s="146">
        <f>IF(AND(F1793="Closed",X1793&gt;=DATE(2026,6,1),X1793&lt;=DATE(2026,6,30)),"Closed in June","other")</f>
        <v/>
      </c>
    </row>
    <row r="1794" hidden="1">
      <c r="A1794" s="49" t="n">
        <v>46177</v>
      </c>
      <c r="B1794" s="1" t="n">
        <v>2026</v>
      </c>
      <c r="C1794" s="8" t="inlineStr">
        <is>
          <t>Ayana</t>
        </is>
      </c>
      <c r="D1794" s="11" t="inlineStr">
        <is>
          <t>Utility and C&amp;I</t>
        </is>
      </c>
      <c r="E1794" s="1" t="n"/>
      <c r="F1794" s="1" t="inlineStr">
        <is>
          <t>WIP</t>
        </is>
      </c>
      <c r="G1794" s="11" t="inlineStr">
        <is>
          <t>Vasu.N</t>
        </is>
      </c>
      <c r="H1794" s="8" t="n">
        <v>9578099893</v>
      </c>
      <c r="I1794" s="10" t="inlineStr">
        <is>
          <t>PE04062601</t>
        </is>
      </c>
      <c r="J1794" s="28" t="inlineStr">
        <is>
          <t>Module burnt</t>
        </is>
      </c>
      <c r="K1794" s="8" t="inlineStr">
        <is>
          <t>Zura</t>
        </is>
      </c>
      <c r="L1794" s="39" t="inlineStr">
        <is>
          <t>Gujarat</t>
        </is>
      </c>
      <c r="M1794" s="2" t="inlineStr">
        <is>
          <t>broken</t>
        </is>
      </c>
      <c r="N1794" s="6" t="inlineStr">
        <is>
          <t>Module Breakage</t>
        </is>
      </c>
      <c r="O1794" s="32" t="n">
        <v>590</v>
      </c>
      <c r="P1794" s="2" t="inlineStr">
        <is>
          <t>NSMI24100575139</t>
        </is>
      </c>
      <c r="Q1794" s="29">
        <f>MID(P1794,5,2)</f>
        <v/>
      </c>
      <c r="R1794" s="14">
        <f>MID(P1794,7,2)</f>
        <v/>
      </c>
      <c r="S1794" s="6" t="inlineStr">
        <is>
          <t>G2G</t>
        </is>
      </c>
      <c r="T1794" s="1" t="inlineStr">
        <is>
          <t>P4 - PEIPL</t>
        </is>
      </c>
      <c r="U1794" s="6" t="inlineStr">
        <is>
          <t>Module Breakage</t>
        </is>
      </c>
      <c r="V1794" s="1" t="inlineStr">
        <is>
          <t>Inspection</t>
        </is>
      </c>
      <c r="W1794" s="1" t="inlineStr">
        <is>
          <t>WIP</t>
        </is>
      </c>
      <c r="X1794" s="12" t="n"/>
      <c r="Y1794" s="1">
        <f>IF(X1794="","",X1794-A1794)</f>
        <v/>
      </c>
      <c r="Z1794" s="5" t="n">
        <v>46196</v>
      </c>
      <c r="AA1794" s="3" t="n"/>
      <c r="AB1794" s="3" t="n"/>
      <c r="AE1794" s="146">
        <f>IF(AND(F1794="Closed",X1794&gt;=DATE(2026,6,1),X1794&lt;=DATE(2026,6,30)),"Closed in June","other")</f>
        <v/>
      </c>
    </row>
    <row r="1795" hidden="1">
      <c r="A1795" s="49" t="n">
        <v>46177</v>
      </c>
      <c r="B1795" s="1" t="n">
        <v>2026</v>
      </c>
      <c r="C1795" s="8" t="inlineStr">
        <is>
          <t>Ayana</t>
        </is>
      </c>
      <c r="D1795" s="11" t="inlineStr">
        <is>
          <t>Utility and C&amp;I</t>
        </is>
      </c>
      <c r="E1795" s="1" t="n"/>
      <c r="F1795" s="1" t="inlineStr">
        <is>
          <t>Closed</t>
        </is>
      </c>
      <c r="G1795" s="11" t="inlineStr">
        <is>
          <t>Vasu.N</t>
        </is>
      </c>
      <c r="H1795" s="8" t="n">
        <v>9578099893</v>
      </c>
      <c r="I1795" s="10" t="inlineStr">
        <is>
          <t>PE04062601</t>
        </is>
      </c>
      <c r="J1795" s="28" t="inlineStr">
        <is>
          <t>Module burnt</t>
        </is>
      </c>
      <c r="K1795" s="8" t="inlineStr">
        <is>
          <t>Zura</t>
        </is>
      </c>
      <c r="L1795" s="39" t="inlineStr">
        <is>
          <t>Gujarat</t>
        </is>
      </c>
      <c r="M1795" s="2" t="inlineStr">
        <is>
          <t>broken</t>
        </is>
      </c>
      <c r="N1795" s="6" t="inlineStr">
        <is>
          <t>Module Breakage</t>
        </is>
      </c>
      <c r="O1795" s="32" t="n">
        <v>590</v>
      </c>
      <c r="P1795" s="2" t="inlineStr">
        <is>
          <t>NSMI24100554594</t>
        </is>
      </c>
      <c r="Q1795" s="29">
        <f>MID(P1795,5,2)</f>
        <v/>
      </c>
      <c r="R1795" s="14">
        <f>MID(P1795,7,2)</f>
        <v/>
      </c>
      <c r="S1795" s="6" t="inlineStr">
        <is>
          <t>G2G</t>
        </is>
      </c>
      <c r="T1795" s="1" t="inlineStr">
        <is>
          <t>P4 - PEIPL</t>
        </is>
      </c>
      <c r="U1795" s="2" t="inlineStr">
        <is>
          <t xml:space="preserve">Hit by stone </t>
        </is>
      </c>
      <c r="V1795" s="1" t="inlineStr">
        <is>
          <t>Inspection</t>
        </is>
      </c>
      <c r="W1795" s="1" t="inlineStr">
        <is>
          <t>Rejected</t>
        </is>
      </c>
      <c r="X1795" s="5" t="n">
        <v>46196</v>
      </c>
      <c r="Y1795" s="1">
        <f>IF(X1795="","",X1795-A1795)</f>
        <v/>
      </c>
      <c r="Z1795" s="5" t="n">
        <v>46196</v>
      </c>
      <c r="AA1795" s="3" t="n"/>
      <c r="AB1795" s="3" t="n"/>
      <c r="AE1795" s="146">
        <f>IF(AND(F1795="Closed",X1795&gt;=DATE(2026,6,1),X1795&lt;=DATE(2026,6,30)),"Closed in June","other")</f>
        <v/>
      </c>
    </row>
    <row r="1796" hidden="1">
      <c r="A1796" s="49" t="n">
        <v>46177</v>
      </c>
      <c r="B1796" s="1" t="n">
        <v>2026</v>
      </c>
      <c r="C1796" s="8" t="inlineStr">
        <is>
          <t>Ayana</t>
        </is>
      </c>
      <c r="D1796" s="11" t="inlineStr">
        <is>
          <t>Utility and C&amp;I</t>
        </is>
      </c>
      <c r="E1796" s="1" t="n"/>
      <c r="F1796" s="1" t="inlineStr">
        <is>
          <t>WIP</t>
        </is>
      </c>
      <c r="G1796" s="11" t="inlineStr">
        <is>
          <t>Vasu.N</t>
        </is>
      </c>
      <c r="H1796" s="8" t="n">
        <v>9578099893</v>
      </c>
      <c r="I1796" s="10" t="inlineStr">
        <is>
          <t>PE04062601</t>
        </is>
      </c>
      <c r="J1796" s="28" t="inlineStr">
        <is>
          <t>Module burnt</t>
        </is>
      </c>
      <c r="K1796" s="8" t="inlineStr">
        <is>
          <t>Zura</t>
        </is>
      </c>
      <c r="L1796" s="39" t="inlineStr">
        <is>
          <t>Gujarat</t>
        </is>
      </c>
      <c r="M1796" s="2" t="inlineStr">
        <is>
          <t>broken</t>
        </is>
      </c>
      <c r="N1796" s="6" t="inlineStr">
        <is>
          <t>Module Breakage</t>
        </is>
      </c>
      <c r="O1796" s="32" t="n">
        <v>590</v>
      </c>
      <c r="P1796" s="2" t="inlineStr">
        <is>
          <t>NSMI24100546200</t>
        </is>
      </c>
      <c r="Q1796" s="29">
        <f>MID(P1796,5,2)</f>
        <v/>
      </c>
      <c r="R1796" s="14">
        <f>MID(P1796,7,2)</f>
        <v/>
      </c>
      <c r="S1796" s="6" t="inlineStr">
        <is>
          <t>G2G</t>
        </is>
      </c>
      <c r="T1796" s="1" t="inlineStr">
        <is>
          <t>P4 - PEIPL</t>
        </is>
      </c>
      <c r="U1796" s="2" t="inlineStr">
        <is>
          <t xml:space="preserve">Back glass broken </t>
        </is>
      </c>
      <c r="V1796" s="1" t="inlineStr">
        <is>
          <t>Inspection</t>
        </is>
      </c>
      <c r="W1796" s="1" t="inlineStr">
        <is>
          <t>WIP</t>
        </is>
      </c>
      <c r="X1796" s="5" t="n">
        <v>46196</v>
      </c>
      <c r="Y1796" s="1">
        <f>IF(X1796="","",X1796-A1796)</f>
        <v/>
      </c>
      <c r="Z1796" s="5" t="n">
        <v>46196</v>
      </c>
      <c r="AA1796" s="3" t="n"/>
      <c r="AB1796" s="3" t="n"/>
      <c r="AE1796" s="146">
        <f>IF(AND(F1796="Closed",X1796&gt;=DATE(2026,6,1),X1796&lt;=DATE(2026,6,30)),"Closed in June","other")</f>
        <v/>
      </c>
    </row>
    <row r="1797" hidden="1">
      <c r="A1797" s="49" t="n">
        <v>46177</v>
      </c>
      <c r="B1797" s="1" t="n">
        <v>2026</v>
      </c>
      <c r="C1797" s="8" t="inlineStr">
        <is>
          <t>Ayana</t>
        </is>
      </c>
      <c r="D1797" s="11" t="inlineStr">
        <is>
          <t>Utility and C&amp;I</t>
        </is>
      </c>
      <c r="E1797" s="1" t="n"/>
      <c r="F1797" s="1" t="inlineStr">
        <is>
          <t>Closed</t>
        </is>
      </c>
      <c r="G1797" s="11" t="inlineStr">
        <is>
          <t>Vasu.N</t>
        </is>
      </c>
      <c r="H1797" s="8" t="n">
        <v>9578099893</v>
      </c>
      <c r="I1797" s="10" t="inlineStr">
        <is>
          <t>PE04062601</t>
        </is>
      </c>
      <c r="J1797" s="28" t="inlineStr">
        <is>
          <t>Module burnt</t>
        </is>
      </c>
      <c r="K1797" s="8" t="inlineStr">
        <is>
          <t>Zura</t>
        </is>
      </c>
      <c r="L1797" s="39" t="inlineStr">
        <is>
          <t>Gujarat</t>
        </is>
      </c>
      <c r="M1797" s="2" t="inlineStr">
        <is>
          <t>broken</t>
        </is>
      </c>
      <c r="N1797" s="6" t="inlineStr">
        <is>
          <t>Module Breakage</t>
        </is>
      </c>
      <c r="O1797" s="32" t="n">
        <v>590</v>
      </c>
      <c r="P1797" s="2" t="inlineStr">
        <is>
          <t>NSMI24100546193</t>
        </is>
      </c>
      <c r="Q1797" s="29">
        <f>MID(P1797,5,2)</f>
        <v/>
      </c>
      <c r="R1797" s="14">
        <f>MID(P1797,7,2)</f>
        <v/>
      </c>
      <c r="S1797" s="6" t="inlineStr">
        <is>
          <t>G2G</t>
        </is>
      </c>
      <c r="T1797" s="1" t="inlineStr">
        <is>
          <t>P4 - PEIPL</t>
        </is>
      </c>
      <c r="U1797" s="2" t="inlineStr">
        <is>
          <t xml:space="preserve">Hit by stone </t>
        </is>
      </c>
      <c r="V1797" s="1" t="inlineStr">
        <is>
          <t>Inspection</t>
        </is>
      </c>
      <c r="W1797" s="1" t="inlineStr">
        <is>
          <t>Rejected</t>
        </is>
      </c>
      <c r="X1797" s="5" t="n">
        <v>46196</v>
      </c>
      <c r="Y1797" s="1">
        <f>IF(X1797="","",X1797-A1797)</f>
        <v/>
      </c>
      <c r="Z1797" s="5" t="n">
        <v>46196</v>
      </c>
      <c r="AA1797" s="3" t="n"/>
      <c r="AB1797" s="3" t="n"/>
      <c r="AE1797" s="146">
        <f>IF(AND(F1797="Closed",X1797&gt;=DATE(2026,6,1),X1797&lt;=DATE(2026,6,30)),"Closed in June","other")</f>
        <v/>
      </c>
    </row>
    <row r="1798" hidden="1">
      <c r="A1798" s="49" t="n">
        <v>46177</v>
      </c>
      <c r="B1798" s="1" t="n">
        <v>2026</v>
      </c>
      <c r="C1798" s="8" t="inlineStr">
        <is>
          <t>Ayana</t>
        </is>
      </c>
      <c r="D1798" s="11" t="inlineStr">
        <is>
          <t>Utility and C&amp;I</t>
        </is>
      </c>
      <c r="E1798" s="1" t="n"/>
      <c r="F1798" s="1" t="inlineStr">
        <is>
          <t>Closed</t>
        </is>
      </c>
      <c r="G1798" s="11" t="inlineStr">
        <is>
          <t>Vasu.N</t>
        </is>
      </c>
      <c r="H1798" s="8" t="n">
        <v>9578099893</v>
      </c>
      <c r="I1798" s="10" t="inlineStr">
        <is>
          <t>PE04062601</t>
        </is>
      </c>
      <c r="J1798" s="28" t="inlineStr">
        <is>
          <t>Module burnt</t>
        </is>
      </c>
      <c r="K1798" s="8" t="inlineStr">
        <is>
          <t>Zura</t>
        </is>
      </c>
      <c r="L1798" s="39" t="inlineStr">
        <is>
          <t>Gujarat</t>
        </is>
      </c>
      <c r="M1798" s="2" t="inlineStr">
        <is>
          <t>broken</t>
        </is>
      </c>
      <c r="N1798" s="6" t="inlineStr">
        <is>
          <t>Module Breakage</t>
        </is>
      </c>
      <c r="O1798" s="32" t="n">
        <v>590</v>
      </c>
      <c r="P1798" s="2" t="inlineStr">
        <is>
          <t>NSMI24100597204</t>
        </is>
      </c>
      <c r="Q1798" s="29">
        <f>MID(P1798,5,2)</f>
        <v/>
      </c>
      <c r="R1798" s="14">
        <f>MID(P1798,7,2)</f>
        <v/>
      </c>
      <c r="S1798" s="6" t="inlineStr">
        <is>
          <t>G2G</t>
        </is>
      </c>
      <c r="T1798" s="1" t="inlineStr">
        <is>
          <t>P4 - PEIPL</t>
        </is>
      </c>
      <c r="U1798" s="2" t="inlineStr">
        <is>
          <t xml:space="preserve">Hit by stone </t>
        </is>
      </c>
      <c r="V1798" s="1" t="inlineStr">
        <is>
          <t>Inspection</t>
        </is>
      </c>
      <c r="W1798" s="1" t="inlineStr">
        <is>
          <t>Rejected</t>
        </is>
      </c>
      <c r="X1798" s="5" t="n">
        <v>46196</v>
      </c>
      <c r="Y1798" s="1">
        <f>IF(X1798="","",X1798-A1798)</f>
        <v/>
      </c>
      <c r="Z1798" s="5" t="n">
        <v>46196</v>
      </c>
      <c r="AA1798" s="3" t="n"/>
      <c r="AB1798" s="3" t="n"/>
      <c r="AE1798" s="146">
        <f>IF(AND(F1798="Closed",X1798&gt;=DATE(2026,6,1),X1798&lt;=DATE(2026,6,30)),"Closed in June","other")</f>
        <v/>
      </c>
    </row>
    <row r="1799" hidden="1">
      <c r="A1799" s="49" t="n">
        <v>46177</v>
      </c>
      <c r="B1799" s="1" t="n">
        <v>2026</v>
      </c>
      <c r="C1799" s="8" t="inlineStr">
        <is>
          <t>Ayana</t>
        </is>
      </c>
      <c r="D1799" s="11" t="inlineStr">
        <is>
          <t>Utility and C&amp;I</t>
        </is>
      </c>
      <c r="E1799" s="1" t="n"/>
      <c r="F1799" s="1" t="inlineStr">
        <is>
          <t>Closed</t>
        </is>
      </c>
      <c r="G1799" s="11" t="inlineStr">
        <is>
          <t>Vasu.N</t>
        </is>
      </c>
      <c r="H1799" s="8" t="n">
        <v>9578099893</v>
      </c>
      <c r="I1799" s="10" t="inlineStr">
        <is>
          <t>PE04062601</t>
        </is>
      </c>
      <c r="J1799" s="28" t="inlineStr">
        <is>
          <t>Module burnt</t>
        </is>
      </c>
      <c r="K1799" s="8" t="inlineStr">
        <is>
          <t>Zura</t>
        </is>
      </c>
      <c r="L1799" s="39" t="inlineStr">
        <is>
          <t>Gujarat</t>
        </is>
      </c>
      <c r="M1799" s="2" t="inlineStr">
        <is>
          <t>broken</t>
        </is>
      </c>
      <c r="N1799" s="6" t="inlineStr">
        <is>
          <t>Module Breakage</t>
        </is>
      </c>
      <c r="O1799" s="32" t="n">
        <v>590</v>
      </c>
      <c r="P1799" s="2" t="inlineStr">
        <is>
          <t>NSMI24100692180</t>
        </is>
      </c>
      <c r="Q1799" s="29">
        <f>MID(P1799,5,2)</f>
        <v/>
      </c>
      <c r="R1799" s="14">
        <f>MID(P1799,7,2)</f>
        <v/>
      </c>
      <c r="S1799" s="6" t="inlineStr">
        <is>
          <t>G2G</t>
        </is>
      </c>
      <c r="T1799" s="1" t="inlineStr">
        <is>
          <t>P4 - PEIPL</t>
        </is>
      </c>
      <c r="U1799" s="2" t="inlineStr">
        <is>
          <t xml:space="preserve">Hit by stone </t>
        </is>
      </c>
      <c r="V1799" s="1" t="inlineStr">
        <is>
          <t>Inspection</t>
        </is>
      </c>
      <c r="W1799" s="1" t="inlineStr">
        <is>
          <t>Rejected</t>
        </is>
      </c>
      <c r="X1799" s="5" t="n">
        <v>46196</v>
      </c>
      <c r="Y1799" s="1">
        <f>IF(X1799="","",X1799-A1799)</f>
        <v/>
      </c>
      <c r="Z1799" s="5" t="n">
        <v>46196</v>
      </c>
      <c r="AA1799" s="3" t="n"/>
      <c r="AB1799" s="3" t="n"/>
      <c r="AE1799" s="146">
        <f>IF(AND(F1799="Closed",X1799&gt;=DATE(2026,6,1),X1799&lt;=DATE(2026,6,30)),"Closed in June","other")</f>
        <v/>
      </c>
    </row>
    <row r="1800" hidden="1">
      <c r="A1800" s="49" t="n">
        <v>46177</v>
      </c>
      <c r="B1800" s="1" t="n">
        <v>2026</v>
      </c>
      <c r="C1800" s="8" t="inlineStr">
        <is>
          <t>Ayana</t>
        </is>
      </c>
      <c r="D1800" s="11" t="inlineStr">
        <is>
          <t>Utility and C&amp;I</t>
        </is>
      </c>
      <c r="E1800" s="1" t="n"/>
      <c r="F1800" s="1" t="inlineStr">
        <is>
          <t>Closed</t>
        </is>
      </c>
      <c r="G1800" s="11" t="inlineStr">
        <is>
          <t>Vasu.N</t>
        </is>
      </c>
      <c r="H1800" s="8" t="n">
        <v>9578099893</v>
      </c>
      <c r="I1800" s="10" t="inlineStr">
        <is>
          <t>PE04062601</t>
        </is>
      </c>
      <c r="J1800" s="28" t="inlineStr">
        <is>
          <t>Module burnt</t>
        </is>
      </c>
      <c r="K1800" s="8" t="inlineStr">
        <is>
          <t>Zura</t>
        </is>
      </c>
      <c r="L1800" s="39" t="inlineStr">
        <is>
          <t>Gujarat</t>
        </is>
      </c>
      <c r="M1800" s="2" t="inlineStr">
        <is>
          <t>broken</t>
        </is>
      </c>
      <c r="N1800" s="6" t="inlineStr">
        <is>
          <t>Module Breakage</t>
        </is>
      </c>
      <c r="O1800" s="32" t="n">
        <v>590</v>
      </c>
      <c r="P1800" s="2" t="inlineStr">
        <is>
          <t>NSMI24100685103</t>
        </is>
      </c>
      <c r="Q1800" s="29">
        <f>MID(P1800,5,2)</f>
        <v/>
      </c>
      <c r="R1800" s="14">
        <f>MID(P1800,7,2)</f>
        <v/>
      </c>
      <c r="S1800" s="6" t="inlineStr">
        <is>
          <t>G2G</t>
        </is>
      </c>
      <c r="T1800" s="1" t="inlineStr">
        <is>
          <t>P4 - PEIPL</t>
        </is>
      </c>
      <c r="U1800" s="2" t="inlineStr">
        <is>
          <t xml:space="preserve">Hit by stone </t>
        </is>
      </c>
      <c r="V1800" s="1" t="inlineStr">
        <is>
          <t>Inspection</t>
        </is>
      </c>
      <c r="W1800" s="1" t="inlineStr">
        <is>
          <t>Rejected</t>
        </is>
      </c>
      <c r="X1800" s="5" t="n">
        <v>46196</v>
      </c>
      <c r="Y1800" s="1">
        <f>IF(X1800="","",X1800-A1800)</f>
        <v/>
      </c>
      <c r="Z1800" s="5" t="n">
        <v>46196</v>
      </c>
      <c r="AA1800" s="3" t="n"/>
      <c r="AB1800" s="3" t="n"/>
      <c r="AE1800" s="146">
        <f>IF(AND(F1800="Closed",X1800&gt;=DATE(2026,6,1),X1800&lt;=DATE(2026,6,30)),"Closed in June","other")</f>
        <v/>
      </c>
    </row>
    <row r="1801" hidden="1">
      <c r="A1801" s="49" t="n">
        <v>46177</v>
      </c>
      <c r="B1801" s="1" t="n">
        <v>2026</v>
      </c>
      <c r="C1801" s="8" t="inlineStr">
        <is>
          <t>Ayana</t>
        </is>
      </c>
      <c r="D1801" s="11" t="inlineStr">
        <is>
          <t>Utility and C&amp;I</t>
        </is>
      </c>
      <c r="E1801" s="1" t="n"/>
      <c r="F1801" s="1" t="inlineStr">
        <is>
          <t>Closed</t>
        </is>
      </c>
      <c r="G1801" s="11" t="inlineStr">
        <is>
          <t>Vasu.N</t>
        </is>
      </c>
      <c r="H1801" s="8" t="n">
        <v>9578099893</v>
      </c>
      <c r="I1801" s="10" t="inlineStr">
        <is>
          <t>PE04062601</t>
        </is>
      </c>
      <c r="J1801" s="28" t="inlineStr">
        <is>
          <t>Module burnt</t>
        </is>
      </c>
      <c r="K1801" s="8" t="inlineStr">
        <is>
          <t>Zura</t>
        </is>
      </c>
      <c r="L1801" s="39" t="inlineStr">
        <is>
          <t>Gujarat</t>
        </is>
      </c>
      <c r="M1801" s="2" t="inlineStr">
        <is>
          <t>broken</t>
        </is>
      </c>
      <c r="N1801" s="6" t="inlineStr">
        <is>
          <t>Module Breakage</t>
        </is>
      </c>
      <c r="O1801" s="32" t="n">
        <v>590</v>
      </c>
      <c r="P1801" s="2" t="inlineStr">
        <is>
          <t>NSMI24100664002</t>
        </is>
      </c>
      <c r="Q1801" s="29">
        <f>MID(P1801,5,2)</f>
        <v/>
      </c>
      <c r="R1801" s="14">
        <f>MID(P1801,7,2)</f>
        <v/>
      </c>
      <c r="S1801" s="6" t="inlineStr">
        <is>
          <t>G2G</t>
        </is>
      </c>
      <c r="T1801" s="1" t="inlineStr">
        <is>
          <t>P4 - PEIPL</t>
        </is>
      </c>
      <c r="U1801" s="2" t="inlineStr">
        <is>
          <t xml:space="preserve">Hit by stone </t>
        </is>
      </c>
      <c r="V1801" s="1" t="inlineStr">
        <is>
          <t>Inspection</t>
        </is>
      </c>
      <c r="W1801" s="1" t="inlineStr">
        <is>
          <t>Rejected</t>
        </is>
      </c>
      <c r="X1801" s="5" t="n">
        <v>46196</v>
      </c>
      <c r="Y1801" s="1">
        <f>IF(X1801="","",X1801-A1801)</f>
        <v/>
      </c>
      <c r="Z1801" s="5" t="n">
        <v>46196</v>
      </c>
      <c r="AA1801" s="3" t="n"/>
      <c r="AB1801" s="3" t="n"/>
      <c r="AE1801" s="146">
        <f>IF(AND(F1801="Closed",X1801&gt;=DATE(2026,6,1),X1801&lt;=DATE(2026,6,30)),"Closed in June","other")</f>
        <v/>
      </c>
    </row>
    <row r="1802" hidden="1">
      <c r="A1802" s="49" t="n">
        <v>46177</v>
      </c>
      <c r="B1802" s="1" t="n">
        <v>2026</v>
      </c>
      <c r="C1802" s="8" t="inlineStr">
        <is>
          <t>Ayana</t>
        </is>
      </c>
      <c r="D1802" s="11" t="inlineStr">
        <is>
          <t>Utility and C&amp;I</t>
        </is>
      </c>
      <c r="E1802" s="1" t="n"/>
      <c r="F1802" s="1" t="inlineStr">
        <is>
          <t>Closed</t>
        </is>
      </c>
      <c r="G1802" s="11" t="inlineStr">
        <is>
          <t>Vasu.N</t>
        </is>
      </c>
      <c r="H1802" s="8" t="n">
        <v>9578099893</v>
      </c>
      <c r="I1802" s="10" t="inlineStr">
        <is>
          <t>PE04062601</t>
        </is>
      </c>
      <c r="J1802" s="28" t="inlineStr">
        <is>
          <t>Module burnt</t>
        </is>
      </c>
      <c r="K1802" s="8" t="inlineStr">
        <is>
          <t>Zura</t>
        </is>
      </c>
      <c r="L1802" s="39" t="inlineStr">
        <is>
          <t>Gujarat</t>
        </is>
      </c>
      <c r="M1802" s="2" t="inlineStr">
        <is>
          <t>broken</t>
        </is>
      </c>
      <c r="N1802" s="6" t="inlineStr">
        <is>
          <t>Module Breakage</t>
        </is>
      </c>
      <c r="O1802" s="32" t="n">
        <v>590</v>
      </c>
      <c r="P1802" s="2" t="inlineStr">
        <is>
          <t>NSMI24100598114</t>
        </is>
      </c>
      <c r="Q1802" s="29">
        <f>MID(P1802,5,2)</f>
        <v/>
      </c>
      <c r="R1802" s="14">
        <f>MID(P1802,7,2)</f>
        <v/>
      </c>
      <c r="S1802" s="6" t="inlineStr">
        <is>
          <t>G2G</t>
        </is>
      </c>
      <c r="T1802" s="1" t="inlineStr">
        <is>
          <t>P4 - PEIPL</t>
        </is>
      </c>
      <c r="U1802" s="2" t="inlineStr">
        <is>
          <t xml:space="preserve">Hit by stone </t>
        </is>
      </c>
      <c r="V1802" s="1" t="inlineStr">
        <is>
          <t>Inspection</t>
        </is>
      </c>
      <c r="W1802" s="1" t="inlineStr">
        <is>
          <t>Rejected</t>
        </is>
      </c>
      <c r="X1802" s="5" t="n">
        <v>46196</v>
      </c>
      <c r="Y1802" s="1">
        <f>IF(X1802="","",X1802-A1802)</f>
        <v/>
      </c>
      <c r="Z1802" s="5" t="n">
        <v>46196</v>
      </c>
      <c r="AA1802" s="3" t="n"/>
      <c r="AB1802" s="3" t="n"/>
      <c r="AE1802" s="146">
        <f>IF(AND(F1802="Closed",X1802&gt;=DATE(2026,6,1),X1802&lt;=DATE(2026,6,30)),"Closed in June","other")</f>
        <v/>
      </c>
    </row>
    <row r="1803" hidden="1">
      <c r="A1803" s="49" t="n">
        <v>46177</v>
      </c>
      <c r="B1803" s="1" t="n">
        <v>2026</v>
      </c>
      <c r="C1803" s="8" t="inlineStr">
        <is>
          <t>Ayana</t>
        </is>
      </c>
      <c r="D1803" s="11" t="inlineStr">
        <is>
          <t>Utility and C&amp;I</t>
        </is>
      </c>
      <c r="E1803" s="1" t="n"/>
      <c r="F1803" s="1" t="inlineStr">
        <is>
          <t>WIP</t>
        </is>
      </c>
      <c r="G1803" s="11" t="inlineStr">
        <is>
          <t>Vasu.N</t>
        </is>
      </c>
      <c r="H1803" s="8" t="n">
        <v>9578099893</v>
      </c>
      <c r="I1803" s="10" t="inlineStr">
        <is>
          <t>PE04062601</t>
        </is>
      </c>
      <c r="J1803" s="28" t="inlineStr">
        <is>
          <t>Module burnt</t>
        </is>
      </c>
      <c r="K1803" s="8" t="inlineStr">
        <is>
          <t>Zura</t>
        </is>
      </c>
      <c r="L1803" s="39" t="inlineStr">
        <is>
          <t>Gujarat</t>
        </is>
      </c>
      <c r="M1803" s="2" t="inlineStr">
        <is>
          <t xml:space="preserve">Both glass broken with burn spot </t>
        </is>
      </c>
      <c r="N1803" s="6" t="inlineStr">
        <is>
          <t>Glass Breakage with Burn Spot</t>
        </is>
      </c>
      <c r="O1803" s="32" t="n">
        <v>590</v>
      </c>
      <c r="P1803" s="2" t="inlineStr">
        <is>
          <t>NSMI24110821034</t>
        </is>
      </c>
      <c r="Q1803" s="29">
        <f>MID(P1803,5,2)</f>
        <v/>
      </c>
      <c r="R1803" s="14">
        <f>MID(P1803,7,2)</f>
        <v/>
      </c>
      <c r="S1803" s="6" t="inlineStr">
        <is>
          <t>G2G</t>
        </is>
      </c>
      <c r="T1803" s="1" t="inlineStr">
        <is>
          <t>P4 - PEIPL</t>
        </is>
      </c>
      <c r="U1803" s="6" t="inlineStr">
        <is>
          <t>Glass Breakage with Burn Spot</t>
        </is>
      </c>
      <c r="V1803" s="1" t="inlineStr">
        <is>
          <t>Inspection</t>
        </is>
      </c>
      <c r="W1803" s="1" t="inlineStr">
        <is>
          <t>WIP</t>
        </is>
      </c>
      <c r="X1803" s="12" t="n"/>
      <c r="Y1803" s="1">
        <f>IF(X1803="","",X1803-A1803)</f>
        <v/>
      </c>
      <c r="Z1803" s="5" t="n">
        <v>46196</v>
      </c>
      <c r="AA1803" s="3" t="n"/>
      <c r="AB1803" s="3" t="n"/>
      <c r="AE1803" s="146">
        <f>IF(AND(F1803="Closed",X1803&gt;=DATE(2026,6,1),X1803&lt;=DATE(2026,6,30)),"Closed in June","other")</f>
        <v/>
      </c>
    </row>
    <row r="1804" hidden="1">
      <c r="A1804" s="49" t="n">
        <v>46177</v>
      </c>
      <c r="B1804" s="1" t="n">
        <v>2026</v>
      </c>
      <c r="C1804" s="8" t="inlineStr">
        <is>
          <t>Ayana</t>
        </is>
      </c>
      <c r="D1804" s="11" t="inlineStr">
        <is>
          <t>Utility and C&amp;I</t>
        </is>
      </c>
      <c r="E1804" s="1" t="n"/>
      <c r="F1804" s="1" t="inlineStr">
        <is>
          <t>WIP</t>
        </is>
      </c>
      <c r="G1804" s="11" t="inlineStr">
        <is>
          <t>Vasu.N</t>
        </is>
      </c>
      <c r="H1804" s="8" t="n">
        <v>9578099893</v>
      </c>
      <c r="I1804" s="10" t="inlineStr">
        <is>
          <t>PE04062601</t>
        </is>
      </c>
      <c r="J1804" s="28" t="inlineStr">
        <is>
          <t>Module burnt</t>
        </is>
      </c>
      <c r="K1804" s="8" t="inlineStr">
        <is>
          <t>Zura</t>
        </is>
      </c>
      <c r="L1804" s="39" t="inlineStr">
        <is>
          <t>Gujarat</t>
        </is>
      </c>
      <c r="M1804" s="2" t="inlineStr">
        <is>
          <t>Font glass broken with burn spot</t>
        </is>
      </c>
      <c r="N1804" s="6" t="inlineStr">
        <is>
          <t>Glass Breakage with Burn Spot</t>
        </is>
      </c>
      <c r="O1804" s="32" t="n">
        <v>590</v>
      </c>
      <c r="P1804" s="2" t="inlineStr">
        <is>
          <t>NSMI24100591610</t>
        </is>
      </c>
      <c r="Q1804" s="29">
        <f>MID(P1804,5,2)</f>
        <v/>
      </c>
      <c r="R1804" s="14">
        <f>MID(P1804,7,2)</f>
        <v/>
      </c>
      <c r="S1804" s="6" t="inlineStr">
        <is>
          <t>G2G</t>
        </is>
      </c>
      <c r="T1804" s="1" t="inlineStr">
        <is>
          <t>P4 - PEIPL</t>
        </is>
      </c>
      <c r="U1804" s="6" t="inlineStr">
        <is>
          <t>Glass Breakage with Burn Spot</t>
        </is>
      </c>
      <c r="V1804" s="1" t="inlineStr">
        <is>
          <t>Inspection</t>
        </is>
      </c>
      <c r="W1804" s="1" t="inlineStr">
        <is>
          <t>WIP</t>
        </is>
      </c>
      <c r="X1804" s="12" t="n"/>
      <c r="Y1804" s="1">
        <f>IF(X1804="","",X1804-A1804)</f>
        <v/>
      </c>
      <c r="Z1804" s="5" t="n">
        <v>46196</v>
      </c>
      <c r="AA1804" s="3" t="n"/>
      <c r="AB1804" s="3" t="n"/>
      <c r="AE1804" s="146">
        <f>IF(AND(F1804="Closed",X1804&gt;=DATE(2026,6,1),X1804&lt;=DATE(2026,6,30)),"Closed in June","other")</f>
        <v/>
      </c>
    </row>
    <row r="1805" hidden="1">
      <c r="A1805" s="49" t="n">
        <v>46177</v>
      </c>
      <c r="B1805" s="1" t="n">
        <v>2026</v>
      </c>
      <c r="C1805" s="8" t="inlineStr">
        <is>
          <t>Ayana</t>
        </is>
      </c>
      <c r="D1805" s="11" t="inlineStr">
        <is>
          <t>Utility and C&amp;I</t>
        </is>
      </c>
      <c r="E1805" s="1" t="n"/>
      <c r="F1805" s="1" t="inlineStr">
        <is>
          <t>WIP</t>
        </is>
      </c>
      <c r="G1805" s="11" t="inlineStr">
        <is>
          <t>Vasu.N</t>
        </is>
      </c>
      <c r="H1805" s="8" t="n">
        <v>9578099893</v>
      </c>
      <c r="I1805" s="10" t="inlineStr">
        <is>
          <t>PE04062601</t>
        </is>
      </c>
      <c r="J1805" s="28" t="inlineStr">
        <is>
          <t>Module burnt</t>
        </is>
      </c>
      <c r="K1805" s="8" t="inlineStr">
        <is>
          <t>Zura</t>
        </is>
      </c>
      <c r="L1805" s="39" t="inlineStr">
        <is>
          <t>Gujarat</t>
        </is>
      </c>
      <c r="M1805" s="2" t="inlineStr">
        <is>
          <t xml:space="preserve">Both glass broken with burn spot </t>
        </is>
      </c>
      <c r="N1805" s="6" t="inlineStr">
        <is>
          <t>Glass Breakage with Burn Spot</t>
        </is>
      </c>
      <c r="O1805" s="32" t="n">
        <v>590</v>
      </c>
      <c r="P1805" s="2" t="inlineStr">
        <is>
          <t>NSMI24110826791</t>
        </is>
      </c>
      <c r="Q1805" s="29">
        <f>MID(P1805,5,2)</f>
        <v/>
      </c>
      <c r="R1805" s="14">
        <f>MID(P1805,7,2)</f>
        <v/>
      </c>
      <c r="S1805" s="6" t="inlineStr">
        <is>
          <t>G2G</t>
        </is>
      </c>
      <c r="T1805" s="1" t="inlineStr">
        <is>
          <t>P4 - PEIPL</t>
        </is>
      </c>
      <c r="U1805" s="6" t="inlineStr">
        <is>
          <t>Glass Breakage with Burn Spot</t>
        </is>
      </c>
      <c r="V1805" s="1" t="inlineStr">
        <is>
          <t>Inspection</t>
        </is>
      </c>
      <c r="W1805" s="1" t="inlineStr">
        <is>
          <t>WIP</t>
        </is>
      </c>
      <c r="X1805" s="12" t="n"/>
      <c r="Y1805" s="1">
        <f>IF(X1805="","",X1805-A1805)</f>
        <v/>
      </c>
      <c r="Z1805" s="5" t="n">
        <v>46196</v>
      </c>
      <c r="AA1805" s="3" t="n"/>
      <c r="AB1805" s="3" t="n"/>
      <c r="AE1805" s="146">
        <f>IF(AND(F1805="Closed",X1805&gt;=DATE(2026,6,1),X1805&lt;=DATE(2026,6,30)),"Closed in June","other")</f>
        <v/>
      </c>
    </row>
    <row r="1806" hidden="1">
      <c r="A1806" s="49" t="n">
        <v>46177</v>
      </c>
      <c r="B1806" s="1" t="n">
        <v>2026</v>
      </c>
      <c r="C1806" s="8" t="inlineStr">
        <is>
          <t>Ayana</t>
        </is>
      </c>
      <c r="D1806" s="11" t="inlineStr">
        <is>
          <t>Utility and C&amp;I</t>
        </is>
      </c>
      <c r="E1806" s="1" t="n"/>
      <c r="F1806" s="1" t="inlineStr">
        <is>
          <t>WIP</t>
        </is>
      </c>
      <c r="G1806" s="11" t="inlineStr">
        <is>
          <t>Vasu.N</t>
        </is>
      </c>
      <c r="H1806" s="8" t="n">
        <v>9578099893</v>
      </c>
      <c r="I1806" s="10" t="inlineStr">
        <is>
          <t>PE04062601</t>
        </is>
      </c>
      <c r="J1806" s="28" t="inlineStr">
        <is>
          <t>Module burnt</t>
        </is>
      </c>
      <c r="K1806" s="8" t="inlineStr">
        <is>
          <t>Zura</t>
        </is>
      </c>
      <c r="L1806" s="39" t="inlineStr">
        <is>
          <t>Gujarat</t>
        </is>
      </c>
      <c r="M1806" s="2" t="inlineStr">
        <is>
          <t>Font glass broken with burn spot</t>
        </is>
      </c>
      <c r="N1806" s="6" t="inlineStr">
        <is>
          <t>Glass Breakage with Burn Spot</t>
        </is>
      </c>
      <c r="O1806" s="32" t="n">
        <v>590</v>
      </c>
      <c r="P1806" s="2" t="inlineStr">
        <is>
          <t>NSMI24110811816</t>
        </is>
      </c>
      <c r="Q1806" s="29">
        <f>MID(P1806,5,2)</f>
        <v/>
      </c>
      <c r="R1806" s="14">
        <f>MID(P1806,7,2)</f>
        <v/>
      </c>
      <c r="S1806" s="6" t="inlineStr">
        <is>
          <t>G2G</t>
        </is>
      </c>
      <c r="T1806" s="1" t="inlineStr">
        <is>
          <t>P4 - PEIPL</t>
        </is>
      </c>
      <c r="U1806" s="6" t="inlineStr">
        <is>
          <t>Glass Breakage with Burn Spot</t>
        </is>
      </c>
      <c r="V1806" s="1" t="inlineStr">
        <is>
          <t>Inspection</t>
        </is>
      </c>
      <c r="W1806" s="1" t="inlineStr">
        <is>
          <t>WIP</t>
        </is>
      </c>
      <c r="X1806" s="12" t="n"/>
      <c r="Y1806" s="1">
        <f>IF(X1806="","",X1806-A1806)</f>
        <v/>
      </c>
      <c r="Z1806" s="5" t="n">
        <v>46196</v>
      </c>
      <c r="AA1806" s="3" t="n"/>
      <c r="AB1806" s="3" t="n"/>
      <c r="AE1806" s="146">
        <f>IF(AND(F1806="Closed",X1806&gt;=DATE(2026,6,1),X1806&lt;=DATE(2026,6,30)),"Closed in June","other")</f>
        <v/>
      </c>
    </row>
    <row r="1807" hidden="1">
      <c r="A1807" s="49" t="n">
        <v>46177</v>
      </c>
      <c r="B1807" s="1" t="n">
        <v>2026</v>
      </c>
      <c r="C1807" s="8" t="inlineStr">
        <is>
          <t>Ayana</t>
        </is>
      </c>
      <c r="D1807" s="11" t="inlineStr">
        <is>
          <t>Utility and C&amp;I</t>
        </is>
      </c>
      <c r="E1807" s="1" t="n"/>
      <c r="F1807" s="1" t="inlineStr">
        <is>
          <t>WIP</t>
        </is>
      </c>
      <c r="G1807" s="11" t="inlineStr">
        <is>
          <t>Vasu.N</t>
        </is>
      </c>
      <c r="H1807" s="8" t="n">
        <v>9578099893</v>
      </c>
      <c r="I1807" s="10" t="inlineStr">
        <is>
          <t>PE04062601</t>
        </is>
      </c>
      <c r="J1807" s="28" t="inlineStr">
        <is>
          <t>Module burnt</t>
        </is>
      </c>
      <c r="K1807" s="8" t="inlineStr">
        <is>
          <t>Zura</t>
        </is>
      </c>
      <c r="L1807" s="39" t="inlineStr">
        <is>
          <t>Gujarat</t>
        </is>
      </c>
      <c r="M1807" s="2" t="inlineStr">
        <is>
          <t>Font glass broken with burn spot</t>
        </is>
      </c>
      <c r="N1807" s="6" t="inlineStr">
        <is>
          <t>Glass Breakage with Burn Spot</t>
        </is>
      </c>
      <c r="O1807" s="32" t="n">
        <v>590</v>
      </c>
      <c r="P1807" s="2" t="inlineStr">
        <is>
          <t>NSMI24110838084</t>
        </is>
      </c>
      <c r="Q1807" s="29">
        <f>MID(P1807,5,2)</f>
        <v/>
      </c>
      <c r="R1807" s="14">
        <f>MID(P1807,7,2)</f>
        <v/>
      </c>
      <c r="S1807" s="6" t="inlineStr">
        <is>
          <t>G2G</t>
        </is>
      </c>
      <c r="T1807" s="1" t="inlineStr">
        <is>
          <t>P4 - PEIPL</t>
        </is>
      </c>
      <c r="U1807" s="6" t="inlineStr">
        <is>
          <t>Glass Breakage with Burn Spot</t>
        </is>
      </c>
      <c r="V1807" s="1" t="inlineStr">
        <is>
          <t>Inspection</t>
        </is>
      </c>
      <c r="W1807" s="1" t="inlineStr">
        <is>
          <t>WIP</t>
        </is>
      </c>
      <c r="X1807" s="12" t="n"/>
      <c r="Y1807" s="1">
        <f>IF(X1807="","",X1807-A1807)</f>
        <v/>
      </c>
      <c r="Z1807" s="5" t="n">
        <v>46196</v>
      </c>
      <c r="AA1807" s="3" t="n"/>
      <c r="AB1807" s="3" t="n"/>
      <c r="AE1807" s="146">
        <f>IF(AND(F1807="Closed",X1807&gt;=DATE(2026,6,1),X1807&lt;=DATE(2026,6,30)),"Closed in June","other")</f>
        <v/>
      </c>
    </row>
    <row r="1808" hidden="1">
      <c r="A1808" s="49" t="n">
        <v>46177</v>
      </c>
      <c r="B1808" s="1" t="n">
        <v>2026</v>
      </c>
      <c r="C1808" s="8" t="inlineStr">
        <is>
          <t>Ayana</t>
        </is>
      </c>
      <c r="D1808" s="11" t="inlineStr">
        <is>
          <t>Utility and C&amp;I</t>
        </is>
      </c>
      <c r="E1808" s="1" t="n"/>
      <c r="F1808" s="1" t="inlineStr">
        <is>
          <t>WIP</t>
        </is>
      </c>
      <c r="G1808" s="11" t="inlineStr">
        <is>
          <t>Vasu.N</t>
        </is>
      </c>
      <c r="H1808" s="8" t="n">
        <v>9578099893</v>
      </c>
      <c r="I1808" s="10" t="inlineStr">
        <is>
          <t>PE04062601</t>
        </is>
      </c>
      <c r="J1808" s="28" t="inlineStr">
        <is>
          <t>Module burnt</t>
        </is>
      </c>
      <c r="K1808" s="8" t="inlineStr">
        <is>
          <t>Zura</t>
        </is>
      </c>
      <c r="L1808" s="39" t="inlineStr">
        <is>
          <t>Gujarat</t>
        </is>
      </c>
      <c r="M1808" s="2" t="inlineStr">
        <is>
          <t>Font glass broken with burn spot</t>
        </is>
      </c>
      <c r="N1808" s="6" t="inlineStr">
        <is>
          <t>Glass Breakage with Burn Spot</t>
        </is>
      </c>
      <c r="O1808" s="32" t="n">
        <v>590</v>
      </c>
      <c r="P1808" s="2" t="inlineStr">
        <is>
          <t>NSMI24110815225</t>
        </is>
      </c>
      <c r="Q1808" s="29">
        <f>MID(P1808,5,2)</f>
        <v/>
      </c>
      <c r="R1808" s="14">
        <f>MID(P1808,7,2)</f>
        <v/>
      </c>
      <c r="S1808" s="6" t="inlineStr">
        <is>
          <t>G2G</t>
        </is>
      </c>
      <c r="T1808" s="1" t="inlineStr">
        <is>
          <t>P4 - PEIPL</t>
        </is>
      </c>
      <c r="U1808" s="6" t="inlineStr">
        <is>
          <t>Glass Breakage with Burn Spot</t>
        </is>
      </c>
      <c r="V1808" s="1" t="inlineStr">
        <is>
          <t>Inspection</t>
        </is>
      </c>
      <c r="W1808" s="1" t="inlineStr">
        <is>
          <t>WIP</t>
        </is>
      </c>
      <c r="X1808" s="12" t="n"/>
      <c r="Y1808" s="1">
        <f>IF(X1808="","",X1808-A1808)</f>
        <v/>
      </c>
      <c r="Z1808" s="5" t="n">
        <v>46196</v>
      </c>
      <c r="AA1808" s="3" t="n"/>
      <c r="AB1808" s="3" t="n"/>
      <c r="AE1808" s="146">
        <f>IF(AND(F1808="Closed",X1808&gt;=DATE(2026,6,1),X1808&lt;=DATE(2026,6,30)),"Closed in June","other")</f>
        <v/>
      </c>
    </row>
    <row r="1809" hidden="1">
      <c r="A1809" s="49" t="n">
        <v>46177</v>
      </c>
      <c r="B1809" s="1" t="n">
        <v>2026</v>
      </c>
      <c r="C1809" s="8" t="inlineStr">
        <is>
          <t>Ayana</t>
        </is>
      </c>
      <c r="D1809" s="11" t="inlineStr">
        <is>
          <t>Utility and C&amp;I</t>
        </is>
      </c>
      <c r="E1809" s="1" t="n"/>
      <c r="F1809" s="1" t="inlineStr">
        <is>
          <t>WIP</t>
        </is>
      </c>
      <c r="G1809" s="11" t="inlineStr">
        <is>
          <t>Vasu.N</t>
        </is>
      </c>
      <c r="H1809" s="8" t="n">
        <v>9578099893</v>
      </c>
      <c r="I1809" s="10" t="inlineStr">
        <is>
          <t>PE04062601</t>
        </is>
      </c>
      <c r="J1809" s="28" t="inlineStr">
        <is>
          <t>Module burnt</t>
        </is>
      </c>
      <c r="K1809" s="8" t="inlineStr">
        <is>
          <t>Zura</t>
        </is>
      </c>
      <c r="L1809" s="39" t="inlineStr">
        <is>
          <t>Gujarat</t>
        </is>
      </c>
      <c r="M1809" s="2" t="inlineStr">
        <is>
          <t>Font glass broken with burn spot</t>
        </is>
      </c>
      <c r="N1809" s="6" t="inlineStr">
        <is>
          <t>Glass Breakage with Burn Spot</t>
        </is>
      </c>
      <c r="O1809" s="32" t="n">
        <v>590</v>
      </c>
      <c r="P1809" s="2" t="inlineStr">
        <is>
          <t>NSMI24110849805</t>
        </is>
      </c>
      <c r="Q1809" s="29">
        <f>MID(P1809,5,2)</f>
        <v/>
      </c>
      <c r="R1809" s="14">
        <f>MID(P1809,7,2)</f>
        <v/>
      </c>
      <c r="S1809" s="6" t="inlineStr">
        <is>
          <t>G2G</t>
        </is>
      </c>
      <c r="T1809" s="1" t="inlineStr">
        <is>
          <t>P4 - PEIPL</t>
        </is>
      </c>
      <c r="U1809" s="6" t="inlineStr">
        <is>
          <t>Glass Breakage with Burn Spot</t>
        </is>
      </c>
      <c r="V1809" s="1" t="inlineStr">
        <is>
          <t>Inspection</t>
        </is>
      </c>
      <c r="W1809" s="1" t="inlineStr">
        <is>
          <t>WIP</t>
        </is>
      </c>
      <c r="X1809" s="12" t="n"/>
      <c r="Y1809" s="1">
        <f>IF(X1809="","",X1809-A1809)</f>
        <v/>
      </c>
      <c r="Z1809" s="5" t="n">
        <v>46196</v>
      </c>
      <c r="AA1809" s="3" t="n"/>
      <c r="AB1809" s="3" t="n"/>
      <c r="AE1809" s="146">
        <f>IF(AND(F1809="Closed",X1809&gt;=DATE(2026,6,1),X1809&lt;=DATE(2026,6,30)),"Closed in June","other")</f>
        <v/>
      </c>
    </row>
    <row r="1810" hidden="1">
      <c r="A1810" s="49" t="n">
        <v>46177</v>
      </c>
      <c r="B1810" s="1" t="n">
        <v>2026</v>
      </c>
      <c r="C1810" s="8" t="inlineStr">
        <is>
          <t>Ayana</t>
        </is>
      </c>
      <c r="D1810" s="11" t="inlineStr">
        <is>
          <t>Utility and C&amp;I</t>
        </is>
      </c>
      <c r="E1810" s="1" t="n"/>
      <c r="F1810" s="1" t="inlineStr">
        <is>
          <t>WIP</t>
        </is>
      </c>
      <c r="G1810" s="11" t="inlineStr">
        <is>
          <t>Vasu.N</t>
        </is>
      </c>
      <c r="H1810" s="8" t="n">
        <v>9578099893</v>
      </c>
      <c r="I1810" s="10" t="inlineStr">
        <is>
          <t>PE04062601</t>
        </is>
      </c>
      <c r="J1810" s="28" t="inlineStr">
        <is>
          <t>Module burnt</t>
        </is>
      </c>
      <c r="K1810" s="8" t="inlineStr">
        <is>
          <t>Zura</t>
        </is>
      </c>
      <c r="L1810" s="39" t="inlineStr">
        <is>
          <t>Gujarat</t>
        </is>
      </c>
      <c r="M1810" s="2" t="inlineStr">
        <is>
          <t>Font glass broken with burn spot</t>
        </is>
      </c>
      <c r="N1810" s="6" t="inlineStr">
        <is>
          <t>Glass Breakage with Burn Spot</t>
        </is>
      </c>
      <c r="O1810" s="32" t="n">
        <v>590</v>
      </c>
      <c r="P1810" s="2" t="inlineStr">
        <is>
          <t>NSMI24110831319</t>
        </is>
      </c>
      <c r="Q1810" s="29">
        <f>MID(P1810,5,2)</f>
        <v/>
      </c>
      <c r="R1810" s="14">
        <f>MID(P1810,7,2)</f>
        <v/>
      </c>
      <c r="S1810" s="6" t="inlineStr">
        <is>
          <t>G2G</t>
        </is>
      </c>
      <c r="T1810" s="1" t="inlineStr">
        <is>
          <t>P4 - PEIPL</t>
        </is>
      </c>
      <c r="U1810" s="6" t="inlineStr">
        <is>
          <t>Glass Breakage with Burn Spot</t>
        </is>
      </c>
      <c r="V1810" s="1" t="inlineStr">
        <is>
          <t>Inspection</t>
        </is>
      </c>
      <c r="W1810" s="1" t="inlineStr">
        <is>
          <t>WIP</t>
        </is>
      </c>
      <c r="X1810" s="12" t="n"/>
      <c r="Y1810" s="1">
        <f>IF(X1810="","",X1810-A1810)</f>
        <v/>
      </c>
      <c r="Z1810" s="5" t="n">
        <v>46196</v>
      </c>
      <c r="AA1810" s="3" t="n"/>
      <c r="AB1810" s="3" t="n"/>
      <c r="AE1810" s="146">
        <f>IF(AND(F1810="Closed",X1810&gt;=DATE(2026,6,1),X1810&lt;=DATE(2026,6,30)),"Closed in June","other")</f>
        <v/>
      </c>
    </row>
    <row r="1811" hidden="1">
      <c r="A1811" s="49" t="n">
        <v>46177</v>
      </c>
      <c r="B1811" s="1" t="n">
        <v>2026</v>
      </c>
      <c r="C1811" s="8" t="inlineStr">
        <is>
          <t>Ayana</t>
        </is>
      </c>
      <c r="D1811" s="11" t="inlineStr">
        <is>
          <t>Utility and C&amp;I</t>
        </is>
      </c>
      <c r="E1811" s="1" t="n"/>
      <c r="F1811" s="1" t="inlineStr">
        <is>
          <t>WIP</t>
        </is>
      </c>
      <c r="G1811" s="11" t="inlineStr">
        <is>
          <t>Vasu.N</t>
        </is>
      </c>
      <c r="H1811" s="8" t="n">
        <v>9578099893</v>
      </c>
      <c r="I1811" s="10" t="inlineStr">
        <is>
          <t>PE04062601</t>
        </is>
      </c>
      <c r="J1811" s="28" t="inlineStr">
        <is>
          <t>Module burnt</t>
        </is>
      </c>
      <c r="K1811" s="8" t="inlineStr">
        <is>
          <t>Zura</t>
        </is>
      </c>
      <c r="L1811" s="39" t="inlineStr">
        <is>
          <t>Gujarat</t>
        </is>
      </c>
      <c r="M1811" s="2" t="inlineStr">
        <is>
          <t xml:space="preserve">Both glass broken with burn spot </t>
        </is>
      </c>
      <c r="N1811" s="6" t="inlineStr">
        <is>
          <t>Glass Breakage with Burn Spot</t>
        </is>
      </c>
      <c r="O1811" s="32" t="n">
        <v>590</v>
      </c>
      <c r="P1811" s="2" t="inlineStr">
        <is>
          <t>NSMI24110821204</t>
        </is>
      </c>
      <c r="Q1811" s="29">
        <f>MID(P1811,5,2)</f>
        <v/>
      </c>
      <c r="R1811" s="14">
        <f>MID(P1811,7,2)</f>
        <v/>
      </c>
      <c r="S1811" s="6" t="inlineStr">
        <is>
          <t>G2G</t>
        </is>
      </c>
      <c r="T1811" s="1" t="inlineStr">
        <is>
          <t>P4 - PEIPL</t>
        </is>
      </c>
      <c r="U1811" s="6" t="inlineStr">
        <is>
          <t>Glass Breakage with Burn Spot</t>
        </is>
      </c>
      <c r="V1811" s="1" t="inlineStr">
        <is>
          <t>Inspection</t>
        </is>
      </c>
      <c r="W1811" s="1" t="inlineStr">
        <is>
          <t>WIP</t>
        </is>
      </c>
      <c r="X1811" s="12" t="n"/>
      <c r="Y1811" s="1">
        <f>IF(X1811="","",X1811-A1811)</f>
        <v/>
      </c>
      <c r="Z1811" s="5" t="n">
        <v>46196</v>
      </c>
      <c r="AA1811" s="3" t="n"/>
      <c r="AB1811" s="3" t="n"/>
      <c r="AE1811" s="146">
        <f>IF(AND(F1811="Closed",X1811&gt;=DATE(2026,6,1),X1811&lt;=DATE(2026,6,30)),"Closed in June","other")</f>
        <v/>
      </c>
    </row>
    <row r="1812" hidden="1">
      <c r="A1812" s="49" t="n">
        <v>46177</v>
      </c>
      <c r="B1812" s="1" t="n">
        <v>2026</v>
      </c>
      <c r="C1812" s="8" t="inlineStr">
        <is>
          <t>Ayana</t>
        </is>
      </c>
      <c r="D1812" s="11" t="inlineStr">
        <is>
          <t>Utility and C&amp;I</t>
        </is>
      </c>
      <c r="E1812" s="1" t="n"/>
      <c r="F1812" s="1" t="inlineStr">
        <is>
          <t>WIP</t>
        </is>
      </c>
      <c r="G1812" s="11" t="inlineStr">
        <is>
          <t>Vasu.N</t>
        </is>
      </c>
      <c r="H1812" s="8" t="n">
        <v>9578099893</v>
      </c>
      <c r="I1812" s="10" t="inlineStr">
        <is>
          <t>PE04062601</t>
        </is>
      </c>
      <c r="J1812" s="28" t="inlineStr">
        <is>
          <t>Module burnt</t>
        </is>
      </c>
      <c r="K1812" s="8" t="inlineStr">
        <is>
          <t>Zura</t>
        </is>
      </c>
      <c r="L1812" s="39" t="inlineStr">
        <is>
          <t>Gujarat</t>
        </is>
      </c>
      <c r="M1812" s="2" t="inlineStr">
        <is>
          <t>Font glass broken with burn spot</t>
        </is>
      </c>
      <c r="N1812" s="6" t="inlineStr">
        <is>
          <t>Glass Breakage with Burn Spot</t>
        </is>
      </c>
      <c r="O1812" s="32" t="n">
        <v>590</v>
      </c>
      <c r="P1812" s="2" t="inlineStr">
        <is>
          <t>NSMI24100615934</t>
        </is>
      </c>
      <c r="Q1812" s="29">
        <f>MID(P1812,5,2)</f>
        <v/>
      </c>
      <c r="R1812" s="14">
        <f>MID(P1812,7,2)</f>
        <v/>
      </c>
      <c r="S1812" s="6" t="inlineStr">
        <is>
          <t>G2G</t>
        </is>
      </c>
      <c r="T1812" s="1" t="inlineStr">
        <is>
          <t>P4 - PEIPL</t>
        </is>
      </c>
      <c r="U1812" s="6" t="inlineStr">
        <is>
          <t>Glass Breakage with Burn Spot</t>
        </is>
      </c>
      <c r="V1812" s="1" t="inlineStr">
        <is>
          <t>Inspection</t>
        </is>
      </c>
      <c r="W1812" s="1" t="inlineStr">
        <is>
          <t>WIP</t>
        </is>
      </c>
      <c r="X1812" s="12" t="n"/>
      <c r="Y1812" s="1">
        <f>IF(X1812="","",X1812-A1812)</f>
        <v/>
      </c>
      <c r="Z1812" s="5" t="n">
        <v>46196</v>
      </c>
      <c r="AA1812" s="3" t="n"/>
      <c r="AB1812" s="3" t="n"/>
      <c r="AE1812" s="146">
        <f>IF(AND(F1812="Closed",X1812&gt;=DATE(2026,6,1),X1812&lt;=DATE(2026,6,30)),"Closed in June","other")</f>
        <v/>
      </c>
    </row>
    <row r="1813" hidden="1">
      <c r="A1813" s="49" t="n">
        <v>46177</v>
      </c>
      <c r="B1813" s="1" t="n">
        <v>2026</v>
      </c>
      <c r="C1813" s="8" t="inlineStr">
        <is>
          <t>Ayana</t>
        </is>
      </c>
      <c r="D1813" s="11" t="inlineStr">
        <is>
          <t>Utility and C&amp;I</t>
        </is>
      </c>
      <c r="E1813" s="1" t="n"/>
      <c r="F1813" s="1" t="inlineStr">
        <is>
          <t>WIP</t>
        </is>
      </c>
      <c r="G1813" s="11" t="inlineStr">
        <is>
          <t>Vasu.N</t>
        </is>
      </c>
      <c r="H1813" s="8" t="n">
        <v>9578099893</v>
      </c>
      <c r="I1813" s="10" t="inlineStr">
        <is>
          <t>PE04062601</t>
        </is>
      </c>
      <c r="J1813" s="28" t="inlineStr">
        <is>
          <t>Module burnt</t>
        </is>
      </c>
      <c r="K1813" s="8" t="inlineStr">
        <is>
          <t>Zura</t>
        </is>
      </c>
      <c r="L1813" s="39" t="inlineStr">
        <is>
          <t>Gujarat</t>
        </is>
      </c>
      <c r="M1813" s="2" t="inlineStr">
        <is>
          <t>Font glass broken with burn spot</t>
        </is>
      </c>
      <c r="N1813" s="6" t="inlineStr">
        <is>
          <t>Glass Breakage with Burn Spot</t>
        </is>
      </c>
      <c r="O1813" s="32" t="n">
        <v>590</v>
      </c>
      <c r="P1813" s="2" t="inlineStr">
        <is>
          <t>NSMI24100606153</t>
        </is>
      </c>
      <c r="Q1813" s="29">
        <f>MID(P1813,5,2)</f>
        <v/>
      </c>
      <c r="R1813" s="14">
        <f>MID(P1813,7,2)</f>
        <v/>
      </c>
      <c r="S1813" s="6" t="inlineStr">
        <is>
          <t>G2G</t>
        </is>
      </c>
      <c r="T1813" s="1" t="inlineStr">
        <is>
          <t>P4 - PEIPL</t>
        </is>
      </c>
      <c r="U1813" s="6" t="inlineStr">
        <is>
          <t>Glass Breakage with Burn Spot</t>
        </is>
      </c>
      <c r="V1813" s="1" t="inlineStr">
        <is>
          <t>Inspection</t>
        </is>
      </c>
      <c r="W1813" s="1" t="inlineStr">
        <is>
          <t>WIP</t>
        </is>
      </c>
      <c r="X1813" s="12" t="n"/>
      <c r="Y1813" s="1">
        <f>IF(X1813="","",X1813-A1813)</f>
        <v/>
      </c>
      <c r="Z1813" s="5" t="n">
        <v>46196</v>
      </c>
      <c r="AA1813" s="3" t="n"/>
      <c r="AB1813" s="3" t="n"/>
      <c r="AE1813" s="146">
        <f>IF(AND(F1813="Closed",X1813&gt;=DATE(2026,6,1),X1813&lt;=DATE(2026,6,30)),"Closed in June","other")</f>
        <v/>
      </c>
    </row>
    <row r="1814" hidden="1">
      <c r="A1814" s="49" t="n">
        <v>46177</v>
      </c>
      <c r="B1814" s="1" t="n">
        <v>2026</v>
      </c>
      <c r="C1814" s="8" t="inlineStr">
        <is>
          <t>Ayana</t>
        </is>
      </c>
      <c r="D1814" s="11" t="inlineStr">
        <is>
          <t>Utility and C&amp;I</t>
        </is>
      </c>
      <c r="E1814" s="1" t="n"/>
      <c r="F1814" s="1" t="inlineStr">
        <is>
          <t>WIP</t>
        </is>
      </c>
      <c r="G1814" s="11" t="inlineStr">
        <is>
          <t>Vasu.N</t>
        </is>
      </c>
      <c r="H1814" s="8" t="n">
        <v>9578099893</v>
      </c>
      <c r="I1814" s="10" t="inlineStr">
        <is>
          <t>PE04062601</t>
        </is>
      </c>
      <c r="J1814" s="28" t="inlineStr">
        <is>
          <t>Module burnt</t>
        </is>
      </c>
      <c r="K1814" s="8" t="inlineStr">
        <is>
          <t>Zura</t>
        </is>
      </c>
      <c r="L1814" s="39" t="inlineStr">
        <is>
          <t>Gujarat</t>
        </is>
      </c>
      <c r="M1814" s="2" t="inlineStr">
        <is>
          <t xml:space="preserve">Both glass broken with burn spot </t>
        </is>
      </c>
      <c r="N1814" s="6" t="inlineStr">
        <is>
          <t>Glass Breakage with Burn Spot</t>
        </is>
      </c>
      <c r="O1814" s="32" t="n">
        <v>590</v>
      </c>
      <c r="P1814" s="2" t="inlineStr">
        <is>
          <t>NSMI24100591203</t>
        </is>
      </c>
      <c r="Q1814" s="29">
        <f>MID(P1814,5,2)</f>
        <v/>
      </c>
      <c r="R1814" s="14">
        <f>MID(P1814,7,2)</f>
        <v/>
      </c>
      <c r="S1814" s="6" t="inlineStr">
        <is>
          <t>G2G</t>
        </is>
      </c>
      <c r="T1814" s="1" t="inlineStr">
        <is>
          <t>P4 - PEIPL</t>
        </is>
      </c>
      <c r="U1814" s="6" t="inlineStr">
        <is>
          <t>Glass Breakage with Burn Spot</t>
        </is>
      </c>
      <c r="V1814" s="1" t="inlineStr">
        <is>
          <t>Inspection</t>
        </is>
      </c>
      <c r="W1814" s="1" t="inlineStr">
        <is>
          <t>WIP</t>
        </is>
      </c>
      <c r="X1814" s="12" t="n"/>
      <c r="Y1814" s="1">
        <f>IF(X1814="","",X1814-A1814)</f>
        <v/>
      </c>
      <c r="Z1814" s="5" t="n">
        <v>46196</v>
      </c>
      <c r="AA1814" s="3" t="n"/>
      <c r="AB1814" s="3" t="n"/>
      <c r="AE1814" s="146">
        <f>IF(AND(F1814="Closed",X1814&gt;=DATE(2026,6,1),X1814&lt;=DATE(2026,6,30)),"Closed in June","other")</f>
        <v/>
      </c>
    </row>
    <row r="1815" hidden="1">
      <c r="A1815" s="49" t="n">
        <v>46177</v>
      </c>
      <c r="B1815" s="1" t="n">
        <v>2026</v>
      </c>
      <c r="C1815" s="8" t="inlineStr">
        <is>
          <t>Ayana</t>
        </is>
      </c>
      <c r="D1815" s="11" t="inlineStr">
        <is>
          <t>Utility and C&amp;I</t>
        </is>
      </c>
      <c r="E1815" s="1" t="n"/>
      <c r="F1815" s="1" t="inlineStr">
        <is>
          <t>WIP</t>
        </is>
      </c>
      <c r="G1815" s="11" t="inlineStr">
        <is>
          <t>Vasu.N</t>
        </is>
      </c>
      <c r="H1815" s="8" t="n">
        <v>9578099893</v>
      </c>
      <c r="I1815" s="10" t="inlineStr">
        <is>
          <t>PE04062601</t>
        </is>
      </c>
      <c r="J1815" s="28" t="inlineStr">
        <is>
          <t>Module burnt</t>
        </is>
      </c>
      <c r="K1815" s="8" t="inlineStr">
        <is>
          <t>Zura</t>
        </is>
      </c>
      <c r="L1815" s="39" t="inlineStr">
        <is>
          <t>Gujarat</t>
        </is>
      </c>
      <c r="M1815" s="2" t="inlineStr">
        <is>
          <t xml:space="preserve">Both glass broken with burn spot </t>
        </is>
      </c>
      <c r="N1815" s="6" t="inlineStr">
        <is>
          <t>Glass Breakage with Burn Spot</t>
        </is>
      </c>
      <c r="O1815" s="32" t="n">
        <v>590</v>
      </c>
      <c r="P1815" s="2" t="inlineStr">
        <is>
          <t>NSMI24110819561</t>
        </is>
      </c>
      <c r="Q1815" s="29">
        <f>MID(P1815,5,2)</f>
        <v/>
      </c>
      <c r="R1815" s="14">
        <f>MID(P1815,7,2)</f>
        <v/>
      </c>
      <c r="S1815" s="6" t="inlineStr">
        <is>
          <t>G2G</t>
        </is>
      </c>
      <c r="T1815" s="1" t="inlineStr">
        <is>
          <t>P4 - PEIPL</t>
        </is>
      </c>
      <c r="U1815" s="6" t="inlineStr">
        <is>
          <t>Glass Breakage with Burn Spot</t>
        </is>
      </c>
      <c r="V1815" s="1" t="inlineStr">
        <is>
          <t>Inspection</t>
        </is>
      </c>
      <c r="W1815" s="1" t="inlineStr">
        <is>
          <t>WIP</t>
        </is>
      </c>
      <c r="X1815" s="12" t="n"/>
      <c r="Y1815" s="1">
        <f>IF(X1815="","",X1815-A1815)</f>
        <v/>
      </c>
      <c r="Z1815" s="5" t="n">
        <v>46196</v>
      </c>
      <c r="AA1815" s="3" t="n"/>
      <c r="AB1815" s="3" t="n"/>
      <c r="AE1815" s="146">
        <f>IF(AND(F1815="Closed",X1815&gt;=DATE(2026,6,1),X1815&lt;=DATE(2026,6,30)),"Closed in June","other")</f>
        <v/>
      </c>
    </row>
    <row r="1816" hidden="1">
      <c r="A1816" s="49" t="n">
        <v>46177</v>
      </c>
      <c r="B1816" s="1" t="n">
        <v>2026</v>
      </c>
      <c r="C1816" s="8" t="inlineStr">
        <is>
          <t>Ayana</t>
        </is>
      </c>
      <c r="D1816" s="11" t="inlineStr">
        <is>
          <t>Utility and C&amp;I</t>
        </is>
      </c>
      <c r="E1816" s="1" t="n"/>
      <c r="F1816" s="1" t="inlineStr">
        <is>
          <t>WIP</t>
        </is>
      </c>
      <c r="G1816" s="11" t="inlineStr">
        <is>
          <t>Vasu.N</t>
        </is>
      </c>
      <c r="H1816" s="8" t="n">
        <v>9578099893</v>
      </c>
      <c r="I1816" s="10" t="inlineStr">
        <is>
          <t>PE04062601</t>
        </is>
      </c>
      <c r="J1816" s="28" t="inlineStr">
        <is>
          <t>Module burnt</t>
        </is>
      </c>
      <c r="K1816" s="8" t="inlineStr">
        <is>
          <t>Zura</t>
        </is>
      </c>
      <c r="L1816" s="39" t="inlineStr">
        <is>
          <t>Gujarat</t>
        </is>
      </c>
      <c r="M1816" s="2" t="inlineStr">
        <is>
          <t xml:space="preserve">Both glass broken with burn spot </t>
        </is>
      </c>
      <c r="N1816" s="6" t="inlineStr">
        <is>
          <t>Glass Breakage with Burn Spot</t>
        </is>
      </c>
      <c r="O1816" s="32" t="n">
        <v>590</v>
      </c>
      <c r="P1816" s="2" t="inlineStr">
        <is>
          <t>NSMI24100629397</t>
        </is>
      </c>
      <c r="Q1816" s="29">
        <f>MID(P1816,5,2)</f>
        <v/>
      </c>
      <c r="R1816" s="14">
        <f>MID(P1816,7,2)</f>
        <v/>
      </c>
      <c r="S1816" s="6" t="inlineStr">
        <is>
          <t>G2G</t>
        </is>
      </c>
      <c r="T1816" s="1" t="inlineStr">
        <is>
          <t>P4 - PEIPL</t>
        </is>
      </c>
      <c r="U1816" s="6" t="inlineStr">
        <is>
          <t>Glass Breakage with Burn Spot</t>
        </is>
      </c>
      <c r="V1816" s="1" t="inlineStr">
        <is>
          <t>Inspection</t>
        </is>
      </c>
      <c r="W1816" s="1" t="inlineStr">
        <is>
          <t>WIP</t>
        </is>
      </c>
      <c r="X1816" s="12" t="n"/>
      <c r="Y1816" s="1">
        <f>IF(X1816="","",X1816-A1816)</f>
        <v/>
      </c>
      <c r="Z1816" s="5" t="n">
        <v>46196</v>
      </c>
      <c r="AA1816" s="3" t="n"/>
      <c r="AB1816" s="3" t="n"/>
      <c r="AE1816" s="146">
        <f>IF(AND(F1816="Closed",X1816&gt;=DATE(2026,6,1),X1816&lt;=DATE(2026,6,30)),"Closed in June","other")</f>
        <v/>
      </c>
    </row>
    <row r="1817" hidden="1">
      <c r="A1817" s="49" t="n">
        <v>46177</v>
      </c>
      <c r="B1817" s="1" t="n">
        <v>2026</v>
      </c>
      <c r="C1817" s="8" t="inlineStr">
        <is>
          <t>Ayana</t>
        </is>
      </c>
      <c r="D1817" s="11" t="inlineStr">
        <is>
          <t>Utility and C&amp;I</t>
        </is>
      </c>
      <c r="E1817" s="1" t="n"/>
      <c r="F1817" s="1" t="inlineStr">
        <is>
          <t>WIP</t>
        </is>
      </c>
      <c r="G1817" s="11" t="inlineStr">
        <is>
          <t>Vasu.N</t>
        </is>
      </c>
      <c r="H1817" s="8" t="n">
        <v>9578099893</v>
      </c>
      <c r="I1817" s="10" t="inlineStr">
        <is>
          <t>PE04062601</t>
        </is>
      </c>
      <c r="J1817" s="28" t="inlineStr">
        <is>
          <t>Module burnt</t>
        </is>
      </c>
      <c r="K1817" s="8" t="inlineStr">
        <is>
          <t>Zura</t>
        </is>
      </c>
      <c r="L1817" s="39" t="inlineStr">
        <is>
          <t>Gujarat</t>
        </is>
      </c>
      <c r="M1817" s="2" t="inlineStr">
        <is>
          <t xml:space="preserve">Both glass broken with burn spot </t>
        </is>
      </c>
      <c r="N1817" s="6" t="inlineStr">
        <is>
          <t>Glass Breakage with Burn Spot</t>
        </is>
      </c>
      <c r="O1817" s="32" t="n">
        <v>590</v>
      </c>
      <c r="P1817" s="2" t="inlineStr">
        <is>
          <t>NSMI24110821341</t>
        </is>
      </c>
      <c r="Q1817" s="29">
        <f>MID(P1817,5,2)</f>
        <v/>
      </c>
      <c r="R1817" s="14">
        <f>MID(P1817,7,2)</f>
        <v/>
      </c>
      <c r="S1817" s="6" t="inlineStr">
        <is>
          <t>G2G</t>
        </is>
      </c>
      <c r="T1817" s="1" t="inlineStr">
        <is>
          <t>P4 - PEIPL</t>
        </is>
      </c>
      <c r="U1817" s="6" t="inlineStr">
        <is>
          <t>Glass Breakage with Burn Spot</t>
        </is>
      </c>
      <c r="V1817" s="1" t="inlineStr">
        <is>
          <t>Inspection</t>
        </is>
      </c>
      <c r="W1817" s="1" t="inlineStr">
        <is>
          <t>WIP</t>
        </is>
      </c>
      <c r="X1817" s="12" t="n"/>
      <c r="Y1817" s="1">
        <f>IF(X1817="","",X1817-A1817)</f>
        <v/>
      </c>
      <c r="Z1817" s="5" t="n">
        <v>46196</v>
      </c>
      <c r="AA1817" s="3" t="n"/>
      <c r="AB1817" s="3" t="n"/>
      <c r="AE1817" s="146">
        <f>IF(AND(F1817="Closed",X1817&gt;=DATE(2026,6,1),X1817&lt;=DATE(2026,6,30)),"Closed in June","other")</f>
        <v/>
      </c>
    </row>
    <row r="1818" hidden="1">
      <c r="A1818" s="49" t="n">
        <v>46177</v>
      </c>
      <c r="B1818" s="1" t="n">
        <v>2026</v>
      </c>
      <c r="C1818" s="8" t="inlineStr">
        <is>
          <t>Ayana</t>
        </is>
      </c>
      <c r="D1818" s="11" t="inlineStr">
        <is>
          <t>Utility and C&amp;I</t>
        </is>
      </c>
      <c r="E1818" s="1" t="n"/>
      <c r="F1818" s="1" t="inlineStr">
        <is>
          <t>WIP</t>
        </is>
      </c>
      <c r="G1818" s="11" t="inlineStr">
        <is>
          <t>Vasu.N</t>
        </is>
      </c>
      <c r="H1818" s="8" t="n">
        <v>9578099893</v>
      </c>
      <c r="I1818" s="10" t="inlineStr">
        <is>
          <t>PE04062601</t>
        </is>
      </c>
      <c r="J1818" s="28" t="inlineStr">
        <is>
          <t>Module burnt</t>
        </is>
      </c>
      <c r="K1818" s="8" t="inlineStr">
        <is>
          <t>Zura</t>
        </is>
      </c>
      <c r="L1818" s="39" t="inlineStr">
        <is>
          <t>Gujarat</t>
        </is>
      </c>
      <c r="M1818" s="2" t="inlineStr">
        <is>
          <t xml:space="preserve">Both glass broken with burn spot </t>
        </is>
      </c>
      <c r="N1818" s="6" t="inlineStr">
        <is>
          <t>Glass Breakage with Burn Spot</t>
        </is>
      </c>
      <c r="O1818" s="32" t="n">
        <v>590</v>
      </c>
      <c r="P1818" s="2" t="inlineStr">
        <is>
          <t>NSMI24110853786</t>
        </is>
      </c>
      <c r="Q1818" s="29">
        <f>MID(P1818,5,2)</f>
        <v/>
      </c>
      <c r="R1818" s="14">
        <f>MID(P1818,7,2)</f>
        <v/>
      </c>
      <c r="S1818" s="6" t="inlineStr">
        <is>
          <t>G2G</t>
        </is>
      </c>
      <c r="T1818" s="1" t="inlineStr">
        <is>
          <t>P4 - PEIPL</t>
        </is>
      </c>
      <c r="U1818" s="6" t="inlineStr">
        <is>
          <t>Glass Breakage with Burn Spot</t>
        </is>
      </c>
      <c r="V1818" s="1" t="inlineStr">
        <is>
          <t>Inspection</t>
        </is>
      </c>
      <c r="W1818" s="1" t="inlineStr">
        <is>
          <t>WIP</t>
        </is>
      </c>
      <c r="X1818" s="12" t="n"/>
      <c r="Y1818" s="1">
        <f>IF(X1818="","",X1818-A1818)</f>
        <v/>
      </c>
      <c r="Z1818" s="5" t="n">
        <v>46196</v>
      </c>
      <c r="AA1818" s="3" t="n"/>
      <c r="AB1818" s="3" t="n"/>
      <c r="AE1818" s="146">
        <f>IF(AND(F1818="Closed",X1818&gt;=DATE(2026,6,1),X1818&lt;=DATE(2026,6,30)),"Closed in June","other")</f>
        <v/>
      </c>
    </row>
    <row r="1819" hidden="1">
      <c r="A1819" s="49" t="n">
        <v>46177</v>
      </c>
      <c r="B1819" s="1" t="n">
        <v>2026</v>
      </c>
      <c r="C1819" s="8" t="inlineStr">
        <is>
          <t>Ayana</t>
        </is>
      </c>
      <c r="D1819" s="11" t="inlineStr">
        <is>
          <t>Utility and C&amp;I</t>
        </is>
      </c>
      <c r="E1819" s="1" t="n"/>
      <c r="F1819" s="1" t="inlineStr">
        <is>
          <t>WIP</t>
        </is>
      </c>
      <c r="G1819" s="11" t="inlineStr">
        <is>
          <t>Vasu.N</t>
        </is>
      </c>
      <c r="H1819" s="8" t="n">
        <v>9578099893</v>
      </c>
      <c r="I1819" s="10" t="inlineStr">
        <is>
          <t>PE04062601</t>
        </is>
      </c>
      <c r="J1819" s="28" t="inlineStr">
        <is>
          <t>Module burnt</t>
        </is>
      </c>
      <c r="K1819" s="8" t="inlineStr">
        <is>
          <t>Zura</t>
        </is>
      </c>
      <c r="L1819" s="39" t="inlineStr">
        <is>
          <t>Gujarat</t>
        </is>
      </c>
      <c r="M1819" s="2" t="inlineStr">
        <is>
          <t xml:space="preserve">Both glass broken with burn spot </t>
        </is>
      </c>
      <c r="N1819" s="6" t="inlineStr">
        <is>
          <t>Glass Breakage with Burn Spot</t>
        </is>
      </c>
      <c r="O1819" s="32" t="n">
        <v>590</v>
      </c>
      <c r="P1819" s="2" t="inlineStr">
        <is>
          <t>NSMI24110836980</t>
        </is>
      </c>
      <c r="Q1819" s="29">
        <f>MID(P1819,5,2)</f>
        <v/>
      </c>
      <c r="R1819" s="14">
        <f>MID(P1819,7,2)</f>
        <v/>
      </c>
      <c r="S1819" s="6" t="inlineStr">
        <is>
          <t>G2G</t>
        </is>
      </c>
      <c r="T1819" s="1" t="inlineStr">
        <is>
          <t>P4 - PEIPL</t>
        </is>
      </c>
      <c r="U1819" s="6" t="inlineStr">
        <is>
          <t>Glass Breakage with Burn Spot</t>
        </is>
      </c>
      <c r="V1819" s="1" t="inlineStr">
        <is>
          <t>Inspection</t>
        </is>
      </c>
      <c r="W1819" s="1" t="inlineStr">
        <is>
          <t>WIP</t>
        </is>
      </c>
      <c r="X1819" s="12" t="n"/>
      <c r="Y1819" s="1">
        <f>IF(X1819="","",X1819-A1819)</f>
        <v/>
      </c>
      <c r="Z1819" s="5" t="n">
        <v>46196</v>
      </c>
      <c r="AA1819" s="3" t="n"/>
      <c r="AB1819" s="3" t="n"/>
      <c r="AE1819" s="146">
        <f>IF(AND(F1819="Closed",X1819&gt;=DATE(2026,6,1),X1819&lt;=DATE(2026,6,30)),"Closed in June","other")</f>
        <v/>
      </c>
    </row>
    <row r="1820" hidden="1">
      <c r="A1820" s="49" t="n">
        <v>46177</v>
      </c>
      <c r="B1820" s="1" t="n">
        <v>2026</v>
      </c>
      <c r="C1820" s="8" t="inlineStr">
        <is>
          <t>Ayana</t>
        </is>
      </c>
      <c r="D1820" s="11" t="inlineStr">
        <is>
          <t>Utility and C&amp;I</t>
        </is>
      </c>
      <c r="E1820" s="1" t="n"/>
      <c r="F1820" s="1" t="inlineStr">
        <is>
          <t>WIP</t>
        </is>
      </c>
      <c r="G1820" s="11" t="inlineStr">
        <is>
          <t>Vasu.N</t>
        </is>
      </c>
      <c r="H1820" s="8" t="n">
        <v>9578099893</v>
      </c>
      <c r="I1820" s="10" t="inlineStr">
        <is>
          <t>PE04062601</t>
        </is>
      </c>
      <c r="J1820" s="28" t="inlineStr">
        <is>
          <t>Module burnt</t>
        </is>
      </c>
      <c r="K1820" s="8" t="inlineStr">
        <is>
          <t>Zura</t>
        </is>
      </c>
      <c r="L1820" s="39" t="inlineStr">
        <is>
          <t>Gujarat</t>
        </is>
      </c>
      <c r="M1820" s="2" t="inlineStr">
        <is>
          <t>Font glass broken with burn spot</t>
        </is>
      </c>
      <c r="N1820" s="6" t="inlineStr">
        <is>
          <t>Glass Breakage with Burn Spot</t>
        </is>
      </c>
      <c r="O1820" s="32" t="n">
        <v>590</v>
      </c>
      <c r="P1820" s="2" t="inlineStr">
        <is>
          <t>NSMI24100635589</t>
        </is>
      </c>
      <c r="Q1820" s="29">
        <f>MID(P1820,5,2)</f>
        <v/>
      </c>
      <c r="R1820" s="14">
        <f>MID(P1820,7,2)</f>
        <v/>
      </c>
      <c r="S1820" s="6" t="inlineStr">
        <is>
          <t>G2G</t>
        </is>
      </c>
      <c r="T1820" s="1" t="inlineStr">
        <is>
          <t>P4 - PEIPL</t>
        </is>
      </c>
      <c r="U1820" s="6" t="inlineStr">
        <is>
          <t>Glass Breakage with Burn Spot</t>
        </is>
      </c>
      <c r="V1820" s="1" t="inlineStr">
        <is>
          <t>Inspection</t>
        </is>
      </c>
      <c r="W1820" s="1" t="inlineStr">
        <is>
          <t>WIP</t>
        </is>
      </c>
      <c r="X1820" s="12" t="n"/>
      <c r="Y1820" s="1">
        <f>IF(X1820="","",X1820-A1820)</f>
        <v/>
      </c>
      <c r="Z1820" s="5" t="n">
        <v>46196</v>
      </c>
      <c r="AA1820" s="3" t="n"/>
      <c r="AB1820" s="3" t="n"/>
      <c r="AE1820" s="146">
        <f>IF(AND(F1820="Closed",X1820&gt;=DATE(2026,6,1),X1820&lt;=DATE(2026,6,30)),"Closed in June","other")</f>
        <v/>
      </c>
    </row>
    <row r="1821" hidden="1">
      <c r="A1821" s="49" t="n">
        <v>46177</v>
      </c>
      <c r="B1821" s="1" t="n">
        <v>2026</v>
      </c>
      <c r="C1821" s="8" t="inlineStr">
        <is>
          <t>Ayana</t>
        </is>
      </c>
      <c r="D1821" s="11" t="inlineStr">
        <is>
          <t>Utility and C&amp;I</t>
        </is>
      </c>
      <c r="E1821" s="1" t="n"/>
      <c r="F1821" s="1" t="inlineStr">
        <is>
          <t>WIP</t>
        </is>
      </c>
      <c r="G1821" s="11" t="inlineStr">
        <is>
          <t>Vasu.N</t>
        </is>
      </c>
      <c r="H1821" s="8" t="n">
        <v>9578099893</v>
      </c>
      <c r="I1821" s="10" t="inlineStr">
        <is>
          <t>PE04062601</t>
        </is>
      </c>
      <c r="J1821" s="28" t="inlineStr">
        <is>
          <t>Module burnt</t>
        </is>
      </c>
      <c r="K1821" s="8" t="inlineStr">
        <is>
          <t>Zura</t>
        </is>
      </c>
      <c r="L1821" s="39" t="inlineStr">
        <is>
          <t>Gujarat</t>
        </is>
      </c>
      <c r="M1821" s="2" t="inlineStr">
        <is>
          <t>Font glass broken with burn spot</t>
        </is>
      </c>
      <c r="N1821" s="6" t="inlineStr">
        <is>
          <t>Glass Breakage with Burn Spot</t>
        </is>
      </c>
      <c r="O1821" s="32" t="n">
        <v>590</v>
      </c>
      <c r="P1821" s="2" t="inlineStr">
        <is>
          <t>NSMI24110831738</t>
        </is>
      </c>
      <c r="Q1821" s="29">
        <f>MID(P1821,5,2)</f>
        <v/>
      </c>
      <c r="R1821" s="14">
        <f>MID(P1821,7,2)</f>
        <v/>
      </c>
      <c r="S1821" s="6" t="inlineStr">
        <is>
          <t>G2G</t>
        </is>
      </c>
      <c r="T1821" s="1" t="inlineStr">
        <is>
          <t>P4 - PEIPL</t>
        </is>
      </c>
      <c r="U1821" s="6" t="inlineStr">
        <is>
          <t>Glass Breakage with Burn Spot</t>
        </is>
      </c>
      <c r="V1821" s="1" t="inlineStr">
        <is>
          <t>Inspection</t>
        </is>
      </c>
      <c r="W1821" s="1" t="inlineStr">
        <is>
          <t>WIP</t>
        </is>
      </c>
      <c r="X1821" s="12" t="n"/>
      <c r="Y1821" s="1">
        <f>IF(X1821="","",X1821-A1821)</f>
        <v/>
      </c>
      <c r="Z1821" s="5" t="n">
        <v>46196</v>
      </c>
      <c r="AA1821" s="3" t="n"/>
      <c r="AB1821" s="3" t="n"/>
      <c r="AE1821" s="146">
        <f>IF(AND(F1821="Closed",X1821&gt;=DATE(2026,6,1),X1821&lt;=DATE(2026,6,30)),"Closed in June","other")</f>
        <v/>
      </c>
    </row>
    <row r="1822" hidden="1">
      <c r="A1822" s="49" t="n">
        <v>46177</v>
      </c>
      <c r="B1822" s="1" t="n">
        <v>2026</v>
      </c>
      <c r="C1822" s="8" t="inlineStr">
        <is>
          <t>Ayana</t>
        </is>
      </c>
      <c r="D1822" s="11" t="inlineStr">
        <is>
          <t>Utility and C&amp;I</t>
        </is>
      </c>
      <c r="E1822" s="1" t="n"/>
      <c r="F1822" s="1" t="inlineStr">
        <is>
          <t>WIP</t>
        </is>
      </c>
      <c r="G1822" s="11" t="inlineStr">
        <is>
          <t>Vasu.N</t>
        </is>
      </c>
      <c r="H1822" s="8" t="n">
        <v>9578099893</v>
      </c>
      <c r="I1822" s="10" t="inlineStr">
        <is>
          <t>PE04062601</t>
        </is>
      </c>
      <c r="J1822" s="28" t="inlineStr">
        <is>
          <t>Module burnt</t>
        </is>
      </c>
      <c r="K1822" s="8" t="inlineStr">
        <is>
          <t>Zura</t>
        </is>
      </c>
      <c r="L1822" s="39" t="inlineStr">
        <is>
          <t>Gujarat</t>
        </is>
      </c>
      <c r="M1822" s="2" t="inlineStr">
        <is>
          <t>Font glass broken with burn spot</t>
        </is>
      </c>
      <c r="N1822" s="6" t="inlineStr">
        <is>
          <t>Glass Breakage with Burn Spot</t>
        </is>
      </c>
      <c r="O1822" s="32" t="n">
        <v>590</v>
      </c>
      <c r="P1822" s="2" t="inlineStr">
        <is>
          <t>NSMI24100590367</t>
        </is>
      </c>
      <c r="Q1822" s="29">
        <f>MID(P1822,5,2)</f>
        <v/>
      </c>
      <c r="R1822" s="14">
        <f>MID(P1822,7,2)</f>
        <v/>
      </c>
      <c r="S1822" s="6" t="inlineStr">
        <is>
          <t>G2G</t>
        </is>
      </c>
      <c r="T1822" s="1" t="inlineStr">
        <is>
          <t>P4 - PEIPL</t>
        </is>
      </c>
      <c r="U1822" s="6" t="inlineStr">
        <is>
          <t>Glass Breakage with Burn Spot</t>
        </is>
      </c>
      <c r="V1822" s="1" t="inlineStr">
        <is>
          <t>Inspection</t>
        </is>
      </c>
      <c r="W1822" s="1" t="inlineStr">
        <is>
          <t>WIP</t>
        </is>
      </c>
      <c r="X1822" s="12" t="n"/>
      <c r="Y1822" s="1">
        <f>IF(X1822="","",X1822-A1822)</f>
        <v/>
      </c>
      <c r="Z1822" s="5" t="n">
        <v>46196</v>
      </c>
      <c r="AA1822" s="3" t="n"/>
      <c r="AB1822" s="3" t="n"/>
      <c r="AE1822" s="146">
        <f>IF(AND(F1822="Closed",X1822&gt;=DATE(2026,6,1),X1822&lt;=DATE(2026,6,30)),"Closed in June","other")</f>
        <v/>
      </c>
    </row>
    <row r="1823" hidden="1">
      <c r="A1823" s="49" t="n">
        <v>46177</v>
      </c>
      <c r="B1823" s="1" t="n">
        <v>2026</v>
      </c>
      <c r="C1823" s="8" t="inlineStr">
        <is>
          <t>Ayana</t>
        </is>
      </c>
      <c r="D1823" s="11" t="inlineStr">
        <is>
          <t>Utility and C&amp;I</t>
        </is>
      </c>
      <c r="E1823" s="1" t="n"/>
      <c r="F1823" s="1" t="inlineStr">
        <is>
          <t>WIP</t>
        </is>
      </c>
      <c r="G1823" s="11" t="inlineStr">
        <is>
          <t>Vasu.N</t>
        </is>
      </c>
      <c r="H1823" s="8" t="n">
        <v>9578099893</v>
      </c>
      <c r="I1823" s="10" t="inlineStr">
        <is>
          <t>PE04062601</t>
        </is>
      </c>
      <c r="J1823" s="28" t="inlineStr">
        <is>
          <t>Module burnt</t>
        </is>
      </c>
      <c r="K1823" s="8" t="inlineStr">
        <is>
          <t>Zura</t>
        </is>
      </c>
      <c r="L1823" s="39" t="inlineStr">
        <is>
          <t>Gujarat</t>
        </is>
      </c>
      <c r="M1823" s="2" t="inlineStr">
        <is>
          <t>Font glass broken with burn spot</t>
        </is>
      </c>
      <c r="N1823" s="6" t="inlineStr">
        <is>
          <t>Glass Breakage with Burn Spot</t>
        </is>
      </c>
      <c r="O1823" s="32" t="n">
        <v>590</v>
      </c>
      <c r="P1823" s="2" t="inlineStr">
        <is>
          <t>NSMI24090538840</t>
        </is>
      </c>
      <c r="Q1823" s="29">
        <f>MID(P1823,5,2)</f>
        <v/>
      </c>
      <c r="R1823" s="14">
        <f>MID(P1823,7,2)</f>
        <v/>
      </c>
      <c r="S1823" s="6" t="inlineStr">
        <is>
          <t>G2G</t>
        </is>
      </c>
      <c r="T1823" s="1" t="inlineStr">
        <is>
          <t>P4 - PEIPL</t>
        </is>
      </c>
      <c r="U1823" s="6" t="inlineStr">
        <is>
          <t>Glass Breakage with Burn Spot</t>
        </is>
      </c>
      <c r="V1823" s="1" t="inlineStr">
        <is>
          <t>Inspection</t>
        </is>
      </c>
      <c r="W1823" s="1" t="inlineStr">
        <is>
          <t>WIP</t>
        </is>
      </c>
      <c r="X1823" s="12" t="n"/>
      <c r="Y1823" s="1">
        <f>IF(X1823="","",X1823-A1823)</f>
        <v/>
      </c>
      <c r="Z1823" s="5" t="n">
        <v>46196</v>
      </c>
      <c r="AA1823" s="3" t="n"/>
      <c r="AB1823" s="3" t="n"/>
      <c r="AE1823" s="146">
        <f>IF(AND(F1823="Closed",X1823&gt;=DATE(2026,6,1),X1823&lt;=DATE(2026,6,30)),"Closed in June","other")</f>
        <v/>
      </c>
    </row>
    <row r="1824" hidden="1">
      <c r="A1824" s="49" t="n">
        <v>46177</v>
      </c>
      <c r="B1824" s="1" t="n">
        <v>2026</v>
      </c>
      <c r="C1824" s="8" t="inlineStr">
        <is>
          <t>Ayana</t>
        </is>
      </c>
      <c r="D1824" s="11" t="inlineStr">
        <is>
          <t>Utility and C&amp;I</t>
        </is>
      </c>
      <c r="E1824" s="1" t="n"/>
      <c r="F1824" s="1" t="inlineStr">
        <is>
          <t>WIP</t>
        </is>
      </c>
      <c r="G1824" s="11" t="inlineStr">
        <is>
          <t>Vasu.N</t>
        </is>
      </c>
      <c r="H1824" s="8" t="n">
        <v>9578099893</v>
      </c>
      <c r="I1824" s="10" t="inlineStr">
        <is>
          <t>PE04062601</t>
        </is>
      </c>
      <c r="J1824" s="28" t="inlineStr">
        <is>
          <t>Module burnt</t>
        </is>
      </c>
      <c r="K1824" s="8" t="inlineStr">
        <is>
          <t>Zura</t>
        </is>
      </c>
      <c r="L1824" s="39" t="inlineStr">
        <is>
          <t>Gujarat</t>
        </is>
      </c>
      <c r="M1824" s="2" t="inlineStr">
        <is>
          <t>Font glass broken with burn spot</t>
        </is>
      </c>
      <c r="N1824" s="6" t="inlineStr">
        <is>
          <t>Glass Breakage with Burn Spot</t>
        </is>
      </c>
      <c r="O1824" s="32" t="n">
        <v>590</v>
      </c>
      <c r="P1824" s="2" t="inlineStr">
        <is>
          <t>NSMI24100643009</t>
        </is>
      </c>
      <c r="Q1824" s="29">
        <f>MID(P1824,5,2)</f>
        <v/>
      </c>
      <c r="R1824" s="14">
        <f>MID(P1824,7,2)</f>
        <v/>
      </c>
      <c r="S1824" s="6" t="inlineStr">
        <is>
          <t>G2G</t>
        </is>
      </c>
      <c r="T1824" s="1" t="inlineStr">
        <is>
          <t>P4 - PEIPL</t>
        </is>
      </c>
      <c r="U1824" s="6" t="inlineStr">
        <is>
          <t>Glass Breakage with Burn Spot</t>
        </is>
      </c>
      <c r="V1824" s="1" t="inlineStr">
        <is>
          <t>Inspection</t>
        </is>
      </c>
      <c r="W1824" s="1" t="inlineStr">
        <is>
          <t>WIP</t>
        </is>
      </c>
      <c r="X1824" s="12" t="n"/>
      <c r="Y1824" s="1">
        <f>IF(X1824="","",X1824-A1824)</f>
        <v/>
      </c>
      <c r="Z1824" s="5" t="n">
        <v>46196</v>
      </c>
      <c r="AA1824" s="3" t="n"/>
      <c r="AB1824" s="3" t="n"/>
      <c r="AE1824" s="146">
        <f>IF(AND(F1824="Closed",X1824&gt;=DATE(2026,6,1),X1824&lt;=DATE(2026,6,30)),"Closed in June","other")</f>
        <v/>
      </c>
    </row>
    <row r="1825" hidden="1">
      <c r="A1825" s="49" t="n">
        <v>46177</v>
      </c>
      <c r="B1825" s="1" t="n">
        <v>2026</v>
      </c>
      <c r="C1825" s="8" t="inlineStr">
        <is>
          <t>Ayana</t>
        </is>
      </c>
      <c r="D1825" s="11" t="inlineStr">
        <is>
          <t>Utility and C&amp;I</t>
        </is>
      </c>
      <c r="E1825" s="1" t="n"/>
      <c r="F1825" s="1" t="inlineStr">
        <is>
          <t>WIP</t>
        </is>
      </c>
      <c r="G1825" s="11" t="inlineStr">
        <is>
          <t>Vasu.N</t>
        </is>
      </c>
      <c r="H1825" s="8" t="n">
        <v>9578099893</v>
      </c>
      <c r="I1825" s="10" t="inlineStr">
        <is>
          <t>PE04062601</t>
        </is>
      </c>
      <c r="J1825" s="28" t="inlineStr">
        <is>
          <t>Module burnt</t>
        </is>
      </c>
      <c r="K1825" s="8" t="inlineStr">
        <is>
          <t>Zura</t>
        </is>
      </c>
      <c r="L1825" s="39" t="inlineStr">
        <is>
          <t>Gujarat</t>
        </is>
      </c>
      <c r="M1825" s="2" t="inlineStr">
        <is>
          <t>Font glass broken with burn spot</t>
        </is>
      </c>
      <c r="N1825" s="6" t="inlineStr">
        <is>
          <t>Glass Breakage with Burn Spot</t>
        </is>
      </c>
      <c r="O1825" s="32" t="n">
        <v>590</v>
      </c>
      <c r="P1825" s="2" t="inlineStr">
        <is>
          <t>NSMI24100685421</t>
        </is>
      </c>
      <c r="Q1825" s="29">
        <f>MID(P1825,5,2)</f>
        <v/>
      </c>
      <c r="R1825" s="14">
        <f>MID(P1825,7,2)</f>
        <v/>
      </c>
      <c r="S1825" s="6" t="inlineStr">
        <is>
          <t>G2G</t>
        </is>
      </c>
      <c r="T1825" s="1" t="inlineStr">
        <is>
          <t>P4 - PEIPL</t>
        </is>
      </c>
      <c r="U1825" s="6" t="inlineStr">
        <is>
          <t>Glass Breakage with Burn Spot</t>
        </is>
      </c>
      <c r="V1825" s="1" t="inlineStr">
        <is>
          <t>Inspection</t>
        </is>
      </c>
      <c r="W1825" s="1" t="inlineStr">
        <is>
          <t>WIP</t>
        </is>
      </c>
      <c r="X1825" s="12" t="n"/>
      <c r="Y1825" s="1">
        <f>IF(X1825="","",X1825-A1825)</f>
        <v/>
      </c>
      <c r="Z1825" s="5" t="n">
        <v>46196</v>
      </c>
      <c r="AA1825" s="3" t="n"/>
      <c r="AB1825" s="3" t="n"/>
      <c r="AE1825" s="146">
        <f>IF(AND(F1825="Closed",X1825&gt;=DATE(2026,6,1),X1825&lt;=DATE(2026,6,30)),"Closed in June","other")</f>
        <v/>
      </c>
    </row>
    <row r="1826" hidden="1">
      <c r="A1826" s="49" t="n">
        <v>46177</v>
      </c>
      <c r="B1826" s="1" t="n">
        <v>2026</v>
      </c>
      <c r="C1826" s="8" t="inlineStr">
        <is>
          <t>Ayana</t>
        </is>
      </c>
      <c r="D1826" s="11" t="inlineStr">
        <is>
          <t>Utility and C&amp;I</t>
        </is>
      </c>
      <c r="E1826" s="1" t="n"/>
      <c r="F1826" s="1" t="inlineStr">
        <is>
          <t>WIP</t>
        </is>
      </c>
      <c r="G1826" s="11" t="inlineStr">
        <is>
          <t>Vasu.N</t>
        </is>
      </c>
      <c r="H1826" s="8" t="n">
        <v>9578099893</v>
      </c>
      <c r="I1826" s="10" t="inlineStr">
        <is>
          <t>PE04062601</t>
        </is>
      </c>
      <c r="J1826" s="28" t="inlineStr">
        <is>
          <t>Module burnt</t>
        </is>
      </c>
      <c r="K1826" s="8" t="inlineStr">
        <is>
          <t>Zura</t>
        </is>
      </c>
      <c r="L1826" s="39" t="inlineStr">
        <is>
          <t>Gujarat</t>
        </is>
      </c>
      <c r="M1826" s="2" t="inlineStr">
        <is>
          <t xml:space="preserve">Font glass broken </t>
        </is>
      </c>
      <c r="N1826" s="6" t="inlineStr">
        <is>
          <t>Module Breakage</t>
        </is>
      </c>
      <c r="O1826" s="32" t="n">
        <v>590</v>
      </c>
      <c r="P1826" s="2" t="inlineStr">
        <is>
          <t>NSMI24100665179</t>
        </is>
      </c>
      <c r="Q1826" s="29">
        <f>MID(P1826,5,2)</f>
        <v/>
      </c>
      <c r="R1826" s="14">
        <f>MID(P1826,7,2)</f>
        <v/>
      </c>
      <c r="S1826" s="6" t="inlineStr">
        <is>
          <t>G2G</t>
        </is>
      </c>
      <c r="T1826" s="1" t="inlineStr">
        <is>
          <t>P4 - PEIPL</t>
        </is>
      </c>
      <c r="U1826" s="6" t="inlineStr">
        <is>
          <t>Module Breakage</t>
        </is>
      </c>
      <c r="V1826" s="1" t="inlineStr">
        <is>
          <t>Inspection</t>
        </is>
      </c>
      <c r="W1826" s="1" t="inlineStr">
        <is>
          <t>WIP</t>
        </is>
      </c>
      <c r="X1826" s="12" t="n"/>
      <c r="Y1826" s="1">
        <f>IF(X1826="","",X1826-A1826)</f>
        <v/>
      </c>
      <c r="Z1826" s="5" t="n">
        <v>46196</v>
      </c>
      <c r="AA1826" s="3" t="n"/>
      <c r="AB1826" s="3" t="n"/>
      <c r="AE1826" s="146">
        <f>IF(AND(F1826="Closed",X1826&gt;=DATE(2026,6,1),X1826&lt;=DATE(2026,6,30)),"Closed in June","other")</f>
        <v/>
      </c>
    </row>
    <row r="1827" hidden="1">
      <c r="A1827" s="49" t="n">
        <v>46177</v>
      </c>
      <c r="B1827" s="1" t="n">
        <v>2026</v>
      </c>
      <c r="C1827" s="8" t="inlineStr">
        <is>
          <t>Ayana</t>
        </is>
      </c>
      <c r="D1827" s="11" t="inlineStr">
        <is>
          <t>Utility and C&amp;I</t>
        </is>
      </c>
      <c r="E1827" s="1" t="n"/>
      <c r="F1827" s="1" t="inlineStr">
        <is>
          <t>WIP</t>
        </is>
      </c>
      <c r="G1827" s="11" t="inlineStr">
        <is>
          <t>Vasu.N</t>
        </is>
      </c>
      <c r="H1827" s="8" t="n">
        <v>9578099893</v>
      </c>
      <c r="I1827" s="10" t="inlineStr">
        <is>
          <t>PE04062601</t>
        </is>
      </c>
      <c r="J1827" s="28" t="inlineStr">
        <is>
          <t>Module burnt</t>
        </is>
      </c>
      <c r="K1827" s="8" t="inlineStr">
        <is>
          <t>Zura</t>
        </is>
      </c>
      <c r="L1827" s="39" t="inlineStr">
        <is>
          <t>Gujarat</t>
        </is>
      </c>
      <c r="M1827" s="2" t="inlineStr">
        <is>
          <t xml:space="preserve">Both glass broken with burn spot </t>
        </is>
      </c>
      <c r="N1827" s="6" t="inlineStr">
        <is>
          <t>Glass Breakage with Burn Spot</t>
        </is>
      </c>
      <c r="O1827" s="32" t="n">
        <v>590</v>
      </c>
      <c r="P1827" s="2" t="inlineStr">
        <is>
          <t>NSMI24100644228</t>
        </is>
      </c>
      <c r="Q1827" s="29">
        <f>MID(P1827,5,2)</f>
        <v/>
      </c>
      <c r="R1827" s="14">
        <f>MID(P1827,7,2)</f>
        <v/>
      </c>
      <c r="S1827" s="6" t="inlineStr">
        <is>
          <t>G2G</t>
        </is>
      </c>
      <c r="T1827" s="1" t="inlineStr">
        <is>
          <t>P4 - PEIPL</t>
        </is>
      </c>
      <c r="U1827" s="6" t="inlineStr">
        <is>
          <t>Glass Breakage with Burn Spot</t>
        </is>
      </c>
      <c r="V1827" s="1" t="inlineStr">
        <is>
          <t>Inspection</t>
        </is>
      </c>
      <c r="W1827" s="1" t="inlineStr">
        <is>
          <t>WIP</t>
        </is>
      </c>
      <c r="X1827" s="12" t="n"/>
      <c r="Y1827" s="1">
        <f>IF(X1827="","",X1827-A1827)</f>
        <v/>
      </c>
      <c r="Z1827" s="5" t="n">
        <v>46196</v>
      </c>
      <c r="AA1827" s="3" t="n"/>
      <c r="AB1827" s="3" t="n"/>
      <c r="AE1827" s="146">
        <f>IF(AND(F1827="Closed",X1827&gt;=DATE(2026,6,1),X1827&lt;=DATE(2026,6,30)),"Closed in June","other")</f>
        <v/>
      </c>
    </row>
    <row r="1828" hidden="1">
      <c r="A1828" s="49" t="n">
        <v>46177</v>
      </c>
      <c r="B1828" s="1" t="n">
        <v>2026</v>
      </c>
      <c r="C1828" s="8" t="inlineStr">
        <is>
          <t>Ayana</t>
        </is>
      </c>
      <c r="D1828" s="11" t="inlineStr">
        <is>
          <t>Utility and C&amp;I</t>
        </is>
      </c>
      <c r="E1828" s="1" t="n"/>
      <c r="F1828" s="1" t="inlineStr">
        <is>
          <t>WIP</t>
        </is>
      </c>
      <c r="G1828" s="11" t="inlineStr">
        <is>
          <t>Vasu.N</t>
        </is>
      </c>
      <c r="H1828" s="8" t="n">
        <v>9578099893</v>
      </c>
      <c r="I1828" s="10" t="inlineStr">
        <is>
          <t>PE04062601</t>
        </is>
      </c>
      <c r="J1828" s="28" t="inlineStr">
        <is>
          <t>Module burnt</t>
        </is>
      </c>
      <c r="K1828" s="8" t="inlineStr">
        <is>
          <t>Zura</t>
        </is>
      </c>
      <c r="L1828" s="39" t="inlineStr">
        <is>
          <t>Gujarat</t>
        </is>
      </c>
      <c r="M1828" s="2" t="inlineStr">
        <is>
          <t xml:space="preserve">Both glass broken with burn spot </t>
        </is>
      </c>
      <c r="N1828" s="6" t="inlineStr">
        <is>
          <t>Glass Breakage with Burn Spot</t>
        </is>
      </c>
      <c r="O1828" s="32" t="n">
        <v>590</v>
      </c>
      <c r="P1828" s="2" t="inlineStr">
        <is>
          <t>NSMI24100641589</t>
        </is>
      </c>
      <c r="Q1828" s="29">
        <f>MID(P1828,5,2)</f>
        <v/>
      </c>
      <c r="R1828" s="14">
        <f>MID(P1828,7,2)</f>
        <v/>
      </c>
      <c r="S1828" s="6" t="inlineStr">
        <is>
          <t>G2G</t>
        </is>
      </c>
      <c r="T1828" s="1" t="inlineStr">
        <is>
          <t>P4 - PEIPL</t>
        </is>
      </c>
      <c r="U1828" s="6" t="inlineStr">
        <is>
          <t>Glass Breakage with Burn Spot</t>
        </is>
      </c>
      <c r="V1828" s="1" t="inlineStr">
        <is>
          <t>Inspection</t>
        </is>
      </c>
      <c r="W1828" s="1" t="inlineStr">
        <is>
          <t>WIP</t>
        </is>
      </c>
      <c r="X1828" s="12" t="n"/>
      <c r="Y1828" s="1">
        <f>IF(X1828="","",X1828-A1828)</f>
        <v/>
      </c>
      <c r="Z1828" s="5" t="n">
        <v>46196</v>
      </c>
      <c r="AA1828" s="3" t="n"/>
      <c r="AB1828" s="3" t="n"/>
      <c r="AE1828" s="146">
        <f>IF(AND(F1828="Closed",X1828&gt;=DATE(2026,6,1),X1828&lt;=DATE(2026,6,30)),"Closed in June","other")</f>
        <v/>
      </c>
    </row>
    <row r="1829" hidden="1">
      <c r="A1829" s="49" t="n">
        <v>46177</v>
      </c>
      <c r="B1829" s="1" t="n">
        <v>2026</v>
      </c>
      <c r="C1829" s="8" t="inlineStr">
        <is>
          <t>Ayana</t>
        </is>
      </c>
      <c r="D1829" s="11" t="inlineStr">
        <is>
          <t>Utility and C&amp;I</t>
        </is>
      </c>
      <c r="E1829" s="1" t="n"/>
      <c r="F1829" s="1" t="inlineStr">
        <is>
          <t>WIP</t>
        </is>
      </c>
      <c r="G1829" s="11" t="inlineStr">
        <is>
          <t>Vasu.N</t>
        </is>
      </c>
      <c r="H1829" s="8" t="n">
        <v>9578099893</v>
      </c>
      <c r="I1829" s="10" t="inlineStr">
        <is>
          <t>PE04062601</t>
        </is>
      </c>
      <c r="J1829" s="28" t="inlineStr">
        <is>
          <t>Module burnt</t>
        </is>
      </c>
      <c r="K1829" s="8" t="inlineStr">
        <is>
          <t>Zura</t>
        </is>
      </c>
      <c r="L1829" s="39" t="inlineStr">
        <is>
          <t>Gujarat</t>
        </is>
      </c>
      <c r="M1829" s="2" t="inlineStr">
        <is>
          <t xml:space="preserve">Font glass broken </t>
        </is>
      </c>
      <c r="N1829" s="6" t="inlineStr">
        <is>
          <t>Module Breakage</t>
        </is>
      </c>
      <c r="O1829" s="32" t="n">
        <v>590</v>
      </c>
      <c r="P1829" s="2" t="inlineStr">
        <is>
          <t>NSMI24100666921</t>
        </is>
      </c>
      <c r="Q1829" s="29">
        <f>MID(P1829,5,2)</f>
        <v/>
      </c>
      <c r="R1829" s="14">
        <f>MID(P1829,7,2)</f>
        <v/>
      </c>
      <c r="S1829" s="6" t="inlineStr">
        <is>
          <t>G2G</t>
        </is>
      </c>
      <c r="T1829" s="1" t="inlineStr">
        <is>
          <t>P4 - PEIPL</t>
        </is>
      </c>
      <c r="U1829" s="6" t="inlineStr">
        <is>
          <t>Module Breakage</t>
        </is>
      </c>
      <c r="V1829" s="1" t="inlineStr">
        <is>
          <t>Inspection</t>
        </is>
      </c>
      <c r="W1829" s="1" t="inlineStr">
        <is>
          <t>WIP</t>
        </is>
      </c>
      <c r="X1829" s="12" t="n"/>
      <c r="Y1829" s="1">
        <f>IF(X1829="","",X1829-A1829)</f>
        <v/>
      </c>
      <c r="Z1829" s="5" t="n">
        <v>46196</v>
      </c>
      <c r="AA1829" s="3" t="n"/>
      <c r="AB1829" s="3" t="n"/>
      <c r="AE1829" s="146">
        <f>IF(AND(F1829="Closed",X1829&gt;=DATE(2026,6,1),X1829&lt;=DATE(2026,6,30)),"Closed in June","other")</f>
        <v/>
      </c>
    </row>
    <row r="1830" hidden="1">
      <c r="A1830" s="49" t="n">
        <v>46177</v>
      </c>
      <c r="B1830" s="1" t="n">
        <v>2026</v>
      </c>
      <c r="C1830" s="8" t="inlineStr">
        <is>
          <t>Ayana</t>
        </is>
      </c>
      <c r="D1830" s="11" t="inlineStr">
        <is>
          <t>Utility and C&amp;I</t>
        </is>
      </c>
      <c r="E1830" s="1" t="n"/>
      <c r="F1830" s="1" t="inlineStr">
        <is>
          <t>WIP</t>
        </is>
      </c>
      <c r="G1830" s="11" t="inlineStr">
        <is>
          <t>Vasu.N</t>
        </is>
      </c>
      <c r="H1830" s="8" t="n">
        <v>9578099893</v>
      </c>
      <c r="I1830" s="10" t="inlineStr">
        <is>
          <t>PE04062601</t>
        </is>
      </c>
      <c r="J1830" s="28" t="inlineStr">
        <is>
          <t>Module burnt</t>
        </is>
      </c>
      <c r="K1830" s="8" t="inlineStr">
        <is>
          <t>Zura</t>
        </is>
      </c>
      <c r="L1830" s="39" t="inlineStr">
        <is>
          <t>Gujarat</t>
        </is>
      </c>
      <c r="M1830" s="2" t="inlineStr">
        <is>
          <t xml:space="preserve">Both glass broken with burn spot </t>
        </is>
      </c>
      <c r="N1830" s="6" t="inlineStr">
        <is>
          <t>Glass Breakage with Burn Spot</t>
        </is>
      </c>
      <c r="O1830" s="32" t="n">
        <v>590</v>
      </c>
      <c r="P1830" s="2" t="inlineStr">
        <is>
          <t>NSMI24100590376</t>
        </is>
      </c>
      <c r="Q1830" s="29">
        <f>MID(P1830,5,2)</f>
        <v/>
      </c>
      <c r="R1830" s="14">
        <f>MID(P1830,7,2)</f>
        <v/>
      </c>
      <c r="S1830" s="6" t="inlineStr">
        <is>
          <t>G2G</t>
        </is>
      </c>
      <c r="T1830" s="1" t="inlineStr">
        <is>
          <t>P4 - PEIPL</t>
        </is>
      </c>
      <c r="U1830" s="6" t="inlineStr">
        <is>
          <t>Glass Breakage with Burn Spot</t>
        </is>
      </c>
      <c r="V1830" s="1" t="inlineStr">
        <is>
          <t>Inspection</t>
        </is>
      </c>
      <c r="W1830" s="1" t="inlineStr">
        <is>
          <t>WIP</t>
        </is>
      </c>
      <c r="X1830" s="12" t="n"/>
      <c r="Y1830" s="1">
        <f>IF(X1830="","",X1830-A1830)</f>
        <v/>
      </c>
      <c r="Z1830" s="5" t="n">
        <v>46196</v>
      </c>
      <c r="AA1830" s="3" t="n"/>
      <c r="AB1830" s="3" t="n"/>
      <c r="AE1830" s="146">
        <f>IF(AND(F1830="Closed",X1830&gt;=DATE(2026,6,1),X1830&lt;=DATE(2026,6,30)),"Closed in June","other")</f>
        <v/>
      </c>
    </row>
    <row r="1831" hidden="1">
      <c r="A1831" s="49" t="n">
        <v>46177</v>
      </c>
      <c r="B1831" s="1" t="n">
        <v>2026</v>
      </c>
      <c r="C1831" s="8" t="inlineStr">
        <is>
          <t>Ayana</t>
        </is>
      </c>
      <c r="D1831" s="11" t="inlineStr">
        <is>
          <t>Utility and C&amp;I</t>
        </is>
      </c>
      <c r="E1831" s="1" t="n"/>
      <c r="F1831" s="1" t="inlineStr">
        <is>
          <t>Closed</t>
        </is>
      </c>
      <c r="G1831" s="11" t="inlineStr">
        <is>
          <t>Vasu.N</t>
        </is>
      </c>
      <c r="H1831" s="8" t="n">
        <v>9578099893</v>
      </c>
      <c r="I1831" s="10" t="inlineStr">
        <is>
          <t>PE04062601</t>
        </is>
      </c>
      <c r="J1831" s="28" t="inlineStr">
        <is>
          <t>Module burnt</t>
        </is>
      </c>
      <c r="K1831" s="8" t="inlineStr">
        <is>
          <t>Zura</t>
        </is>
      </c>
      <c r="L1831" s="39" t="inlineStr">
        <is>
          <t>Gujarat</t>
        </is>
      </c>
      <c r="M1831" s="2" t="inlineStr">
        <is>
          <t xml:space="preserve">damage </t>
        </is>
      </c>
      <c r="N1831" s="6" t="inlineStr">
        <is>
          <t>Module Breakage</t>
        </is>
      </c>
      <c r="O1831" s="32" t="n">
        <v>590</v>
      </c>
      <c r="P1831" s="2" t="inlineStr">
        <is>
          <t>NSMI24100635865</t>
        </is>
      </c>
      <c r="Q1831" s="29">
        <f>MID(P1831,5,2)</f>
        <v/>
      </c>
      <c r="R1831" s="14">
        <f>MID(P1831,7,2)</f>
        <v/>
      </c>
      <c r="S1831" s="6" t="inlineStr">
        <is>
          <t>G2G</t>
        </is>
      </c>
      <c r="T1831" s="1" t="inlineStr">
        <is>
          <t>P4 - PEIPL</t>
        </is>
      </c>
      <c r="U1831" s="2" t="inlineStr">
        <is>
          <t xml:space="preserve">physically damaged </t>
        </is>
      </c>
      <c r="V1831" s="1" t="inlineStr">
        <is>
          <t>Inspection</t>
        </is>
      </c>
      <c r="W1831" s="1" t="inlineStr">
        <is>
          <t>Rejected</t>
        </is>
      </c>
      <c r="X1831" s="5">
        <f>Z1831</f>
        <v/>
      </c>
      <c r="Y1831" s="1">
        <f>X1831-A1831</f>
        <v/>
      </c>
      <c r="Z1831" s="5" t="n">
        <v>46197</v>
      </c>
      <c r="AA1831" s="3" t="n"/>
      <c r="AB1831" s="3" t="n"/>
      <c r="AE1831" s="146">
        <f>IF(AND(F1831="Closed",X1831&gt;=DATE(2026,6,1),X1831&lt;=DATE(2026,6,30)),"Closed in June","other")</f>
        <v/>
      </c>
    </row>
    <row r="1832" hidden="1">
      <c r="A1832" s="49" t="n">
        <v>46177</v>
      </c>
      <c r="B1832" s="1" t="n">
        <v>2026</v>
      </c>
      <c r="C1832" s="8" t="inlineStr">
        <is>
          <t>Ayana</t>
        </is>
      </c>
      <c r="D1832" s="11" t="inlineStr">
        <is>
          <t>Utility and C&amp;I</t>
        </is>
      </c>
      <c r="E1832" s="1" t="n"/>
      <c r="F1832" s="1" t="inlineStr">
        <is>
          <t>Closed</t>
        </is>
      </c>
      <c r="G1832" s="11" t="inlineStr">
        <is>
          <t>Vasu.N</t>
        </is>
      </c>
      <c r="H1832" s="8" t="n">
        <v>9578099893</v>
      </c>
      <c r="I1832" s="10" t="inlineStr">
        <is>
          <t>PE04062601</t>
        </is>
      </c>
      <c r="J1832" s="28" t="inlineStr">
        <is>
          <t>Module burnt</t>
        </is>
      </c>
      <c r="K1832" s="8" t="inlineStr">
        <is>
          <t>Zura</t>
        </is>
      </c>
      <c r="L1832" s="39" t="inlineStr">
        <is>
          <t>Gujarat</t>
        </is>
      </c>
      <c r="M1832" s="2" t="inlineStr">
        <is>
          <t xml:space="preserve">damage </t>
        </is>
      </c>
      <c r="N1832" s="6" t="inlineStr">
        <is>
          <t>Module Breakage</t>
        </is>
      </c>
      <c r="O1832" s="32" t="n">
        <v>590</v>
      </c>
      <c r="P1832" s="2" t="inlineStr">
        <is>
          <t>NSMI24100616915</t>
        </is>
      </c>
      <c r="Q1832" s="29">
        <f>MID(P1832,5,2)</f>
        <v/>
      </c>
      <c r="R1832" s="14">
        <f>MID(P1832,7,2)</f>
        <v/>
      </c>
      <c r="S1832" s="6" t="inlineStr">
        <is>
          <t>G2G</t>
        </is>
      </c>
      <c r="T1832" s="1" t="inlineStr">
        <is>
          <t>P4 - PEIPL</t>
        </is>
      </c>
      <c r="U1832" s="2" t="inlineStr">
        <is>
          <t xml:space="preserve">physically damaged </t>
        </is>
      </c>
      <c r="V1832" s="1" t="inlineStr">
        <is>
          <t>Inspection</t>
        </is>
      </c>
      <c r="W1832" s="1" t="inlineStr">
        <is>
          <t>Rejected</t>
        </is>
      </c>
      <c r="X1832" s="5">
        <f>Z1832</f>
        <v/>
      </c>
      <c r="Y1832" s="1">
        <f>X1832-A1832</f>
        <v/>
      </c>
      <c r="Z1832" s="5" t="n">
        <v>46197</v>
      </c>
      <c r="AA1832" s="3" t="n"/>
      <c r="AB1832" s="3" t="n"/>
      <c r="AE1832" s="146">
        <f>IF(AND(F1832="Closed",X1832&gt;=DATE(2026,6,1),X1832&lt;=DATE(2026,6,30)),"Closed in June","other")</f>
        <v/>
      </c>
    </row>
    <row r="1833" hidden="1">
      <c r="A1833" s="49" t="n">
        <v>46177</v>
      </c>
      <c r="B1833" s="1" t="n">
        <v>2026</v>
      </c>
      <c r="C1833" s="8" t="inlineStr">
        <is>
          <t>Ayana</t>
        </is>
      </c>
      <c r="D1833" s="11" t="inlineStr">
        <is>
          <t>Utility and C&amp;I</t>
        </is>
      </c>
      <c r="E1833" s="1" t="n"/>
      <c r="F1833" s="1" t="inlineStr">
        <is>
          <t>Closed</t>
        </is>
      </c>
      <c r="G1833" s="11" t="inlineStr">
        <is>
          <t>Vasu.N</t>
        </is>
      </c>
      <c r="H1833" s="8" t="n">
        <v>9578099893</v>
      </c>
      <c r="I1833" s="10" t="inlineStr">
        <is>
          <t>PE04062601</t>
        </is>
      </c>
      <c r="J1833" s="28" t="inlineStr">
        <is>
          <t>Module burnt</t>
        </is>
      </c>
      <c r="K1833" s="8" t="inlineStr">
        <is>
          <t>Zura</t>
        </is>
      </c>
      <c r="L1833" s="39" t="inlineStr">
        <is>
          <t>Gujarat</t>
        </is>
      </c>
      <c r="M1833" s="2" t="inlineStr">
        <is>
          <t xml:space="preserve">damage </t>
        </is>
      </c>
      <c r="N1833" s="6" t="inlineStr">
        <is>
          <t>Module Breakage</t>
        </is>
      </c>
      <c r="O1833" s="32" t="n">
        <v>590</v>
      </c>
      <c r="P1833" s="2" t="inlineStr">
        <is>
          <t>NSMI24110855636</t>
        </is>
      </c>
      <c r="Q1833" s="29">
        <f>MID(P1833,5,2)</f>
        <v/>
      </c>
      <c r="R1833" s="14">
        <f>MID(P1833,7,2)</f>
        <v/>
      </c>
      <c r="S1833" s="6" t="inlineStr">
        <is>
          <t>G2G</t>
        </is>
      </c>
      <c r="T1833" s="1" t="inlineStr">
        <is>
          <t>P4 - PEIPL</t>
        </is>
      </c>
      <c r="U1833" s="2" t="inlineStr">
        <is>
          <t xml:space="preserve">physically damaged </t>
        </is>
      </c>
      <c r="V1833" s="1" t="inlineStr">
        <is>
          <t>Inspection</t>
        </is>
      </c>
      <c r="W1833" s="1" t="inlineStr">
        <is>
          <t>Rejected</t>
        </is>
      </c>
      <c r="X1833" s="5">
        <f>Z1833</f>
        <v/>
      </c>
      <c r="Y1833" s="1">
        <f>X1833-A1833</f>
        <v/>
      </c>
      <c r="Z1833" s="5" t="n">
        <v>46197</v>
      </c>
      <c r="AA1833" s="3" t="n"/>
      <c r="AB1833" s="3" t="n"/>
      <c r="AE1833" s="146">
        <f>IF(AND(F1833="Closed",X1833&gt;=DATE(2026,6,1),X1833&lt;=DATE(2026,6,30)),"Closed in June","other")</f>
        <v/>
      </c>
    </row>
    <row r="1834" hidden="1">
      <c r="A1834" s="49" t="n">
        <v>46177</v>
      </c>
      <c r="B1834" s="1" t="n">
        <v>2026</v>
      </c>
      <c r="C1834" s="8" t="inlineStr">
        <is>
          <t>Ayana</t>
        </is>
      </c>
      <c r="D1834" s="11" t="inlineStr">
        <is>
          <t>Utility and C&amp;I</t>
        </is>
      </c>
      <c r="E1834" s="1" t="n"/>
      <c r="F1834" s="1" t="inlineStr">
        <is>
          <t>Closed</t>
        </is>
      </c>
      <c r="G1834" s="11" t="inlineStr">
        <is>
          <t>Vasu.N</t>
        </is>
      </c>
      <c r="H1834" s="8" t="n">
        <v>9578099893</v>
      </c>
      <c r="I1834" s="10" t="inlineStr">
        <is>
          <t>PE04062601</t>
        </is>
      </c>
      <c r="J1834" s="28" t="inlineStr">
        <is>
          <t>Module burnt</t>
        </is>
      </c>
      <c r="K1834" s="8" t="inlineStr">
        <is>
          <t>Zura</t>
        </is>
      </c>
      <c r="L1834" s="39" t="inlineStr">
        <is>
          <t>Gujarat</t>
        </is>
      </c>
      <c r="M1834" s="2" t="inlineStr">
        <is>
          <t xml:space="preserve">damage </t>
        </is>
      </c>
      <c r="N1834" s="6" t="inlineStr">
        <is>
          <t>Module Breakage</t>
        </is>
      </c>
      <c r="O1834" s="32" t="n">
        <v>590</v>
      </c>
      <c r="P1834" s="2" t="inlineStr">
        <is>
          <t>NSMI24100552671</t>
        </is>
      </c>
      <c r="Q1834" s="29">
        <f>MID(P1834,5,2)</f>
        <v/>
      </c>
      <c r="R1834" s="14">
        <f>MID(P1834,7,2)</f>
        <v/>
      </c>
      <c r="S1834" s="6" t="inlineStr">
        <is>
          <t>G2G</t>
        </is>
      </c>
      <c r="T1834" s="1" t="inlineStr">
        <is>
          <t>P4 - PEIPL</t>
        </is>
      </c>
      <c r="U1834" s="2" t="inlineStr">
        <is>
          <t xml:space="preserve">physically damaged </t>
        </is>
      </c>
      <c r="V1834" s="1" t="inlineStr">
        <is>
          <t>Inspection</t>
        </is>
      </c>
      <c r="W1834" s="1" t="inlineStr">
        <is>
          <t>Rejected</t>
        </is>
      </c>
      <c r="X1834" s="5">
        <f>Z1834</f>
        <v/>
      </c>
      <c r="Y1834" s="1">
        <f>X1834-A1834</f>
        <v/>
      </c>
      <c r="Z1834" s="5" t="n">
        <v>46197</v>
      </c>
      <c r="AA1834" s="3" t="n"/>
      <c r="AB1834" s="3" t="n"/>
      <c r="AE1834" s="146">
        <f>IF(AND(F1834="Closed",X1834&gt;=DATE(2026,6,1),X1834&lt;=DATE(2026,6,30)),"Closed in June","other")</f>
        <v/>
      </c>
    </row>
    <row r="1835" hidden="1">
      <c r="A1835" s="49" t="n">
        <v>46177</v>
      </c>
      <c r="B1835" s="1" t="n">
        <v>2026</v>
      </c>
      <c r="C1835" s="8" t="inlineStr">
        <is>
          <t>Ayana</t>
        </is>
      </c>
      <c r="D1835" s="11" t="inlineStr">
        <is>
          <t>Utility and C&amp;I</t>
        </is>
      </c>
      <c r="E1835" s="1" t="n"/>
      <c r="F1835" s="1" t="inlineStr">
        <is>
          <t>Closed</t>
        </is>
      </c>
      <c r="G1835" s="11" t="inlineStr">
        <is>
          <t>Vasu.N</t>
        </is>
      </c>
      <c r="H1835" s="8" t="n">
        <v>9578099893</v>
      </c>
      <c r="I1835" s="10" t="inlineStr">
        <is>
          <t>PE04062601</t>
        </is>
      </c>
      <c r="J1835" s="28" t="inlineStr">
        <is>
          <t>Module burnt</t>
        </is>
      </c>
      <c r="K1835" s="8" t="inlineStr">
        <is>
          <t>Zura</t>
        </is>
      </c>
      <c r="L1835" s="39" t="inlineStr">
        <is>
          <t>Gujarat</t>
        </is>
      </c>
      <c r="M1835" s="2" t="inlineStr">
        <is>
          <t xml:space="preserve">damage </t>
        </is>
      </c>
      <c r="N1835" s="6" t="inlineStr">
        <is>
          <t>Module Breakage</t>
        </is>
      </c>
      <c r="O1835" s="32" t="n">
        <v>590</v>
      </c>
      <c r="P1835" s="2" t="inlineStr">
        <is>
          <t>NSMI24100570885</t>
        </is>
      </c>
      <c r="Q1835" s="29">
        <f>MID(P1835,5,2)</f>
        <v/>
      </c>
      <c r="R1835" s="14">
        <f>MID(P1835,7,2)</f>
        <v/>
      </c>
      <c r="S1835" s="6" t="inlineStr">
        <is>
          <t>G2G</t>
        </is>
      </c>
      <c r="T1835" s="1" t="inlineStr">
        <is>
          <t>P4 - PEIPL</t>
        </is>
      </c>
      <c r="U1835" s="2" t="inlineStr">
        <is>
          <t xml:space="preserve">physically damaged </t>
        </is>
      </c>
      <c r="V1835" s="1" t="inlineStr">
        <is>
          <t>Inspection</t>
        </is>
      </c>
      <c r="W1835" s="1" t="inlineStr">
        <is>
          <t>Rejected</t>
        </is>
      </c>
      <c r="X1835" s="5">
        <f>Z1835</f>
        <v/>
      </c>
      <c r="Y1835" s="1">
        <f>X1835-A1835</f>
        <v/>
      </c>
      <c r="Z1835" s="5" t="n">
        <v>46197</v>
      </c>
      <c r="AA1835" s="3" t="n"/>
      <c r="AB1835" s="3" t="n"/>
      <c r="AE1835" s="146">
        <f>IF(AND(F1835="Closed",X1835&gt;=DATE(2026,6,1),X1835&lt;=DATE(2026,6,30)),"Closed in June","other")</f>
        <v/>
      </c>
    </row>
    <row r="1836" hidden="1">
      <c r="A1836" s="49" t="n">
        <v>46177</v>
      </c>
      <c r="B1836" s="1" t="n">
        <v>2026</v>
      </c>
      <c r="C1836" s="8" t="inlineStr">
        <is>
          <t>Ayana</t>
        </is>
      </c>
      <c r="D1836" s="11" t="inlineStr">
        <is>
          <t>Utility and C&amp;I</t>
        </is>
      </c>
      <c r="E1836" s="1" t="n"/>
      <c r="F1836" s="1" t="inlineStr">
        <is>
          <t>Closed</t>
        </is>
      </c>
      <c r="G1836" s="11" t="inlineStr">
        <is>
          <t>Vasu.N</t>
        </is>
      </c>
      <c r="H1836" s="8" t="n">
        <v>9578099893</v>
      </c>
      <c r="I1836" s="10" t="inlineStr">
        <is>
          <t>PE04062601</t>
        </is>
      </c>
      <c r="J1836" s="28" t="inlineStr">
        <is>
          <t>Module burnt</t>
        </is>
      </c>
      <c r="K1836" s="8" t="inlineStr">
        <is>
          <t>Zura</t>
        </is>
      </c>
      <c r="L1836" s="39" t="inlineStr">
        <is>
          <t>Gujarat</t>
        </is>
      </c>
      <c r="M1836" s="2" t="inlineStr">
        <is>
          <t xml:space="preserve">damage </t>
        </is>
      </c>
      <c r="N1836" s="6" t="inlineStr">
        <is>
          <t>Module Breakage</t>
        </is>
      </c>
      <c r="O1836" s="32" t="n">
        <v>590</v>
      </c>
      <c r="P1836" s="2" t="inlineStr">
        <is>
          <t>NSMI24100594096</t>
        </is>
      </c>
      <c r="Q1836" s="29">
        <f>MID(P1836,5,2)</f>
        <v/>
      </c>
      <c r="R1836" s="14">
        <f>MID(P1836,7,2)</f>
        <v/>
      </c>
      <c r="S1836" s="6" t="inlineStr">
        <is>
          <t>G2G</t>
        </is>
      </c>
      <c r="T1836" s="1" t="inlineStr">
        <is>
          <t>P4 - PEIPL</t>
        </is>
      </c>
      <c r="U1836" s="2" t="inlineStr">
        <is>
          <t xml:space="preserve">physically damaged </t>
        </is>
      </c>
      <c r="V1836" s="1" t="inlineStr">
        <is>
          <t>Inspection</t>
        </is>
      </c>
      <c r="W1836" s="1" t="inlineStr">
        <is>
          <t>Rejected</t>
        </is>
      </c>
      <c r="X1836" s="5">
        <f>Z1836</f>
        <v/>
      </c>
      <c r="Y1836" s="1">
        <f>X1836-A1836</f>
        <v/>
      </c>
      <c r="Z1836" s="5" t="n">
        <v>46197</v>
      </c>
      <c r="AA1836" s="3" t="n"/>
      <c r="AB1836" s="3" t="n"/>
      <c r="AE1836" s="146">
        <f>IF(AND(F1836="Closed",X1836&gt;=DATE(2026,6,1),X1836&lt;=DATE(2026,6,30)),"Closed in June","other")</f>
        <v/>
      </c>
    </row>
    <row r="1837" hidden="1">
      <c r="A1837" s="49" t="n">
        <v>46177</v>
      </c>
      <c r="B1837" s="1" t="n">
        <v>2026</v>
      </c>
      <c r="C1837" s="8" t="inlineStr">
        <is>
          <t>Ayana</t>
        </is>
      </c>
      <c r="D1837" s="11" t="inlineStr">
        <is>
          <t>Utility and C&amp;I</t>
        </is>
      </c>
      <c r="E1837" s="1" t="n"/>
      <c r="F1837" s="1" t="inlineStr">
        <is>
          <t>Closed</t>
        </is>
      </c>
      <c r="G1837" s="11" t="inlineStr">
        <is>
          <t>Vasu.N</t>
        </is>
      </c>
      <c r="H1837" s="8" t="n">
        <v>9578099893</v>
      </c>
      <c r="I1837" s="10" t="inlineStr">
        <is>
          <t>PE04062601</t>
        </is>
      </c>
      <c r="J1837" s="28" t="inlineStr">
        <is>
          <t>Module burnt</t>
        </is>
      </c>
      <c r="K1837" s="8" t="inlineStr">
        <is>
          <t>Zura</t>
        </is>
      </c>
      <c r="L1837" s="39" t="inlineStr">
        <is>
          <t>Gujarat</t>
        </is>
      </c>
      <c r="M1837" s="2" t="inlineStr">
        <is>
          <t xml:space="preserve">damage </t>
        </is>
      </c>
      <c r="N1837" s="6" t="inlineStr">
        <is>
          <t>Module Breakage</t>
        </is>
      </c>
      <c r="O1837" s="32" t="n">
        <v>590</v>
      </c>
      <c r="P1837" s="2" t="inlineStr">
        <is>
          <t>NSMI24110820688</t>
        </is>
      </c>
      <c r="Q1837" s="29">
        <f>MID(P1837,5,2)</f>
        <v/>
      </c>
      <c r="R1837" s="14">
        <f>MID(P1837,7,2)</f>
        <v/>
      </c>
      <c r="S1837" s="6" t="inlineStr">
        <is>
          <t>G2G</t>
        </is>
      </c>
      <c r="T1837" s="1" t="inlineStr">
        <is>
          <t>P4 - PEIPL</t>
        </is>
      </c>
      <c r="U1837" s="2" t="inlineStr">
        <is>
          <t xml:space="preserve">physically damaged </t>
        </is>
      </c>
      <c r="V1837" s="1" t="inlineStr">
        <is>
          <t>Inspection</t>
        </is>
      </c>
      <c r="W1837" s="1" t="inlineStr">
        <is>
          <t>Rejected</t>
        </is>
      </c>
      <c r="X1837" s="5">
        <f>Z1837</f>
        <v/>
      </c>
      <c r="Y1837" s="1">
        <f>X1837-A1837</f>
        <v/>
      </c>
      <c r="Z1837" s="5" t="n">
        <v>46197</v>
      </c>
      <c r="AA1837" s="3" t="n"/>
      <c r="AB1837" s="3" t="n"/>
      <c r="AE1837" s="146">
        <f>IF(AND(F1837="Closed",X1837&gt;=DATE(2026,6,1),X1837&lt;=DATE(2026,6,30)),"Closed in June","other")</f>
        <v/>
      </c>
    </row>
    <row r="1838" hidden="1">
      <c r="A1838" s="49" t="n">
        <v>46177</v>
      </c>
      <c r="B1838" s="1" t="n">
        <v>2026</v>
      </c>
      <c r="C1838" s="8" t="inlineStr">
        <is>
          <t>Ayana</t>
        </is>
      </c>
      <c r="D1838" s="11" t="inlineStr">
        <is>
          <t>Utility and C&amp;I</t>
        </is>
      </c>
      <c r="E1838" s="1" t="n"/>
      <c r="F1838" s="1" t="inlineStr">
        <is>
          <t>Closed</t>
        </is>
      </c>
      <c r="G1838" s="11" t="inlineStr">
        <is>
          <t>Vasu.N</t>
        </is>
      </c>
      <c r="H1838" s="8" t="n">
        <v>9578099893</v>
      </c>
      <c r="I1838" s="10" t="inlineStr">
        <is>
          <t>PE04062601</t>
        </is>
      </c>
      <c r="J1838" s="28" t="inlineStr">
        <is>
          <t>Module burnt</t>
        </is>
      </c>
      <c r="K1838" s="8" t="inlineStr">
        <is>
          <t>Zura</t>
        </is>
      </c>
      <c r="L1838" s="39" t="inlineStr">
        <is>
          <t>Gujarat</t>
        </is>
      </c>
      <c r="M1838" s="2" t="inlineStr">
        <is>
          <t xml:space="preserve">damage </t>
        </is>
      </c>
      <c r="N1838" s="6" t="inlineStr">
        <is>
          <t>Module Breakage</t>
        </is>
      </c>
      <c r="O1838" s="32" t="n">
        <v>590</v>
      </c>
      <c r="P1838" s="2" t="inlineStr">
        <is>
          <t>NSMI24110839203</t>
        </is>
      </c>
      <c r="Q1838" s="29">
        <f>MID(P1838,5,2)</f>
        <v/>
      </c>
      <c r="R1838" s="14">
        <f>MID(P1838,7,2)</f>
        <v/>
      </c>
      <c r="S1838" s="6" t="inlineStr">
        <is>
          <t>G2G</t>
        </is>
      </c>
      <c r="T1838" s="1" t="inlineStr">
        <is>
          <t>P4 - PEIPL</t>
        </is>
      </c>
      <c r="U1838" s="2" t="inlineStr">
        <is>
          <t xml:space="preserve">physically damaged </t>
        </is>
      </c>
      <c r="V1838" s="1" t="inlineStr">
        <is>
          <t>Inspection</t>
        </is>
      </c>
      <c r="W1838" s="1" t="inlineStr">
        <is>
          <t>Rejected</t>
        </is>
      </c>
      <c r="X1838" s="5">
        <f>Z1838</f>
        <v/>
      </c>
      <c r="Y1838" s="1">
        <f>X1838-A1838</f>
        <v/>
      </c>
      <c r="Z1838" s="5" t="n">
        <v>46197</v>
      </c>
      <c r="AA1838" s="3" t="n"/>
      <c r="AB1838" s="3" t="n"/>
      <c r="AE1838" s="146">
        <f>IF(AND(F1838="Closed",X1838&gt;=DATE(2026,6,1),X1838&lt;=DATE(2026,6,30)),"Closed in June","other")</f>
        <v/>
      </c>
    </row>
    <row r="1839" hidden="1">
      <c r="A1839" s="49" t="n">
        <v>46177</v>
      </c>
      <c r="B1839" s="1" t="n">
        <v>2026</v>
      </c>
      <c r="C1839" s="8" t="inlineStr">
        <is>
          <t>Ayana</t>
        </is>
      </c>
      <c r="D1839" s="11" t="inlineStr">
        <is>
          <t>Utility and C&amp;I</t>
        </is>
      </c>
      <c r="E1839" s="1" t="n"/>
      <c r="F1839" s="1" t="inlineStr">
        <is>
          <t>Closed</t>
        </is>
      </c>
      <c r="G1839" s="11" t="inlineStr">
        <is>
          <t>Vasu.N</t>
        </is>
      </c>
      <c r="H1839" s="8" t="n">
        <v>9578099893</v>
      </c>
      <c r="I1839" s="10" t="inlineStr">
        <is>
          <t>PE04062601</t>
        </is>
      </c>
      <c r="J1839" s="28" t="inlineStr">
        <is>
          <t>Module burnt</t>
        </is>
      </c>
      <c r="K1839" s="8" t="inlineStr">
        <is>
          <t>Zura</t>
        </is>
      </c>
      <c r="L1839" s="39" t="inlineStr">
        <is>
          <t>Gujarat</t>
        </is>
      </c>
      <c r="M1839" s="2" t="inlineStr">
        <is>
          <t xml:space="preserve">damage </t>
        </is>
      </c>
      <c r="N1839" s="6" t="inlineStr">
        <is>
          <t>Module Breakage</t>
        </is>
      </c>
      <c r="O1839" s="32" t="n">
        <v>590</v>
      </c>
      <c r="P1839" s="2" t="inlineStr">
        <is>
          <t>NSMI24110848219</t>
        </is>
      </c>
      <c r="Q1839" s="29">
        <f>MID(P1839,5,2)</f>
        <v/>
      </c>
      <c r="R1839" s="14">
        <f>MID(P1839,7,2)</f>
        <v/>
      </c>
      <c r="S1839" s="6" t="inlineStr">
        <is>
          <t>G2G</t>
        </is>
      </c>
      <c r="T1839" s="1" t="inlineStr">
        <is>
          <t>P4 - PEIPL</t>
        </is>
      </c>
      <c r="U1839" s="2" t="inlineStr">
        <is>
          <t xml:space="preserve">physically damaged </t>
        </is>
      </c>
      <c r="V1839" s="1" t="inlineStr">
        <is>
          <t>Inspection</t>
        </is>
      </c>
      <c r="W1839" s="1" t="inlineStr">
        <is>
          <t>Rejected</t>
        </is>
      </c>
      <c r="X1839" s="5">
        <f>Z1839</f>
        <v/>
      </c>
      <c r="Y1839" s="1">
        <f>X1839-A1839</f>
        <v/>
      </c>
      <c r="Z1839" s="5" t="n">
        <v>46197</v>
      </c>
      <c r="AA1839" s="3" t="n"/>
      <c r="AB1839" s="3" t="n"/>
      <c r="AE1839" s="146">
        <f>IF(AND(F1839="Closed",X1839&gt;=DATE(2026,6,1),X1839&lt;=DATE(2026,6,30)),"Closed in June","other")</f>
        <v/>
      </c>
    </row>
    <row r="1840" hidden="1">
      <c r="A1840" s="49" t="n">
        <v>46177</v>
      </c>
      <c r="B1840" s="1" t="n">
        <v>2026</v>
      </c>
      <c r="C1840" s="8" t="inlineStr">
        <is>
          <t>Ayana</t>
        </is>
      </c>
      <c r="D1840" s="11" t="inlineStr">
        <is>
          <t>Utility and C&amp;I</t>
        </is>
      </c>
      <c r="E1840" s="1" t="n"/>
      <c r="F1840" s="1" t="inlineStr">
        <is>
          <t>Closed</t>
        </is>
      </c>
      <c r="G1840" s="11" t="inlineStr">
        <is>
          <t>Vasu.N</t>
        </is>
      </c>
      <c r="H1840" s="8" t="n">
        <v>9578099893</v>
      </c>
      <c r="I1840" s="10" t="inlineStr">
        <is>
          <t>PE04062601</t>
        </is>
      </c>
      <c r="J1840" s="28" t="inlineStr">
        <is>
          <t>Module burnt</t>
        </is>
      </c>
      <c r="K1840" s="8" t="inlineStr">
        <is>
          <t>Zura</t>
        </is>
      </c>
      <c r="L1840" s="39" t="inlineStr">
        <is>
          <t>Gujarat</t>
        </is>
      </c>
      <c r="M1840" s="2" t="inlineStr">
        <is>
          <t xml:space="preserve">damage </t>
        </is>
      </c>
      <c r="N1840" s="6" t="inlineStr">
        <is>
          <t>Module Breakage</t>
        </is>
      </c>
      <c r="O1840" s="32" t="n">
        <v>590</v>
      </c>
      <c r="P1840" s="2" t="inlineStr">
        <is>
          <t>NSMI24100631700</t>
        </is>
      </c>
      <c r="Q1840" s="29">
        <f>MID(P1840,5,2)</f>
        <v/>
      </c>
      <c r="R1840" s="14">
        <f>MID(P1840,7,2)</f>
        <v/>
      </c>
      <c r="S1840" s="6" t="inlineStr">
        <is>
          <t>G2G</t>
        </is>
      </c>
      <c r="T1840" s="1" t="inlineStr">
        <is>
          <t>P4 - PEIPL</t>
        </is>
      </c>
      <c r="U1840" s="2" t="inlineStr">
        <is>
          <t xml:space="preserve">physically damaged </t>
        </is>
      </c>
      <c r="V1840" s="1" t="inlineStr">
        <is>
          <t>Inspection</t>
        </is>
      </c>
      <c r="W1840" s="1" t="inlineStr">
        <is>
          <t>Rejected</t>
        </is>
      </c>
      <c r="X1840" s="5">
        <f>Z1840</f>
        <v/>
      </c>
      <c r="Y1840" s="1">
        <f>X1840-A1840</f>
        <v/>
      </c>
      <c r="Z1840" s="5" t="n">
        <v>46197</v>
      </c>
      <c r="AA1840" s="3" t="n"/>
      <c r="AB1840" s="3" t="n"/>
      <c r="AE1840" s="146">
        <f>IF(AND(F1840="Closed",X1840&gt;=DATE(2026,6,1),X1840&lt;=DATE(2026,6,30)),"Closed in June","other")</f>
        <v/>
      </c>
    </row>
    <row r="1841" hidden="1">
      <c r="A1841" s="49" t="n">
        <v>46177</v>
      </c>
      <c r="B1841" s="1" t="n">
        <v>2026</v>
      </c>
      <c r="C1841" s="8" t="inlineStr">
        <is>
          <t>Ayana</t>
        </is>
      </c>
      <c r="D1841" s="11" t="inlineStr">
        <is>
          <t>Utility and C&amp;I</t>
        </is>
      </c>
      <c r="E1841" s="1" t="n"/>
      <c r="F1841" s="1" t="inlineStr">
        <is>
          <t>Closed</t>
        </is>
      </c>
      <c r="G1841" s="11" t="inlineStr">
        <is>
          <t>Vasu.N</t>
        </is>
      </c>
      <c r="H1841" s="8" t="n">
        <v>9578099893</v>
      </c>
      <c r="I1841" s="10" t="inlineStr">
        <is>
          <t>PE04062601</t>
        </is>
      </c>
      <c r="J1841" s="28" t="inlineStr">
        <is>
          <t>Module burnt</t>
        </is>
      </c>
      <c r="K1841" s="8" t="inlineStr">
        <is>
          <t>Zura</t>
        </is>
      </c>
      <c r="L1841" s="39" t="inlineStr">
        <is>
          <t>Gujarat</t>
        </is>
      </c>
      <c r="M1841" s="2" t="inlineStr">
        <is>
          <t xml:space="preserve">damage </t>
        </is>
      </c>
      <c r="N1841" s="6" t="inlineStr">
        <is>
          <t>Module Breakage</t>
        </is>
      </c>
      <c r="O1841" s="32" t="n">
        <v>590</v>
      </c>
      <c r="P1841" s="2" t="inlineStr">
        <is>
          <t>NSMI24100596854</t>
        </is>
      </c>
      <c r="Q1841" s="29">
        <f>MID(P1841,5,2)</f>
        <v/>
      </c>
      <c r="R1841" s="14">
        <f>MID(P1841,7,2)</f>
        <v/>
      </c>
      <c r="S1841" s="6" t="inlineStr">
        <is>
          <t>G2G</t>
        </is>
      </c>
      <c r="T1841" s="1" t="inlineStr">
        <is>
          <t>P4 - PEIPL</t>
        </is>
      </c>
      <c r="U1841" s="2" t="inlineStr">
        <is>
          <t xml:space="preserve">physically damaged </t>
        </is>
      </c>
      <c r="V1841" s="1" t="inlineStr">
        <is>
          <t>Inspection</t>
        </is>
      </c>
      <c r="W1841" s="1" t="inlineStr">
        <is>
          <t>Rejected</t>
        </is>
      </c>
      <c r="X1841" s="5">
        <f>Z1841</f>
        <v/>
      </c>
      <c r="Y1841" s="1">
        <f>X1841-A1841</f>
        <v/>
      </c>
      <c r="Z1841" s="5" t="n">
        <v>46197</v>
      </c>
      <c r="AA1841" s="3" t="n"/>
      <c r="AB1841" s="3" t="n"/>
      <c r="AE1841" s="146">
        <f>IF(AND(F1841="Closed",X1841&gt;=DATE(2026,6,1),X1841&lt;=DATE(2026,6,30)),"Closed in June","other")</f>
        <v/>
      </c>
    </row>
    <row r="1842" hidden="1">
      <c r="A1842" s="49" t="n">
        <v>46177</v>
      </c>
      <c r="B1842" s="1" t="n">
        <v>2026</v>
      </c>
      <c r="C1842" s="8" t="inlineStr">
        <is>
          <t>Ayana</t>
        </is>
      </c>
      <c r="D1842" s="11" t="inlineStr">
        <is>
          <t>Utility and C&amp;I</t>
        </is>
      </c>
      <c r="E1842" s="1" t="n"/>
      <c r="F1842" s="1" t="inlineStr">
        <is>
          <t>Closed</t>
        </is>
      </c>
      <c r="G1842" s="11" t="inlineStr">
        <is>
          <t>Vasu.N</t>
        </is>
      </c>
      <c r="H1842" s="8" t="n">
        <v>9578099893</v>
      </c>
      <c r="I1842" s="10" t="inlineStr">
        <is>
          <t>PE04062601</t>
        </is>
      </c>
      <c r="J1842" s="28" t="inlineStr">
        <is>
          <t>Module burnt</t>
        </is>
      </c>
      <c r="K1842" s="8" t="inlineStr">
        <is>
          <t>Zura</t>
        </is>
      </c>
      <c r="L1842" s="39" t="inlineStr">
        <is>
          <t>Gujarat</t>
        </is>
      </c>
      <c r="M1842" s="2" t="inlineStr">
        <is>
          <t xml:space="preserve">damage </t>
        </is>
      </c>
      <c r="N1842" s="6" t="inlineStr">
        <is>
          <t>Module Breakage</t>
        </is>
      </c>
      <c r="O1842" s="32" t="n">
        <v>590</v>
      </c>
      <c r="P1842" s="2" t="inlineStr">
        <is>
          <t>NSMI24100613391</t>
        </is>
      </c>
      <c r="Q1842" s="29">
        <f>MID(P1842,5,2)</f>
        <v/>
      </c>
      <c r="R1842" s="14">
        <f>MID(P1842,7,2)</f>
        <v/>
      </c>
      <c r="S1842" s="6" t="inlineStr">
        <is>
          <t>G2G</t>
        </is>
      </c>
      <c r="T1842" s="1" t="inlineStr">
        <is>
          <t>P4 - PEIPL</t>
        </is>
      </c>
      <c r="U1842" s="2" t="inlineStr">
        <is>
          <t xml:space="preserve">physically damaged </t>
        </is>
      </c>
      <c r="V1842" s="1" t="inlineStr">
        <is>
          <t>Inspection</t>
        </is>
      </c>
      <c r="W1842" s="1" t="inlineStr">
        <is>
          <t>Rejected</t>
        </is>
      </c>
      <c r="X1842" s="5">
        <f>Z1842</f>
        <v/>
      </c>
      <c r="Y1842" s="1">
        <f>X1842-A1842</f>
        <v/>
      </c>
      <c r="Z1842" s="5" t="n">
        <v>46197</v>
      </c>
      <c r="AA1842" s="3" t="n"/>
      <c r="AB1842" s="3" t="n"/>
      <c r="AE1842" s="146">
        <f>IF(AND(F1842="Closed",X1842&gt;=DATE(2026,6,1),X1842&lt;=DATE(2026,6,30)),"Closed in June","other")</f>
        <v/>
      </c>
    </row>
    <row r="1843" hidden="1">
      <c r="A1843" s="49" t="n">
        <v>46177</v>
      </c>
      <c r="B1843" s="1" t="n">
        <v>2026</v>
      </c>
      <c r="C1843" s="8" t="inlineStr">
        <is>
          <t>Ayana</t>
        </is>
      </c>
      <c r="D1843" s="11" t="inlineStr">
        <is>
          <t>Utility and C&amp;I</t>
        </is>
      </c>
      <c r="E1843" s="1" t="n"/>
      <c r="F1843" s="1" t="inlineStr">
        <is>
          <t>Closed</t>
        </is>
      </c>
      <c r="G1843" s="11" t="inlineStr">
        <is>
          <t>Vasu.N</t>
        </is>
      </c>
      <c r="H1843" s="8" t="n">
        <v>9578099893</v>
      </c>
      <c r="I1843" s="10" t="inlineStr">
        <is>
          <t>PE04062601</t>
        </is>
      </c>
      <c r="J1843" s="28" t="inlineStr">
        <is>
          <t>Module burnt</t>
        </is>
      </c>
      <c r="K1843" s="8" t="inlineStr">
        <is>
          <t>Zura</t>
        </is>
      </c>
      <c r="L1843" s="39" t="inlineStr">
        <is>
          <t>Gujarat</t>
        </is>
      </c>
      <c r="M1843" s="2" t="inlineStr">
        <is>
          <t xml:space="preserve">damage </t>
        </is>
      </c>
      <c r="N1843" s="6" t="inlineStr">
        <is>
          <t>Module Breakage</t>
        </is>
      </c>
      <c r="O1843" s="32" t="n">
        <v>590</v>
      </c>
      <c r="P1843" s="2" t="inlineStr">
        <is>
          <t>NSMI24110805913</t>
        </is>
      </c>
      <c r="Q1843" s="29">
        <f>MID(P1843,5,2)</f>
        <v/>
      </c>
      <c r="R1843" s="14">
        <f>MID(P1843,7,2)</f>
        <v/>
      </c>
      <c r="S1843" s="6" t="inlineStr">
        <is>
          <t>G2G</t>
        </is>
      </c>
      <c r="T1843" s="1" t="inlineStr">
        <is>
          <t>P4 - PEIPL</t>
        </is>
      </c>
      <c r="U1843" s="2" t="inlineStr">
        <is>
          <t xml:space="preserve">physically damaged </t>
        </is>
      </c>
      <c r="V1843" s="1" t="inlineStr">
        <is>
          <t>Inspection</t>
        </is>
      </c>
      <c r="W1843" s="1" t="inlineStr">
        <is>
          <t>Rejected</t>
        </is>
      </c>
      <c r="X1843" s="5">
        <f>Z1843</f>
        <v/>
      </c>
      <c r="Y1843" s="1">
        <f>X1843-A1843</f>
        <v/>
      </c>
      <c r="Z1843" s="5" t="n">
        <v>46197</v>
      </c>
      <c r="AA1843" s="3" t="n"/>
      <c r="AB1843" s="3" t="n"/>
      <c r="AE1843" s="146">
        <f>IF(AND(F1843="Closed",X1843&gt;=DATE(2026,6,1),X1843&lt;=DATE(2026,6,30)),"Closed in June","other")</f>
        <v/>
      </c>
    </row>
    <row r="1844" hidden="1">
      <c r="A1844" s="49" t="n">
        <v>46177</v>
      </c>
      <c r="B1844" s="1" t="n">
        <v>2026</v>
      </c>
      <c r="C1844" s="8" t="inlineStr">
        <is>
          <t>Ayana</t>
        </is>
      </c>
      <c r="D1844" s="11" t="inlineStr">
        <is>
          <t>Utility and C&amp;I</t>
        </is>
      </c>
      <c r="E1844" s="1" t="n"/>
      <c r="F1844" s="1" t="inlineStr">
        <is>
          <t>Closed</t>
        </is>
      </c>
      <c r="G1844" s="11" t="inlineStr">
        <is>
          <t>Vasu.N</t>
        </is>
      </c>
      <c r="H1844" s="8" t="n">
        <v>9578099893</v>
      </c>
      <c r="I1844" s="10" t="inlineStr">
        <is>
          <t>PE04062601</t>
        </is>
      </c>
      <c r="J1844" s="28" t="inlineStr">
        <is>
          <t>Module burnt</t>
        </is>
      </c>
      <c r="K1844" s="8" t="inlineStr">
        <is>
          <t>Zura</t>
        </is>
      </c>
      <c r="L1844" s="39" t="inlineStr">
        <is>
          <t>Gujarat</t>
        </is>
      </c>
      <c r="M1844" s="2" t="inlineStr">
        <is>
          <t xml:space="preserve">damage </t>
        </is>
      </c>
      <c r="N1844" s="6" t="inlineStr">
        <is>
          <t>Module Breakage</t>
        </is>
      </c>
      <c r="O1844" s="32" t="n">
        <v>590</v>
      </c>
      <c r="P1844" s="2" t="inlineStr">
        <is>
          <t>NSMI24110811783</t>
        </is>
      </c>
      <c r="Q1844" s="29">
        <f>MID(P1844,5,2)</f>
        <v/>
      </c>
      <c r="R1844" s="14">
        <f>MID(P1844,7,2)</f>
        <v/>
      </c>
      <c r="S1844" s="6" t="inlineStr">
        <is>
          <t>G2G</t>
        </is>
      </c>
      <c r="T1844" s="1" t="inlineStr">
        <is>
          <t>P4 - PEIPL</t>
        </is>
      </c>
      <c r="U1844" s="2" t="inlineStr">
        <is>
          <t xml:space="preserve">physically damaged </t>
        </is>
      </c>
      <c r="V1844" s="1" t="inlineStr">
        <is>
          <t>Inspection</t>
        </is>
      </c>
      <c r="W1844" s="1" t="inlineStr">
        <is>
          <t>Rejected</t>
        </is>
      </c>
      <c r="X1844" s="5">
        <f>Z1844</f>
        <v/>
      </c>
      <c r="Y1844" s="1">
        <f>X1844-A1844</f>
        <v/>
      </c>
      <c r="Z1844" s="5" t="n">
        <v>46197</v>
      </c>
      <c r="AA1844" s="3" t="n"/>
      <c r="AB1844" s="3" t="n"/>
      <c r="AE1844" s="146">
        <f>IF(AND(F1844="Closed",X1844&gt;=DATE(2026,6,1),X1844&lt;=DATE(2026,6,30)),"Closed in June","other")</f>
        <v/>
      </c>
    </row>
    <row r="1845" hidden="1">
      <c r="A1845" s="49" t="n">
        <v>46177</v>
      </c>
      <c r="B1845" s="1" t="n">
        <v>2026</v>
      </c>
      <c r="C1845" s="8" t="inlineStr">
        <is>
          <t>Ayana</t>
        </is>
      </c>
      <c r="D1845" s="11" t="inlineStr">
        <is>
          <t>Utility and C&amp;I</t>
        </is>
      </c>
      <c r="E1845" s="1" t="n"/>
      <c r="F1845" s="1" t="inlineStr">
        <is>
          <t>Closed</t>
        </is>
      </c>
      <c r="G1845" s="11" t="inlineStr">
        <is>
          <t>Vasu.N</t>
        </is>
      </c>
      <c r="H1845" s="8" t="n">
        <v>9578099893</v>
      </c>
      <c r="I1845" s="10" t="inlineStr">
        <is>
          <t>PE04062601</t>
        </is>
      </c>
      <c r="J1845" s="28" t="inlineStr">
        <is>
          <t>Module burnt</t>
        </is>
      </c>
      <c r="K1845" s="8" t="inlineStr">
        <is>
          <t>Zura</t>
        </is>
      </c>
      <c r="L1845" s="39" t="inlineStr">
        <is>
          <t>Gujarat</t>
        </is>
      </c>
      <c r="M1845" s="2" t="inlineStr">
        <is>
          <t xml:space="preserve">damage </t>
        </is>
      </c>
      <c r="N1845" s="6" t="inlineStr">
        <is>
          <t>Module Breakage</t>
        </is>
      </c>
      <c r="O1845" s="32" t="n">
        <v>590</v>
      </c>
      <c r="P1845" s="2" t="inlineStr">
        <is>
          <t>NSMI24100611776</t>
        </is>
      </c>
      <c r="Q1845" s="29">
        <f>MID(P1845,5,2)</f>
        <v/>
      </c>
      <c r="R1845" s="14">
        <f>MID(P1845,7,2)</f>
        <v/>
      </c>
      <c r="S1845" s="6" t="inlineStr">
        <is>
          <t>G2G</t>
        </is>
      </c>
      <c r="T1845" s="1" t="inlineStr">
        <is>
          <t>P4 - PEIPL</t>
        </is>
      </c>
      <c r="U1845" s="2" t="inlineStr">
        <is>
          <t xml:space="preserve">physically damaged </t>
        </is>
      </c>
      <c r="V1845" s="1" t="inlineStr">
        <is>
          <t>Inspection</t>
        </is>
      </c>
      <c r="W1845" s="1" t="inlineStr">
        <is>
          <t>Rejected</t>
        </is>
      </c>
      <c r="X1845" s="5">
        <f>Z1845</f>
        <v/>
      </c>
      <c r="Y1845" s="1">
        <f>X1845-A1845</f>
        <v/>
      </c>
      <c r="Z1845" s="5" t="n">
        <v>46197</v>
      </c>
      <c r="AA1845" s="3" t="n"/>
      <c r="AB1845" s="3" t="n"/>
      <c r="AE1845" s="146">
        <f>IF(AND(F1845="Closed",X1845&gt;=DATE(2026,6,1),X1845&lt;=DATE(2026,6,30)),"Closed in June","other")</f>
        <v/>
      </c>
    </row>
    <row r="1846" hidden="1">
      <c r="A1846" s="49" t="n">
        <v>46177</v>
      </c>
      <c r="B1846" s="1" t="n">
        <v>2026</v>
      </c>
      <c r="C1846" s="8" t="inlineStr">
        <is>
          <t>Ayana</t>
        </is>
      </c>
      <c r="D1846" s="11" t="inlineStr">
        <is>
          <t>Utility and C&amp;I</t>
        </is>
      </c>
      <c r="E1846" s="1" t="n"/>
      <c r="F1846" s="1" t="inlineStr">
        <is>
          <t>Closed</t>
        </is>
      </c>
      <c r="G1846" s="11" t="inlineStr">
        <is>
          <t>Vasu.N</t>
        </is>
      </c>
      <c r="H1846" s="8" t="n">
        <v>9578099893</v>
      </c>
      <c r="I1846" s="10" t="inlineStr">
        <is>
          <t>PE04062601</t>
        </is>
      </c>
      <c r="J1846" s="28" t="inlineStr">
        <is>
          <t>Module burnt</t>
        </is>
      </c>
      <c r="K1846" s="8" t="inlineStr">
        <is>
          <t>Zura</t>
        </is>
      </c>
      <c r="L1846" s="39" t="inlineStr">
        <is>
          <t>Gujarat</t>
        </is>
      </c>
      <c r="M1846" s="2" t="inlineStr">
        <is>
          <t xml:space="preserve">damage </t>
        </is>
      </c>
      <c r="N1846" s="6" t="inlineStr">
        <is>
          <t>Module Breakage</t>
        </is>
      </c>
      <c r="O1846" s="32" t="n">
        <v>590</v>
      </c>
      <c r="P1846" s="2" t="inlineStr">
        <is>
          <t>NSMI24100590558</t>
        </is>
      </c>
      <c r="Q1846" s="29">
        <f>MID(P1846,5,2)</f>
        <v/>
      </c>
      <c r="R1846" s="14">
        <f>MID(P1846,7,2)</f>
        <v/>
      </c>
      <c r="S1846" s="6" t="inlineStr">
        <is>
          <t>G2G</t>
        </is>
      </c>
      <c r="T1846" s="1" t="inlineStr">
        <is>
          <t>P4 - PEIPL</t>
        </is>
      </c>
      <c r="U1846" s="2" t="inlineStr">
        <is>
          <t xml:space="preserve">physically damaged </t>
        </is>
      </c>
      <c r="V1846" s="1" t="inlineStr">
        <is>
          <t>Inspection</t>
        </is>
      </c>
      <c r="W1846" s="1" t="inlineStr">
        <is>
          <t>Rejected</t>
        </is>
      </c>
      <c r="X1846" s="5">
        <f>Z1846</f>
        <v/>
      </c>
      <c r="Y1846" s="1">
        <f>X1846-A1846</f>
        <v/>
      </c>
      <c r="Z1846" s="5" t="n">
        <v>46197</v>
      </c>
      <c r="AA1846" s="3" t="n"/>
      <c r="AB1846" s="3" t="n"/>
      <c r="AE1846" s="146">
        <f>IF(AND(F1846="Closed",X1846&gt;=DATE(2026,6,1),X1846&lt;=DATE(2026,6,30)),"Closed in June","other")</f>
        <v/>
      </c>
    </row>
    <row r="1847" hidden="1">
      <c r="A1847" s="49" t="n">
        <v>46177</v>
      </c>
      <c r="B1847" s="1" t="n">
        <v>2026</v>
      </c>
      <c r="C1847" s="8" t="inlineStr">
        <is>
          <t>Ayana</t>
        </is>
      </c>
      <c r="D1847" s="11" t="inlineStr">
        <is>
          <t>Utility and C&amp;I</t>
        </is>
      </c>
      <c r="E1847" s="1" t="n"/>
      <c r="F1847" s="1" t="inlineStr">
        <is>
          <t>Closed</t>
        </is>
      </c>
      <c r="G1847" s="11" t="inlineStr">
        <is>
          <t>Vasu.N</t>
        </is>
      </c>
      <c r="H1847" s="8" t="n">
        <v>9578099893</v>
      </c>
      <c r="I1847" s="10" t="inlineStr">
        <is>
          <t>PE04062601</t>
        </is>
      </c>
      <c r="J1847" s="28" t="inlineStr">
        <is>
          <t>Module burnt</t>
        </is>
      </c>
      <c r="K1847" s="8" t="inlineStr">
        <is>
          <t>Zura</t>
        </is>
      </c>
      <c r="L1847" s="39" t="inlineStr">
        <is>
          <t>Gujarat</t>
        </is>
      </c>
      <c r="M1847" s="2" t="inlineStr">
        <is>
          <t xml:space="preserve">damage </t>
        </is>
      </c>
      <c r="N1847" s="6" t="inlineStr">
        <is>
          <t>Module Breakage</t>
        </is>
      </c>
      <c r="O1847" s="32" t="n">
        <v>590</v>
      </c>
      <c r="P1847" s="2" t="inlineStr">
        <is>
          <t>NSMI24100551845</t>
        </is>
      </c>
      <c r="Q1847" s="29">
        <f>MID(P1847,5,2)</f>
        <v/>
      </c>
      <c r="R1847" s="14">
        <f>MID(P1847,7,2)</f>
        <v/>
      </c>
      <c r="S1847" s="6" t="inlineStr">
        <is>
          <t>G2G</t>
        </is>
      </c>
      <c r="T1847" s="1" t="inlineStr">
        <is>
          <t>P4 - PEIPL</t>
        </is>
      </c>
      <c r="U1847" s="2" t="inlineStr">
        <is>
          <t xml:space="preserve">physically damaged </t>
        </is>
      </c>
      <c r="V1847" s="1" t="inlineStr">
        <is>
          <t>Inspection</t>
        </is>
      </c>
      <c r="W1847" s="1" t="inlineStr">
        <is>
          <t>Rejected</t>
        </is>
      </c>
      <c r="X1847" s="5">
        <f>Z1847</f>
        <v/>
      </c>
      <c r="Y1847" s="1">
        <f>X1847-A1847</f>
        <v/>
      </c>
      <c r="Z1847" s="5" t="n">
        <v>46197</v>
      </c>
      <c r="AA1847" s="3" t="n"/>
      <c r="AB1847" s="3" t="n"/>
      <c r="AE1847" s="146">
        <f>IF(AND(F1847="Closed",X1847&gt;=DATE(2026,6,1),X1847&lt;=DATE(2026,6,30)),"Closed in June","other")</f>
        <v/>
      </c>
    </row>
    <row r="1848" hidden="1">
      <c r="A1848" s="49" t="n">
        <v>46177</v>
      </c>
      <c r="B1848" s="1" t="n">
        <v>2026</v>
      </c>
      <c r="C1848" s="8" t="inlineStr">
        <is>
          <t>Ayana</t>
        </is>
      </c>
      <c r="D1848" s="11" t="inlineStr">
        <is>
          <t>Utility and C&amp;I</t>
        </is>
      </c>
      <c r="E1848" s="1" t="n"/>
      <c r="F1848" s="1" t="inlineStr">
        <is>
          <t>Closed</t>
        </is>
      </c>
      <c r="G1848" s="11" t="inlineStr">
        <is>
          <t>Vasu.N</t>
        </is>
      </c>
      <c r="H1848" s="8" t="n">
        <v>9578099893</v>
      </c>
      <c r="I1848" s="10" t="inlineStr">
        <is>
          <t>PE04062601</t>
        </is>
      </c>
      <c r="J1848" s="28" t="inlineStr">
        <is>
          <t>Module burnt</t>
        </is>
      </c>
      <c r="K1848" s="8" t="inlineStr">
        <is>
          <t>Zura</t>
        </is>
      </c>
      <c r="L1848" s="39" t="inlineStr">
        <is>
          <t>Gujarat</t>
        </is>
      </c>
      <c r="M1848" s="2" t="inlineStr">
        <is>
          <t xml:space="preserve">damage </t>
        </is>
      </c>
      <c r="N1848" s="6" t="inlineStr">
        <is>
          <t>Module Breakage</t>
        </is>
      </c>
      <c r="O1848" s="32" t="n">
        <v>590</v>
      </c>
      <c r="P1848" s="2" t="inlineStr">
        <is>
          <t>NSMI24110805107</t>
        </is>
      </c>
      <c r="Q1848" s="29">
        <f>MID(P1848,5,2)</f>
        <v/>
      </c>
      <c r="R1848" s="14">
        <f>MID(P1848,7,2)</f>
        <v/>
      </c>
      <c r="S1848" s="6" t="inlineStr">
        <is>
          <t>G2G</t>
        </is>
      </c>
      <c r="T1848" s="1" t="inlineStr">
        <is>
          <t>P4 - PEIPL</t>
        </is>
      </c>
      <c r="U1848" s="2" t="inlineStr">
        <is>
          <t xml:space="preserve">physically damaged </t>
        </is>
      </c>
      <c r="V1848" s="1" t="inlineStr">
        <is>
          <t>Inspection</t>
        </is>
      </c>
      <c r="W1848" s="1" t="inlineStr">
        <is>
          <t>Rejected</t>
        </is>
      </c>
      <c r="X1848" s="5">
        <f>Z1848</f>
        <v/>
      </c>
      <c r="Y1848" s="1">
        <f>X1848-A1848</f>
        <v/>
      </c>
      <c r="Z1848" s="5" t="n">
        <v>46197</v>
      </c>
      <c r="AA1848" s="3" t="n"/>
      <c r="AB1848" s="3" t="n"/>
      <c r="AE1848" s="146">
        <f>IF(AND(F1848="Closed",X1848&gt;=DATE(2026,6,1),X1848&lt;=DATE(2026,6,30)),"Closed in June","other")</f>
        <v/>
      </c>
    </row>
    <row r="1849" hidden="1">
      <c r="A1849" s="49" t="n">
        <v>46177</v>
      </c>
      <c r="B1849" s="1" t="n">
        <v>2026</v>
      </c>
      <c r="C1849" s="8" t="inlineStr">
        <is>
          <t>Ayana</t>
        </is>
      </c>
      <c r="D1849" s="11" t="inlineStr">
        <is>
          <t>Utility and C&amp;I</t>
        </is>
      </c>
      <c r="E1849" s="1" t="n"/>
      <c r="F1849" s="1" t="inlineStr">
        <is>
          <t>Closed</t>
        </is>
      </c>
      <c r="G1849" s="11" t="inlineStr">
        <is>
          <t>Vasu.N</t>
        </is>
      </c>
      <c r="H1849" s="8" t="n">
        <v>9578099893</v>
      </c>
      <c r="I1849" s="10" t="inlineStr">
        <is>
          <t>PE04062601</t>
        </is>
      </c>
      <c r="J1849" s="28" t="inlineStr">
        <is>
          <t>Module burnt</t>
        </is>
      </c>
      <c r="K1849" s="8" t="inlineStr">
        <is>
          <t>Zura</t>
        </is>
      </c>
      <c r="L1849" s="39" t="inlineStr">
        <is>
          <t>Gujarat</t>
        </is>
      </c>
      <c r="M1849" s="2" t="inlineStr">
        <is>
          <t xml:space="preserve">damage </t>
        </is>
      </c>
      <c r="N1849" s="6" t="inlineStr">
        <is>
          <t>Module Breakage</t>
        </is>
      </c>
      <c r="O1849" s="32" t="n">
        <v>590</v>
      </c>
      <c r="P1849" s="2" t="inlineStr">
        <is>
          <t>NSMI24090455087</t>
        </is>
      </c>
      <c r="Q1849" s="29">
        <f>MID(P1849,5,2)</f>
        <v/>
      </c>
      <c r="R1849" s="14">
        <f>MID(P1849,7,2)</f>
        <v/>
      </c>
      <c r="S1849" s="6" t="inlineStr">
        <is>
          <t>G2G</t>
        </is>
      </c>
      <c r="T1849" s="1" t="inlineStr">
        <is>
          <t>P4 - PEIPL</t>
        </is>
      </c>
      <c r="U1849" s="2" t="inlineStr">
        <is>
          <t xml:space="preserve">physically damaged </t>
        </is>
      </c>
      <c r="V1849" s="1" t="inlineStr">
        <is>
          <t>Inspection</t>
        </is>
      </c>
      <c r="W1849" s="1" t="inlineStr">
        <is>
          <t>Rejected</t>
        </is>
      </c>
      <c r="X1849" s="5">
        <f>Z1849</f>
        <v/>
      </c>
      <c r="Y1849" s="1">
        <f>X1849-A1849</f>
        <v/>
      </c>
      <c r="Z1849" s="5" t="n">
        <v>46197</v>
      </c>
      <c r="AA1849" s="3" t="n"/>
      <c r="AB1849" s="3" t="n"/>
      <c r="AE1849" s="146">
        <f>IF(AND(F1849="Closed",X1849&gt;=DATE(2026,6,1),X1849&lt;=DATE(2026,6,30)),"Closed in June","other")</f>
        <v/>
      </c>
    </row>
    <row r="1850" hidden="1">
      <c r="A1850" s="49" t="n">
        <v>46177</v>
      </c>
      <c r="B1850" s="1" t="n">
        <v>2026</v>
      </c>
      <c r="C1850" s="8" t="inlineStr">
        <is>
          <t>Ayana</t>
        </is>
      </c>
      <c r="D1850" s="11" t="inlineStr">
        <is>
          <t>Utility and C&amp;I</t>
        </is>
      </c>
      <c r="E1850" s="1" t="n"/>
      <c r="F1850" s="1" t="inlineStr">
        <is>
          <t>Closed</t>
        </is>
      </c>
      <c r="G1850" s="11" t="inlineStr">
        <is>
          <t>Vasu.N</t>
        </is>
      </c>
      <c r="H1850" s="8" t="n">
        <v>9578099893</v>
      </c>
      <c r="I1850" s="10" t="inlineStr">
        <is>
          <t>PE04062601</t>
        </is>
      </c>
      <c r="J1850" s="28" t="inlineStr">
        <is>
          <t>Module burnt</t>
        </is>
      </c>
      <c r="K1850" s="8" t="inlineStr">
        <is>
          <t>Zura</t>
        </is>
      </c>
      <c r="L1850" s="39" t="inlineStr">
        <is>
          <t>Gujarat</t>
        </is>
      </c>
      <c r="M1850" s="2" t="inlineStr">
        <is>
          <t xml:space="preserve">damage </t>
        </is>
      </c>
      <c r="N1850" s="6" t="inlineStr">
        <is>
          <t>Module Breakage</t>
        </is>
      </c>
      <c r="O1850" s="32" t="n">
        <v>590</v>
      </c>
      <c r="P1850" s="2" t="inlineStr">
        <is>
          <t>NSMI24090455090</t>
        </is>
      </c>
      <c r="Q1850" s="29">
        <f>MID(P1850,5,2)</f>
        <v/>
      </c>
      <c r="R1850" s="14">
        <f>MID(P1850,7,2)</f>
        <v/>
      </c>
      <c r="S1850" s="6" t="inlineStr">
        <is>
          <t>G2G</t>
        </is>
      </c>
      <c r="T1850" s="1" t="inlineStr">
        <is>
          <t>P4 - PEIPL</t>
        </is>
      </c>
      <c r="U1850" s="2" t="inlineStr">
        <is>
          <t xml:space="preserve">physically damaged </t>
        </is>
      </c>
      <c r="V1850" s="1" t="inlineStr">
        <is>
          <t>Inspection</t>
        </is>
      </c>
      <c r="W1850" s="1" t="inlineStr">
        <is>
          <t>Rejected</t>
        </is>
      </c>
      <c r="X1850" s="5">
        <f>Z1850</f>
        <v/>
      </c>
      <c r="Y1850" s="1">
        <f>X1850-A1850</f>
        <v/>
      </c>
      <c r="Z1850" s="5" t="n">
        <v>46197</v>
      </c>
      <c r="AA1850" s="3" t="n"/>
      <c r="AB1850" s="3" t="n"/>
      <c r="AE1850" s="146">
        <f>IF(AND(F1850="Closed",X1850&gt;=DATE(2026,6,1),X1850&lt;=DATE(2026,6,30)),"Closed in June","other")</f>
        <v/>
      </c>
    </row>
    <row r="1851" hidden="1">
      <c r="A1851" s="49" t="n">
        <v>46177</v>
      </c>
      <c r="B1851" s="1" t="n">
        <v>2026</v>
      </c>
      <c r="C1851" s="8" t="inlineStr">
        <is>
          <t>Ayana</t>
        </is>
      </c>
      <c r="D1851" s="11" t="inlineStr">
        <is>
          <t>Utility and C&amp;I</t>
        </is>
      </c>
      <c r="E1851" s="1" t="n"/>
      <c r="F1851" s="1" t="inlineStr">
        <is>
          <t>Closed</t>
        </is>
      </c>
      <c r="G1851" s="11" t="inlineStr">
        <is>
          <t>Vasu.N</t>
        </is>
      </c>
      <c r="H1851" s="8" t="n">
        <v>9578099893</v>
      </c>
      <c r="I1851" s="10" t="inlineStr">
        <is>
          <t>PE04062601</t>
        </is>
      </c>
      <c r="J1851" s="28" t="inlineStr">
        <is>
          <t>Module burnt</t>
        </is>
      </c>
      <c r="K1851" s="8" t="inlineStr">
        <is>
          <t>Zura</t>
        </is>
      </c>
      <c r="L1851" s="39" t="inlineStr">
        <is>
          <t>Gujarat</t>
        </is>
      </c>
      <c r="M1851" s="2" t="inlineStr">
        <is>
          <t xml:space="preserve">damage </t>
        </is>
      </c>
      <c r="N1851" s="6" t="inlineStr">
        <is>
          <t>Module Breakage</t>
        </is>
      </c>
      <c r="O1851" s="32" t="n">
        <v>590</v>
      </c>
      <c r="P1851" s="2" t="inlineStr">
        <is>
          <t>NSMI24100588917</t>
        </is>
      </c>
      <c r="Q1851" s="29">
        <f>MID(P1851,5,2)</f>
        <v/>
      </c>
      <c r="R1851" s="14">
        <f>MID(P1851,7,2)</f>
        <v/>
      </c>
      <c r="S1851" s="6" t="inlineStr">
        <is>
          <t>G2G</t>
        </is>
      </c>
      <c r="T1851" s="1" t="inlineStr">
        <is>
          <t>P4 - PEIPL</t>
        </is>
      </c>
      <c r="U1851" s="2" t="inlineStr">
        <is>
          <t xml:space="preserve">physically damaged </t>
        </is>
      </c>
      <c r="V1851" s="1" t="inlineStr">
        <is>
          <t>Inspection</t>
        </is>
      </c>
      <c r="W1851" s="1" t="inlineStr">
        <is>
          <t>Rejected</t>
        </is>
      </c>
      <c r="X1851" s="5">
        <f>Z1851</f>
        <v/>
      </c>
      <c r="Y1851" s="1">
        <f>X1851-A1851</f>
        <v/>
      </c>
      <c r="Z1851" s="5" t="n">
        <v>46197</v>
      </c>
      <c r="AA1851" s="3" t="n"/>
      <c r="AB1851" s="3" t="n"/>
      <c r="AE1851" s="146">
        <f>IF(AND(F1851="Closed",X1851&gt;=DATE(2026,6,1),X1851&lt;=DATE(2026,6,30)),"Closed in June","other")</f>
        <v/>
      </c>
    </row>
    <row r="1852" hidden="1">
      <c r="A1852" s="49" t="n">
        <v>46177</v>
      </c>
      <c r="B1852" s="1" t="n">
        <v>2026</v>
      </c>
      <c r="C1852" s="8" t="inlineStr">
        <is>
          <t>Ayana</t>
        </is>
      </c>
      <c r="D1852" s="11" t="inlineStr">
        <is>
          <t>Utility and C&amp;I</t>
        </is>
      </c>
      <c r="E1852" s="1" t="n"/>
      <c r="F1852" s="1" t="inlineStr">
        <is>
          <t>Closed</t>
        </is>
      </c>
      <c r="G1852" s="11" t="inlineStr">
        <is>
          <t>Vasu.N</t>
        </is>
      </c>
      <c r="H1852" s="8" t="n">
        <v>9578099893</v>
      </c>
      <c r="I1852" s="10" t="inlineStr">
        <is>
          <t>PE04062601</t>
        </is>
      </c>
      <c r="J1852" s="28" t="inlineStr">
        <is>
          <t>Module burnt</t>
        </is>
      </c>
      <c r="K1852" s="8" t="inlineStr">
        <is>
          <t>Zura</t>
        </is>
      </c>
      <c r="L1852" s="39" t="inlineStr">
        <is>
          <t>Gujarat</t>
        </is>
      </c>
      <c r="M1852" s="2" t="inlineStr">
        <is>
          <t xml:space="preserve">damage </t>
        </is>
      </c>
      <c r="N1852" s="6" t="inlineStr">
        <is>
          <t>Module Breakage</t>
        </is>
      </c>
      <c r="O1852" s="32" t="n">
        <v>590</v>
      </c>
      <c r="P1852" s="2" t="inlineStr">
        <is>
          <t>NSMI24110823836</t>
        </is>
      </c>
      <c r="Q1852" s="29">
        <f>MID(P1852,5,2)</f>
        <v/>
      </c>
      <c r="R1852" s="14">
        <f>MID(P1852,7,2)</f>
        <v/>
      </c>
      <c r="S1852" s="6" t="inlineStr">
        <is>
          <t>G2G</t>
        </is>
      </c>
      <c r="T1852" s="1" t="inlineStr">
        <is>
          <t>P4 - PEIPL</t>
        </is>
      </c>
      <c r="U1852" s="2" t="inlineStr">
        <is>
          <t xml:space="preserve">physically damaged </t>
        </is>
      </c>
      <c r="V1852" s="1" t="inlineStr">
        <is>
          <t>Inspection</t>
        </is>
      </c>
      <c r="W1852" s="1" t="inlineStr">
        <is>
          <t>Rejected</t>
        </is>
      </c>
      <c r="X1852" s="5">
        <f>Z1852</f>
        <v/>
      </c>
      <c r="Y1852" s="1">
        <f>X1852-A1852</f>
        <v/>
      </c>
      <c r="Z1852" s="5" t="n">
        <v>46197</v>
      </c>
      <c r="AA1852" s="3" t="n"/>
      <c r="AB1852" s="3" t="n"/>
      <c r="AE1852" s="146">
        <f>IF(AND(F1852="Closed",X1852&gt;=DATE(2026,6,1),X1852&lt;=DATE(2026,6,30)),"Closed in June","other")</f>
        <v/>
      </c>
    </row>
    <row r="1853" hidden="1">
      <c r="A1853" s="49" t="n">
        <v>46177</v>
      </c>
      <c r="B1853" s="1" t="n">
        <v>2026</v>
      </c>
      <c r="C1853" s="8" t="inlineStr">
        <is>
          <t>Ayana</t>
        </is>
      </c>
      <c r="D1853" s="11" t="inlineStr">
        <is>
          <t>Utility and C&amp;I</t>
        </is>
      </c>
      <c r="E1853" s="1" t="n"/>
      <c r="F1853" s="1" t="inlineStr">
        <is>
          <t>Closed</t>
        </is>
      </c>
      <c r="G1853" s="11" t="inlineStr">
        <is>
          <t>Vasu.N</t>
        </is>
      </c>
      <c r="H1853" s="8" t="n">
        <v>9578099893</v>
      </c>
      <c r="I1853" s="10" t="inlineStr">
        <is>
          <t>PE04062601</t>
        </is>
      </c>
      <c r="J1853" s="28" t="inlineStr">
        <is>
          <t>Module burnt</t>
        </is>
      </c>
      <c r="K1853" s="8" t="inlineStr">
        <is>
          <t>Zura</t>
        </is>
      </c>
      <c r="L1853" s="39" t="inlineStr">
        <is>
          <t>Gujarat</t>
        </is>
      </c>
      <c r="M1853" s="2" t="inlineStr">
        <is>
          <t xml:space="preserve">damage </t>
        </is>
      </c>
      <c r="N1853" s="6" t="inlineStr">
        <is>
          <t>Module Breakage</t>
        </is>
      </c>
      <c r="O1853" s="32" t="n">
        <v>590</v>
      </c>
      <c r="P1853" s="2" t="inlineStr">
        <is>
          <t>NSMI24110806172</t>
        </is>
      </c>
      <c r="Q1853" s="29">
        <f>MID(P1853,5,2)</f>
        <v/>
      </c>
      <c r="R1853" s="14">
        <f>MID(P1853,7,2)</f>
        <v/>
      </c>
      <c r="S1853" s="6" t="inlineStr">
        <is>
          <t>G2G</t>
        </is>
      </c>
      <c r="T1853" s="1" t="inlineStr">
        <is>
          <t>P4 - PEIPL</t>
        </is>
      </c>
      <c r="U1853" s="2" t="inlineStr">
        <is>
          <t xml:space="preserve">physically damaged </t>
        </is>
      </c>
      <c r="V1853" s="1" t="inlineStr">
        <is>
          <t>Inspection</t>
        </is>
      </c>
      <c r="W1853" s="1" t="inlineStr">
        <is>
          <t>Rejected</t>
        </is>
      </c>
      <c r="X1853" s="5">
        <f>Z1853</f>
        <v/>
      </c>
      <c r="Y1853" s="1">
        <f>X1853-A1853</f>
        <v/>
      </c>
      <c r="Z1853" s="5" t="n">
        <v>46197</v>
      </c>
      <c r="AA1853" s="3" t="n"/>
      <c r="AB1853" s="3" t="n"/>
      <c r="AE1853" s="146">
        <f>IF(AND(F1853="Closed",X1853&gt;=DATE(2026,6,1),X1853&lt;=DATE(2026,6,30)),"Closed in June","other")</f>
        <v/>
      </c>
    </row>
    <row r="1854" hidden="1">
      <c r="A1854" s="49" t="n">
        <v>46177</v>
      </c>
      <c r="B1854" s="1" t="n">
        <v>2026</v>
      </c>
      <c r="C1854" s="8" t="inlineStr">
        <is>
          <t>Ayana</t>
        </is>
      </c>
      <c r="D1854" s="11" t="inlineStr">
        <is>
          <t>Utility and C&amp;I</t>
        </is>
      </c>
      <c r="E1854" s="1" t="n"/>
      <c r="F1854" s="1" t="inlineStr">
        <is>
          <t>Closed</t>
        </is>
      </c>
      <c r="G1854" s="11" t="inlineStr">
        <is>
          <t>Vasu.N</t>
        </is>
      </c>
      <c r="H1854" s="8" t="n">
        <v>9578099893</v>
      </c>
      <c r="I1854" s="10" t="inlineStr">
        <is>
          <t>PE04062601</t>
        </is>
      </c>
      <c r="J1854" s="28" t="inlineStr">
        <is>
          <t>Module burnt</t>
        </is>
      </c>
      <c r="K1854" s="8" t="inlineStr">
        <is>
          <t>Zura</t>
        </is>
      </c>
      <c r="L1854" s="39" t="inlineStr">
        <is>
          <t>Gujarat</t>
        </is>
      </c>
      <c r="M1854" s="2" t="inlineStr">
        <is>
          <t xml:space="preserve">damage </t>
        </is>
      </c>
      <c r="N1854" s="6" t="inlineStr">
        <is>
          <t>Module Breakage</t>
        </is>
      </c>
      <c r="O1854" s="32" t="n">
        <v>590</v>
      </c>
      <c r="P1854" s="2" t="inlineStr">
        <is>
          <t>NSMI24100627845</t>
        </is>
      </c>
      <c r="Q1854" s="29">
        <f>MID(P1854,5,2)</f>
        <v/>
      </c>
      <c r="R1854" s="14">
        <f>MID(P1854,7,2)</f>
        <v/>
      </c>
      <c r="S1854" s="6" t="inlineStr">
        <is>
          <t>G2G</t>
        </is>
      </c>
      <c r="T1854" s="1" t="inlineStr">
        <is>
          <t>P4 - PEIPL</t>
        </is>
      </c>
      <c r="U1854" s="2" t="inlineStr">
        <is>
          <t xml:space="preserve">physically damaged </t>
        </is>
      </c>
      <c r="V1854" s="1" t="inlineStr">
        <is>
          <t>Inspection</t>
        </is>
      </c>
      <c r="W1854" s="1" t="inlineStr">
        <is>
          <t>Rejected</t>
        </is>
      </c>
      <c r="X1854" s="5">
        <f>Z1854</f>
        <v/>
      </c>
      <c r="Y1854" s="1">
        <f>X1854-A1854</f>
        <v/>
      </c>
      <c r="Z1854" s="5" t="n">
        <v>46197</v>
      </c>
      <c r="AA1854" s="3" t="n"/>
      <c r="AB1854" s="3" t="n"/>
      <c r="AE1854" s="146">
        <f>IF(AND(F1854="Closed",X1854&gt;=DATE(2026,6,1),X1854&lt;=DATE(2026,6,30)),"Closed in June","other")</f>
        <v/>
      </c>
    </row>
    <row r="1855" hidden="1">
      <c r="A1855" s="49" t="n">
        <v>46177</v>
      </c>
      <c r="B1855" s="1" t="n">
        <v>2026</v>
      </c>
      <c r="C1855" s="8" t="inlineStr">
        <is>
          <t>Ayana</t>
        </is>
      </c>
      <c r="D1855" s="11" t="inlineStr">
        <is>
          <t>Utility and C&amp;I</t>
        </is>
      </c>
      <c r="E1855" s="1" t="n"/>
      <c r="F1855" s="1" t="inlineStr">
        <is>
          <t>Closed</t>
        </is>
      </c>
      <c r="G1855" s="11" t="inlineStr">
        <is>
          <t>Vasu.N</t>
        </is>
      </c>
      <c r="H1855" s="8" t="n">
        <v>9578099893</v>
      </c>
      <c r="I1855" s="10" t="inlineStr">
        <is>
          <t>PE04062601</t>
        </is>
      </c>
      <c r="J1855" s="28" t="inlineStr">
        <is>
          <t>Module burnt</t>
        </is>
      </c>
      <c r="K1855" s="8" t="inlineStr">
        <is>
          <t>Zura</t>
        </is>
      </c>
      <c r="L1855" s="39" t="inlineStr">
        <is>
          <t>Gujarat</t>
        </is>
      </c>
      <c r="M1855" s="2" t="inlineStr">
        <is>
          <t xml:space="preserve">damage </t>
        </is>
      </c>
      <c r="N1855" s="6" t="inlineStr">
        <is>
          <t>Module Breakage</t>
        </is>
      </c>
      <c r="O1855" s="32" t="n">
        <v>590</v>
      </c>
      <c r="P1855" s="2" t="inlineStr">
        <is>
          <t>NSMI24100571202</t>
        </is>
      </c>
      <c r="Q1855" s="29">
        <f>MID(P1855,5,2)</f>
        <v/>
      </c>
      <c r="R1855" s="14">
        <f>MID(P1855,7,2)</f>
        <v/>
      </c>
      <c r="S1855" s="6" t="inlineStr">
        <is>
          <t>G2G</t>
        </is>
      </c>
      <c r="T1855" s="1" t="inlineStr">
        <is>
          <t>P4 - PEIPL</t>
        </is>
      </c>
      <c r="U1855" s="2" t="inlineStr">
        <is>
          <t xml:space="preserve">physically damaged </t>
        </is>
      </c>
      <c r="V1855" s="1" t="inlineStr">
        <is>
          <t>Inspection</t>
        </is>
      </c>
      <c r="W1855" s="1" t="inlineStr">
        <is>
          <t>Rejected</t>
        </is>
      </c>
      <c r="X1855" s="5">
        <f>Z1855</f>
        <v/>
      </c>
      <c r="Y1855" s="1">
        <f>X1855-A1855</f>
        <v/>
      </c>
      <c r="Z1855" s="5" t="n">
        <v>46197</v>
      </c>
      <c r="AA1855" s="3" t="n"/>
      <c r="AB1855" s="3" t="n"/>
      <c r="AE1855" s="146">
        <f>IF(AND(F1855="Closed",X1855&gt;=DATE(2026,6,1),X1855&lt;=DATE(2026,6,30)),"Closed in June","other")</f>
        <v/>
      </c>
    </row>
    <row r="1856" hidden="1">
      <c r="A1856" s="49" t="n">
        <v>46177</v>
      </c>
      <c r="B1856" s="1" t="n">
        <v>2026</v>
      </c>
      <c r="C1856" s="8" t="inlineStr">
        <is>
          <t>Ayana</t>
        </is>
      </c>
      <c r="D1856" s="11" t="inlineStr">
        <is>
          <t>Utility and C&amp;I</t>
        </is>
      </c>
      <c r="E1856" s="1" t="n"/>
      <c r="F1856" s="1" t="inlineStr">
        <is>
          <t>Closed</t>
        </is>
      </c>
      <c r="G1856" s="11" t="inlineStr">
        <is>
          <t>Vasu.N</t>
        </is>
      </c>
      <c r="H1856" s="8" t="n">
        <v>9578099893</v>
      </c>
      <c r="I1856" s="10" t="inlineStr">
        <is>
          <t>PE04062601</t>
        </is>
      </c>
      <c r="J1856" s="28" t="inlineStr">
        <is>
          <t>Module burnt</t>
        </is>
      </c>
      <c r="K1856" s="8" t="inlineStr">
        <is>
          <t>Zura</t>
        </is>
      </c>
      <c r="L1856" s="39" t="inlineStr">
        <is>
          <t>Gujarat</t>
        </is>
      </c>
      <c r="M1856" s="2" t="inlineStr">
        <is>
          <t xml:space="preserve">damage </t>
        </is>
      </c>
      <c r="N1856" s="6" t="inlineStr">
        <is>
          <t>Module Breakage</t>
        </is>
      </c>
      <c r="O1856" s="32" t="n">
        <v>590</v>
      </c>
      <c r="P1856" s="2" t="inlineStr">
        <is>
          <t>NSMI24100627416</t>
        </is>
      </c>
      <c r="Q1856" s="29">
        <f>MID(P1856,5,2)</f>
        <v/>
      </c>
      <c r="R1856" s="14">
        <f>MID(P1856,7,2)</f>
        <v/>
      </c>
      <c r="S1856" s="6" t="inlineStr">
        <is>
          <t>G2G</t>
        </is>
      </c>
      <c r="T1856" s="1" t="inlineStr">
        <is>
          <t>P4 - PEIPL</t>
        </is>
      </c>
      <c r="U1856" s="2" t="inlineStr">
        <is>
          <t xml:space="preserve">physically damaged </t>
        </is>
      </c>
      <c r="V1856" s="1" t="inlineStr">
        <is>
          <t>Inspection</t>
        </is>
      </c>
      <c r="W1856" s="1" t="inlineStr">
        <is>
          <t>Rejected</t>
        </is>
      </c>
      <c r="X1856" s="5">
        <f>Z1856</f>
        <v/>
      </c>
      <c r="Y1856" s="1">
        <f>X1856-A1856</f>
        <v/>
      </c>
      <c r="Z1856" s="5" t="n">
        <v>46197</v>
      </c>
      <c r="AA1856" s="3" t="n"/>
      <c r="AB1856" s="3" t="n"/>
      <c r="AE1856" s="146">
        <f>IF(AND(F1856="Closed",X1856&gt;=DATE(2026,6,1),X1856&lt;=DATE(2026,6,30)),"Closed in June","other")</f>
        <v/>
      </c>
    </row>
    <row r="1857" hidden="1">
      <c r="A1857" s="49" t="n">
        <v>46177</v>
      </c>
      <c r="B1857" s="1" t="n">
        <v>2026</v>
      </c>
      <c r="C1857" s="8" t="inlineStr">
        <is>
          <t>Ayana</t>
        </is>
      </c>
      <c r="D1857" s="11" t="inlineStr">
        <is>
          <t>Utility and C&amp;I</t>
        </is>
      </c>
      <c r="E1857" s="1" t="n"/>
      <c r="F1857" s="1" t="inlineStr">
        <is>
          <t>Closed</t>
        </is>
      </c>
      <c r="G1857" s="11" t="inlineStr">
        <is>
          <t>Vasu.N</t>
        </is>
      </c>
      <c r="H1857" s="8" t="n">
        <v>9578099893</v>
      </c>
      <c r="I1857" s="10" t="inlineStr">
        <is>
          <t>PE04062601</t>
        </is>
      </c>
      <c r="J1857" s="28" t="inlineStr">
        <is>
          <t>Module burnt</t>
        </is>
      </c>
      <c r="K1857" s="8" t="inlineStr">
        <is>
          <t>Zura</t>
        </is>
      </c>
      <c r="L1857" s="39" t="inlineStr">
        <is>
          <t>Gujarat</t>
        </is>
      </c>
      <c r="M1857" s="2" t="inlineStr">
        <is>
          <t xml:space="preserve">damage </t>
        </is>
      </c>
      <c r="N1857" s="6" t="inlineStr">
        <is>
          <t>Module Breakage</t>
        </is>
      </c>
      <c r="O1857" s="32" t="n">
        <v>590</v>
      </c>
      <c r="P1857" s="2" t="inlineStr">
        <is>
          <t>NSMI24110796351</t>
        </is>
      </c>
      <c r="Q1857" s="29">
        <f>MID(P1857,5,2)</f>
        <v/>
      </c>
      <c r="R1857" s="14">
        <f>MID(P1857,7,2)</f>
        <v/>
      </c>
      <c r="S1857" s="6" t="inlineStr">
        <is>
          <t>G2G</t>
        </is>
      </c>
      <c r="T1857" s="1" t="inlineStr">
        <is>
          <t>P4 - PEIPL</t>
        </is>
      </c>
      <c r="U1857" s="2" t="inlineStr">
        <is>
          <t xml:space="preserve">physically damaged </t>
        </is>
      </c>
      <c r="V1857" s="1" t="inlineStr">
        <is>
          <t>Inspection</t>
        </is>
      </c>
      <c r="W1857" s="1" t="inlineStr">
        <is>
          <t>Rejected</t>
        </is>
      </c>
      <c r="X1857" s="5">
        <f>Z1857</f>
        <v/>
      </c>
      <c r="Y1857" s="1">
        <f>X1857-A1857</f>
        <v/>
      </c>
      <c r="Z1857" s="5" t="n">
        <v>46197</v>
      </c>
      <c r="AA1857" s="3" t="n"/>
      <c r="AB1857" s="3" t="n"/>
      <c r="AE1857" s="146">
        <f>IF(AND(F1857="Closed",X1857&gt;=DATE(2026,6,1),X1857&lt;=DATE(2026,6,30)),"Closed in June","other")</f>
        <v/>
      </c>
    </row>
    <row r="1858" hidden="1">
      <c r="A1858" s="49" t="n">
        <v>46177</v>
      </c>
      <c r="B1858" s="1" t="n">
        <v>2026</v>
      </c>
      <c r="C1858" s="8" t="inlineStr">
        <is>
          <t>Ayana</t>
        </is>
      </c>
      <c r="D1858" s="11" t="inlineStr">
        <is>
          <t>Utility and C&amp;I</t>
        </is>
      </c>
      <c r="E1858" s="1" t="n"/>
      <c r="F1858" s="1" t="inlineStr">
        <is>
          <t>Closed</t>
        </is>
      </c>
      <c r="G1858" s="11" t="inlineStr">
        <is>
          <t>Vasu.N</t>
        </is>
      </c>
      <c r="H1858" s="8" t="n">
        <v>9578099893</v>
      </c>
      <c r="I1858" s="10" t="inlineStr">
        <is>
          <t>PE04062601</t>
        </is>
      </c>
      <c r="J1858" s="28" t="inlineStr">
        <is>
          <t>Module burnt</t>
        </is>
      </c>
      <c r="K1858" s="8" t="inlineStr">
        <is>
          <t>Zura</t>
        </is>
      </c>
      <c r="L1858" s="39" t="inlineStr">
        <is>
          <t>Gujarat</t>
        </is>
      </c>
      <c r="M1858" s="2" t="inlineStr">
        <is>
          <t xml:space="preserve">damage </t>
        </is>
      </c>
      <c r="N1858" s="6" t="inlineStr">
        <is>
          <t>Module Breakage</t>
        </is>
      </c>
      <c r="O1858" s="32" t="n">
        <v>590</v>
      </c>
      <c r="P1858" s="2" t="inlineStr">
        <is>
          <t>NSMI24100685827</t>
        </is>
      </c>
      <c r="Q1858" s="29">
        <f>MID(P1858,5,2)</f>
        <v/>
      </c>
      <c r="R1858" s="14">
        <f>MID(P1858,7,2)</f>
        <v/>
      </c>
      <c r="S1858" s="6" t="inlineStr">
        <is>
          <t>G2G</t>
        </is>
      </c>
      <c r="T1858" s="1" t="inlineStr">
        <is>
          <t>P4 - PEIPL</t>
        </is>
      </c>
      <c r="U1858" s="2" t="inlineStr">
        <is>
          <t xml:space="preserve">physically damaged </t>
        </is>
      </c>
      <c r="V1858" s="1" t="inlineStr">
        <is>
          <t>Inspection</t>
        </is>
      </c>
      <c r="W1858" s="1" t="inlineStr">
        <is>
          <t>Rejected</t>
        </is>
      </c>
      <c r="X1858" s="5">
        <f>Z1858</f>
        <v/>
      </c>
      <c r="Y1858" s="1">
        <f>X1858-A1858</f>
        <v/>
      </c>
      <c r="Z1858" s="5" t="n">
        <v>46197</v>
      </c>
      <c r="AA1858" s="3" t="n"/>
      <c r="AB1858" s="3" t="n"/>
      <c r="AE1858" s="146">
        <f>IF(AND(F1858="Closed",X1858&gt;=DATE(2026,6,1),X1858&lt;=DATE(2026,6,30)),"Closed in June","other")</f>
        <v/>
      </c>
    </row>
    <row r="1859" hidden="1">
      <c r="A1859" s="49" t="n">
        <v>46177</v>
      </c>
      <c r="B1859" s="1" t="n">
        <v>2026</v>
      </c>
      <c r="C1859" s="8" t="inlineStr">
        <is>
          <t>Ayana</t>
        </is>
      </c>
      <c r="D1859" s="11" t="inlineStr">
        <is>
          <t>Utility and C&amp;I</t>
        </is>
      </c>
      <c r="E1859" s="1" t="n"/>
      <c r="F1859" s="1" t="inlineStr">
        <is>
          <t>Closed</t>
        </is>
      </c>
      <c r="G1859" s="11" t="inlineStr">
        <is>
          <t>Vasu.N</t>
        </is>
      </c>
      <c r="H1859" s="8" t="n">
        <v>9578099893</v>
      </c>
      <c r="I1859" s="10" t="inlineStr">
        <is>
          <t>PE04062601</t>
        </is>
      </c>
      <c r="J1859" s="28" t="inlineStr">
        <is>
          <t>Module burnt</t>
        </is>
      </c>
      <c r="K1859" s="8" t="inlineStr">
        <is>
          <t>Zura</t>
        </is>
      </c>
      <c r="L1859" s="39" t="inlineStr">
        <is>
          <t>Gujarat</t>
        </is>
      </c>
      <c r="M1859" s="2" t="inlineStr">
        <is>
          <t xml:space="preserve">damage </t>
        </is>
      </c>
      <c r="N1859" s="6" t="inlineStr">
        <is>
          <t>Module Breakage</t>
        </is>
      </c>
      <c r="O1859" s="32" t="n">
        <v>590</v>
      </c>
      <c r="P1859" s="2" t="inlineStr">
        <is>
          <t>NSMI24100685800</t>
        </is>
      </c>
      <c r="Q1859" s="29">
        <f>MID(P1859,5,2)</f>
        <v/>
      </c>
      <c r="R1859" s="14">
        <f>MID(P1859,7,2)</f>
        <v/>
      </c>
      <c r="S1859" s="6" t="inlineStr">
        <is>
          <t>G2G</t>
        </is>
      </c>
      <c r="T1859" s="1" t="inlineStr">
        <is>
          <t>P4 - PEIPL</t>
        </is>
      </c>
      <c r="U1859" s="2" t="inlineStr">
        <is>
          <t xml:space="preserve">physically damaged </t>
        </is>
      </c>
      <c r="V1859" s="1" t="inlineStr">
        <is>
          <t>Inspection</t>
        </is>
      </c>
      <c r="W1859" s="1" t="inlineStr">
        <is>
          <t>Rejected</t>
        </is>
      </c>
      <c r="X1859" s="5">
        <f>Z1859</f>
        <v/>
      </c>
      <c r="Y1859" s="1">
        <f>X1859-A1859</f>
        <v/>
      </c>
      <c r="Z1859" s="5" t="n">
        <v>46197</v>
      </c>
      <c r="AA1859" s="3" t="n"/>
      <c r="AB1859" s="3" t="n"/>
      <c r="AE1859" s="146">
        <f>IF(AND(F1859="Closed",X1859&gt;=DATE(2026,6,1),X1859&lt;=DATE(2026,6,30)),"Closed in June","other")</f>
        <v/>
      </c>
    </row>
    <row r="1860" hidden="1">
      <c r="A1860" s="49" t="n">
        <v>46177</v>
      </c>
      <c r="B1860" s="1" t="n">
        <v>2026</v>
      </c>
      <c r="C1860" s="8" t="inlineStr">
        <is>
          <t>Ayana</t>
        </is>
      </c>
      <c r="D1860" s="11" t="inlineStr">
        <is>
          <t>Utility and C&amp;I</t>
        </is>
      </c>
      <c r="E1860" s="1" t="n"/>
      <c r="F1860" s="1" t="inlineStr">
        <is>
          <t>Closed</t>
        </is>
      </c>
      <c r="G1860" s="11" t="inlineStr">
        <is>
          <t>Vasu.N</t>
        </is>
      </c>
      <c r="H1860" s="8" t="n">
        <v>9578099893</v>
      </c>
      <c r="I1860" s="10" t="inlineStr">
        <is>
          <t>PE04062601</t>
        </is>
      </c>
      <c r="J1860" s="28" t="inlineStr">
        <is>
          <t>Module burnt</t>
        </is>
      </c>
      <c r="K1860" s="8" t="inlineStr">
        <is>
          <t>Zura</t>
        </is>
      </c>
      <c r="L1860" s="39" t="inlineStr">
        <is>
          <t>Gujarat</t>
        </is>
      </c>
      <c r="M1860" s="2" t="inlineStr">
        <is>
          <t xml:space="preserve">damage </t>
        </is>
      </c>
      <c r="N1860" s="6" t="inlineStr">
        <is>
          <t>Module Breakage</t>
        </is>
      </c>
      <c r="O1860" s="32" t="n">
        <v>590</v>
      </c>
      <c r="P1860" s="2" t="inlineStr">
        <is>
          <t>NSMI24100685873</t>
        </is>
      </c>
      <c r="Q1860" s="29">
        <f>MID(P1860,5,2)</f>
        <v/>
      </c>
      <c r="R1860" s="14">
        <f>MID(P1860,7,2)</f>
        <v/>
      </c>
      <c r="S1860" s="6" t="inlineStr">
        <is>
          <t>G2G</t>
        </is>
      </c>
      <c r="T1860" s="1" t="inlineStr">
        <is>
          <t>P4 - PEIPL</t>
        </is>
      </c>
      <c r="U1860" s="2" t="inlineStr">
        <is>
          <t xml:space="preserve">physically damaged </t>
        </is>
      </c>
      <c r="V1860" s="1" t="inlineStr">
        <is>
          <t>Inspection</t>
        </is>
      </c>
      <c r="W1860" s="1" t="inlineStr">
        <is>
          <t>Rejected</t>
        </is>
      </c>
      <c r="X1860" s="5">
        <f>Z1860</f>
        <v/>
      </c>
      <c r="Y1860" s="1">
        <f>X1860-A1860</f>
        <v/>
      </c>
      <c r="Z1860" s="5" t="n">
        <v>46197</v>
      </c>
      <c r="AA1860" s="3" t="n"/>
      <c r="AB1860" s="3" t="n"/>
      <c r="AE1860" s="146">
        <f>IF(AND(F1860="Closed",X1860&gt;=DATE(2026,6,1),X1860&lt;=DATE(2026,6,30)),"Closed in June","other")</f>
        <v/>
      </c>
    </row>
    <row r="1861" hidden="1">
      <c r="A1861" s="49" t="n">
        <v>46177</v>
      </c>
      <c r="B1861" s="1" t="n">
        <v>2026</v>
      </c>
      <c r="C1861" s="8" t="inlineStr">
        <is>
          <t>Ayana</t>
        </is>
      </c>
      <c r="D1861" s="11" t="inlineStr">
        <is>
          <t>Utility and C&amp;I</t>
        </is>
      </c>
      <c r="E1861" s="1" t="n"/>
      <c r="F1861" s="1" t="inlineStr">
        <is>
          <t>Closed</t>
        </is>
      </c>
      <c r="G1861" s="11" t="inlineStr">
        <is>
          <t>Vasu.N</t>
        </is>
      </c>
      <c r="H1861" s="8" t="n">
        <v>9578099893</v>
      </c>
      <c r="I1861" s="10" t="inlineStr">
        <is>
          <t>PE04062601</t>
        </is>
      </c>
      <c r="J1861" s="28" t="inlineStr">
        <is>
          <t>Module burnt</t>
        </is>
      </c>
      <c r="K1861" s="8" t="inlineStr">
        <is>
          <t>Zura</t>
        </is>
      </c>
      <c r="L1861" s="39" t="inlineStr">
        <is>
          <t>Gujarat</t>
        </is>
      </c>
      <c r="M1861" s="2" t="inlineStr">
        <is>
          <t xml:space="preserve">damage </t>
        </is>
      </c>
      <c r="N1861" s="6" t="inlineStr">
        <is>
          <t>Module Breakage</t>
        </is>
      </c>
      <c r="O1861" s="32" t="n">
        <v>590</v>
      </c>
      <c r="P1861" s="2" t="inlineStr">
        <is>
          <t>NSMI24100689218</t>
        </is>
      </c>
      <c r="Q1861" s="29">
        <f>MID(P1861,5,2)</f>
        <v/>
      </c>
      <c r="R1861" s="14">
        <f>MID(P1861,7,2)</f>
        <v/>
      </c>
      <c r="S1861" s="6" t="inlineStr">
        <is>
          <t>G2G</t>
        </is>
      </c>
      <c r="T1861" s="1" t="inlineStr">
        <is>
          <t>P4 - PEIPL</t>
        </is>
      </c>
      <c r="U1861" s="2" t="inlineStr">
        <is>
          <t xml:space="preserve">physically damaged </t>
        </is>
      </c>
      <c r="V1861" s="1" t="inlineStr">
        <is>
          <t>Inspection</t>
        </is>
      </c>
      <c r="W1861" s="1" t="inlineStr">
        <is>
          <t>Rejected</t>
        </is>
      </c>
      <c r="X1861" s="5">
        <f>Z1861</f>
        <v/>
      </c>
      <c r="Y1861" s="1">
        <f>X1861-A1861</f>
        <v/>
      </c>
      <c r="Z1861" s="5" t="n">
        <v>46197</v>
      </c>
      <c r="AA1861" s="3" t="n"/>
      <c r="AB1861" s="3" t="n"/>
      <c r="AE1861" s="146">
        <f>IF(AND(F1861="Closed",X1861&gt;=DATE(2026,6,1),X1861&lt;=DATE(2026,6,30)),"Closed in June","other")</f>
        <v/>
      </c>
    </row>
    <row r="1862" hidden="1">
      <c r="A1862" s="49" t="n">
        <v>46177</v>
      </c>
      <c r="B1862" s="1" t="n">
        <v>2026</v>
      </c>
      <c r="C1862" s="8" t="inlineStr">
        <is>
          <t>Ayana</t>
        </is>
      </c>
      <c r="D1862" s="11" t="inlineStr">
        <is>
          <t>Utility and C&amp;I</t>
        </is>
      </c>
      <c r="E1862" s="1" t="n"/>
      <c r="F1862" s="1" t="inlineStr">
        <is>
          <t>Closed</t>
        </is>
      </c>
      <c r="G1862" s="11" t="inlineStr">
        <is>
          <t>Vasu.N</t>
        </is>
      </c>
      <c r="H1862" s="8" t="n">
        <v>9578099893</v>
      </c>
      <c r="I1862" s="10" t="inlineStr">
        <is>
          <t>PE04062601</t>
        </is>
      </c>
      <c r="J1862" s="28" t="inlineStr">
        <is>
          <t>Module burnt</t>
        </is>
      </c>
      <c r="K1862" s="8" t="inlineStr">
        <is>
          <t>Zura</t>
        </is>
      </c>
      <c r="L1862" s="39" t="inlineStr">
        <is>
          <t>Gujarat</t>
        </is>
      </c>
      <c r="M1862" s="2" t="inlineStr">
        <is>
          <t xml:space="preserve">damage </t>
        </is>
      </c>
      <c r="N1862" s="6" t="inlineStr">
        <is>
          <t>Module Breakage</t>
        </is>
      </c>
      <c r="O1862" s="32" t="n">
        <v>590</v>
      </c>
      <c r="P1862" s="2" t="inlineStr">
        <is>
          <t>NSMI24100650430</t>
        </is>
      </c>
      <c r="Q1862" s="29">
        <f>MID(P1862,5,2)</f>
        <v/>
      </c>
      <c r="R1862" s="14">
        <f>MID(P1862,7,2)</f>
        <v/>
      </c>
      <c r="S1862" s="6" t="inlineStr">
        <is>
          <t>G2G</t>
        </is>
      </c>
      <c r="T1862" s="1" t="inlineStr">
        <is>
          <t>P4 - PEIPL</t>
        </is>
      </c>
      <c r="U1862" s="2" t="inlineStr">
        <is>
          <t xml:space="preserve">physically damaged </t>
        </is>
      </c>
      <c r="V1862" s="1" t="inlineStr">
        <is>
          <t>Inspection</t>
        </is>
      </c>
      <c r="W1862" s="1" t="inlineStr">
        <is>
          <t>Rejected</t>
        </is>
      </c>
      <c r="X1862" s="5">
        <f>Z1862</f>
        <v/>
      </c>
      <c r="Y1862" s="1">
        <f>X1862-A1862</f>
        <v/>
      </c>
      <c r="Z1862" s="5" t="n">
        <v>46197</v>
      </c>
      <c r="AA1862" s="3" t="n"/>
      <c r="AB1862" s="3" t="n"/>
      <c r="AE1862" s="146">
        <f>IF(AND(F1862="Closed",X1862&gt;=DATE(2026,6,1),X1862&lt;=DATE(2026,6,30)),"Closed in June","other")</f>
        <v/>
      </c>
    </row>
    <row r="1863" hidden="1">
      <c r="A1863" s="49" t="n">
        <v>46177</v>
      </c>
      <c r="B1863" s="1" t="n">
        <v>2026</v>
      </c>
      <c r="C1863" s="8" t="inlineStr">
        <is>
          <t>Ayana</t>
        </is>
      </c>
      <c r="D1863" s="11" t="inlineStr">
        <is>
          <t>Utility and C&amp;I</t>
        </is>
      </c>
      <c r="E1863" s="1" t="n"/>
      <c r="F1863" s="1" t="inlineStr">
        <is>
          <t>Closed</t>
        </is>
      </c>
      <c r="G1863" s="11" t="inlineStr">
        <is>
          <t>Vasu.N</t>
        </is>
      </c>
      <c r="H1863" s="8" t="n">
        <v>9578099893</v>
      </c>
      <c r="I1863" s="10" t="inlineStr">
        <is>
          <t>PE04062601</t>
        </is>
      </c>
      <c r="J1863" s="28" t="inlineStr">
        <is>
          <t>Module burnt</t>
        </is>
      </c>
      <c r="K1863" s="8" t="inlineStr">
        <is>
          <t>Zura</t>
        </is>
      </c>
      <c r="L1863" s="39" t="inlineStr">
        <is>
          <t>Gujarat</t>
        </is>
      </c>
      <c r="M1863" s="2" t="inlineStr">
        <is>
          <t xml:space="preserve">damage </t>
        </is>
      </c>
      <c r="N1863" s="6" t="inlineStr">
        <is>
          <t>Module Breakage</t>
        </is>
      </c>
      <c r="O1863" s="32" t="n">
        <v>590</v>
      </c>
      <c r="P1863" s="2" t="inlineStr">
        <is>
          <t>NSMI24100650438</t>
        </is>
      </c>
      <c r="Q1863" s="29">
        <f>MID(P1863,5,2)</f>
        <v/>
      </c>
      <c r="R1863" s="14">
        <f>MID(P1863,7,2)</f>
        <v/>
      </c>
      <c r="S1863" s="6" t="inlineStr">
        <is>
          <t>G2G</t>
        </is>
      </c>
      <c r="T1863" s="1" t="inlineStr">
        <is>
          <t>P4 - PEIPL</t>
        </is>
      </c>
      <c r="U1863" s="2" t="inlineStr">
        <is>
          <t xml:space="preserve">physically damaged </t>
        </is>
      </c>
      <c r="V1863" s="1" t="inlineStr">
        <is>
          <t>Inspection</t>
        </is>
      </c>
      <c r="W1863" s="1" t="inlineStr">
        <is>
          <t>Rejected</t>
        </is>
      </c>
      <c r="X1863" s="5">
        <f>Z1863</f>
        <v/>
      </c>
      <c r="Y1863" s="1">
        <f>X1863-A1863</f>
        <v/>
      </c>
      <c r="Z1863" s="5" t="n">
        <v>46197</v>
      </c>
      <c r="AA1863" s="3" t="n"/>
      <c r="AB1863" s="3" t="n"/>
      <c r="AE1863" s="146">
        <f>IF(AND(F1863="Closed",X1863&gt;=DATE(2026,6,1),X1863&lt;=DATE(2026,6,30)),"Closed in June","other")</f>
        <v/>
      </c>
    </row>
    <row r="1864" hidden="1">
      <c r="A1864" s="49" t="n">
        <v>46177</v>
      </c>
      <c r="B1864" s="1" t="n">
        <v>2026</v>
      </c>
      <c r="C1864" s="8" t="inlineStr">
        <is>
          <t>Ayana</t>
        </is>
      </c>
      <c r="D1864" s="11" t="inlineStr">
        <is>
          <t>Utility and C&amp;I</t>
        </is>
      </c>
      <c r="E1864" s="1" t="n"/>
      <c r="F1864" s="1" t="inlineStr">
        <is>
          <t>Closed</t>
        </is>
      </c>
      <c r="G1864" s="11" t="inlineStr">
        <is>
          <t>Vasu.N</t>
        </is>
      </c>
      <c r="H1864" s="8" t="n">
        <v>9578099893</v>
      </c>
      <c r="I1864" s="10" t="inlineStr">
        <is>
          <t>PE04062601</t>
        </is>
      </c>
      <c r="J1864" s="28" t="inlineStr">
        <is>
          <t>Module burnt</t>
        </is>
      </c>
      <c r="K1864" s="8" t="inlineStr">
        <is>
          <t>Zura</t>
        </is>
      </c>
      <c r="L1864" s="39" t="inlineStr">
        <is>
          <t>Gujarat</t>
        </is>
      </c>
      <c r="M1864" s="2" t="inlineStr">
        <is>
          <t xml:space="preserve">damage </t>
        </is>
      </c>
      <c r="N1864" s="6" t="inlineStr">
        <is>
          <t>Module Breakage</t>
        </is>
      </c>
      <c r="O1864" s="32" t="n">
        <v>590</v>
      </c>
      <c r="P1864" s="2" t="inlineStr">
        <is>
          <t>NSMI24110842749</t>
        </is>
      </c>
      <c r="Q1864" s="29">
        <f>MID(P1864,5,2)</f>
        <v/>
      </c>
      <c r="R1864" s="14">
        <f>MID(P1864,7,2)</f>
        <v/>
      </c>
      <c r="S1864" s="6" t="inlineStr">
        <is>
          <t>G2G</t>
        </is>
      </c>
      <c r="T1864" s="1" t="inlineStr">
        <is>
          <t>P4 - PEIPL</t>
        </is>
      </c>
      <c r="U1864" s="2" t="inlineStr">
        <is>
          <t xml:space="preserve">physically damaged </t>
        </is>
      </c>
      <c r="V1864" s="1" t="inlineStr">
        <is>
          <t>Inspection</t>
        </is>
      </c>
      <c r="W1864" s="1" t="inlineStr">
        <is>
          <t>Rejected</t>
        </is>
      </c>
      <c r="X1864" s="5">
        <f>Z1864</f>
        <v/>
      </c>
      <c r="Y1864" s="1">
        <f>X1864-A1864</f>
        <v/>
      </c>
      <c r="Z1864" s="5" t="n">
        <v>46197</v>
      </c>
      <c r="AA1864" s="3" t="n"/>
      <c r="AB1864" s="3" t="n"/>
      <c r="AE1864" s="146">
        <f>IF(AND(F1864="Closed",X1864&gt;=DATE(2026,6,1),X1864&lt;=DATE(2026,6,30)),"Closed in June","other")</f>
        <v/>
      </c>
    </row>
    <row r="1865" hidden="1">
      <c r="A1865" s="49" t="n">
        <v>46177</v>
      </c>
      <c r="B1865" s="1" t="n">
        <v>2026</v>
      </c>
      <c r="C1865" s="8" t="inlineStr">
        <is>
          <t>Ayana</t>
        </is>
      </c>
      <c r="D1865" s="11" t="inlineStr">
        <is>
          <t>Utility and C&amp;I</t>
        </is>
      </c>
      <c r="E1865" s="1" t="n"/>
      <c r="F1865" s="1" t="inlineStr">
        <is>
          <t>Closed</t>
        </is>
      </c>
      <c r="G1865" s="11" t="inlineStr">
        <is>
          <t>Vasu.N</t>
        </is>
      </c>
      <c r="H1865" s="8" t="n">
        <v>9578099893</v>
      </c>
      <c r="I1865" s="10" t="inlineStr">
        <is>
          <t>PE04062601</t>
        </is>
      </c>
      <c r="J1865" s="28" t="inlineStr">
        <is>
          <t>Module burnt</t>
        </is>
      </c>
      <c r="K1865" s="8" t="inlineStr">
        <is>
          <t>Zura</t>
        </is>
      </c>
      <c r="L1865" s="39" t="inlineStr">
        <is>
          <t>Gujarat</t>
        </is>
      </c>
      <c r="M1865" s="2" t="inlineStr">
        <is>
          <t xml:space="preserve">damage </t>
        </is>
      </c>
      <c r="N1865" s="6" t="inlineStr">
        <is>
          <t>Module Breakage</t>
        </is>
      </c>
      <c r="O1865" s="32" t="n">
        <v>590</v>
      </c>
      <c r="P1865" s="2" t="inlineStr">
        <is>
          <t>NSMI24110842731</t>
        </is>
      </c>
      <c r="Q1865" s="29">
        <f>MID(P1865,5,2)</f>
        <v/>
      </c>
      <c r="R1865" s="14">
        <f>MID(P1865,7,2)</f>
        <v/>
      </c>
      <c r="S1865" s="6" t="inlineStr">
        <is>
          <t>G2G</t>
        </is>
      </c>
      <c r="T1865" s="1" t="inlineStr">
        <is>
          <t>P4 - PEIPL</t>
        </is>
      </c>
      <c r="U1865" s="2" t="inlineStr">
        <is>
          <t xml:space="preserve">physically damaged </t>
        </is>
      </c>
      <c r="V1865" s="1" t="inlineStr">
        <is>
          <t>Inspection</t>
        </is>
      </c>
      <c r="W1865" s="1" t="inlineStr">
        <is>
          <t>Rejected</t>
        </is>
      </c>
      <c r="X1865" s="5">
        <f>Z1865</f>
        <v/>
      </c>
      <c r="Y1865" s="1">
        <f>X1865-A1865</f>
        <v/>
      </c>
      <c r="Z1865" s="5" t="n">
        <v>46197</v>
      </c>
      <c r="AA1865" s="3" t="n"/>
      <c r="AB1865" s="3" t="n"/>
      <c r="AE1865" s="146">
        <f>IF(AND(F1865="Closed",X1865&gt;=DATE(2026,6,1),X1865&lt;=DATE(2026,6,30)),"Closed in June","other")</f>
        <v/>
      </c>
    </row>
    <row r="1866" hidden="1">
      <c r="A1866" s="49" t="n">
        <v>46177</v>
      </c>
      <c r="B1866" s="1" t="n">
        <v>2026</v>
      </c>
      <c r="C1866" s="8" t="inlineStr">
        <is>
          <t>Ayana</t>
        </is>
      </c>
      <c r="D1866" s="11" t="inlineStr">
        <is>
          <t>Utility and C&amp;I</t>
        </is>
      </c>
      <c r="E1866" s="1" t="n"/>
      <c r="F1866" s="1" t="inlineStr">
        <is>
          <t>Closed</t>
        </is>
      </c>
      <c r="G1866" s="11" t="inlineStr">
        <is>
          <t>Vasu.N</t>
        </is>
      </c>
      <c r="H1866" s="8" t="n">
        <v>9578099893</v>
      </c>
      <c r="I1866" s="10" t="inlineStr">
        <is>
          <t>PE04062601</t>
        </is>
      </c>
      <c r="J1866" s="28" t="inlineStr">
        <is>
          <t>Module burnt</t>
        </is>
      </c>
      <c r="K1866" s="8" t="inlineStr">
        <is>
          <t>Zura</t>
        </is>
      </c>
      <c r="L1866" s="39" t="inlineStr">
        <is>
          <t>Gujarat</t>
        </is>
      </c>
      <c r="M1866" s="2" t="inlineStr">
        <is>
          <t xml:space="preserve">damage </t>
        </is>
      </c>
      <c r="N1866" s="6" t="inlineStr">
        <is>
          <t>Module Breakage</t>
        </is>
      </c>
      <c r="O1866" s="32" t="n">
        <v>590</v>
      </c>
      <c r="P1866" s="2" t="inlineStr">
        <is>
          <t>NSMI24110825851</t>
        </is>
      </c>
      <c r="Q1866" s="29">
        <f>MID(P1866,5,2)</f>
        <v/>
      </c>
      <c r="R1866" s="14">
        <f>MID(P1866,7,2)</f>
        <v/>
      </c>
      <c r="S1866" s="6" t="inlineStr">
        <is>
          <t>G2G</t>
        </is>
      </c>
      <c r="T1866" s="1" t="inlineStr">
        <is>
          <t>P4 - PEIPL</t>
        </is>
      </c>
      <c r="U1866" s="2" t="inlineStr">
        <is>
          <t xml:space="preserve">physically damaged </t>
        </is>
      </c>
      <c r="V1866" s="1" t="inlineStr">
        <is>
          <t>Inspection</t>
        </is>
      </c>
      <c r="W1866" s="1" t="inlineStr">
        <is>
          <t>Rejected</t>
        </is>
      </c>
      <c r="X1866" s="5">
        <f>Z1866</f>
        <v/>
      </c>
      <c r="Y1866" s="1">
        <f>X1866-A1866</f>
        <v/>
      </c>
      <c r="Z1866" s="5" t="n">
        <v>46197</v>
      </c>
      <c r="AA1866" s="3" t="n"/>
      <c r="AB1866" s="3" t="n"/>
      <c r="AE1866" s="146">
        <f>IF(AND(F1866="Closed",X1866&gt;=DATE(2026,6,1),X1866&lt;=DATE(2026,6,30)),"Closed in June","other")</f>
        <v/>
      </c>
    </row>
    <row r="1867" hidden="1">
      <c r="A1867" s="49" t="n">
        <v>46177</v>
      </c>
      <c r="B1867" s="1" t="n">
        <v>2026</v>
      </c>
      <c r="C1867" s="8" t="inlineStr">
        <is>
          <t>Ayana</t>
        </is>
      </c>
      <c r="D1867" s="11" t="inlineStr">
        <is>
          <t>Utility and C&amp;I</t>
        </is>
      </c>
      <c r="E1867" s="1" t="n"/>
      <c r="F1867" s="1" t="inlineStr">
        <is>
          <t>Closed</t>
        </is>
      </c>
      <c r="G1867" s="11" t="inlineStr">
        <is>
          <t>Vasu.N</t>
        </is>
      </c>
      <c r="H1867" s="8" t="n">
        <v>9578099893</v>
      </c>
      <c r="I1867" s="10" t="inlineStr">
        <is>
          <t>PE04062601</t>
        </is>
      </c>
      <c r="J1867" s="28" t="inlineStr">
        <is>
          <t>Module burnt</t>
        </is>
      </c>
      <c r="K1867" s="8" t="inlineStr">
        <is>
          <t>Zura</t>
        </is>
      </c>
      <c r="L1867" s="39" t="inlineStr">
        <is>
          <t>Gujarat</t>
        </is>
      </c>
      <c r="M1867" s="2" t="inlineStr">
        <is>
          <t xml:space="preserve">damage </t>
        </is>
      </c>
      <c r="N1867" s="6" t="inlineStr">
        <is>
          <t>Module Breakage</t>
        </is>
      </c>
      <c r="O1867" s="32" t="n">
        <v>590</v>
      </c>
      <c r="P1867" s="2" t="inlineStr">
        <is>
          <t>NSMI24110820563</t>
        </is>
      </c>
      <c r="Q1867" s="29">
        <f>MID(P1867,5,2)</f>
        <v/>
      </c>
      <c r="R1867" s="14">
        <f>MID(P1867,7,2)</f>
        <v/>
      </c>
      <c r="S1867" s="6" t="inlineStr">
        <is>
          <t>G2G</t>
        </is>
      </c>
      <c r="T1867" s="1" t="inlineStr">
        <is>
          <t>P4 - PEIPL</t>
        </is>
      </c>
      <c r="U1867" s="2" t="inlineStr">
        <is>
          <t xml:space="preserve">physically damaged </t>
        </is>
      </c>
      <c r="V1867" s="1" t="inlineStr">
        <is>
          <t>Inspection</t>
        </is>
      </c>
      <c r="W1867" s="1" t="inlineStr">
        <is>
          <t>Rejected</t>
        </is>
      </c>
      <c r="X1867" s="5">
        <f>Z1867</f>
        <v/>
      </c>
      <c r="Y1867" s="1">
        <f>X1867-A1867</f>
        <v/>
      </c>
      <c r="Z1867" s="5" t="n">
        <v>46197</v>
      </c>
      <c r="AA1867" s="3" t="n"/>
      <c r="AB1867" s="3" t="n"/>
      <c r="AE1867" s="146">
        <f>IF(AND(F1867="Closed",X1867&gt;=DATE(2026,6,1),X1867&lt;=DATE(2026,6,30)),"Closed in June","other")</f>
        <v/>
      </c>
    </row>
    <row r="1868" hidden="1">
      <c r="A1868" s="49" t="n">
        <v>46177</v>
      </c>
      <c r="B1868" s="1" t="n">
        <v>2026</v>
      </c>
      <c r="C1868" s="8" t="inlineStr">
        <is>
          <t>Ayana</t>
        </is>
      </c>
      <c r="D1868" s="11" t="inlineStr">
        <is>
          <t>Utility and C&amp;I</t>
        </is>
      </c>
      <c r="E1868" s="1" t="n"/>
      <c r="F1868" s="1" t="inlineStr">
        <is>
          <t>Closed</t>
        </is>
      </c>
      <c r="G1868" s="11" t="inlineStr">
        <is>
          <t>Vasu.N</t>
        </is>
      </c>
      <c r="H1868" s="8" t="n">
        <v>9578099893</v>
      </c>
      <c r="I1868" s="10" t="inlineStr">
        <is>
          <t>PE04062601</t>
        </is>
      </c>
      <c r="J1868" s="28" t="inlineStr">
        <is>
          <t>Module burnt</t>
        </is>
      </c>
      <c r="K1868" s="8" t="inlineStr">
        <is>
          <t>Zura</t>
        </is>
      </c>
      <c r="L1868" s="39" t="inlineStr">
        <is>
          <t>Gujarat</t>
        </is>
      </c>
      <c r="M1868" s="2" t="inlineStr">
        <is>
          <t xml:space="preserve">damage </t>
        </is>
      </c>
      <c r="N1868" s="6" t="inlineStr">
        <is>
          <t>Module Breakage</t>
        </is>
      </c>
      <c r="O1868" s="32" t="n">
        <v>590</v>
      </c>
      <c r="P1868" s="2" t="inlineStr">
        <is>
          <t>NSMI24110825839</t>
        </is>
      </c>
      <c r="Q1868" s="29">
        <f>MID(P1868,5,2)</f>
        <v/>
      </c>
      <c r="R1868" s="14">
        <f>MID(P1868,7,2)</f>
        <v/>
      </c>
      <c r="S1868" s="6" t="inlineStr">
        <is>
          <t>G2G</t>
        </is>
      </c>
      <c r="T1868" s="1" t="inlineStr">
        <is>
          <t>P4 - PEIPL</t>
        </is>
      </c>
      <c r="U1868" s="2" t="inlineStr">
        <is>
          <t xml:space="preserve">physically damaged </t>
        </is>
      </c>
      <c r="V1868" s="1" t="inlineStr">
        <is>
          <t>Inspection</t>
        </is>
      </c>
      <c r="W1868" s="1" t="inlineStr">
        <is>
          <t>Rejected</t>
        </is>
      </c>
      <c r="X1868" s="5">
        <f>Z1868</f>
        <v/>
      </c>
      <c r="Y1868" s="1">
        <f>X1868-A1868</f>
        <v/>
      </c>
      <c r="Z1868" s="5" t="n">
        <v>46197</v>
      </c>
      <c r="AA1868" s="3" t="n"/>
      <c r="AB1868" s="3" t="n"/>
      <c r="AE1868" s="146">
        <f>IF(AND(F1868="Closed",X1868&gt;=DATE(2026,6,1),X1868&lt;=DATE(2026,6,30)),"Closed in June","other")</f>
        <v/>
      </c>
    </row>
    <row r="1869" hidden="1">
      <c r="A1869" s="49" t="n">
        <v>46177</v>
      </c>
      <c r="B1869" s="1" t="n">
        <v>2026</v>
      </c>
      <c r="C1869" s="8" t="inlineStr">
        <is>
          <t>Ayana</t>
        </is>
      </c>
      <c r="D1869" s="11" t="inlineStr">
        <is>
          <t>Utility and C&amp;I</t>
        </is>
      </c>
      <c r="E1869" s="1" t="n"/>
      <c r="F1869" s="1" t="inlineStr">
        <is>
          <t>Closed</t>
        </is>
      </c>
      <c r="G1869" s="11" t="inlineStr">
        <is>
          <t>Vasu.N</t>
        </is>
      </c>
      <c r="H1869" s="8" t="n">
        <v>9578099893</v>
      </c>
      <c r="I1869" s="10" t="inlineStr">
        <is>
          <t>PE04062601</t>
        </is>
      </c>
      <c r="J1869" s="28" t="inlineStr">
        <is>
          <t>Module burnt</t>
        </is>
      </c>
      <c r="K1869" s="8" t="inlineStr">
        <is>
          <t>Zura</t>
        </is>
      </c>
      <c r="L1869" s="39" t="inlineStr">
        <is>
          <t>Gujarat</t>
        </is>
      </c>
      <c r="M1869" s="2" t="inlineStr">
        <is>
          <t xml:space="preserve">damage </t>
        </is>
      </c>
      <c r="N1869" s="6" t="inlineStr">
        <is>
          <t>Module Breakage</t>
        </is>
      </c>
      <c r="O1869" s="32" t="n">
        <v>590</v>
      </c>
      <c r="P1869" s="2" t="inlineStr">
        <is>
          <t>NSMI24100689690</t>
        </is>
      </c>
      <c r="Q1869" s="29">
        <f>MID(P1869,5,2)</f>
        <v/>
      </c>
      <c r="R1869" s="14">
        <f>MID(P1869,7,2)</f>
        <v/>
      </c>
      <c r="S1869" s="6" t="inlineStr">
        <is>
          <t>G2G</t>
        </is>
      </c>
      <c r="T1869" s="1" t="inlineStr">
        <is>
          <t>P4 - PEIPL</t>
        </is>
      </c>
      <c r="U1869" s="2" t="inlineStr">
        <is>
          <t xml:space="preserve">physically damaged </t>
        </is>
      </c>
      <c r="V1869" s="1" t="inlineStr">
        <is>
          <t>Inspection</t>
        </is>
      </c>
      <c r="W1869" s="1" t="inlineStr">
        <is>
          <t>Rejected</t>
        </is>
      </c>
      <c r="X1869" s="5">
        <f>Z1869</f>
        <v/>
      </c>
      <c r="Y1869" s="1">
        <f>X1869-A1869</f>
        <v/>
      </c>
      <c r="Z1869" s="5" t="n">
        <v>46197</v>
      </c>
      <c r="AA1869" s="3" t="n"/>
      <c r="AB1869" s="3" t="n"/>
      <c r="AE1869" s="146">
        <f>IF(AND(F1869="Closed",X1869&gt;=DATE(2026,6,1),X1869&lt;=DATE(2026,6,30)),"Closed in June","other")</f>
        <v/>
      </c>
    </row>
    <row r="1870" hidden="1">
      <c r="A1870" s="49" t="n">
        <v>46177</v>
      </c>
      <c r="B1870" s="1" t="n">
        <v>2026</v>
      </c>
      <c r="C1870" s="8" t="inlineStr">
        <is>
          <t>Ayana</t>
        </is>
      </c>
      <c r="D1870" s="11" t="inlineStr">
        <is>
          <t>Utility and C&amp;I</t>
        </is>
      </c>
      <c r="E1870" s="1" t="n"/>
      <c r="F1870" s="1" t="inlineStr">
        <is>
          <t>Closed</t>
        </is>
      </c>
      <c r="G1870" s="11" t="inlineStr">
        <is>
          <t>Vasu.N</t>
        </is>
      </c>
      <c r="H1870" s="8" t="n">
        <v>9578099893</v>
      </c>
      <c r="I1870" s="10" t="inlineStr">
        <is>
          <t>PE04062601</t>
        </is>
      </c>
      <c r="J1870" s="28" t="inlineStr">
        <is>
          <t>Module burnt</t>
        </is>
      </c>
      <c r="K1870" s="8" t="inlineStr">
        <is>
          <t>Zura</t>
        </is>
      </c>
      <c r="L1870" s="39" t="inlineStr">
        <is>
          <t>Gujarat</t>
        </is>
      </c>
      <c r="M1870" s="2" t="inlineStr">
        <is>
          <t xml:space="preserve">damage </t>
        </is>
      </c>
      <c r="N1870" s="6" t="inlineStr">
        <is>
          <t>Module Breakage</t>
        </is>
      </c>
      <c r="O1870" s="32" t="n">
        <v>590</v>
      </c>
      <c r="P1870" s="2" t="inlineStr">
        <is>
          <t>NSMI24110817054</t>
        </is>
      </c>
      <c r="Q1870" s="29">
        <f>MID(P1870,5,2)</f>
        <v/>
      </c>
      <c r="R1870" s="14">
        <f>MID(P1870,7,2)</f>
        <v/>
      </c>
      <c r="S1870" s="6" t="inlineStr">
        <is>
          <t>G2G</t>
        </is>
      </c>
      <c r="T1870" s="1" t="inlineStr">
        <is>
          <t>P4 - PEIPL</t>
        </is>
      </c>
      <c r="U1870" s="2" t="inlineStr">
        <is>
          <t xml:space="preserve">physically damaged </t>
        </is>
      </c>
      <c r="V1870" s="1" t="inlineStr">
        <is>
          <t>Inspection</t>
        </is>
      </c>
      <c r="W1870" s="1" t="inlineStr">
        <is>
          <t>Rejected</t>
        </is>
      </c>
      <c r="X1870" s="5">
        <f>Z1870</f>
        <v/>
      </c>
      <c r="Y1870" s="1">
        <f>X1870-A1870</f>
        <v/>
      </c>
      <c r="Z1870" s="5" t="n">
        <v>46197</v>
      </c>
      <c r="AA1870" s="3" t="n"/>
      <c r="AB1870" s="3" t="n"/>
      <c r="AE1870" s="146">
        <f>IF(AND(F1870="Closed",X1870&gt;=DATE(2026,6,1),X1870&lt;=DATE(2026,6,30)),"Closed in June","other")</f>
        <v/>
      </c>
    </row>
    <row r="1871" hidden="1">
      <c r="A1871" s="49" t="n">
        <v>46177</v>
      </c>
      <c r="B1871" s="1" t="n">
        <v>2026</v>
      </c>
      <c r="C1871" s="8" t="inlineStr">
        <is>
          <t>Ayana</t>
        </is>
      </c>
      <c r="D1871" s="11" t="inlineStr">
        <is>
          <t>Utility and C&amp;I</t>
        </is>
      </c>
      <c r="E1871" s="1" t="n"/>
      <c r="F1871" s="1" t="inlineStr">
        <is>
          <t>Closed</t>
        </is>
      </c>
      <c r="G1871" s="11" t="inlineStr">
        <is>
          <t>Vasu.N</t>
        </is>
      </c>
      <c r="H1871" s="8" t="n">
        <v>9578099893</v>
      </c>
      <c r="I1871" s="10" t="inlineStr">
        <is>
          <t>PE04062601</t>
        </is>
      </c>
      <c r="J1871" s="28" t="inlineStr">
        <is>
          <t>Module burnt</t>
        </is>
      </c>
      <c r="K1871" s="8" t="inlineStr">
        <is>
          <t>Zura</t>
        </is>
      </c>
      <c r="L1871" s="39" t="inlineStr">
        <is>
          <t>Gujarat</t>
        </is>
      </c>
      <c r="M1871" s="2" t="inlineStr">
        <is>
          <t xml:space="preserve">damage </t>
        </is>
      </c>
      <c r="N1871" s="6" t="inlineStr">
        <is>
          <t>Module Breakage</t>
        </is>
      </c>
      <c r="O1871" s="32" t="n">
        <v>590</v>
      </c>
      <c r="P1871" s="2" t="inlineStr">
        <is>
          <t>NSMI24100598114</t>
        </is>
      </c>
      <c r="Q1871" s="29">
        <f>MID(P1871,5,2)</f>
        <v/>
      </c>
      <c r="R1871" s="14">
        <f>MID(P1871,7,2)</f>
        <v/>
      </c>
      <c r="S1871" s="6" t="inlineStr">
        <is>
          <t>G2G</t>
        </is>
      </c>
      <c r="T1871" s="1" t="inlineStr">
        <is>
          <t>P4 - PEIPL</t>
        </is>
      </c>
      <c r="U1871" s="2" t="inlineStr">
        <is>
          <t xml:space="preserve">physically damaged </t>
        </is>
      </c>
      <c r="V1871" s="1" t="inlineStr">
        <is>
          <t>Inspection</t>
        </is>
      </c>
      <c r="W1871" s="1" t="inlineStr">
        <is>
          <t>Rejected</t>
        </is>
      </c>
      <c r="X1871" s="5">
        <f>Z1871</f>
        <v/>
      </c>
      <c r="Y1871" s="1">
        <f>X1871-A1871</f>
        <v/>
      </c>
      <c r="Z1871" s="5" t="n">
        <v>46197</v>
      </c>
      <c r="AA1871" s="3" t="n"/>
      <c r="AB1871" s="3" t="n"/>
      <c r="AE1871" s="146">
        <f>IF(AND(F1871="Closed",X1871&gt;=DATE(2026,6,1),X1871&lt;=DATE(2026,6,30)),"Closed in June","other")</f>
        <v/>
      </c>
    </row>
    <row r="1872" hidden="1">
      <c r="A1872" s="49" t="n">
        <v>46177</v>
      </c>
      <c r="B1872" s="1" t="n">
        <v>2026</v>
      </c>
      <c r="C1872" s="8" t="inlineStr">
        <is>
          <t>Ayana</t>
        </is>
      </c>
      <c r="D1872" s="11" t="inlineStr">
        <is>
          <t>Utility and C&amp;I</t>
        </is>
      </c>
      <c r="E1872" s="1" t="n"/>
      <c r="F1872" s="1" t="inlineStr">
        <is>
          <t>Closed</t>
        </is>
      </c>
      <c r="G1872" s="11" t="inlineStr">
        <is>
          <t>Vasu.N</t>
        </is>
      </c>
      <c r="H1872" s="8" t="n">
        <v>9578099893</v>
      </c>
      <c r="I1872" s="10" t="inlineStr">
        <is>
          <t>PE04062601</t>
        </is>
      </c>
      <c r="J1872" s="28" t="inlineStr">
        <is>
          <t>Module burnt</t>
        </is>
      </c>
      <c r="K1872" s="8" t="inlineStr">
        <is>
          <t>Zura</t>
        </is>
      </c>
      <c r="L1872" s="39" t="inlineStr">
        <is>
          <t>Gujarat</t>
        </is>
      </c>
      <c r="M1872" s="2" t="inlineStr">
        <is>
          <t xml:space="preserve">damage </t>
        </is>
      </c>
      <c r="N1872" s="6" t="inlineStr">
        <is>
          <t>Module Breakage</t>
        </is>
      </c>
      <c r="O1872" s="32" t="n">
        <v>590</v>
      </c>
      <c r="P1872" s="2" t="inlineStr">
        <is>
          <t>NSMI24100635865</t>
        </is>
      </c>
      <c r="Q1872" s="29">
        <f>MID(P1872,5,2)</f>
        <v/>
      </c>
      <c r="R1872" s="14">
        <f>MID(P1872,7,2)</f>
        <v/>
      </c>
      <c r="S1872" s="6" t="inlineStr">
        <is>
          <t>G2G</t>
        </is>
      </c>
      <c r="T1872" s="1" t="inlineStr">
        <is>
          <t>P4 - PEIPL</t>
        </is>
      </c>
      <c r="U1872" s="2" t="inlineStr">
        <is>
          <t xml:space="preserve">physically damaged </t>
        </is>
      </c>
      <c r="V1872" s="1" t="inlineStr">
        <is>
          <t>Inspection</t>
        </is>
      </c>
      <c r="W1872" s="1" t="inlineStr">
        <is>
          <t>Rejected</t>
        </is>
      </c>
      <c r="X1872" s="5">
        <f>Z1872</f>
        <v/>
      </c>
      <c r="Y1872" s="1">
        <f>X1872-A1872</f>
        <v/>
      </c>
      <c r="Z1872" s="5" t="n">
        <v>46197</v>
      </c>
      <c r="AA1872" s="3" t="n"/>
      <c r="AB1872" s="3" t="n"/>
      <c r="AE1872" s="146">
        <f>IF(AND(F1872="Closed",X1872&gt;=DATE(2026,6,1),X1872&lt;=DATE(2026,6,30)),"Closed in June","other")</f>
        <v/>
      </c>
    </row>
    <row r="1873" hidden="1">
      <c r="A1873" s="49" t="n">
        <v>46177</v>
      </c>
      <c r="B1873" s="1" t="n">
        <v>2026</v>
      </c>
      <c r="C1873" s="8" t="inlineStr">
        <is>
          <t>Ayana</t>
        </is>
      </c>
      <c r="D1873" s="11" t="inlineStr">
        <is>
          <t>Utility and C&amp;I</t>
        </is>
      </c>
      <c r="E1873" s="1" t="n"/>
      <c r="F1873" s="1" t="inlineStr">
        <is>
          <t>Closed</t>
        </is>
      </c>
      <c r="G1873" s="11" t="inlineStr">
        <is>
          <t>Vasu.N</t>
        </is>
      </c>
      <c r="H1873" s="8" t="n">
        <v>9578099893</v>
      </c>
      <c r="I1873" s="10" t="inlineStr">
        <is>
          <t>PE04062601</t>
        </is>
      </c>
      <c r="J1873" s="28" t="inlineStr">
        <is>
          <t>Module burnt</t>
        </is>
      </c>
      <c r="K1873" s="8" t="inlineStr">
        <is>
          <t>Zura</t>
        </is>
      </c>
      <c r="L1873" s="39" t="inlineStr">
        <is>
          <t>Gujarat</t>
        </is>
      </c>
      <c r="M1873" s="2" t="inlineStr">
        <is>
          <t xml:space="preserve">damage </t>
        </is>
      </c>
      <c r="N1873" s="6" t="inlineStr">
        <is>
          <t>Module Breakage</t>
        </is>
      </c>
      <c r="O1873" s="32" t="n">
        <v>590</v>
      </c>
      <c r="P1873" s="2" t="inlineStr">
        <is>
          <t>NSMI24100627450</t>
        </is>
      </c>
      <c r="Q1873" s="29">
        <f>MID(P1873,5,2)</f>
        <v/>
      </c>
      <c r="R1873" s="14">
        <f>MID(P1873,7,2)</f>
        <v/>
      </c>
      <c r="S1873" s="6" t="inlineStr">
        <is>
          <t>G2G</t>
        </is>
      </c>
      <c r="T1873" s="1" t="inlineStr">
        <is>
          <t>P4 - PEIPL</t>
        </is>
      </c>
      <c r="U1873" s="2" t="inlineStr">
        <is>
          <t xml:space="preserve">physically damaged </t>
        </is>
      </c>
      <c r="V1873" s="1" t="inlineStr">
        <is>
          <t>Inspection</t>
        </is>
      </c>
      <c r="W1873" s="1" t="inlineStr">
        <is>
          <t>Rejected</t>
        </is>
      </c>
      <c r="X1873" s="5">
        <f>Z1873</f>
        <v/>
      </c>
      <c r="Y1873" s="1">
        <f>X1873-A1873</f>
        <v/>
      </c>
      <c r="Z1873" s="5" t="n">
        <v>46197</v>
      </c>
      <c r="AA1873" s="3" t="n"/>
      <c r="AB1873" s="3" t="n"/>
      <c r="AE1873" s="146">
        <f>IF(AND(F1873="Closed",X1873&gt;=DATE(2026,6,1),X1873&lt;=DATE(2026,6,30)),"Closed in June","other")</f>
        <v/>
      </c>
    </row>
    <row r="1874" hidden="1">
      <c r="A1874" s="49" t="n">
        <v>46177</v>
      </c>
      <c r="B1874" s="1" t="n">
        <v>2026</v>
      </c>
      <c r="C1874" s="8" t="inlineStr">
        <is>
          <t>Ayana</t>
        </is>
      </c>
      <c r="D1874" s="11" t="inlineStr">
        <is>
          <t>Utility and C&amp;I</t>
        </is>
      </c>
      <c r="E1874" s="1" t="n"/>
      <c r="F1874" s="1" t="inlineStr">
        <is>
          <t>Closed</t>
        </is>
      </c>
      <c r="G1874" s="11" t="inlineStr">
        <is>
          <t>Vasu.N</t>
        </is>
      </c>
      <c r="H1874" s="8" t="n">
        <v>9578099893</v>
      </c>
      <c r="I1874" s="10" t="inlineStr">
        <is>
          <t>PE04062601</t>
        </is>
      </c>
      <c r="J1874" s="28" t="inlineStr">
        <is>
          <t>Module burnt</t>
        </is>
      </c>
      <c r="K1874" s="8" t="inlineStr">
        <is>
          <t>Zura</t>
        </is>
      </c>
      <c r="L1874" s="39" t="inlineStr">
        <is>
          <t>Gujarat</t>
        </is>
      </c>
      <c r="M1874" s="2" t="inlineStr">
        <is>
          <t xml:space="preserve">damage </t>
        </is>
      </c>
      <c r="N1874" s="6" t="inlineStr">
        <is>
          <t>Module Breakage</t>
        </is>
      </c>
      <c r="O1874" s="32" t="n">
        <v>590</v>
      </c>
      <c r="P1874" s="2" t="inlineStr">
        <is>
          <t>NSMI24110848294</t>
        </is>
      </c>
      <c r="Q1874" s="29">
        <f>MID(P1874,5,2)</f>
        <v/>
      </c>
      <c r="R1874" s="14">
        <f>MID(P1874,7,2)</f>
        <v/>
      </c>
      <c r="S1874" s="6" t="inlineStr">
        <is>
          <t>G2G</t>
        </is>
      </c>
      <c r="T1874" s="1" t="inlineStr">
        <is>
          <t>P4 - PEIPL</t>
        </is>
      </c>
      <c r="U1874" s="2" t="inlineStr">
        <is>
          <t xml:space="preserve">physically damaged </t>
        </is>
      </c>
      <c r="V1874" s="1" t="inlineStr">
        <is>
          <t>Inspection</t>
        </is>
      </c>
      <c r="W1874" s="1" t="inlineStr">
        <is>
          <t>Rejected</t>
        </is>
      </c>
      <c r="X1874" s="5">
        <f>Z1874</f>
        <v/>
      </c>
      <c r="Y1874" s="1">
        <f>X1874-A1874</f>
        <v/>
      </c>
      <c r="Z1874" s="5" t="n">
        <v>46197</v>
      </c>
      <c r="AA1874" s="3" t="n"/>
      <c r="AB1874" s="3" t="n"/>
      <c r="AE1874" s="146">
        <f>IF(AND(F1874="Closed",X1874&gt;=DATE(2026,6,1),X1874&lt;=DATE(2026,6,30)),"Closed in June","other")</f>
        <v/>
      </c>
    </row>
    <row r="1875" hidden="1">
      <c r="A1875" s="49" t="n">
        <v>46177</v>
      </c>
      <c r="B1875" s="1" t="n">
        <v>2026</v>
      </c>
      <c r="C1875" s="8" t="inlineStr">
        <is>
          <t>Ayana</t>
        </is>
      </c>
      <c r="D1875" s="11" t="inlineStr">
        <is>
          <t>Utility and C&amp;I</t>
        </is>
      </c>
      <c r="E1875" s="1" t="n"/>
      <c r="F1875" s="1" t="inlineStr">
        <is>
          <t>Closed</t>
        </is>
      </c>
      <c r="G1875" s="11" t="inlineStr">
        <is>
          <t>Vasu.N</t>
        </is>
      </c>
      <c r="H1875" s="8" t="n">
        <v>9578099893</v>
      </c>
      <c r="I1875" s="10" t="inlineStr">
        <is>
          <t>PE04062601</t>
        </is>
      </c>
      <c r="J1875" s="28" t="inlineStr">
        <is>
          <t>Module burnt</t>
        </is>
      </c>
      <c r="K1875" s="8" t="inlineStr">
        <is>
          <t>Zura</t>
        </is>
      </c>
      <c r="L1875" s="39" t="inlineStr">
        <is>
          <t>Gujarat</t>
        </is>
      </c>
      <c r="M1875" s="2" t="inlineStr">
        <is>
          <t xml:space="preserve">damage </t>
        </is>
      </c>
      <c r="N1875" s="6" t="inlineStr">
        <is>
          <t>Module Breakage</t>
        </is>
      </c>
      <c r="O1875" s="32" t="n">
        <v>590</v>
      </c>
      <c r="P1875" s="2" t="inlineStr">
        <is>
          <t>NSMI24100607210</t>
        </is>
      </c>
      <c r="Q1875" s="29">
        <f>MID(P1875,5,2)</f>
        <v/>
      </c>
      <c r="R1875" s="14">
        <f>MID(P1875,7,2)</f>
        <v/>
      </c>
      <c r="S1875" s="6" t="inlineStr">
        <is>
          <t>G2G</t>
        </is>
      </c>
      <c r="T1875" s="1" t="inlineStr">
        <is>
          <t>P4 - PEIPL</t>
        </is>
      </c>
      <c r="U1875" s="2" t="inlineStr">
        <is>
          <t xml:space="preserve">physically damaged </t>
        </is>
      </c>
      <c r="V1875" s="1" t="inlineStr">
        <is>
          <t>Inspection</t>
        </is>
      </c>
      <c r="W1875" s="1" t="inlineStr">
        <is>
          <t>Rejected</t>
        </is>
      </c>
      <c r="X1875" s="5">
        <f>Z1875</f>
        <v/>
      </c>
      <c r="Y1875" s="1">
        <f>X1875-A1875</f>
        <v/>
      </c>
      <c r="Z1875" s="5" t="n">
        <v>46197</v>
      </c>
      <c r="AA1875" s="3" t="n"/>
      <c r="AB1875" s="3" t="n"/>
      <c r="AE1875" s="146">
        <f>IF(AND(F1875="Closed",X1875&gt;=DATE(2026,6,1),X1875&lt;=DATE(2026,6,30)),"Closed in June","other")</f>
        <v/>
      </c>
    </row>
    <row r="1876" hidden="1">
      <c r="A1876" s="49" t="n">
        <v>46177</v>
      </c>
      <c r="B1876" s="1" t="n">
        <v>2026</v>
      </c>
      <c r="C1876" s="8" t="inlineStr">
        <is>
          <t>Ayana</t>
        </is>
      </c>
      <c r="D1876" s="11" t="inlineStr">
        <is>
          <t>Utility and C&amp;I</t>
        </is>
      </c>
      <c r="E1876" s="1" t="n"/>
      <c r="F1876" s="1" t="inlineStr">
        <is>
          <t>Closed</t>
        </is>
      </c>
      <c r="G1876" s="11" t="inlineStr">
        <is>
          <t>Vasu.N</t>
        </is>
      </c>
      <c r="H1876" s="8" t="n">
        <v>9578099893</v>
      </c>
      <c r="I1876" s="10" t="inlineStr">
        <is>
          <t>PE04062601</t>
        </is>
      </c>
      <c r="J1876" s="28" t="inlineStr">
        <is>
          <t>Module burnt</t>
        </is>
      </c>
      <c r="K1876" s="8" t="inlineStr">
        <is>
          <t>Zura</t>
        </is>
      </c>
      <c r="L1876" s="39" t="inlineStr">
        <is>
          <t>Gujarat</t>
        </is>
      </c>
      <c r="M1876" s="2" t="inlineStr">
        <is>
          <t xml:space="preserve">damage </t>
        </is>
      </c>
      <c r="N1876" s="6" t="inlineStr">
        <is>
          <t>Module Breakage</t>
        </is>
      </c>
      <c r="O1876" s="32" t="n">
        <v>590</v>
      </c>
      <c r="P1876" s="2" t="inlineStr">
        <is>
          <t>NSMI24100631515</t>
        </is>
      </c>
      <c r="Q1876" s="29">
        <f>MID(P1876,5,2)</f>
        <v/>
      </c>
      <c r="R1876" s="14">
        <f>MID(P1876,7,2)</f>
        <v/>
      </c>
      <c r="S1876" s="6" t="inlineStr">
        <is>
          <t>G2G</t>
        </is>
      </c>
      <c r="T1876" s="1" t="inlineStr">
        <is>
          <t>P4 - PEIPL</t>
        </is>
      </c>
      <c r="U1876" s="2" t="inlineStr">
        <is>
          <t xml:space="preserve">physically damaged </t>
        </is>
      </c>
      <c r="V1876" s="1" t="inlineStr">
        <is>
          <t>Inspection</t>
        </is>
      </c>
      <c r="W1876" s="1" t="inlineStr">
        <is>
          <t>Rejected</t>
        </is>
      </c>
      <c r="X1876" s="5">
        <f>Z1876</f>
        <v/>
      </c>
      <c r="Y1876" s="1">
        <f>X1876-A1876</f>
        <v/>
      </c>
      <c r="Z1876" s="5" t="n">
        <v>46197</v>
      </c>
      <c r="AA1876" s="3" t="n"/>
      <c r="AB1876" s="3" t="n"/>
      <c r="AE1876" s="146">
        <f>IF(AND(F1876="Closed",X1876&gt;=DATE(2026,6,1),X1876&lt;=DATE(2026,6,30)),"Closed in June","other")</f>
        <v/>
      </c>
    </row>
    <row r="1877" hidden="1">
      <c r="A1877" s="49" t="n">
        <v>46177</v>
      </c>
      <c r="B1877" s="1" t="n">
        <v>2026</v>
      </c>
      <c r="C1877" s="8" t="inlineStr">
        <is>
          <t>Ayana</t>
        </is>
      </c>
      <c r="D1877" s="11" t="inlineStr">
        <is>
          <t>Utility and C&amp;I</t>
        </is>
      </c>
      <c r="E1877" s="1" t="n"/>
      <c r="F1877" s="1" t="inlineStr">
        <is>
          <t>WIP</t>
        </is>
      </c>
      <c r="G1877" s="11" t="inlineStr">
        <is>
          <t>Vasu.N</t>
        </is>
      </c>
      <c r="H1877" s="8" t="n">
        <v>9578099893</v>
      </c>
      <c r="I1877" s="10" t="inlineStr">
        <is>
          <t>PE04062601</t>
        </is>
      </c>
      <c r="J1877" s="28" t="inlineStr">
        <is>
          <t>Module burnt</t>
        </is>
      </c>
      <c r="K1877" s="8" t="inlineStr">
        <is>
          <t>Zura</t>
        </is>
      </c>
      <c r="L1877" s="39" t="inlineStr">
        <is>
          <t>Gujarat</t>
        </is>
      </c>
      <c r="M1877" s="2" t="inlineStr">
        <is>
          <t xml:space="preserve">damage </t>
        </is>
      </c>
      <c r="N1877" s="6" t="inlineStr">
        <is>
          <t>Module Breakage</t>
        </is>
      </c>
      <c r="O1877" s="32" t="n">
        <v>590</v>
      </c>
      <c r="P1877" s="2" t="inlineStr">
        <is>
          <t>NSMI24100631645</t>
        </is>
      </c>
      <c r="Q1877" s="29">
        <f>MID(P1877,5,2)</f>
        <v/>
      </c>
      <c r="R1877" s="14">
        <f>MID(P1877,7,2)</f>
        <v/>
      </c>
      <c r="S1877" s="6" t="inlineStr">
        <is>
          <t>G2G</t>
        </is>
      </c>
      <c r="T1877" s="1" t="inlineStr">
        <is>
          <t>P4 - PEIPL</t>
        </is>
      </c>
      <c r="U1877" s="2" t="inlineStr">
        <is>
          <t>Frame Damaged</t>
        </is>
      </c>
      <c r="V1877" s="1" t="inlineStr">
        <is>
          <t>Inspection</t>
        </is>
      </c>
      <c r="W1877" s="1" t="inlineStr">
        <is>
          <t>WIP</t>
        </is>
      </c>
      <c r="X1877" s="12" t="n"/>
      <c r="Y1877" s="1">
        <f>IF(X1877="","",X1877-A1877)</f>
        <v/>
      </c>
      <c r="Z1877" s="5" t="n">
        <v>46197</v>
      </c>
      <c r="AA1877" s="3" t="n"/>
      <c r="AB1877" s="3" t="n"/>
      <c r="AE1877" s="146">
        <f>IF(AND(F1877="Closed",X1877&gt;=DATE(2026,6,1),X1877&lt;=DATE(2026,6,30)),"Closed in June","other")</f>
        <v/>
      </c>
    </row>
    <row r="1878" hidden="1">
      <c r="A1878" s="49" t="n">
        <v>46177</v>
      </c>
      <c r="B1878" s="1" t="n">
        <v>2026</v>
      </c>
      <c r="C1878" s="8" t="inlineStr">
        <is>
          <t>Ayana</t>
        </is>
      </c>
      <c r="D1878" s="11" t="inlineStr">
        <is>
          <t>Utility and C&amp;I</t>
        </is>
      </c>
      <c r="E1878" s="1" t="n"/>
      <c r="F1878" s="1" t="inlineStr">
        <is>
          <t>WIP</t>
        </is>
      </c>
      <c r="G1878" s="11" t="inlineStr">
        <is>
          <t>Vasu.N</t>
        </is>
      </c>
      <c r="H1878" s="8" t="n">
        <v>9578099893</v>
      </c>
      <c r="I1878" s="10" t="inlineStr">
        <is>
          <t>PE04062601</t>
        </is>
      </c>
      <c r="J1878" s="28" t="inlineStr">
        <is>
          <t>Module burnt</t>
        </is>
      </c>
      <c r="K1878" s="8" t="inlineStr">
        <is>
          <t>Zura</t>
        </is>
      </c>
      <c r="L1878" s="39" t="inlineStr">
        <is>
          <t>Gujarat</t>
        </is>
      </c>
      <c r="M1878" s="2" t="inlineStr">
        <is>
          <t xml:space="preserve">damage </t>
        </is>
      </c>
      <c r="N1878" s="6" t="inlineStr">
        <is>
          <t>Module Breakage</t>
        </is>
      </c>
      <c r="O1878" s="32" t="n">
        <v>590</v>
      </c>
      <c r="P1878" s="2" t="inlineStr">
        <is>
          <t>NSMI24100609081</t>
        </is>
      </c>
      <c r="Q1878" s="29">
        <f>MID(P1878,5,2)</f>
        <v/>
      </c>
      <c r="R1878" s="14">
        <f>MID(P1878,7,2)</f>
        <v/>
      </c>
      <c r="S1878" s="6" t="inlineStr">
        <is>
          <t>G2G</t>
        </is>
      </c>
      <c r="T1878" s="1" t="inlineStr">
        <is>
          <t>P4 - PEIPL</t>
        </is>
      </c>
      <c r="U1878" s="2" t="inlineStr">
        <is>
          <t>Frame Damaged</t>
        </is>
      </c>
      <c r="V1878" s="1" t="inlineStr">
        <is>
          <t>Inspection</t>
        </is>
      </c>
      <c r="W1878" s="1" t="inlineStr">
        <is>
          <t>WIP</t>
        </is>
      </c>
      <c r="X1878" s="12" t="n"/>
      <c r="Y1878" s="1">
        <f>IF(X1878="","",X1878-A1878)</f>
        <v/>
      </c>
      <c r="Z1878" s="5" t="n">
        <v>46197</v>
      </c>
      <c r="AA1878" s="3" t="n"/>
      <c r="AB1878" s="3" t="n"/>
      <c r="AE1878" s="146">
        <f>IF(AND(F1878="Closed",X1878&gt;=DATE(2026,6,1),X1878&lt;=DATE(2026,6,30)),"Closed in June","other")</f>
        <v/>
      </c>
    </row>
    <row r="1879" hidden="1">
      <c r="A1879" s="49" t="n">
        <v>46177</v>
      </c>
      <c r="B1879" s="1" t="n">
        <v>2026</v>
      </c>
      <c r="C1879" s="8" t="inlineStr">
        <is>
          <t>Ayana</t>
        </is>
      </c>
      <c r="D1879" s="11" t="inlineStr">
        <is>
          <t>Utility and C&amp;I</t>
        </is>
      </c>
      <c r="E1879" s="1" t="n"/>
      <c r="F1879" s="1" t="inlineStr">
        <is>
          <t>Closed</t>
        </is>
      </c>
      <c r="G1879" s="11" t="inlineStr">
        <is>
          <t>Vasu.N</t>
        </is>
      </c>
      <c r="H1879" s="8" t="n">
        <v>9578099893</v>
      </c>
      <c r="I1879" s="10" t="inlineStr">
        <is>
          <t>PE04062601</t>
        </is>
      </c>
      <c r="J1879" s="28" t="inlineStr">
        <is>
          <t>Module burnt</t>
        </is>
      </c>
      <c r="K1879" s="8" t="inlineStr">
        <is>
          <t>Zura</t>
        </is>
      </c>
      <c r="L1879" s="39" t="inlineStr">
        <is>
          <t>Gujarat</t>
        </is>
      </c>
      <c r="M1879" s="2" t="inlineStr">
        <is>
          <t xml:space="preserve">damage </t>
        </is>
      </c>
      <c r="N1879" s="6" t="inlineStr">
        <is>
          <t>Module Breakage</t>
        </is>
      </c>
      <c r="O1879" s="32" t="n">
        <v>590</v>
      </c>
      <c r="P1879" s="2" t="inlineStr">
        <is>
          <t>NSMI24110848453</t>
        </is>
      </c>
      <c r="Q1879" s="29">
        <f>MID(P1879,5,2)</f>
        <v/>
      </c>
      <c r="R1879" s="14">
        <f>MID(P1879,7,2)</f>
        <v/>
      </c>
      <c r="S1879" s="6" t="inlineStr">
        <is>
          <t>G2G</t>
        </is>
      </c>
      <c r="T1879" s="1" t="inlineStr">
        <is>
          <t>P4 - PEIPL</t>
        </is>
      </c>
      <c r="U1879" s="2" t="inlineStr">
        <is>
          <t xml:space="preserve">physically damaged </t>
        </is>
      </c>
      <c r="V1879" s="1" t="inlineStr">
        <is>
          <t>Inspection</t>
        </is>
      </c>
      <c r="W1879" s="1" t="inlineStr">
        <is>
          <t>Rejected</t>
        </is>
      </c>
      <c r="X1879" s="5">
        <f>Z1879</f>
        <v/>
      </c>
      <c r="Y1879" s="1">
        <f>X1879-A1879</f>
        <v/>
      </c>
      <c r="Z1879" s="5" t="n">
        <v>46197</v>
      </c>
      <c r="AA1879" s="3" t="n"/>
      <c r="AB1879" s="3" t="n"/>
      <c r="AE1879" s="146">
        <f>IF(AND(F1879="Closed",X1879&gt;=DATE(2026,6,1),X1879&lt;=DATE(2026,6,30)),"Closed in June","other")</f>
        <v/>
      </c>
    </row>
    <row r="1880" hidden="1">
      <c r="A1880" s="49" t="n">
        <v>46177</v>
      </c>
      <c r="B1880" s="1" t="n">
        <v>2026</v>
      </c>
      <c r="C1880" s="8" t="inlineStr">
        <is>
          <t>Ayana</t>
        </is>
      </c>
      <c r="D1880" s="11" t="inlineStr">
        <is>
          <t>Utility and C&amp;I</t>
        </is>
      </c>
      <c r="E1880" s="1" t="n"/>
      <c r="F1880" s="1" t="inlineStr">
        <is>
          <t>Closed</t>
        </is>
      </c>
      <c r="G1880" s="11" t="inlineStr">
        <is>
          <t>Vasu.N</t>
        </is>
      </c>
      <c r="H1880" s="8" t="n">
        <v>9578099893</v>
      </c>
      <c r="I1880" s="10" t="inlineStr">
        <is>
          <t>PE04062601</t>
        </is>
      </c>
      <c r="J1880" s="28" t="inlineStr">
        <is>
          <t>Module burnt</t>
        </is>
      </c>
      <c r="K1880" s="8" t="inlineStr">
        <is>
          <t>Zura</t>
        </is>
      </c>
      <c r="L1880" s="39" t="inlineStr">
        <is>
          <t>Gujarat</t>
        </is>
      </c>
      <c r="M1880" s="2" t="inlineStr">
        <is>
          <t xml:space="preserve">damage </t>
        </is>
      </c>
      <c r="N1880" s="6" t="inlineStr">
        <is>
          <t>Module Breakage</t>
        </is>
      </c>
      <c r="O1880" s="32" t="n">
        <v>590</v>
      </c>
      <c r="P1880" s="2" t="inlineStr">
        <is>
          <t>NSMI24100597697</t>
        </is>
      </c>
      <c r="Q1880" s="29">
        <f>MID(P1880,5,2)</f>
        <v/>
      </c>
      <c r="R1880" s="14">
        <f>MID(P1880,7,2)</f>
        <v/>
      </c>
      <c r="S1880" s="6" t="inlineStr">
        <is>
          <t>G2G</t>
        </is>
      </c>
      <c r="T1880" s="1" t="inlineStr">
        <is>
          <t>P4 - PEIPL</t>
        </is>
      </c>
      <c r="U1880" s="2" t="inlineStr">
        <is>
          <t xml:space="preserve">physically damaged </t>
        </is>
      </c>
      <c r="V1880" s="1" t="inlineStr">
        <is>
          <t>Inspection</t>
        </is>
      </c>
      <c r="W1880" s="1" t="inlineStr">
        <is>
          <t>Rejected</t>
        </is>
      </c>
      <c r="X1880" s="5">
        <f>Z1880</f>
        <v/>
      </c>
      <c r="Y1880" s="1">
        <f>X1880-A1880</f>
        <v/>
      </c>
      <c r="Z1880" s="5" t="n">
        <v>46197</v>
      </c>
      <c r="AA1880" s="3" t="n"/>
      <c r="AB1880" s="3" t="n"/>
      <c r="AE1880" s="146">
        <f>IF(AND(F1880="Closed",X1880&gt;=DATE(2026,6,1),X1880&lt;=DATE(2026,6,30)),"Closed in June","other")</f>
        <v/>
      </c>
    </row>
    <row r="1881" hidden="1">
      <c r="A1881" s="49" t="n">
        <v>46177</v>
      </c>
      <c r="B1881" s="1" t="n">
        <v>2026</v>
      </c>
      <c r="C1881" s="8" t="inlineStr">
        <is>
          <t>Ayana</t>
        </is>
      </c>
      <c r="D1881" s="11" t="inlineStr">
        <is>
          <t>Utility and C&amp;I</t>
        </is>
      </c>
      <c r="E1881" s="1" t="n"/>
      <c r="F1881" s="1" t="inlineStr">
        <is>
          <t>Closed</t>
        </is>
      </c>
      <c r="G1881" s="11" t="inlineStr">
        <is>
          <t>Vasu.N</t>
        </is>
      </c>
      <c r="H1881" s="8" t="n">
        <v>9578099893</v>
      </c>
      <c r="I1881" s="10" t="inlineStr">
        <is>
          <t>PE04062601</t>
        </is>
      </c>
      <c r="J1881" s="28" t="inlineStr">
        <is>
          <t>Module burnt</t>
        </is>
      </c>
      <c r="K1881" s="8" t="inlineStr">
        <is>
          <t>Zura</t>
        </is>
      </c>
      <c r="L1881" s="39" t="inlineStr">
        <is>
          <t>Gujarat</t>
        </is>
      </c>
      <c r="M1881" s="2" t="inlineStr">
        <is>
          <t xml:space="preserve">damage </t>
        </is>
      </c>
      <c r="N1881" s="6" t="inlineStr">
        <is>
          <t>Module Breakage</t>
        </is>
      </c>
      <c r="O1881" s="32" t="n">
        <v>590</v>
      </c>
      <c r="P1881" s="2" t="inlineStr">
        <is>
          <t>NSMI24100596563</t>
        </is>
      </c>
      <c r="Q1881" s="29">
        <f>MID(P1881,5,2)</f>
        <v/>
      </c>
      <c r="R1881" s="14">
        <f>MID(P1881,7,2)</f>
        <v/>
      </c>
      <c r="S1881" s="6" t="inlineStr">
        <is>
          <t>G2G</t>
        </is>
      </c>
      <c r="T1881" s="1" t="inlineStr">
        <is>
          <t>P4 - PEIPL</t>
        </is>
      </c>
      <c r="U1881" s="2" t="inlineStr">
        <is>
          <t xml:space="preserve">physically damaged </t>
        </is>
      </c>
      <c r="V1881" s="1" t="inlineStr">
        <is>
          <t>Inspection</t>
        </is>
      </c>
      <c r="W1881" s="1" t="inlineStr">
        <is>
          <t>Rejected</t>
        </is>
      </c>
      <c r="X1881" s="5">
        <f>Z1881</f>
        <v/>
      </c>
      <c r="Y1881" s="1">
        <f>X1881-A1881</f>
        <v/>
      </c>
      <c r="Z1881" s="5" t="n">
        <v>46197</v>
      </c>
      <c r="AA1881" s="3" t="n"/>
      <c r="AB1881" s="3" t="n"/>
      <c r="AE1881" s="146">
        <f>IF(AND(F1881="Closed",X1881&gt;=DATE(2026,6,1),X1881&lt;=DATE(2026,6,30)),"Closed in June","other")</f>
        <v/>
      </c>
    </row>
    <row r="1882" hidden="1">
      <c r="A1882" s="49" t="n">
        <v>46177</v>
      </c>
      <c r="B1882" s="1" t="n">
        <v>2026</v>
      </c>
      <c r="C1882" s="8" t="inlineStr">
        <is>
          <t>Ayana</t>
        </is>
      </c>
      <c r="D1882" s="11" t="inlineStr">
        <is>
          <t>Utility and C&amp;I</t>
        </is>
      </c>
      <c r="E1882" s="1" t="n"/>
      <c r="F1882" s="1" t="inlineStr">
        <is>
          <t>Closed</t>
        </is>
      </c>
      <c r="G1882" s="11" t="inlineStr">
        <is>
          <t>Vasu.N</t>
        </is>
      </c>
      <c r="H1882" s="8" t="n">
        <v>9578099893</v>
      </c>
      <c r="I1882" s="10" t="inlineStr">
        <is>
          <t>PE04062601</t>
        </is>
      </c>
      <c r="J1882" s="28" t="inlineStr">
        <is>
          <t>Module burnt</t>
        </is>
      </c>
      <c r="K1882" s="8" t="inlineStr">
        <is>
          <t>Zura</t>
        </is>
      </c>
      <c r="L1882" s="39" t="inlineStr">
        <is>
          <t>Gujarat</t>
        </is>
      </c>
      <c r="M1882" s="2" t="inlineStr">
        <is>
          <t xml:space="preserve">damage </t>
        </is>
      </c>
      <c r="N1882" s="6" t="inlineStr">
        <is>
          <t>Module Breakage</t>
        </is>
      </c>
      <c r="O1882" s="32" t="n">
        <v>590</v>
      </c>
      <c r="P1882" s="2" t="inlineStr">
        <is>
          <t>NSMI24100596543</t>
        </is>
      </c>
      <c r="Q1882" s="29">
        <f>MID(P1882,5,2)</f>
        <v/>
      </c>
      <c r="R1882" s="14">
        <f>MID(P1882,7,2)</f>
        <v/>
      </c>
      <c r="S1882" s="6" t="inlineStr">
        <is>
          <t>G2G</t>
        </is>
      </c>
      <c r="T1882" s="1" t="inlineStr">
        <is>
          <t>P4 - PEIPL</t>
        </is>
      </c>
      <c r="U1882" s="2" t="inlineStr">
        <is>
          <t xml:space="preserve">physically damaged </t>
        </is>
      </c>
      <c r="V1882" s="1" t="inlineStr">
        <is>
          <t>Inspection</t>
        </is>
      </c>
      <c r="W1882" s="1" t="inlineStr">
        <is>
          <t>Rejected</t>
        </is>
      </c>
      <c r="X1882" s="5">
        <f>Z1882</f>
        <v/>
      </c>
      <c r="Y1882" s="1">
        <f>X1882-A1882</f>
        <v/>
      </c>
      <c r="Z1882" s="5" t="n">
        <v>46197</v>
      </c>
      <c r="AA1882" s="3" t="n"/>
      <c r="AB1882" s="3" t="n"/>
      <c r="AE1882" s="146">
        <f>IF(AND(F1882="Closed",X1882&gt;=DATE(2026,6,1),X1882&lt;=DATE(2026,6,30)),"Closed in June","other")</f>
        <v/>
      </c>
    </row>
    <row r="1883" hidden="1">
      <c r="A1883" s="49" t="n">
        <v>46177</v>
      </c>
      <c r="B1883" s="1" t="n">
        <v>2026</v>
      </c>
      <c r="C1883" s="8" t="inlineStr">
        <is>
          <t>Ayana</t>
        </is>
      </c>
      <c r="D1883" s="11" t="inlineStr">
        <is>
          <t>Utility and C&amp;I</t>
        </is>
      </c>
      <c r="E1883" s="1" t="n"/>
      <c r="F1883" s="1" t="inlineStr">
        <is>
          <t>Closed</t>
        </is>
      </c>
      <c r="G1883" s="11" t="inlineStr">
        <is>
          <t>Vasu.N</t>
        </is>
      </c>
      <c r="H1883" s="8" t="n">
        <v>9578099893</v>
      </c>
      <c r="I1883" s="10" t="inlineStr">
        <is>
          <t>PE04062601</t>
        </is>
      </c>
      <c r="J1883" s="28" t="inlineStr">
        <is>
          <t>Module burnt</t>
        </is>
      </c>
      <c r="K1883" s="8" t="inlineStr">
        <is>
          <t>Zura</t>
        </is>
      </c>
      <c r="L1883" s="39" t="inlineStr">
        <is>
          <t>Gujarat</t>
        </is>
      </c>
      <c r="M1883" s="2" t="inlineStr">
        <is>
          <t xml:space="preserve">damage </t>
        </is>
      </c>
      <c r="N1883" s="6" t="inlineStr">
        <is>
          <t>Module Breakage</t>
        </is>
      </c>
      <c r="O1883" s="32" t="n">
        <v>590</v>
      </c>
      <c r="P1883" s="2" t="inlineStr">
        <is>
          <t>NSMI24100596555</t>
        </is>
      </c>
      <c r="Q1883" s="29">
        <f>MID(P1883,5,2)</f>
        <v/>
      </c>
      <c r="R1883" s="14">
        <f>MID(P1883,7,2)</f>
        <v/>
      </c>
      <c r="S1883" s="6" t="inlineStr">
        <is>
          <t>G2G</t>
        </is>
      </c>
      <c r="T1883" s="1" t="inlineStr">
        <is>
          <t>P4 - PEIPL</t>
        </is>
      </c>
      <c r="U1883" s="2" t="inlineStr">
        <is>
          <t xml:space="preserve">physically damaged </t>
        </is>
      </c>
      <c r="V1883" s="1" t="inlineStr">
        <is>
          <t>Inspection</t>
        </is>
      </c>
      <c r="W1883" s="1" t="inlineStr">
        <is>
          <t>Rejected</t>
        </is>
      </c>
      <c r="X1883" s="5">
        <f>Z1883</f>
        <v/>
      </c>
      <c r="Y1883" s="1">
        <f>X1883-A1883</f>
        <v/>
      </c>
      <c r="Z1883" s="5" t="n">
        <v>46197</v>
      </c>
      <c r="AA1883" s="3" t="n"/>
      <c r="AB1883" s="3" t="n"/>
      <c r="AE1883" s="146">
        <f>IF(AND(F1883="Closed",X1883&gt;=DATE(2026,6,1),X1883&lt;=DATE(2026,6,30)),"Closed in June","other")</f>
        <v/>
      </c>
    </row>
    <row r="1884" hidden="1">
      <c r="A1884" s="49" t="n">
        <v>46177</v>
      </c>
      <c r="B1884" s="1" t="n">
        <v>2026</v>
      </c>
      <c r="C1884" s="8" t="inlineStr">
        <is>
          <t>Ayana</t>
        </is>
      </c>
      <c r="D1884" s="11" t="inlineStr">
        <is>
          <t>Utility and C&amp;I</t>
        </is>
      </c>
      <c r="E1884" s="1" t="n"/>
      <c r="F1884" s="1" t="inlineStr">
        <is>
          <t>Closed</t>
        </is>
      </c>
      <c r="G1884" s="11" t="inlineStr">
        <is>
          <t>Vasu.N</t>
        </is>
      </c>
      <c r="H1884" s="8" t="n">
        <v>9578099893</v>
      </c>
      <c r="I1884" s="10" t="inlineStr">
        <is>
          <t>PE04062601</t>
        </is>
      </c>
      <c r="J1884" s="28" t="inlineStr">
        <is>
          <t>Module burnt</t>
        </is>
      </c>
      <c r="K1884" s="8" t="inlineStr">
        <is>
          <t>Zura</t>
        </is>
      </c>
      <c r="L1884" s="39" t="inlineStr">
        <is>
          <t>Gujarat</t>
        </is>
      </c>
      <c r="M1884" s="2" t="inlineStr">
        <is>
          <t xml:space="preserve">damage </t>
        </is>
      </c>
      <c r="N1884" s="6" t="inlineStr">
        <is>
          <t>Module Breakage</t>
        </is>
      </c>
      <c r="O1884" s="32" t="n">
        <v>590</v>
      </c>
      <c r="P1884" s="2" t="inlineStr">
        <is>
          <t>NSMI24110837750</t>
        </is>
      </c>
      <c r="Q1884" s="29">
        <f>MID(P1884,5,2)</f>
        <v/>
      </c>
      <c r="R1884" s="14">
        <f>MID(P1884,7,2)</f>
        <v/>
      </c>
      <c r="S1884" s="6" t="inlineStr">
        <is>
          <t>G2G</t>
        </is>
      </c>
      <c r="T1884" s="1" t="inlineStr">
        <is>
          <t>P4 - PEIPL</t>
        </is>
      </c>
      <c r="U1884" s="2" t="inlineStr">
        <is>
          <t xml:space="preserve">physically damaged </t>
        </is>
      </c>
      <c r="V1884" s="1" t="inlineStr">
        <is>
          <t>Inspection</t>
        </is>
      </c>
      <c r="W1884" s="1" t="inlineStr">
        <is>
          <t>Rejected</t>
        </is>
      </c>
      <c r="X1884" s="5">
        <f>Z1884</f>
        <v/>
      </c>
      <c r="Y1884" s="1">
        <f>X1884-A1884</f>
        <v/>
      </c>
      <c r="Z1884" s="5" t="n">
        <v>46197</v>
      </c>
      <c r="AA1884" s="3" t="n"/>
      <c r="AB1884" s="3" t="n"/>
      <c r="AE1884" s="146">
        <f>IF(AND(F1884="Closed",X1884&gt;=DATE(2026,6,1),X1884&lt;=DATE(2026,6,30)),"Closed in June","other")</f>
        <v/>
      </c>
    </row>
    <row r="1885" hidden="1">
      <c r="A1885" s="49" t="n">
        <v>46177</v>
      </c>
      <c r="B1885" s="1" t="n">
        <v>2026</v>
      </c>
      <c r="C1885" s="8" t="inlineStr">
        <is>
          <t>Ayana</t>
        </is>
      </c>
      <c r="D1885" s="11" t="inlineStr">
        <is>
          <t>Utility and C&amp;I</t>
        </is>
      </c>
      <c r="E1885" s="1" t="n"/>
      <c r="F1885" s="1" t="inlineStr">
        <is>
          <t>Closed</t>
        </is>
      </c>
      <c r="G1885" s="11" t="inlineStr">
        <is>
          <t>Vasu.N</t>
        </is>
      </c>
      <c r="H1885" s="8" t="n">
        <v>9578099893</v>
      </c>
      <c r="I1885" s="10" t="inlineStr">
        <is>
          <t>PE04062601</t>
        </is>
      </c>
      <c r="J1885" s="28" t="inlineStr">
        <is>
          <t>Module burnt</t>
        </is>
      </c>
      <c r="K1885" s="8" t="inlineStr">
        <is>
          <t>Zura</t>
        </is>
      </c>
      <c r="L1885" s="39" t="inlineStr">
        <is>
          <t>Gujarat</t>
        </is>
      </c>
      <c r="M1885" s="2" t="inlineStr">
        <is>
          <t xml:space="preserve">damage </t>
        </is>
      </c>
      <c r="N1885" s="6" t="inlineStr">
        <is>
          <t>Module Breakage</t>
        </is>
      </c>
      <c r="O1885" s="32" t="n">
        <v>590</v>
      </c>
      <c r="P1885" s="2" t="inlineStr">
        <is>
          <t>NSMI24090538583</t>
        </is>
      </c>
      <c r="Q1885" s="29">
        <f>MID(P1885,5,2)</f>
        <v/>
      </c>
      <c r="R1885" s="14">
        <f>MID(P1885,7,2)</f>
        <v/>
      </c>
      <c r="S1885" s="6" t="inlineStr">
        <is>
          <t>G2G</t>
        </is>
      </c>
      <c r="T1885" s="1" t="inlineStr">
        <is>
          <t>P4 - PEIPL</t>
        </is>
      </c>
      <c r="U1885" s="2" t="inlineStr">
        <is>
          <t xml:space="preserve">physically damaged </t>
        </is>
      </c>
      <c r="V1885" s="1" t="inlineStr">
        <is>
          <t>Inspection</t>
        </is>
      </c>
      <c r="W1885" s="1" t="inlineStr">
        <is>
          <t>Rejected</t>
        </is>
      </c>
      <c r="X1885" s="5">
        <f>Z1885</f>
        <v/>
      </c>
      <c r="Y1885" s="1">
        <f>X1885-A1885</f>
        <v/>
      </c>
      <c r="Z1885" s="5" t="n">
        <v>46197</v>
      </c>
      <c r="AA1885" s="3" t="n"/>
      <c r="AB1885" s="3" t="n"/>
      <c r="AE1885" s="146">
        <f>IF(AND(F1885="Closed",X1885&gt;=DATE(2026,6,1),X1885&lt;=DATE(2026,6,30)),"Closed in June","other")</f>
        <v/>
      </c>
    </row>
    <row r="1886" hidden="1">
      <c r="A1886" s="49" t="n">
        <v>46177</v>
      </c>
      <c r="B1886" s="1" t="n">
        <v>2026</v>
      </c>
      <c r="C1886" s="8" t="inlineStr">
        <is>
          <t>Ayana</t>
        </is>
      </c>
      <c r="D1886" s="11" t="inlineStr">
        <is>
          <t>Utility and C&amp;I</t>
        </is>
      </c>
      <c r="E1886" s="1" t="n"/>
      <c r="F1886" s="1" t="inlineStr">
        <is>
          <t>Closed</t>
        </is>
      </c>
      <c r="G1886" s="11" t="inlineStr">
        <is>
          <t>Vasu.N</t>
        </is>
      </c>
      <c r="H1886" s="8" t="n">
        <v>9578099893</v>
      </c>
      <c r="I1886" s="10" t="inlineStr">
        <is>
          <t>PE04062601</t>
        </is>
      </c>
      <c r="J1886" s="28" t="inlineStr">
        <is>
          <t>Module burnt</t>
        </is>
      </c>
      <c r="K1886" s="8" t="inlineStr">
        <is>
          <t>Zura</t>
        </is>
      </c>
      <c r="L1886" s="39" t="inlineStr">
        <is>
          <t>Gujarat</t>
        </is>
      </c>
      <c r="M1886" s="2" t="inlineStr">
        <is>
          <t xml:space="preserve">damage </t>
        </is>
      </c>
      <c r="N1886" s="6" t="inlineStr">
        <is>
          <t>Module Breakage</t>
        </is>
      </c>
      <c r="O1886" s="32" t="n">
        <v>590</v>
      </c>
      <c r="P1886" s="2" t="inlineStr">
        <is>
          <t>NSMI24110822686</t>
        </is>
      </c>
      <c r="Q1886" s="29">
        <f>MID(P1886,5,2)</f>
        <v/>
      </c>
      <c r="R1886" s="14">
        <f>MID(P1886,7,2)</f>
        <v/>
      </c>
      <c r="S1886" s="6" t="inlineStr">
        <is>
          <t>G2G</t>
        </is>
      </c>
      <c r="T1886" s="1" t="inlineStr">
        <is>
          <t>P4 - PEIPL</t>
        </is>
      </c>
      <c r="U1886" s="2" t="inlineStr">
        <is>
          <t xml:space="preserve">physically damaged </t>
        </is>
      </c>
      <c r="V1886" s="1" t="inlineStr">
        <is>
          <t>Inspection</t>
        </is>
      </c>
      <c r="W1886" s="1" t="inlineStr">
        <is>
          <t>Rejected</t>
        </is>
      </c>
      <c r="X1886" s="5">
        <f>Z1886</f>
        <v/>
      </c>
      <c r="Y1886" s="1">
        <f>X1886-A1886</f>
        <v/>
      </c>
      <c r="Z1886" s="5" t="n">
        <v>46197</v>
      </c>
      <c r="AA1886" s="3" t="n"/>
      <c r="AB1886" s="3" t="n"/>
      <c r="AE1886" s="146">
        <f>IF(AND(F1886="Closed",X1886&gt;=DATE(2026,6,1),X1886&lt;=DATE(2026,6,30)),"Closed in June","other")</f>
        <v/>
      </c>
    </row>
    <row r="1887" hidden="1">
      <c r="A1887" s="49" t="n">
        <v>46177</v>
      </c>
      <c r="B1887" s="1" t="n">
        <v>2026</v>
      </c>
      <c r="C1887" s="8" t="inlineStr">
        <is>
          <t>Ayana</t>
        </is>
      </c>
      <c r="D1887" s="11" t="inlineStr">
        <is>
          <t>Utility and C&amp;I</t>
        </is>
      </c>
      <c r="E1887" s="1" t="n"/>
      <c r="F1887" s="1" t="inlineStr">
        <is>
          <t>Closed</t>
        </is>
      </c>
      <c r="G1887" s="11" t="inlineStr">
        <is>
          <t>Vasu.N</t>
        </is>
      </c>
      <c r="H1887" s="8" t="n">
        <v>9578099893</v>
      </c>
      <c r="I1887" s="10" t="inlineStr">
        <is>
          <t>PE04062601</t>
        </is>
      </c>
      <c r="J1887" s="28" t="inlineStr">
        <is>
          <t>Module burnt</t>
        </is>
      </c>
      <c r="K1887" s="8" t="inlineStr">
        <is>
          <t>Zura</t>
        </is>
      </c>
      <c r="L1887" s="39" t="inlineStr">
        <is>
          <t>Gujarat</t>
        </is>
      </c>
      <c r="M1887" s="2" t="inlineStr">
        <is>
          <t xml:space="preserve">damage </t>
        </is>
      </c>
      <c r="N1887" s="6" t="inlineStr">
        <is>
          <t>Module Breakage</t>
        </is>
      </c>
      <c r="O1887" s="32" t="n">
        <v>590</v>
      </c>
      <c r="P1887" s="2" t="inlineStr">
        <is>
          <t>NSMI24110822672</t>
        </is>
      </c>
      <c r="Q1887" s="29">
        <f>MID(P1887,5,2)</f>
        <v/>
      </c>
      <c r="R1887" s="14">
        <f>MID(P1887,7,2)</f>
        <v/>
      </c>
      <c r="S1887" s="6" t="inlineStr">
        <is>
          <t>G2G</t>
        </is>
      </c>
      <c r="T1887" s="1" t="inlineStr">
        <is>
          <t>P4 - PEIPL</t>
        </is>
      </c>
      <c r="U1887" s="2" t="inlineStr">
        <is>
          <t xml:space="preserve">physically damaged </t>
        </is>
      </c>
      <c r="V1887" s="1" t="inlineStr">
        <is>
          <t>Inspection</t>
        </is>
      </c>
      <c r="W1887" s="1" t="inlineStr">
        <is>
          <t>Rejected</t>
        </is>
      </c>
      <c r="X1887" s="5">
        <f>Z1887</f>
        <v/>
      </c>
      <c r="Y1887" s="1">
        <f>X1887-A1887</f>
        <v/>
      </c>
      <c r="Z1887" s="5" t="n">
        <v>46197</v>
      </c>
      <c r="AA1887" s="3" t="n"/>
      <c r="AB1887" s="3" t="n"/>
      <c r="AE1887" s="146">
        <f>IF(AND(F1887="Closed",X1887&gt;=DATE(2026,6,1),X1887&lt;=DATE(2026,6,30)),"Closed in June","other")</f>
        <v/>
      </c>
    </row>
    <row r="1888" hidden="1">
      <c r="A1888" s="49" t="n">
        <v>46177</v>
      </c>
      <c r="B1888" s="1" t="n">
        <v>2026</v>
      </c>
      <c r="C1888" s="8" t="inlineStr">
        <is>
          <t>Ayana</t>
        </is>
      </c>
      <c r="D1888" s="11" t="inlineStr">
        <is>
          <t>Utility and C&amp;I</t>
        </is>
      </c>
      <c r="E1888" s="1" t="n"/>
      <c r="F1888" s="1" t="inlineStr">
        <is>
          <t>Closed</t>
        </is>
      </c>
      <c r="G1888" s="11" t="inlineStr">
        <is>
          <t>Vasu.N</t>
        </is>
      </c>
      <c r="H1888" s="8" t="n">
        <v>9578099893</v>
      </c>
      <c r="I1888" s="10" t="inlineStr">
        <is>
          <t>PE04062601</t>
        </is>
      </c>
      <c r="J1888" s="28" t="inlineStr">
        <is>
          <t>Module burnt</t>
        </is>
      </c>
      <c r="K1888" s="8" t="inlineStr">
        <is>
          <t>Zura</t>
        </is>
      </c>
      <c r="L1888" s="39" t="inlineStr">
        <is>
          <t>Gujarat</t>
        </is>
      </c>
      <c r="M1888" s="2" t="inlineStr">
        <is>
          <t xml:space="preserve">damage </t>
        </is>
      </c>
      <c r="N1888" s="6" t="inlineStr">
        <is>
          <t>Module Breakage</t>
        </is>
      </c>
      <c r="O1888" s="32" t="n">
        <v>590</v>
      </c>
      <c r="P1888" s="2" t="inlineStr">
        <is>
          <t>NSMI24110812285</t>
        </is>
      </c>
      <c r="Q1888" s="29">
        <f>MID(P1888,5,2)</f>
        <v/>
      </c>
      <c r="R1888" s="14">
        <f>MID(P1888,7,2)</f>
        <v/>
      </c>
      <c r="S1888" s="6" t="inlineStr">
        <is>
          <t>G2G</t>
        </is>
      </c>
      <c r="T1888" s="1" t="inlineStr">
        <is>
          <t>P4 - PEIPL</t>
        </is>
      </c>
      <c r="U1888" s="2" t="inlineStr">
        <is>
          <t xml:space="preserve">physically damaged </t>
        </is>
      </c>
      <c r="V1888" s="1" t="inlineStr">
        <is>
          <t>Inspection</t>
        </is>
      </c>
      <c r="W1888" s="1" t="inlineStr">
        <is>
          <t>Rejected</t>
        </is>
      </c>
      <c r="X1888" s="5">
        <f>Z1888</f>
        <v/>
      </c>
      <c r="Y1888" s="1">
        <f>X1888-A1888</f>
        <v/>
      </c>
      <c r="Z1888" s="5" t="n">
        <v>46197</v>
      </c>
      <c r="AA1888" s="3" t="n"/>
      <c r="AB1888" s="3" t="n"/>
      <c r="AE1888" s="146">
        <f>IF(AND(F1888="Closed",X1888&gt;=DATE(2026,6,1),X1888&lt;=DATE(2026,6,30)),"Closed in June","other")</f>
        <v/>
      </c>
    </row>
    <row r="1889" hidden="1">
      <c r="A1889" s="49" t="n">
        <v>46177</v>
      </c>
      <c r="B1889" s="1" t="n">
        <v>2026</v>
      </c>
      <c r="C1889" s="8" t="inlineStr">
        <is>
          <t>Ayana</t>
        </is>
      </c>
      <c r="D1889" s="11" t="inlineStr">
        <is>
          <t>Utility and C&amp;I</t>
        </is>
      </c>
      <c r="E1889" s="1" t="n"/>
      <c r="F1889" s="1" t="inlineStr">
        <is>
          <t>Closed</t>
        </is>
      </c>
      <c r="G1889" s="11" t="inlineStr">
        <is>
          <t>Vasu.N</t>
        </is>
      </c>
      <c r="H1889" s="8" t="n">
        <v>9578099893</v>
      </c>
      <c r="I1889" s="10" t="inlineStr">
        <is>
          <t>PE04062601</t>
        </is>
      </c>
      <c r="J1889" s="28" t="inlineStr">
        <is>
          <t>Module burnt</t>
        </is>
      </c>
      <c r="K1889" s="8" t="inlineStr">
        <is>
          <t>Zura</t>
        </is>
      </c>
      <c r="L1889" s="39" t="inlineStr">
        <is>
          <t>Gujarat</t>
        </is>
      </c>
      <c r="M1889" s="2" t="inlineStr">
        <is>
          <t xml:space="preserve">damage </t>
        </is>
      </c>
      <c r="N1889" s="6" t="inlineStr">
        <is>
          <t>Module Breakage</t>
        </is>
      </c>
      <c r="O1889" s="32" t="n">
        <v>590</v>
      </c>
      <c r="P1889" s="2" t="inlineStr">
        <is>
          <t>NSMI24110812328</t>
        </is>
      </c>
      <c r="Q1889" s="29">
        <f>MID(P1889,5,2)</f>
        <v/>
      </c>
      <c r="R1889" s="14">
        <f>MID(P1889,7,2)</f>
        <v/>
      </c>
      <c r="S1889" s="6" t="inlineStr">
        <is>
          <t>G2G</t>
        </is>
      </c>
      <c r="T1889" s="1" t="inlineStr">
        <is>
          <t>P4 - PEIPL</t>
        </is>
      </c>
      <c r="U1889" s="2" t="inlineStr">
        <is>
          <t xml:space="preserve">physically damaged </t>
        </is>
      </c>
      <c r="V1889" s="1" t="inlineStr">
        <is>
          <t>Inspection</t>
        </is>
      </c>
      <c r="W1889" s="1" t="inlineStr">
        <is>
          <t>Rejected</t>
        </is>
      </c>
      <c r="X1889" s="5">
        <f>Z1889</f>
        <v/>
      </c>
      <c r="Y1889" s="1">
        <f>X1889-A1889</f>
        <v/>
      </c>
      <c r="Z1889" s="5" t="n">
        <v>46197</v>
      </c>
      <c r="AA1889" s="3" t="n"/>
      <c r="AB1889" s="3" t="n"/>
      <c r="AE1889" s="146">
        <f>IF(AND(F1889="Closed",X1889&gt;=DATE(2026,6,1),X1889&lt;=DATE(2026,6,30)),"Closed in June","other")</f>
        <v/>
      </c>
    </row>
    <row r="1890" hidden="1">
      <c r="A1890" s="49" t="n">
        <v>46177</v>
      </c>
      <c r="B1890" s="1" t="n">
        <v>2026</v>
      </c>
      <c r="C1890" s="8" t="inlineStr">
        <is>
          <t>Ayana</t>
        </is>
      </c>
      <c r="D1890" s="11" t="inlineStr">
        <is>
          <t>Utility and C&amp;I</t>
        </is>
      </c>
      <c r="E1890" s="1" t="n"/>
      <c r="F1890" s="1" t="inlineStr">
        <is>
          <t>Closed</t>
        </is>
      </c>
      <c r="G1890" s="11" t="inlineStr">
        <is>
          <t>Vasu.N</t>
        </is>
      </c>
      <c r="H1890" s="8" t="n">
        <v>9578099893</v>
      </c>
      <c r="I1890" s="10" t="inlineStr">
        <is>
          <t>PE04062601</t>
        </is>
      </c>
      <c r="J1890" s="28" t="inlineStr">
        <is>
          <t>Module burnt</t>
        </is>
      </c>
      <c r="K1890" s="8" t="inlineStr">
        <is>
          <t>Zura</t>
        </is>
      </c>
      <c r="L1890" s="39" t="inlineStr">
        <is>
          <t>Gujarat</t>
        </is>
      </c>
      <c r="M1890" s="2" t="inlineStr">
        <is>
          <t xml:space="preserve">damage </t>
        </is>
      </c>
      <c r="N1890" s="6" t="inlineStr">
        <is>
          <t>Module Breakage</t>
        </is>
      </c>
      <c r="O1890" s="32" t="n">
        <v>590</v>
      </c>
      <c r="P1890" s="2" t="inlineStr">
        <is>
          <t>NSMI24110841242</t>
        </is>
      </c>
      <c r="Q1890" s="29">
        <f>MID(P1890,5,2)</f>
        <v/>
      </c>
      <c r="R1890" s="14">
        <f>MID(P1890,7,2)</f>
        <v/>
      </c>
      <c r="S1890" s="6" t="inlineStr">
        <is>
          <t>G2G</t>
        </is>
      </c>
      <c r="T1890" s="1" t="inlineStr">
        <is>
          <t>P4 - PEIPL</t>
        </is>
      </c>
      <c r="U1890" s="2" t="inlineStr">
        <is>
          <t xml:space="preserve">physically damaged </t>
        </is>
      </c>
      <c r="V1890" s="1" t="inlineStr">
        <is>
          <t>Inspection</t>
        </is>
      </c>
      <c r="W1890" s="1" t="inlineStr">
        <is>
          <t>Rejected</t>
        </is>
      </c>
      <c r="X1890" s="5">
        <f>Z1890</f>
        <v/>
      </c>
      <c r="Y1890" s="1">
        <f>X1890-A1890</f>
        <v/>
      </c>
      <c r="Z1890" s="5" t="n">
        <v>46197</v>
      </c>
      <c r="AA1890" s="3" t="n"/>
      <c r="AB1890" s="3" t="n"/>
      <c r="AE1890" s="146">
        <f>IF(AND(F1890="Closed",X1890&gt;=DATE(2026,6,1),X1890&lt;=DATE(2026,6,30)),"Closed in June","other")</f>
        <v/>
      </c>
    </row>
    <row r="1891" hidden="1">
      <c r="A1891" s="49" t="n">
        <v>46177</v>
      </c>
      <c r="B1891" s="1" t="n">
        <v>2026</v>
      </c>
      <c r="C1891" s="8" t="inlineStr">
        <is>
          <t>Ayana</t>
        </is>
      </c>
      <c r="D1891" s="11" t="inlineStr">
        <is>
          <t>Utility and C&amp;I</t>
        </is>
      </c>
      <c r="E1891" s="1" t="n"/>
      <c r="F1891" s="1" t="inlineStr">
        <is>
          <t>Closed</t>
        </is>
      </c>
      <c r="G1891" s="11" t="inlineStr">
        <is>
          <t>Vasu.N</t>
        </is>
      </c>
      <c r="H1891" s="8" t="n">
        <v>9578099893</v>
      </c>
      <c r="I1891" s="10" t="inlineStr">
        <is>
          <t>PE04062601</t>
        </is>
      </c>
      <c r="J1891" s="28" t="inlineStr">
        <is>
          <t>Module burnt</t>
        </is>
      </c>
      <c r="K1891" s="8" t="inlineStr">
        <is>
          <t>Zura</t>
        </is>
      </c>
      <c r="L1891" s="39" t="inlineStr">
        <is>
          <t>Gujarat</t>
        </is>
      </c>
      <c r="M1891" s="2" t="inlineStr">
        <is>
          <t xml:space="preserve">damage </t>
        </is>
      </c>
      <c r="N1891" s="6" t="inlineStr">
        <is>
          <t>Module Breakage</t>
        </is>
      </c>
      <c r="O1891" s="32" t="n">
        <v>590</v>
      </c>
      <c r="P1891" s="2" t="inlineStr">
        <is>
          <t>NSMI24100634810</t>
        </is>
      </c>
      <c r="Q1891" s="29">
        <f>MID(P1891,5,2)</f>
        <v/>
      </c>
      <c r="R1891" s="14">
        <f>MID(P1891,7,2)</f>
        <v/>
      </c>
      <c r="S1891" s="6" t="inlineStr">
        <is>
          <t>G2G</t>
        </is>
      </c>
      <c r="T1891" s="1" t="inlineStr">
        <is>
          <t>P4 - PEIPL</t>
        </is>
      </c>
      <c r="U1891" s="2" t="inlineStr">
        <is>
          <t xml:space="preserve">physically damaged </t>
        </is>
      </c>
      <c r="V1891" s="1" t="inlineStr">
        <is>
          <t>Inspection</t>
        </is>
      </c>
      <c r="W1891" s="1" t="inlineStr">
        <is>
          <t>Rejected</t>
        </is>
      </c>
      <c r="X1891" s="5">
        <f>Z1891</f>
        <v/>
      </c>
      <c r="Y1891" s="1">
        <f>X1891-A1891</f>
        <v/>
      </c>
      <c r="Z1891" s="5" t="n">
        <v>46197</v>
      </c>
      <c r="AA1891" s="3" t="n"/>
      <c r="AB1891" s="3" t="n"/>
      <c r="AE1891" s="146">
        <f>IF(AND(F1891="Closed",X1891&gt;=DATE(2026,6,1),X1891&lt;=DATE(2026,6,30)),"Closed in June","other")</f>
        <v/>
      </c>
    </row>
    <row r="1892" hidden="1">
      <c r="A1892" s="49" t="n">
        <v>46177</v>
      </c>
      <c r="B1892" s="1" t="n">
        <v>2026</v>
      </c>
      <c r="C1892" s="8" t="inlineStr">
        <is>
          <t>Ayana</t>
        </is>
      </c>
      <c r="D1892" s="11" t="inlineStr">
        <is>
          <t>Utility and C&amp;I</t>
        </is>
      </c>
      <c r="E1892" s="1" t="n"/>
      <c r="F1892" s="1" t="inlineStr">
        <is>
          <t>Closed</t>
        </is>
      </c>
      <c r="G1892" s="11" t="inlineStr">
        <is>
          <t>Vasu.N</t>
        </is>
      </c>
      <c r="H1892" s="8" t="n">
        <v>9578099893</v>
      </c>
      <c r="I1892" s="10" t="inlineStr">
        <is>
          <t>PE04062601</t>
        </is>
      </c>
      <c r="J1892" s="28" t="inlineStr">
        <is>
          <t>Module burnt</t>
        </is>
      </c>
      <c r="K1892" s="8" t="inlineStr">
        <is>
          <t>Zura</t>
        </is>
      </c>
      <c r="L1892" s="39" t="inlineStr">
        <is>
          <t>Gujarat</t>
        </is>
      </c>
      <c r="M1892" s="2" t="inlineStr">
        <is>
          <t xml:space="preserve">damage </t>
        </is>
      </c>
      <c r="N1892" s="6" t="inlineStr">
        <is>
          <t>Module Breakage</t>
        </is>
      </c>
      <c r="O1892" s="32" t="n">
        <v>590</v>
      </c>
      <c r="P1892" s="2" t="inlineStr">
        <is>
          <t>NSMI24110838501</t>
        </is>
      </c>
      <c r="Q1892" s="29">
        <f>MID(P1892,5,2)</f>
        <v/>
      </c>
      <c r="R1892" s="14">
        <f>MID(P1892,7,2)</f>
        <v/>
      </c>
      <c r="S1892" s="6" t="inlineStr">
        <is>
          <t>G2G</t>
        </is>
      </c>
      <c r="T1892" s="1" t="inlineStr">
        <is>
          <t>P4 - PEIPL</t>
        </is>
      </c>
      <c r="U1892" s="2" t="inlineStr">
        <is>
          <t xml:space="preserve">physically damaged </t>
        </is>
      </c>
      <c r="V1892" s="1" t="inlineStr">
        <is>
          <t>Inspection</t>
        </is>
      </c>
      <c r="W1892" s="1" t="inlineStr">
        <is>
          <t>Rejected</t>
        </is>
      </c>
      <c r="X1892" s="5">
        <f>Z1892</f>
        <v/>
      </c>
      <c r="Y1892" s="1">
        <f>X1892-A1892</f>
        <v/>
      </c>
      <c r="Z1892" s="5" t="n">
        <v>46197</v>
      </c>
      <c r="AA1892" s="3" t="n"/>
      <c r="AB1892" s="3" t="n"/>
      <c r="AE1892" s="146">
        <f>IF(AND(F1892="Closed",X1892&gt;=DATE(2026,6,1),X1892&lt;=DATE(2026,6,30)),"Closed in June","other")</f>
        <v/>
      </c>
    </row>
    <row r="1893" hidden="1">
      <c r="A1893" s="49" t="n">
        <v>46177</v>
      </c>
      <c r="B1893" s="1" t="n">
        <v>2026</v>
      </c>
      <c r="C1893" s="8" t="inlineStr">
        <is>
          <t>Ayana</t>
        </is>
      </c>
      <c r="D1893" s="11" t="inlineStr">
        <is>
          <t>Utility and C&amp;I</t>
        </is>
      </c>
      <c r="E1893" s="1" t="n"/>
      <c r="F1893" s="1" t="inlineStr">
        <is>
          <t>Closed</t>
        </is>
      </c>
      <c r="G1893" s="11" t="inlineStr">
        <is>
          <t>Vasu.N</t>
        </is>
      </c>
      <c r="H1893" s="8" t="n">
        <v>9578099893</v>
      </c>
      <c r="I1893" s="10" t="inlineStr">
        <is>
          <t>PE04062601</t>
        </is>
      </c>
      <c r="J1893" s="28" t="inlineStr">
        <is>
          <t>Module burnt</t>
        </is>
      </c>
      <c r="K1893" s="8" t="inlineStr">
        <is>
          <t>Zura</t>
        </is>
      </c>
      <c r="L1893" s="39" t="inlineStr">
        <is>
          <t>Gujarat</t>
        </is>
      </c>
      <c r="M1893" s="2" t="inlineStr">
        <is>
          <t xml:space="preserve">damage </t>
        </is>
      </c>
      <c r="N1893" s="6" t="inlineStr">
        <is>
          <t>Module Breakage</t>
        </is>
      </c>
      <c r="O1893" s="32" t="n">
        <v>590</v>
      </c>
      <c r="P1893" s="2" t="inlineStr">
        <is>
          <t>NSMI24110850592</t>
        </is>
      </c>
      <c r="Q1893" s="29">
        <f>MID(P1893,5,2)</f>
        <v/>
      </c>
      <c r="R1893" s="14">
        <f>MID(P1893,7,2)</f>
        <v/>
      </c>
      <c r="S1893" s="6" t="inlineStr">
        <is>
          <t>G2G</t>
        </is>
      </c>
      <c r="T1893" s="1" t="inlineStr">
        <is>
          <t>P4 - PEIPL</t>
        </is>
      </c>
      <c r="U1893" s="2" t="inlineStr">
        <is>
          <t xml:space="preserve">physically damaged </t>
        </is>
      </c>
      <c r="V1893" s="1" t="inlineStr">
        <is>
          <t>Inspection</t>
        </is>
      </c>
      <c r="W1893" s="1" t="inlineStr">
        <is>
          <t>Rejected</t>
        </is>
      </c>
      <c r="X1893" s="5">
        <f>Z1893</f>
        <v/>
      </c>
      <c r="Y1893" s="1">
        <f>X1893-A1893</f>
        <v/>
      </c>
      <c r="Z1893" s="5" t="n">
        <v>46197</v>
      </c>
      <c r="AA1893" s="3" t="n"/>
      <c r="AB1893" s="3" t="n"/>
      <c r="AE1893" s="146">
        <f>IF(AND(F1893="Closed",X1893&gt;=DATE(2026,6,1),X1893&lt;=DATE(2026,6,30)),"Closed in June","other")</f>
        <v/>
      </c>
    </row>
    <row r="1894" hidden="1">
      <c r="A1894" s="49" t="n">
        <v>46177</v>
      </c>
      <c r="B1894" s="1" t="n">
        <v>2026</v>
      </c>
      <c r="C1894" s="8" t="inlineStr">
        <is>
          <t>Ayana</t>
        </is>
      </c>
      <c r="D1894" s="11" t="inlineStr">
        <is>
          <t>Utility and C&amp;I</t>
        </is>
      </c>
      <c r="E1894" s="1" t="n"/>
      <c r="F1894" s="1" t="inlineStr">
        <is>
          <t>Closed</t>
        </is>
      </c>
      <c r="G1894" s="11" t="inlineStr">
        <is>
          <t>Vasu.N</t>
        </is>
      </c>
      <c r="H1894" s="8" t="n">
        <v>9578099893</v>
      </c>
      <c r="I1894" s="10" t="inlineStr">
        <is>
          <t>PE04062601</t>
        </is>
      </c>
      <c r="J1894" s="28" t="inlineStr">
        <is>
          <t>Module burnt</t>
        </is>
      </c>
      <c r="K1894" s="8" t="inlineStr">
        <is>
          <t>Zura</t>
        </is>
      </c>
      <c r="L1894" s="39" t="inlineStr">
        <is>
          <t>Gujarat</t>
        </is>
      </c>
      <c r="M1894" s="2" t="inlineStr">
        <is>
          <t xml:space="preserve">damage </t>
        </is>
      </c>
      <c r="N1894" s="6" t="inlineStr">
        <is>
          <t>Module Breakage</t>
        </is>
      </c>
      <c r="O1894" s="32" t="n">
        <v>590</v>
      </c>
      <c r="P1894" s="2" t="inlineStr">
        <is>
          <t>NSMI24100636474</t>
        </is>
      </c>
      <c r="Q1894" s="29">
        <f>MID(P1894,5,2)</f>
        <v/>
      </c>
      <c r="R1894" s="14">
        <f>MID(P1894,7,2)</f>
        <v/>
      </c>
      <c r="S1894" s="6" t="inlineStr">
        <is>
          <t>G2G</t>
        </is>
      </c>
      <c r="T1894" s="1" t="inlineStr">
        <is>
          <t>P4 - PEIPL</t>
        </is>
      </c>
      <c r="U1894" s="2" t="inlineStr">
        <is>
          <t xml:space="preserve">physically damaged </t>
        </is>
      </c>
      <c r="V1894" s="1" t="inlineStr">
        <is>
          <t>Inspection</t>
        </is>
      </c>
      <c r="W1894" s="1" t="inlineStr">
        <is>
          <t>Rejected</t>
        </is>
      </c>
      <c r="X1894" s="5">
        <f>Z1894</f>
        <v/>
      </c>
      <c r="Y1894" s="1">
        <f>X1894-A1894</f>
        <v/>
      </c>
      <c r="Z1894" s="5" t="n">
        <v>46197</v>
      </c>
      <c r="AA1894" s="3" t="n"/>
      <c r="AB1894" s="3" t="n"/>
      <c r="AE1894" s="146">
        <f>IF(AND(F1894="Closed",X1894&gt;=DATE(2026,6,1),X1894&lt;=DATE(2026,6,30)),"Closed in June","other")</f>
        <v/>
      </c>
    </row>
    <row r="1895" hidden="1">
      <c r="A1895" s="49" t="n">
        <v>46177</v>
      </c>
      <c r="B1895" s="1" t="n">
        <v>2026</v>
      </c>
      <c r="C1895" s="8" t="inlineStr">
        <is>
          <t>Ayana</t>
        </is>
      </c>
      <c r="D1895" s="11" t="inlineStr">
        <is>
          <t>Utility and C&amp;I</t>
        </is>
      </c>
      <c r="E1895" s="1" t="n"/>
      <c r="F1895" s="1" t="inlineStr">
        <is>
          <t>Closed</t>
        </is>
      </c>
      <c r="G1895" s="11" t="inlineStr">
        <is>
          <t>Vasu.N</t>
        </is>
      </c>
      <c r="H1895" s="8" t="n">
        <v>9578099893</v>
      </c>
      <c r="I1895" s="10" t="inlineStr">
        <is>
          <t>PE04062601</t>
        </is>
      </c>
      <c r="J1895" s="28" t="inlineStr">
        <is>
          <t>Module burnt</t>
        </is>
      </c>
      <c r="K1895" s="8" t="inlineStr">
        <is>
          <t>Zura</t>
        </is>
      </c>
      <c r="L1895" s="39" t="inlineStr">
        <is>
          <t>Gujarat</t>
        </is>
      </c>
      <c r="M1895" s="2" t="inlineStr">
        <is>
          <t xml:space="preserve">damage </t>
        </is>
      </c>
      <c r="N1895" s="6" t="inlineStr">
        <is>
          <t>Module Breakage</t>
        </is>
      </c>
      <c r="O1895" s="32" t="n">
        <v>590</v>
      </c>
      <c r="P1895" s="2" t="inlineStr">
        <is>
          <t>NSMI24110854720</t>
        </is>
      </c>
      <c r="Q1895" s="29">
        <f>MID(P1895,5,2)</f>
        <v/>
      </c>
      <c r="R1895" s="14">
        <f>MID(P1895,7,2)</f>
        <v/>
      </c>
      <c r="S1895" s="6" t="inlineStr">
        <is>
          <t>G2G</t>
        </is>
      </c>
      <c r="T1895" s="1" t="inlineStr">
        <is>
          <t>P4 - PEIPL</t>
        </is>
      </c>
      <c r="U1895" s="2" t="inlineStr">
        <is>
          <t xml:space="preserve">physically damaged </t>
        </is>
      </c>
      <c r="V1895" s="1" t="inlineStr">
        <is>
          <t>Inspection</t>
        </is>
      </c>
      <c r="W1895" s="1" t="inlineStr">
        <is>
          <t>Rejected</t>
        </is>
      </c>
      <c r="X1895" s="5">
        <f>Z1895</f>
        <v/>
      </c>
      <c r="Y1895" s="1">
        <f>X1895-A1895</f>
        <v/>
      </c>
      <c r="Z1895" s="5" t="n">
        <v>46197</v>
      </c>
      <c r="AA1895" s="3" t="n"/>
      <c r="AB1895" s="3" t="n"/>
      <c r="AE1895" s="146">
        <f>IF(AND(F1895="Closed",X1895&gt;=DATE(2026,6,1),X1895&lt;=DATE(2026,6,30)),"Closed in June","other")</f>
        <v/>
      </c>
    </row>
    <row r="1896" hidden="1">
      <c r="A1896" s="49" t="n">
        <v>46177</v>
      </c>
      <c r="B1896" s="1" t="n">
        <v>2026</v>
      </c>
      <c r="C1896" s="8" t="inlineStr">
        <is>
          <t>Ayana</t>
        </is>
      </c>
      <c r="D1896" s="11" t="inlineStr">
        <is>
          <t>Utility and C&amp;I</t>
        </is>
      </c>
      <c r="E1896" s="1" t="n"/>
      <c r="F1896" s="1" t="inlineStr">
        <is>
          <t>Closed</t>
        </is>
      </c>
      <c r="G1896" s="11" t="inlineStr">
        <is>
          <t>Vasu.N</t>
        </is>
      </c>
      <c r="H1896" s="8" t="n">
        <v>9578099893</v>
      </c>
      <c r="I1896" s="10" t="inlineStr">
        <is>
          <t>PE04062601</t>
        </is>
      </c>
      <c r="J1896" s="28" t="inlineStr">
        <is>
          <t>Module burnt</t>
        </is>
      </c>
      <c r="K1896" s="8" t="inlineStr">
        <is>
          <t>Zura</t>
        </is>
      </c>
      <c r="L1896" s="39" t="inlineStr">
        <is>
          <t>Gujarat</t>
        </is>
      </c>
      <c r="M1896" s="2" t="inlineStr">
        <is>
          <t xml:space="preserve">damage </t>
        </is>
      </c>
      <c r="N1896" s="6" t="inlineStr">
        <is>
          <t>Module Breakage</t>
        </is>
      </c>
      <c r="O1896" s="32" t="n">
        <v>590</v>
      </c>
      <c r="P1896" s="2" t="inlineStr">
        <is>
          <t>NSMI24110813252</t>
        </is>
      </c>
      <c r="Q1896" s="29">
        <f>MID(P1896,5,2)</f>
        <v/>
      </c>
      <c r="R1896" s="14">
        <f>MID(P1896,7,2)</f>
        <v/>
      </c>
      <c r="S1896" s="6" t="inlineStr">
        <is>
          <t>G2G</t>
        </is>
      </c>
      <c r="T1896" s="1" t="inlineStr">
        <is>
          <t>P4 - PEIPL</t>
        </is>
      </c>
      <c r="U1896" s="2" t="inlineStr">
        <is>
          <t xml:space="preserve">physically damaged </t>
        </is>
      </c>
      <c r="V1896" s="1" t="inlineStr">
        <is>
          <t>Inspection</t>
        </is>
      </c>
      <c r="W1896" s="1" t="inlineStr">
        <is>
          <t>Rejected</t>
        </is>
      </c>
      <c r="X1896" s="5">
        <f>Z1896</f>
        <v/>
      </c>
      <c r="Y1896" s="1">
        <f>X1896-A1896</f>
        <v/>
      </c>
      <c r="Z1896" s="5" t="n">
        <v>46197</v>
      </c>
      <c r="AA1896" s="3" t="n"/>
      <c r="AB1896" s="3" t="n"/>
      <c r="AE1896" s="146">
        <f>IF(AND(F1896="Closed",X1896&gt;=DATE(2026,6,1),X1896&lt;=DATE(2026,6,30)),"Closed in June","other")</f>
        <v/>
      </c>
    </row>
    <row r="1897" hidden="1">
      <c r="A1897" s="49" t="n">
        <v>46177</v>
      </c>
      <c r="B1897" s="1" t="n">
        <v>2026</v>
      </c>
      <c r="C1897" s="8" t="inlineStr">
        <is>
          <t>Ayana</t>
        </is>
      </c>
      <c r="D1897" s="11" t="inlineStr">
        <is>
          <t>Utility and C&amp;I</t>
        </is>
      </c>
      <c r="E1897" s="1" t="n"/>
      <c r="F1897" s="1" t="inlineStr">
        <is>
          <t>Closed</t>
        </is>
      </c>
      <c r="G1897" s="11" t="inlineStr">
        <is>
          <t>Vasu.N</t>
        </is>
      </c>
      <c r="H1897" s="8" t="n">
        <v>9578099893</v>
      </c>
      <c r="I1897" s="10" t="inlineStr">
        <is>
          <t>PE04062601</t>
        </is>
      </c>
      <c r="J1897" s="28" t="inlineStr">
        <is>
          <t>Module burnt</t>
        </is>
      </c>
      <c r="K1897" s="8" t="inlineStr">
        <is>
          <t>Zura</t>
        </is>
      </c>
      <c r="L1897" s="39" t="inlineStr">
        <is>
          <t>Gujarat</t>
        </is>
      </c>
      <c r="M1897" s="2" t="inlineStr">
        <is>
          <t xml:space="preserve">damage </t>
        </is>
      </c>
      <c r="N1897" s="6" t="inlineStr">
        <is>
          <t>Module Breakage</t>
        </is>
      </c>
      <c r="O1897" s="32" t="n">
        <v>590</v>
      </c>
      <c r="P1897" s="2" t="inlineStr">
        <is>
          <t>NSMI24100666159</t>
        </is>
      </c>
      <c r="Q1897" s="29">
        <f>MID(P1897,5,2)</f>
        <v/>
      </c>
      <c r="R1897" s="14">
        <f>MID(P1897,7,2)</f>
        <v/>
      </c>
      <c r="S1897" s="6" t="inlineStr">
        <is>
          <t>G2G</t>
        </is>
      </c>
      <c r="T1897" s="1" t="inlineStr">
        <is>
          <t>P4 - PEIPL</t>
        </is>
      </c>
      <c r="U1897" s="2" t="inlineStr">
        <is>
          <t xml:space="preserve">physically damaged </t>
        </is>
      </c>
      <c r="V1897" s="1" t="inlineStr">
        <is>
          <t>Inspection</t>
        </is>
      </c>
      <c r="W1897" s="1" t="inlineStr">
        <is>
          <t>Rejected</t>
        </is>
      </c>
      <c r="X1897" s="5">
        <f>Z1897</f>
        <v/>
      </c>
      <c r="Y1897" s="1">
        <f>X1897-A1897</f>
        <v/>
      </c>
      <c r="Z1897" s="5" t="n">
        <v>46197</v>
      </c>
      <c r="AA1897" s="3" t="n"/>
      <c r="AB1897" s="3" t="n"/>
      <c r="AE1897" s="146">
        <f>IF(AND(F1897="Closed",X1897&gt;=DATE(2026,6,1),X1897&lt;=DATE(2026,6,30)),"Closed in June","other")</f>
        <v/>
      </c>
    </row>
    <row r="1898" hidden="1">
      <c r="A1898" s="49" t="n">
        <v>46177</v>
      </c>
      <c r="B1898" s="1" t="n">
        <v>2026</v>
      </c>
      <c r="C1898" s="8" t="inlineStr">
        <is>
          <t>Ayana</t>
        </is>
      </c>
      <c r="D1898" s="11" t="inlineStr">
        <is>
          <t>Utility and C&amp;I</t>
        </is>
      </c>
      <c r="E1898" s="1" t="n"/>
      <c r="F1898" s="1" t="inlineStr">
        <is>
          <t>WIP</t>
        </is>
      </c>
      <c r="G1898" s="11" t="inlineStr">
        <is>
          <t>Vasu.N</t>
        </is>
      </c>
      <c r="H1898" s="8" t="n">
        <v>9578099893</v>
      </c>
      <c r="I1898" s="10" t="inlineStr">
        <is>
          <t>PE04062601</t>
        </is>
      </c>
      <c r="J1898" s="28" t="inlineStr">
        <is>
          <t>Module burnt</t>
        </is>
      </c>
      <c r="K1898" s="8" t="inlineStr">
        <is>
          <t>Zura</t>
        </is>
      </c>
      <c r="L1898" s="39" t="inlineStr">
        <is>
          <t>Gujarat</t>
        </is>
      </c>
      <c r="M1898" s="2" t="inlineStr">
        <is>
          <t xml:space="preserve">damage </t>
        </is>
      </c>
      <c r="N1898" s="6" t="inlineStr">
        <is>
          <t>Module Breakage</t>
        </is>
      </c>
      <c r="O1898" s="32" t="n">
        <v>590</v>
      </c>
      <c r="P1898" s="2" t="inlineStr">
        <is>
          <t>NSMI24110793944</t>
        </is>
      </c>
      <c r="Q1898" s="29">
        <f>MID(P1898,5,2)</f>
        <v/>
      </c>
      <c r="R1898" s="14">
        <f>MID(P1898,7,2)</f>
        <v/>
      </c>
      <c r="S1898" s="6" t="inlineStr">
        <is>
          <t>G2G</t>
        </is>
      </c>
      <c r="T1898" s="1" t="inlineStr">
        <is>
          <t>P4 - PEIPL</t>
        </is>
      </c>
      <c r="U1898" s="2" t="inlineStr">
        <is>
          <t>Frame Damaged</t>
        </is>
      </c>
      <c r="V1898" s="1" t="inlineStr">
        <is>
          <t>Inspection</t>
        </is>
      </c>
      <c r="W1898" s="1" t="inlineStr">
        <is>
          <t>WIP</t>
        </is>
      </c>
      <c r="X1898" s="12" t="n"/>
      <c r="Y1898" s="1">
        <f>IF(X1898="","",X1898-A1898)</f>
        <v/>
      </c>
      <c r="Z1898" s="5" t="n">
        <v>46197</v>
      </c>
      <c r="AA1898" s="3" t="n"/>
      <c r="AB1898" s="3" t="n"/>
      <c r="AE1898" s="146">
        <f>IF(AND(F1898="Closed",X1898&gt;=DATE(2026,6,1),X1898&lt;=DATE(2026,6,30)),"Closed in June","other")</f>
        <v/>
      </c>
    </row>
    <row r="1899" hidden="1">
      <c r="A1899" s="49" t="n">
        <v>46177</v>
      </c>
      <c r="B1899" s="1" t="n">
        <v>2026</v>
      </c>
      <c r="C1899" s="8" t="inlineStr">
        <is>
          <t>Ayana</t>
        </is>
      </c>
      <c r="D1899" s="11" t="inlineStr">
        <is>
          <t>Utility and C&amp;I</t>
        </is>
      </c>
      <c r="E1899" s="1" t="n"/>
      <c r="F1899" s="1" t="inlineStr">
        <is>
          <t>Closed</t>
        </is>
      </c>
      <c r="G1899" s="11" t="inlineStr">
        <is>
          <t>Vasu.N</t>
        </is>
      </c>
      <c r="H1899" s="8" t="n">
        <v>9578099893</v>
      </c>
      <c r="I1899" s="10" t="inlineStr">
        <is>
          <t>PE04062601</t>
        </is>
      </c>
      <c r="J1899" s="28" t="inlineStr">
        <is>
          <t>Module burnt</t>
        </is>
      </c>
      <c r="K1899" s="8" t="inlineStr">
        <is>
          <t>Zura</t>
        </is>
      </c>
      <c r="L1899" s="39" t="inlineStr">
        <is>
          <t>Gujarat</t>
        </is>
      </c>
      <c r="M1899" s="2" t="inlineStr">
        <is>
          <t xml:space="preserve">damage </t>
        </is>
      </c>
      <c r="N1899" s="6" t="inlineStr">
        <is>
          <t>Module Breakage</t>
        </is>
      </c>
      <c r="O1899" s="32" t="n">
        <v>590</v>
      </c>
      <c r="P1899" s="2" t="inlineStr">
        <is>
          <t>NSMI24100689382</t>
        </is>
      </c>
      <c r="Q1899" s="29">
        <f>MID(P1899,5,2)</f>
        <v/>
      </c>
      <c r="R1899" s="14">
        <f>MID(P1899,7,2)</f>
        <v/>
      </c>
      <c r="S1899" s="6" t="inlineStr">
        <is>
          <t>G2G</t>
        </is>
      </c>
      <c r="T1899" s="1" t="inlineStr">
        <is>
          <t>P4 - PEIPL</t>
        </is>
      </c>
      <c r="U1899" s="2" t="inlineStr">
        <is>
          <t xml:space="preserve">physically damaged </t>
        </is>
      </c>
      <c r="V1899" s="1" t="inlineStr">
        <is>
          <t>Inspection</t>
        </is>
      </c>
      <c r="W1899" s="1" t="inlineStr">
        <is>
          <t>Rejected</t>
        </is>
      </c>
      <c r="X1899" s="5">
        <f>Z1899</f>
        <v/>
      </c>
      <c r="Y1899" s="1">
        <f>X1899-A1899</f>
        <v/>
      </c>
      <c r="Z1899" s="5" t="n">
        <v>46197</v>
      </c>
      <c r="AA1899" s="3" t="n"/>
      <c r="AB1899" s="3" t="n"/>
      <c r="AE1899" s="146">
        <f>IF(AND(F1899="Closed",X1899&gt;=DATE(2026,6,1),X1899&lt;=DATE(2026,6,30)),"Closed in June","other")</f>
        <v/>
      </c>
    </row>
    <row r="1900" hidden="1">
      <c r="A1900" s="49" t="n">
        <v>46177</v>
      </c>
      <c r="B1900" s="1" t="n">
        <v>2026</v>
      </c>
      <c r="C1900" s="8" t="inlineStr">
        <is>
          <t>Ayana</t>
        </is>
      </c>
      <c r="D1900" s="11" t="inlineStr">
        <is>
          <t>Utility and C&amp;I</t>
        </is>
      </c>
      <c r="E1900" s="1" t="n"/>
      <c r="F1900" s="1" t="inlineStr">
        <is>
          <t>Closed</t>
        </is>
      </c>
      <c r="G1900" s="11" t="inlineStr">
        <is>
          <t>Vasu.N</t>
        </is>
      </c>
      <c r="H1900" s="8" t="n">
        <v>9578099893</v>
      </c>
      <c r="I1900" s="10" t="inlineStr">
        <is>
          <t>PE04062601</t>
        </is>
      </c>
      <c r="J1900" s="28" t="inlineStr">
        <is>
          <t>Module burnt</t>
        </is>
      </c>
      <c r="K1900" s="8" t="inlineStr">
        <is>
          <t>Zura</t>
        </is>
      </c>
      <c r="L1900" s="39" t="inlineStr">
        <is>
          <t>Gujarat</t>
        </is>
      </c>
      <c r="M1900" s="2" t="inlineStr">
        <is>
          <t xml:space="preserve">damage </t>
        </is>
      </c>
      <c r="N1900" s="6" t="inlineStr">
        <is>
          <t>Module Breakage</t>
        </is>
      </c>
      <c r="O1900" s="32" t="n">
        <v>590</v>
      </c>
      <c r="P1900" s="2" t="inlineStr">
        <is>
          <t>NSMI24110794522</t>
        </is>
      </c>
      <c r="Q1900" s="29">
        <f>MID(P1900,5,2)</f>
        <v/>
      </c>
      <c r="R1900" s="14">
        <f>MID(P1900,7,2)</f>
        <v/>
      </c>
      <c r="S1900" s="6" t="inlineStr">
        <is>
          <t>G2G</t>
        </is>
      </c>
      <c r="T1900" s="1" t="inlineStr">
        <is>
          <t>P4 - PEIPL</t>
        </is>
      </c>
      <c r="U1900" s="2" t="inlineStr">
        <is>
          <t xml:space="preserve">physically damaged </t>
        </is>
      </c>
      <c r="V1900" s="1" t="inlineStr">
        <is>
          <t>Inspection</t>
        </is>
      </c>
      <c r="W1900" s="1" t="inlineStr">
        <is>
          <t>Rejected</t>
        </is>
      </c>
      <c r="X1900" s="5">
        <f>Z1900</f>
        <v/>
      </c>
      <c r="Y1900" s="1">
        <f>X1900-A1900</f>
        <v/>
      </c>
      <c r="Z1900" s="5" t="n">
        <v>46197</v>
      </c>
      <c r="AA1900" s="3" t="n"/>
      <c r="AB1900" s="3" t="n"/>
      <c r="AE1900" s="146">
        <f>IF(AND(F1900="Closed",X1900&gt;=DATE(2026,6,1),X1900&lt;=DATE(2026,6,30)),"Closed in June","other")</f>
        <v/>
      </c>
    </row>
    <row r="1901" hidden="1">
      <c r="A1901" s="49" t="n">
        <v>46177</v>
      </c>
      <c r="B1901" s="1" t="n">
        <v>2026</v>
      </c>
      <c r="C1901" s="8" t="inlineStr">
        <is>
          <t>Ayana</t>
        </is>
      </c>
      <c r="D1901" s="11" t="inlineStr">
        <is>
          <t>Utility and C&amp;I</t>
        </is>
      </c>
      <c r="E1901" s="1" t="n"/>
      <c r="F1901" s="1" t="inlineStr">
        <is>
          <t>Closed</t>
        </is>
      </c>
      <c r="G1901" s="11" t="inlineStr">
        <is>
          <t>Vasu.N</t>
        </is>
      </c>
      <c r="H1901" s="8" t="n">
        <v>9578099893</v>
      </c>
      <c r="I1901" s="10" t="inlineStr">
        <is>
          <t>PE04062601</t>
        </is>
      </c>
      <c r="J1901" s="28" t="inlineStr">
        <is>
          <t>Module burnt</t>
        </is>
      </c>
      <c r="K1901" s="8" t="inlineStr">
        <is>
          <t>Zura</t>
        </is>
      </c>
      <c r="L1901" s="39" t="inlineStr">
        <is>
          <t>Gujarat</t>
        </is>
      </c>
      <c r="M1901" s="2" t="inlineStr">
        <is>
          <t xml:space="preserve">damage </t>
        </is>
      </c>
      <c r="N1901" s="6" t="inlineStr">
        <is>
          <t>Module Breakage</t>
        </is>
      </c>
      <c r="O1901" s="32" t="n">
        <v>590</v>
      </c>
      <c r="P1901" s="2" t="inlineStr">
        <is>
          <t>NSMI24110796601</t>
        </is>
      </c>
      <c r="Q1901" s="29">
        <f>MID(P1901,5,2)</f>
        <v/>
      </c>
      <c r="R1901" s="14">
        <f>MID(P1901,7,2)</f>
        <v/>
      </c>
      <c r="S1901" s="6" t="inlineStr">
        <is>
          <t>G2G</t>
        </is>
      </c>
      <c r="T1901" s="1" t="inlineStr">
        <is>
          <t>P4 - PEIPL</t>
        </is>
      </c>
      <c r="U1901" s="2" t="inlineStr">
        <is>
          <t xml:space="preserve">physically damaged </t>
        </is>
      </c>
      <c r="V1901" s="1" t="inlineStr">
        <is>
          <t>Inspection</t>
        </is>
      </c>
      <c r="W1901" s="1" t="inlineStr">
        <is>
          <t>Rejected</t>
        </is>
      </c>
      <c r="X1901" s="5">
        <f>Z1901</f>
        <v/>
      </c>
      <c r="Y1901" s="1">
        <f>X1901-A1901</f>
        <v/>
      </c>
      <c r="Z1901" s="5" t="n">
        <v>46197</v>
      </c>
      <c r="AA1901" s="3" t="n"/>
      <c r="AB1901" s="3" t="n"/>
      <c r="AE1901" s="146">
        <f>IF(AND(F1901="Closed",X1901&gt;=DATE(2026,6,1),X1901&lt;=DATE(2026,6,30)),"Closed in June","other")</f>
        <v/>
      </c>
    </row>
    <row r="1902" hidden="1">
      <c r="A1902" s="49" t="n">
        <v>46177</v>
      </c>
      <c r="B1902" s="1" t="n">
        <v>2026</v>
      </c>
      <c r="C1902" s="8" t="inlineStr">
        <is>
          <t>Ayana</t>
        </is>
      </c>
      <c r="D1902" s="11" t="inlineStr">
        <is>
          <t>Utility and C&amp;I</t>
        </is>
      </c>
      <c r="E1902" s="1" t="n"/>
      <c r="F1902" s="1" t="inlineStr">
        <is>
          <t>Closed</t>
        </is>
      </c>
      <c r="G1902" s="11" t="inlineStr">
        <is>
          <t>Vasu.N</t>
        </is>
      </c>
      <c r="H1902" s="8" t="n">
        <v>9578099893</v>
      </c>
      <c r="I1902" s="10" t="inlineStr">
        <is>
          <t>PE04062601</t>
        </is>
      </c>
      <c r="J1902" s="28" t="inlineStr">
        <is>
          <t>Module burnt</t>
        </is>
      </c>
      <c r="K1902" s="8" t="inlineStr">
        <is>
          <t>Zura</t>
        </is>
      </c>
      <c r="L1902" s="39" t="inlineStr">
        <is>
          <t>Gujarat</t>
        </is>
      </c>
      <c r="M1902" s="2" t="inlineStr">
        <is>
          <t xml:space="preserve">damage </t>
        </is>
      </c>
      <c r="N1902" s="6" t="inlineStr">
        <is>
          <t>Module Breakage</t>
        </is>
      </c>
      <c r="O1902" s="32" t="n">
        <v>590</v>
      </c>
      <c r="P1902" s="2" t="inlineStr">
        <is>
          <t>NSMI24110799682</t>
        </is>
      </c>
      <c r="Q1902" s="29">
        <f>MID(P1902,5,2)</f>
        <v/>
      </c>
      <c r="R1902" s="14">
        <f>MID(P1902,7,2)</f>
        <v/>
      </c>
      <c r="S1902" s="6" t="inlineStr">
        <is>
          <t>G2G</t>
        </is>
      </c>
      <c r="T1902" s="1" t="inlineStr">
        <is>
          <t>P4 - PEIPL</t>
        </is>
      </c>
      <c r="U1902" s="2" t="inlineStr">
        <is>
          <t xml:space="preserve">physically damaged </t>
        </is>
      </c>
      <c r="V1902" s="1" t="inlineStr">
        <is>
          <t>Inspection</t>
        </is>
      </c>
      <c r="W1902" s="1" t="inlineStr">
        <is>
          <t>Rejected</t>
        </is>
      </c>
      <c r="X1902" s="5">
        <f>Z1902</f>
        <v/>
      </c>
      <c r="Y1902" s="1">
        <f>X1902-A1902</f>
        <v/>
      </c>
      <c r="Z1902" s="5" t="n">
        <v>46197</v>
      </c>
      <c r="AA1902" s="3" t="n"/>
      <c r="AB1902" s="3" t="n"/>
      <c r="AE1902" s="146">
        <f>IF(AND(F1902="Closed",X1902&gt;=DATE(2026,6,1),X1902&lt;=DATE(2026,6,30)),"Closed in June","other")</f>
        <v/>
      </c>
    </row>
    <row r="1903" hidden="1">
      <c r="A1903" s="49" t="n">
        <v>46177</v>
      </c>
      <c r="B1903" s="1" t="n">
        <v>2026</v>
      </c>
      <c r="C1903" s="8" t="inlineStr">
        <is>
          <t>Ayana</t>
        </is>
      </c>
      <c r="D1903" s="11" t="inlineStr">
        <is>
          <t>Utility and C&amp;I</t>
        </is>
      </c>
      <c r="E1903" s="1" t="n"/>
      <c r="F1903" s="1" t="inlineStr">
        <is>
          <t>Closed</t>
        </is>
      </c>
      <c r="G1903" s="11" t="inlineStr">
        <is>
          <t>Vasu.N</t>
        </is>
      </c>
      <c r="H1903" s="8" t="n">
        <v>9578099893</v>
      </c>
      <c r="I1903" s="10" t="inlineStr">
        <is>
          <t>PE04062601</t>
        </is>
      </c>
      <c r="J1903" s="28" t="inlineStr">
        <is>
          <t>Module burnt</t>
        </is>
      </c>
      <c r="K1903" s="8" t="inlineStr">
        <is>
          <t>Zura</t>
        </is>
      </c>
      <c r="L1903" s="39" t="inlineStr">
        <is>
          <t>Gujarat</t>
        </is>
      </c>
      <c r="M1903" s="2" t="inlineStr">
        <is>
          <t xml:space="preserve">damage </t>
        </is>
      </c>
      <c r="N1903" s="6" t="inlineStr">
        <is>
          <t>Module Breakage</t>
        </is>
      </c>
      <c r="O1903" s="32" t="n">
        <v>590</v>
      </c>
      <c r="P1903" s="2" t="inlineStr">
        <is>
          <t>NSMI24100640741</t>
        </is>
      </c>
      <c r="Q1903" s="29">
        <f>MID(P1903,5,2)</f>
        <v/>
      </c>
      <c r="R1903" s="14">
        <f>MID(P1903,7,2)</f>
        <v/>
      </c>
      <c r="S1903" s="6" t="inlineStr">
        <is>
          <t>G2G</t>
        </is>
      </c>
      <c r="T1903" s="1" t="inlineStr">
        <is>
          <t>P4 - PEIPL</t>
        </is>
      </c>
      <c r="U1903" s="2" t="inlineStr">
        <is>
          <t xml:space="preserve">physically damaged </t>
        </is>
      </c>
      <c r="V1903" s="1" t="inlineStr">
        <is>
          <t>Inspection</t>
        </is>
      </c>
      <c r="W1903" s="1" t="inlineStr">
        <is>
          <t>Rejected</t>
        </is>
      </c>
      <c r="X1903" s="5">
        <f>Z1903</f>
        <v/>
      </c>
      <c r="Y1903" s="1">
        <f>X1903-A1903</f>
        <v/>
      </c>
      <c r="Z1903" s="5" t="n">
        <v>46197</v>
      </c>
      <c r="AA1903" s="3" t="n"/>
      <c r="AB1903" s="3" t="n"/>
      <c r="AE1903" s="146">
        <f>IF(AND(F1903="Closed",X1903&gt;=DATE(2026,6,1),X1903&lt;=DATE(2026,6,30)),"Closed in June","other")</f>
        <v/>
      </c>
    </row>
    <row r="1904" hidden="1">
      <c r="A1904" s="49" t="n">
        <v>46177</v>
      </c>
      <c r="B1904" s="1" t="n">
        <v>2026</v>
      </c>
      <c r="C1904" s="8" t="inlineStr">
        <is>
          <t>Ayana</t>
        </is>
      </c>
      <c r="D1904" s="11" t="inlineStr">
        <is>
          <t>Utility and C&amp;I</t>
        </is>
      </c>
      <c r="E1904" s="1" t="n"/>
      <c r="F1904" s="1" t="inlineStr">
        <is>
          <t>Closed</t>
        </is>
      </c>
      <c r="G1904" s="11" t="inlineStr">
        <is>
          <t>Vasu.N</t>
        </is>
      </c>
      <c r="H1904" s="8" t="n">
        <v>9578099893</v>
      </c>
      <c r="I1904" s="10" t="inlineStr">
        <is>
          <t>PE04062601</t>
        </is>
      </c>
      <c r="J1904" s="28" t="inlineStr">
        <is>
          <t>Module burnt</t>
        </is>
      </c>
      <c r="K1904" s="8" t="inlineStr">
        <is>
          <t>Zura</t>
        </is>
      </c>
      <c r="L1904" s="39" t="inlineStr">
        <is>
          <t>Gujarat</t>
        </is>
      </c>
      <c r="M1904" s="2" t="inlineStr">
        <is>
          <t xml:space="preserve">damage </t>
        </is>
      </c>
      <c r="N1904" s="6" t="inlineStr">
        <is>
          <t>Module Breakage</t>
        </is>
      </c>
      <c r="O1904" s="32" t="n">
        <v>590</v>
      </c>
      <c r="P1904" s="2" t="inlineStr">
        <is>
          <t>NSMI24100644282</t>
        </is>
      </c>
      <c r="Q1904" s="29">
        <f>MID(P1904,5,2)</f>
        <v/>
      </c>
      <c r="R1904" s="14">
        <f>MID(P1904,7,2)</f>
        <v/>
      </c>
      <c r="S1904" s="6" t="inlineStr">
        <is>
          <t>G2G</t>
        </is>
      </c>
      <c r="T1904" s="1" t="inlineStr">
        <is>
          <t>P4 - PEIPL</t>
        </is>
      </c>
      <c r="U1904" s="2" t="inlineStr">
        <is>
          <t xml:space="preserve">physically damaged </t>
        </is>
      </c>
      <c r="V1904" s="1" t="inlineStr">
        <is>
          <t>Inspection</t>
        </is>
      </c>
      <c r="W1904" s="1" t="inlineStr">
        <is>
          <t>Rejected</t>
        </is>
      </c>
      <c r="X1904" s="5">
        <f>Z1904</f>
        <v/>
      </c>
      <c r="Y1904" s="1">
        <f>X1904-A1904</f>
        <v/>
      </c>
      <c r="Z1904" s="5" t="n">
        <v>46197</v>
      </c>
      <c r="AA1904" s="3" t="n"/>
      <c r="AB1904" s="3" t="n"/>
      <c r="AE1904" s="146">
        <f>IF(AND(F1904="Closed",X1904&gt;=DATE(2026,6,1),X1904&lt;=DATE(2026,6,30)),"Closed in June","other")</f>
        <v/>
      </c>
    </row>
    <row r="1905" hidden="1">
      <c r="A1905" s="49" t="n">
        <v>46177</v>
      </c>
      <c r="B1905" s="1" t="n">
        <v>2026</v>
      </c>
      <c r="C1905" s="8" t="inlineStr">
        <is>
          <t>Ayana</t>
        </is>
      </c>
      <c r="D1905" s="11" t="inlineStr">
        <is>
          <t>Utility and C&amp;I</t>
        </is>
      </c>
      <c r="E1905" s="1" t="n"/>
      <c r="F1905" s="1" t="inlineStr">
        <is>
          <t>Closed</t>
        </is>
      </c>
      <c r="G1905" s="11" t="inlineStr">
        <is>
          <t>Vasu.N</t>
        </is>
      </c>
      <c r="H1905" s="8" t="n">
        <v>9578099893</v>
      </c>
      <c r="I1905" s="10" t="inlineStr">
        <is>
          <t>PE04062601</t>
        </is>
      </c>
      <c r="J1905" s="28" t="inlineStr">
        <is>
          <t>Module burnt</t>
        </is>
      </c>
      <c r="K1905" s="8" t="inlineStr">
        <is>
          <t>Zura</t>
        </is>
      </c>
      <c r="L1905" s="39" t="inlineStr">
        <is>
          <t>Gujarat</t>
        </is>
      </c>
      <c r="M1905" s="2" t="inlineStr">
        <is>
          <t xml:space="preserve">damage </t>
        </is>
      </c>
      <c r="N1905" s="6" t="inlineStr">
        <is>
          <t>Module Breakage</t>
        </is>
      </c>
      <c r="O1905" s="32" t="n">
        <v>590</v>
      </c>
      <c r="P1905" s="2" t="inlineStr">
        <is>
          <t>NSMI24110794558</t>
        </is>
      </c>
      <c r="Q1905" s="29">
        <f>MID(P1905,5,2)</f>
        <v/>
      </c>
      <c r="R1905" s="14">
        <f>MID(P1905,7,2)</f>
        <v/>
      </c>
      <c r="S1905" s="6" t="inlineStr">
        <is>
          <t>G2G</t>
        </is>
      </c>
      <c r="T1905" s="1" t="inlineStr">
        <is>
          <t>P4 - PEIPL</t>
        </is>
      </c>
      <c r="U1905" s="2" t="inlineStr">
        <is>
          <t xml:space="preserve">physically damaged </t>
        </is>
      </c>
      <c r="V1905" s="1" t="inlineStr">
        <is>
          <t>Inspection</t>
        </is>
      </c>
      <c r="W1905" s="1" t="inlineStr">
        <is>
          <t>Rejected</t>
        </is>
      </c>
      <c r="X1905" s="5">
        <f>Z1905</f>
        <v/>
      </c>
      <c r="Y1905" s="1">
        <f>X1905-A1905</f>
        <v/>
      </c>
      <c r="Z1905" s="5" t="n">
        <v>46197</v>
      </c>
      <c r="AA1905" s="3" t="n"/>
      <c r="AB1905" s="3" t="n"/>
      <c r="AE1905" s="146">
        <f>IF(AND(F1905="Closed",X1905&gt;=DATE(2026,6,1),X1905&lt;=DATE(2026,6,30)),"Closed in June","other")</f>
        <v/>
      </c>
    </row>
    <row r="1906" hidden="1">
      <c r="A1906" s="49" t="n">
        <v>46177</v>
      </c>
      <c r="B1906" s="1" t="n">
        <v>2026</v>
      </c>
      <c r="C1906" s="8" t="inlineStr">
        <is>
          <t>Ayana</t>
        </is>
      </c>
      <c r="D1906" s="11" t="inlineStr">
        <is>
          <t>Utility and C&amp;I</t>
        </is>
      </c>
      <c r="E1906" s="1" t="n"/>
      <c r="F1906" s="1" t="inlineStr">
        <is>
          <t>Closed</t>
        </is>
      </c>
      <c r="G1906" s="11" t="inlineStr">
        <is>
          <t>Vasu.N</t>
        </is>
      </c>
      <c r="H1906" s="8" t="n">
        <v>9578099893</v>
      </c>
      <c r="I1906" s="10" t="inlineStr">
        <is>
          <t>PE04062601</t>
        </is>
      </c>
      <c r="J1906" s="28" t="inlineStr">
        <is>
          <t>Module burnt</t>
        </is>
      </c>
      <c r="K1906" s="8" t="inlineStr">
        <is>
          <t>Zura</t>
        </is>
      </c>
      <c r="L1906" s="39" t="inlineStr">
        <is>
          <t>Gujarat</t>
        </is>
      </c>
      <c r="M1906" s="2" t="inlineStr">
        <is>
          <t xml:space="preserve">damage </t>
        </is>
      </c>
      <c r="N1906" s="6" t="inlineStr">
        <is>
          <t>Module Breakage</t>
        </is>
      </c>
      <c r="O1906" s="32" t="n">
        <v>590</v>
      </c>
      <c r="P1906" s="2" t="inlineStr">
        <is>
          <t>NSMI24110795122</t>
        </is>
      </c>
      <c r="Q1906" s="29">
        <f>MID(P1906,5,2)</f>
        <v/>
      </c>
      <c r="R1906" s="14">
        <f>MID(P1906,7,2)</f>
        <v/>
      </c>
      <c r="S1906" s="6" t="inlineStr">
        <is>
          <t>G2G</t>
        </is>
      </c>
      <c r="T1906" s="1" t="inlineStr">
        <is>
          <t>P4 - PEIPL</t>
        </is>
      </c>
      <c r="U1906" s="2" t="inlineStr">
        <is>
          <t xml:space="preserve">physically damaged </t>
        </is>
      </c>
      <c r="V1906" s="1" t="inlineStr">
        <is>
          <t>Inspection</t>
        </is>
      </c>
      <c r="W1906" s="1" t="inlineStr">
        <is>
          <t>Rejected</t>
        </is>
      </c>
      <c r="X1906" s="5">
        <f>Z1906</f>
        <v/>
      </c>
      <c r="Y1906" s="1">
        <f>X1906-A1906</f>
        <v/>
      </c>
      <c r="Z1906" s="5" t="n">
        <v>46197</v>
      </c>
      <c r="AA1906" s="3" t="n"/>
      <c r="AB1906" s="3" t="n"/>
      <c r="AE1906" s="146">
        <f>IF(AND(F1906="Closed",X1906&gt;=DATE(2026,6,1),X1906&lt;=DATE(2026,6,30)),"Closed in June","other")</f>
        <v/>
      </c>
    </row>
    <row r="1907" hidden="1">
      <c r="A1907" s="49" t="n">
        <v>46177</v>
      </c>
      <c r="B1907" s="1" t="n">
        <v>2026</v>
      </c>
      <c r="C1907" s="8" t="inlineStr">
        <is>
          <t>Ayana</t>
        </is>
      </c>
      <c r="D1907" s="11" t="inlineStr">
        <is>
          <t>Utility and C&amp;I</t>
        </is>
      </c>
      <c r="E1907" s="1" t="n"/>
      <c r="F1907" s="1" t="inlineStr">
        <is>
          <t>Closed</t>
        </is>
      </c>
      <c r="G1907" s="11" t="inlineStr">
        <is>
          <t>Vasu.N</t>
        </is>
      </c>
      <c r="H1907" s="8" t="n">
        <v>9578099893</v>
      </c>
      <c r="I1907" s="10" t="inlineStr">
        <is>
          <t>PE04062601</t>
        </is>
      </c>
      <c r="J1907" s="28" t="inlineStr">
        <is>
          <t>Module burnt</t>
        </is>
      </c>
      <c r="K1907" s="8" t="inlineStr">
        <is>
          <t>Zura</t>
        </is>
      </c>
      <c r="L1907" s="39" t="inlineStr">
        <is>
          <t>Gujarat</t>
        </is>
      </c>
      <c r="M1907" s="2" t="inlineStr">
        <is>
          <t xml:space="preserve">damage </t>
        </is>
      </c>
      <c r="N1907" s="6" t="inlineStr">
        <is>
          <t>Module Breakage</t>
        </is>
      </c>
      <c r="O1907" s="32" t="n">
        <v>590</v>
      </c>
      <c r="P1907" s="2" t="inlineStr">
        <is>
          <t>NSMI24100684628</t>
        </is>
      </c>
      <c r="Q1907" s="29">
        <f>MID(P1907,5,2)</f>
        <v/>
      </c>
      <c r="R1907" s="14">
        <f>MID(P1907,7,2)</f>
        <v/>
      </c>
      <c r="S1907" s="6" t="inlineStr">
        <is>
          <t>G2G</t>
        </is>
      </c>
      <c r="T1907" s="1" t="inlineStr">
        <is>
          <t>P4 - PEIPL</t>
        </is>
      </c>
      <c r="U1907" s="2" t="inlineStr">
        <is>
          <t xml:space="preserve">physically damaged </t>
        </is>
      </c>
      <c r="V1907" s="1" t="inlineStr">
        <is>
          <t>Inspection</t>
        </is>
      </c>
      <c r="W1907" s="1" t="inlineStr">
        <is>
          <t>Rejected</t>
        </is>
      </c>
      <c r="X1907" s="5">
        <f>Z1907</f>
        <v/>
      </c>
      <c r="Y1907" s="1">
        <f>X1907-A1907</f>
        <v/>
      </c>
      <c r="Z1907" s="5" t="n">
        <v>46197</v>
      </c>
      <c r="AA1907" s="3" t="n"/>
      <c r="AB1907" s="3" t="n"/>
      <c r="AE1907" s="146">
        <f>IF(AND(F1907="Closed",X1907&gt;=DATE(2026,6,1),X1907&lt;=DATE(2026,6,30)),"Closed in June","other")</f>
        <v/>
      </c>
    </row>
    <row r="1908" hidden="1">
      <c r="A1908" s="49" t="n">
        <v>46177</v>
      </c>
      <c r="B1908" s="1" t="n">
        <v>2026</v>
      </c>
      <c r="C1908" s="8" t="inlineStr">
        <is>
          <t>Ayana</t>
        </is>
      </c>
      <c r="D1908" s="11" t="inlineStr">
        <is>
          <t>Utility and C&amp;I</t>
        </is>
      </c>
      <c r="E1908" s="1" t="n"/>
      <c r="F1908" s="1" t="inlineStr">
        <is>
          <t>Closed</t>
        </is>
      </c>
      <c r="G1908" s="11" t="inlineStr">
        <is>
          <t>Vasu.N</t>
        </is>
      </c>
      <c r="H1908" s="8" t="n">
        <v>9578099893</v>
      </c>
      <c r="I1908" s="10" t="inlineStr">
        <is>
          <t>PE04062601</t>
        </is>
      </c>
      <c r="J1908" s="28" t="inlineStr">
        <is>
          <t>Module burnt</t>
        </is>
      </c>
      <c r="K1908" s="8" t="inlineStr">
        <is>
          <t>Zura</t>
        </is>
      </c>
      <c r="L1908" s="39" t="inlineStr">
        <is>
          <t>Gujarat</t>
        </is>
      </c>
      <c r="M1908" s="2" t="inlineStr">
        <is>
          <t xml:space="preserve">damage </t>
        </is>
      </c>
      <c r="N1908" s="6" t="inlineStr">
        <is>
          <t>Module Breakage</t>
        </is>
      </c>
      <c r="O1908" s="32" t="n">
        <v>590</v>
      </c>
      <c r="P1908" s="2" t="inlineStr">
        <is>
          <t>NSMI24100648943</t>
        </is>
      </c>
      <c r="Q1908" s="29">
        <f>MID(P1908,5,2)</f>
        <v/>
      </c>
      <c r="R1908" s="14">
        <f>MID(P1908,7,2)</f>
        <v/>
      </c>
      <c r="S1908" s="6" t="inlineStr">
        <is>
          <t>G2G</t>
        </is>
      </c>
      <c r="T1908" s="1" t="inlineStr">
        <is>
          <t>P4 - PEIPL</t>
        </is>
      </c>
      <c r="U1908" s="2" t="inlineStr">
        <is>
          <t xml:space="preserve">physically damaged </t>
        </is>
      </c>
      <c r="V1908" s="1" t="inlineStr">
        <is>
          <t>Inspection</t>
        </is>
      </c>
      <c r="W1908" s="1" t="inlineStr">
        <is>
          <t>Rejected</t>
        </is>
      </c>
      <c r="X1908" s="5">
        <f>Z1908</f>
        <v/>
      </c>
      <c r="Y1908" s="1">
        <f>X1908-A1908</f>
        <v/>
      </c>
      <c r="Z1908" s="5" t="n">
        <v>46197</v>
      </c>
      <c r="AA1908" s="3" t="n"/>
      <c r="AB1908" s="3" t="n"/>
      <c r="AE1908" s="146">
        <f>IF(AND(F1908="Closed",X1908&gt;=DATE(2026,6,1),X1908&lt;=DATE(2026,6,30)),"Closed in June","other")</f>
        <v/>
      </c>
    </row>
    <row r="1909" hidden="1">
      <c r="A1909" s="49" t="n">
        <v>46177</v>
      </c>
      <c r="B1909" s="1" t="n">
        <v>2026</v>
      </c>
      <c r="C1909" s="8" t="inlineStr">
        <is>
          <t>Ayana</t>
        </is>
      </c>
      <c r="D1909" s="11" t="inlineStr">
        <is>
          <t>Utility and C&amp;I</t>
        </is>
      </c>
      <c r="E1909" s="1" t="n"/>
      <c r="F1909" s="1" t="inlineStr">
        <is>
          <t>Closed</t>
        </is>
      </c>
      <c r="G1909" s="11" t="inlineStr">
        <is>
          <t>Vasu.N</t>
        </is>
      </c>
      <c r="H1909" s="8" t="n">
        <v>9578099893</v>
      </c>
      <c r="I1909" s="10" t="inlineStr">
        <is>
          <t>PE04062601</t>
        </is>
      </c>
      <c r="J1909" s="28" t="inlineStr">
        <is>
          <t>Module burnt</t>
        </is>
      </c>
      <c r="K1909" s="8" t="inlineStr">
        <is>
          <t>Zura</t>
        </is>
      </c>
      <c r="L1909" s="39" t="inlineStr">
        <is>
          <t>Gujarat</t>
        </is>
      </c>
      <c r="M1909" s="2" t="inlineStr">
        <is>
          <t xml:space="preserve">damage </t>
        </is>
      </c>
      <c r="N1909" s="6" t="inlineStr">
        <is>
          <t>Module Breakage</t>
        </is>
      </c>
      <c r="O1909" s="32" t="n">
        <v>590</v>
      </c>
      <c r="P1909" s="2" t="inlineStr">
        <is>
          <t>NSMI24110806876</t>
        </is>
      </c>
      <c r="Q1909" s="29">
        <f>MID(P1909,5,2)</f>
        <v/>
      </c>
      <c r="R1909" s="14">
        <f>MID(P1909,7,2)</f>
        <v/>
      </c>
      <c r="S1909" s="6" t="inlineStr">
        <is>
          <t>G2G</t>
        </is>
      </c>
      <c r="T1909" s="1" t="inlineStr">
        <is>
          <t>P4 - PEIPL</t>
        </is>
      </c>
      <c r="U1909" s="2" t="inlineStr">
        <is>
          <t xml:space="preserve">physically damaged </t>
        </is>
      </c>
      <c r="V1909" s="1" t="inlineStr">
        <is>
          <t>Inspection</t>
        </is>
      </c>
      <c r="W1909" s="1" t="inlineStr">
        <is>
          <t>Rejected</t>
        </is>
      </c>
      <c r="X1909" s="5">
        <f>Z1909</f>
        <v/>
      </c>
      <c r="Y1909" s="1">
        <f>X1909-A1909</f>
        <v/>
      </c>
      <c r="Z1909" s="5" t="n">
        <v>46197</v>
      </c>
      <c r="AA1909" s="3" t="n"/>
      <c r="AB1909" s="3" t="n"/>
      <c r="AE1909" s="146">
        <f>IF(AND(F1909="Closed",X1909&gt;=DATE(2026,6,1),X1909&lt;=DATE(2026,6,30)),"Closed in June","other")</f>
        <v/>
      </c>
    </row>
    <row r="1910" hidden="1">
      <c r="A1910" s="49" t="n">
        <v>46177</v>
      </c>
      <c r="B1910" s="1" t="n">
        <v>2026</v>
      </c>
      <c r="C1910" s="8" t="inlineStr">
        <is>
          <t>Ayana</t>
        </is>
      </c>
      <c r="D1910" s="11" t="inlineStr">
        <is>
          <t>Utility and C&amp;I</t>
        </is>
      </c>
      <c r="E1910" s="1" t="n"/>
      <c r="F1910" s="1" t="inlineStr">
        <is>
          <t>Closed</t>
        </is>
      </c>
      <c r="G1910" s="11" t="inlineStr">
        <is>
          <t>Vasu.N</t>
        </is>
      </c>
      <c r="H1910" s="8" t="n">
        <v>9578099893</v>
      </c>
      <c r="I1910" s="10" t="inlineStr">
        <is>
          <t>PE04062601</t>
        </is>
      </c>
      <c r="J1910" s="28" t="inlineStr">
        <is>
          <t>Module burnt</t>
        </is>
      </c>
      <c r="K1910" s="8" t="inlineStr">
        <is>
          <t>Zura</t>
        </is>
      </c>
      <c r="L1910" s="39" t="inlineStr">
        <is>
          <t>Gujarat</t>
        </is>
      </c>
      <c r="M1910" s="2" t="inlineStr">
        <is>
          <t xml:space="preserve">damage </t>
        </is>
      </c>
      <c r="N1910" s="6" t="inlineStr">
        <is>
          <t>Module Breakage</t>
        </is>
      </c>
      <c r="O1910" s="32" t="n">
        <v>590</v>
      </c>
      <c r="P1910" s="2" t="inlineStr">
        <is>
          <t>NSMI24110794321</t>
        </is>
      </c>
      <c r="Q1910" s="29">
        <f>MID(P1910,5,2)</f>
        <v/>
      </c>
      <c r="R1910" s="14">
        <f>MID(P1910,7,2)</f>
        <v/>
      </c>
      <c r="S1910" s="6" t="inlineStr">
        <is>
          <t>G2G</t>
        </is>
      </c>
      <c r="T1910" s="1" t="inlineStr">
        <is>
          <t>P4 - PEIPL</t>
        </is>
      </c>
      <c r="U1910" s="2" t="inlineStr">
        <is>
          <t xml:space="preserve">physically damaged </t>
        </is>
      </c>
      <c r="V1910" s="1" t="inlineStr">
        <is>
          <t>Inspection</t>
        </is>
      </c>
      <c r="W1910" s="1" t="inlineStr">
        <is>
          <t>Rejected</t>
        </is>
      </c>
      <c r="X1910" s="5">
        <f>Z1910</f>
        <v/>
      </c>
      <c r="Y1910" s="1">
        <f>X1910-A1910</f>
        <v/>
      </c>
      <c r="Z1910" s="5" t="n">
        <v>46197</v>
      </c>
      <c r="AA1910" s="3" t="n"/>
      <c r="AB1910" s="3" t="n"/>
      <c r="AE1910" s="146">
        <f>IF(AND(F1910="Closed",X1910&gt;=DATE(2026,6,1),X1910&lt;=DATE(2026,6,30)),"Closed in June","other")</f>
        <v/>
      </c>
    </row>
    <row r="1911" hidden="1">
      <c r="A1911" s="49" t="n">
        <v>46177</v>
      </c>
      <c r="B1911" s="1" t="n">
        <v>2026</v>
      </c>
      <c r="C1911" s="8" t="inlineStr">
        <is>
          <t>Ayana</t>
        </is>
      </c>
      <c r="D1911" s="11" t="inlineStr">
        <is>
          <t>Utility and C&amp;I</t>
        </is>
      </c>
      <c r="E1911" s="1" t="n"/>
      <c r="F1911" s="1" t="inlineStr">
        <is>
          <t>Closed</t>
        </is>
      </c>
      <c r="G1911" s="11" t="inlineStr">
        <is>
          <t>Vasu.N</t>
        </is>
      </c>
      <c r="H1911" s="8" t="n">
        <v>9578099893</v>
      </c>
      <c r="I1911" s="10" t="inlineStr">
        <is>
          <t>PE04062601</t>
        </is>
      </c>
      <c r="J1911" s="28" t="inlineStr">
        <is>
          <t>Module burnt</t>
        </is>
      </c>
      <c r="K1911" s="8" t="inlineStr">
        <is>
          <t>Zura</t>
        </is>
      </c>
      <c r="L1911" s="39" t="inlineStr">
        <is>
          <t>Gujarat</t>
        </is>
      </c>
      <c r="M1911" s="2" t="inlineStr">
        <is>
          <t xml:space="preserve">damage </t>
        </is>
      </c>
      <c r="N1911" s="6" t="inlineStr">
        <is>
          <t>Module Breakage</t>
        </is>
      </c>
      <c r="O1911" s="32" t="n">
        <v>590</v>
      </c>
      <c r="P1911" s="2" t="inlineStr">
        <is>
          <t>NSMI24100647505</t>
        </is>
      </c>
      <c r="Q1911" s="29">
        <f>MID(P1911,5,2)</f>
        <v/>
      </c>
      <c r="R1911" s="14">
        <f>MID(P1911,7,2)</f>
        <v/>
      </c>
      <c r="S1911" s="6" t="inlineStr">
        <is>
          <t>G2G</t>
        </is>
      </c>
      <c r="T1911" s="1" t="inlineStr">
        <is>
          <t>P4 - PEIPL</t>
        </is>
      </c>
      <c r="U1911" s="2" t="inlineStr">
        <is>
          <t xml:space="preserve">physically damaged </t>
        </is>
      </c>
      <c r="V1911" s="1" t="inlineStr">
        <is>
          <t>Inspection</t>
        </is>
      </c>
      <c r="W1911" s="1" t="inlineStr">
        <is>
          <t>Rejected</t>
        </is>
      </c>
      <c r="X1911" s="5">
        <f>Z1911</f>
        <v/>
      </c>
      <c r="Y1911" s="1">
        <f>X1911-A1911</f>
        <v/>
      </c>
      <c r="Z1911" s="5" t="n">
        <v>46197</v>
      </c>
      <c r="AA1911" s="3" t="n"/>
      <c r="AB1911" s="3" t="n"/>
      <c r="AE1911" s="146">
        <f>IF(AND(F1911="Closed",X1911&gt;=DATE(2026,6,1),X1911&lt;=DATE(2026,6,30)),"Closed in June","other")</f>
        <v/>
      </c>
    </row>
    <row r="1912" hidden="1">
      <c r="A1912" s="49" t="n">
        <v>46177</v>
      </c>
      <c r="B1912" s="1" t="n">
        <v>2026</v>
      </c>
      <c r="C1912" s="8" t="inlineStr">
        <is>
          <t>Ayana</t>
        </is>
      </c>
      <c r="D1912" s="11" t="inlineStr">
        <is>
          <t>Utility and C&amp;I</t>
        </is>
      </c>
      <c r="E1912" s="1" t="n"/>
      <c r="F1912" s="1" t="inlineStr">
        <is>
          <t>Closed</t>
        </is>
      </c>
      <c r="G1912" s="11" t="inlineStr">
        <is>
          <t>Vasu.N</t>
        </is>
      </c>
      <c r="H1912" s="8" t="n">
        <v>9578099893</v>
      </c>
      <c r="I1912" s="10" t="inlineStr">
        <is>
          <t>PE04062601</t>
        </is>
      </c>
      <c r="J1912" s="28" t="inlineStr">
        <is>
          <t>Module burnt</t>
        </is>
      </c>
      <c r="K1912" s="8" t="inlineStr">
        <is>
          <t>Zura</t>
        </is>
      </c>
      <c r="L1912" s="39" t="inlineStr">
        <is>
          <t>Gujarat</t>
        </is>
      </c>
      <c r="M1912" s="2" t="inlineStr">
        <is>
          <t xml:space="preserve">damage </t>
        </is>
      </c>
      <c r="N1912" s="6" t="inlineStr">
        <is>
          <t>Module Breakage</t>
        </is>
      </c>
      <c r="O1912" s="32" t="n">
        <v>590</v>
      </c>
      <c r="P1912" s="2" t="inlineStr">
        <is>
          <t>NSMI24100596557</t>
        </is>
      </c>
      <c r="Q1912" s="29">
        <f>MID(P1912,5,2)</f>
        <v/>
      </c>
      <c r="R1912" s="14">
        <f>MID(P1912,7,2)</f>
        <v/>
      </c>
      <c r="S1912" s="6" t="inlineStr">
        <is>
          <t>G2G</t>
        </is>
      </c>
      <c r="T1912" s="1" t="inlineStr">
        <is>
          <t>P4 - PEIPL</t>
        </is>
      </c>
      <c r="U1912" s="2" t="inlineStr">
        <is>
          <t xml:space="preserve">physically damaged </t>
        </is>
      </c>
      <c r="V1912" s="1" t="inlineStr">
        <is>
          <t>Inspection</t>
        </is>
      </c>
      <c r="W1912" s="1" t="inlineStr">
        <is>
          <t>Rejected</t>
        </is>
      </c>
      <c r="X1912" s="5">
        <f>Z1912</f>
        <v/>
      </c>
      <c r="Y1912" s="1">
        <f>X1912-A1912</f>
        <v/>
      </c>
      <c r="Z1912" s="5" t="n">
        <v>46197</v>
      </c>
      <c r="AA1912" s="3" t="n"/>
      <c r="AB1912" s="3" t="n"/>
      <c r="AE1912" s="146">
        <f>IF(AND(F1912="Closed",X1912&gt;=DATE(2026,6,1),X1912&lt;=DATE(2026,6,30)),"Closed in June","other")</f>
        <v/>
      </c>
    </row>
    <row r="1913" hidden="1">
      <c r="A1913" s="49" t="n">
        <v>46177</v>
      </c>
      <c r="B1913" s="1" t="n">
        <v>2026</v>
      </c>
      <c r="C1913" s="8" t="inlineStr">
        <is>
          <t>Ayana</t>
        </is>
      </c>
      <c r="D1913" s="11" t="inlineStr">
        <is>
          <t>Utility and C&amp;I</t>
        </is>
      </c>
      <c r="E1913" s="1" t="n"/>
      <c r="F1913" s="1" t="inlineStr">
        <is>
          <t>Closed</t>
        </is>
      </c>
      <c r="G1913" s="11" t="inlineStr">
        <is>
          <t>Vasu.N</t>
        </is>
      </c>
      <c r="H1913" s="8" t="n">
        <v>9578099893</v>
      </c>
      <c r="I1913" s="10" t="inlineStr">
        <is>
          <t>PE04062601</t>
        </is>
      </c>
      <c r="J1913" s="28" t="inlineStr">
        <is>
          <t>Module burnt</t>
        </is>
      </c>
      <c r="K1913" s="8" t="inlineStr">
        <is>
          <t>Zura</t>
        </is>
      </c>
      <c r="L1913" s="39" t="inlineStr">
        <is>
          <t>Gujarat</t>
        </is>
      </c>
      <c r="M1913" s="2" t="inlineStr">
        <is>
          <t xml:space="preserve">damage </t>
        </is>
      </c>
      <c r="N1913" s="6" t="inlineStr">
        <is>
          <t>Module Breakage</t>
        </is>
      </c>
      <c r="O1913" s="32" t="n">
        <v>590</v>
      </c>
      <c r="P1913" s="2" t="inlineStr">
        <is>
          <t>NSMI24100596542</t>
        </is>
      </c>
      <c r="Q1913" s="29">
        <f>MID(P1913,5,2)</f>
        <v/>
      </c>
      <c r="R1913" s="14">
        <f>MID(P1913,7,2)</f>
        <v/>
      </c>
      <c r="S1913" s="6" t="inlineStr">
        <is>
          <t>G2G</t>
        </is>
      </c>
      <c r="T1913" s="1" t="inlineStr">
        <is>
          <t>P4 - PEIPL</t>
        </is>
      </c>
      <c r="U1913" s="2" t="inlineStr">
        <is>
          <t xml:space="preserve">physically damaged </t>
        </is>
      </c>
      <c r="V1913" s="1" t="inlineStr">
        <is>
          <t>Inspection</t>
        </is>
      </c>
      <c r="W1913" s="1" t="inlineStr">
        <is>
          <t>Rejected</t>
        </is>
      </c>
      <c r="X1913" s="5">
        <f>Z1913</f>
        <v/>
      </c>
      <c r="Y1913" s="1">
        <f>X1913-A1913</f>
        <v/>
      </c>
      <c r="Z1913" s="5" t="n">
        <v>46197</v>
      </c>
      <c r="AA1913" s="3" t="n"/>
      <c r="AB1913" s="3" t="n"/>
      <c r="AE1913" s="146">
        <f>IF(AND(F1913="Closed",X1913&gt;=DATE(2026,6,1),X1913&lt;=DATE(2026,6,30)),"Closed in June","other")</f>
        <v/>
      </c>
    </row>
    <row r="1914" hidden="1">
      <c r="A1914" s="49" t="n">
        <v>46177</v>
      </c>
      <c r="B1914" s="1" t="n">
        <v>2026</v>
      </c>
      <c r="C1914" s="8" t="inlineStr">
        <is>
          <t>Ayana</t>
        </is>
      </c>
      <c r="D1914" s="11" t="inlineStr">
        <is>
          <t>Utility and C&amp;I</t>
        </is>
      </c>
      <c r="E1914" s="1" t="n"/>
      <c r="F1914" s="1" t="inlineStr">
        <is>
          <t>Closed</t>
        </is>
      </c>
      <c r="G1914" s="11" t="inlineStr">
        <is>
          <t>Vasu.N</t>
        </is>
      </c>
      <c r="H1914" s="8" t="n">
        <v>9578099893</v>
      </c>
      <c r="I1914" s="10" t="inlineStr">
        <is>
          <t>PE04062601</t>
        </is>
      </c>
      <c r="J1914" s="28" t="inlineStr">
        <is>
          <t>Module burnt</t>
        </is>
      </c>
      <c r="K1914" s="8" t="inlineStr">
        <is>
          <t>Zura</t>
        </is>
      </c>
      <c r="L1914" s="39" t="inlineStr">
        <is>
          <t>Gujarat</t>
        </is>
      </c>
      <c r="M1914" s="2" t="inlineStr">
        <is>
          <t xml:space="preserve">damage </t>
        </is>
      </c>
      <c r="N1914" s="6" t="inlineStr">
        <is>
          <t>Module Breakage</t>
        </is>
      </c>
      <c r="O1914" s="32" t="n">
        <v>590</v>
      </c>
      <c r="P1914" s="2" t="inlineStr">
        <is>
          <t>NSMI24090485764</t>
        </is>
      </c>
      <c r="Q1914" s="29">
        <f>MID(P1914,5,2)</f>
        <v/>
      </c>
      <c r="R1914" s="14">
        <f>MID(P1914,7,2)</f>
        <v/>
      </c>
      <c r="S1914" s="6" t="inlineStr">
        <is>
          <t>G2G</t>
        </is>
      </c>
      <c r="T1914" s="1" t="inlineStr">
        <is>
          <t>P4 - PEIPL</t>
        </is>
      </c>
      <c r="U1914" s="2" t="inlineStr">
        <is>
          <t xml:space="preserve">physically damaged </t>
        </is>
      </c>
      <c r="V1914" s="1" t="inlineStr">
        <is>
          <t>Inspection</t>
        </is>
      </c>
      <c r="W1914" s="1" t="inlineStr">
        <is>
          <t>Rejected</t>
        </is>
      </c>
      <c r="X1914" s="5">
        <f>Z1914</f>
        <v/>
      </c>
      <c r="Y1914" s="1">
        <f>X1914-A1914</f>
        <v/>
      </c>
      <c r="Z1914" s="5" t="n">
        <v>46197</v>
      </c>
      <c r="AA1914" s="3" t="n"/>
      <c r="AB1914" s="3" t="n"/>
      <c r="AE1914" s="146">
        <f>IF(AND(F1914="Closed",X1914&gt;=DATE(2026,6,1),X1914&lt;=DATE(2026,6,30)),"Closed in June","other")</f>
        <v/>
      </c>
    </row>
    <row r="1915" hidden="1">
      <c r="A1915" s="49" t="n">
        <v>46177</v>
      </c>
      <c r="B1915" s="1" t="n">
        <v>2026</v>
      </c>
      <c r="C1915" s="8" t="inlineStr">
        <is>
          <t>Ayana</t>
        </is>
      </c>
      <c r="D1915" s="11" t="inlineStr">
        <is>
          <t>Utility and C&amp;I</t>
        </is>
      </c>
      <c r="E1915" s="1" t="n"/>
      <c r="F1915" s="1" t="inlineStr">
        <is>
          <t>Closed</t>
        </is>
      </c>
      <c r="G1915" s="11" t="inlineStr">
        <is>
          <t>Vasu.N</t>
        </is>
      </c>
      <c r="H1915" s="8" t="n">
        <v>9578099893</v>
      </c>
      <c r="I1915" s="10" t="inlineStr">
        <is>
          <t>PE04062601</t>
        </is>
      </c>
      <c r="J1915" s="28" t="inlineStr">
        <is>
          <t>Module burnt</t>
        </is>
      </c>
      <c r="K1915" s="8" t="inlineStr">
        <is>
          <t>Zura</t>
        </is>
      </c>
      <c r="L1915" s="39" t="inlineStr">
        <is>
          <t>Gujarat</t>
        </is>
      </c>
      <c r="M1915" s="2" t="inlineStr">
        <is>
          <t xml:space="preserve">damage </t>
        </is>
      </c>
      <c r="N1915" s="6" t="inlineStr">
        <is>
          <t>Module Breakage</t>
        </is>
      </c>
      <c r="O1915" s="32" t="n">
        <v>590</v>
      </c>
      <c r="P1915" s="2" t="inlineStr">
        <is>
          <t>NSMI24110812286</t>
        </is>
      </c>
      <c r="Q1915" s="29">
        <f>MID(P1915,5,2)</f>
        <v/>
      </c>
      <c r="R1915" s="14">
        <f>MID(P1915,7,2)</f>
        <v/>
      </c>
      <c r="S1915" s="6" t="inlineStr">
        <is>
          <t>G2G</t>
        </is>
      </c>
      <c r="T1915" s="1" t="inlineStr">
        <is>
          <t>P4 - PEIPL</t>
        </is>
      </c>
      <c r="U1915" s="2" t="inlineStr">
        <is>
          <t xml:space="preserve">physically damaged </t>
        </is>
      </c>
      <c r="V1915" s="1" t="inlineStr">
        <is>
          <t>Inspection</t>
        </is>
      </c>
      <c r="W1915" s="1" t="inlineStr">
        <is>
          <t>Rejected</t>
        </is>
      </c>
      <c r="X1915" s="5">
        <f>Z1915</f>
        <v/>
      </c>
      <c r="Y1915" s="1">
        <f>X1915-A1915</f>
        <v/>
      </c>
      <c r="Z1915" s="5" t="n">
        <v>46197</v>
      </c>
      <c r="AA1915" s="3" t="n"/>
      <c r="AB1915" s="3" t="n"/>
      <c r="AE1915" s="146">
        <f>IF(AND(F1915="Closed",X1915&gt;=DATE(2026,6,1),X1915&lt;=DATE(2026,6,30)),"Closed in June","other")</f>
        <v/>
      </c>
    </row>
    <row r="1916" hidden="1">
      <c r="A1916" s="49" t="n">
        <v>46177</v>
      </c>
      <c r="B1916" s="1" t="n">
        <v>2026</v>
      </c>
      <c r="C1916" s="8" t="inlineStr">
        <is>
          <t>Ayana</t>
        </is>
      </c>
      <c r="D1916" s="11" t="inlineStr">
        <is>
          <t>Utility and C&amp;I</t>
        </is>
      </c>
      <c r="E1916" s="1" t="n"/>
      <c r="F1916" s="1" t="inlineStr">
        <is>
          <t>Closed</t>
        </is>
      </c>
      <c r="G1916" s="11" t="inlineStr">
        <is>
          <t>Vasu.N</t>
        </is>
      </c>
      <c r="H1916" s="8" t="n">
        <v>9578099893</v>
      </c>
      <c r="I1916" s="10" t="inlineStr">
        <is>
          <t>PE04062601</t>
        </is>
      </c>
      <c r="J1916" s="28" t="inlineStr">
        <is>
          <t>Module burnt</t>
        </is>
      </c>
      <c r="K1916" s="8" t="inlineStr">
        <is>
          <t>Zura</t>
        </is>
      </c>
      <c r="L1916" s="39" t="inlineStr">
        <is>
          <t>Gujarat</t>
        </is>
      </c>
      <c r="M1916" s="2" t="inlineStr">
        <is>
          <t xml:space="preserve">damage </t>
        </is>
      </c>
      <c r="N1916" s="6" t="inlineStr">
        <is>
          <t>Module Breakage</t>
        </is>
      </c>
      <c r="O1916" s="32" t="n">
        <v>590</v>
      </c>
      <c r="P1916" s="2" t="inlineStr">
        <is>
          <t>NSMI24110841232</t>
        </is>
      </c>
      <c r="Q1916" s="29">
        <f>MID(P1916,5,2)</f>
        <v/>
      </c>
      <c r="R1916" s="14">
        <f>MID(P1916,7,2)</f>
        <v/>
      </c>
      <c r="S1916" s="6" t="inlineStr">
        <is>
          <t>G2G</t>
        </is>
      </c>
      <c r="T1916" s="1" t="inlineStr">
        <is>
          <t>P4 - PEIPL</t>
        </is>
      </c>
      <c r="U1916" s="2" t="inlineStr">
        <is>
          <t xml:space="preserve">physically damaged </t>
        </is>
      </c>
      <c r="V1916" s="1" t="inlineStr">
        <is>
          <t>Inspection</t>
        </is>
      </c>
      <c r="W1916" s="1" t="inlineStr">
        <is>
          <t>Rejected</t>
        </is>
      </c>
      <c r="X1916" s="5">
        <f>Z1916</f>
        <v/>
      </c>
      <c r="Y1916" s="1">
        <f>X1916-A1916</f>
        <v/>
      </c>
      <c r="Z1916" s="5" t="n">
        <v>46197</v>
      </c>
      <c r="AA1916" s="3" t="n"/>
      <c r="AB1916" s="3" t="n"/>
      <c r="AE1916" s="146">
        <f>IF(AND(F1916="Closed",X1916&gt;=DATE(2026,6,1),X1916&lt;=DATE(2026,6,30)),"Closed in June","other")</f>
        <v/>
      </c>
    </row>
    <row r="1917" hidden="1">
      <c r="A1917" s="49" t="n">
        <v>46177</v>
      </c>
      <c r="B1917" s="1" t="n">
        <v>2026</v>
      </c>
      <c r="C1917" s="8" t="inlineStr">
        <is>
          <t>Ayana</t>
        </is>
      </c>
      <c r="D1917" s="11" t="inlineStr">
        <is>
          <t>Utility and C&amp;I</t>
        </is>
      </c>
      <c r="E1917" s="1" t="n"/>
      <c r="F1917" s="1" t="inlineStr">
        <is>
          <t>Closed</t>
        </is>
      </c>
      <c r="G1917" s="11" t="inlineStr">
        <is>
          <t>Vasu.N</t>
        </is>
      </c>
      <c r="H1917" s="8" t="n">
        <v>9578099893</v>
      </c>
      <c r="I1917" s="10" t="inlineStr">
        <is>
          <t>PE04062601</t>
        </is>
      </c>
      <c r="J1917" s="28" t="inlineStr">
        <is>
          <t>Module burnt</t>
        </is>
      </c>
      <c r="K1917" s="8" t="inlineStr">
        <is>
          <t>Zura</t>
        </is>
      </c>
      <c r="L1917" s="39" t="inlineStr">
        <is>
          <t>Gujarat</t>
        </is>
      </c>
      <c r="M1917" s="2" t="inlineStr">
        <is>
          <t xml:space="preserve">damage </t>
        </is>
      </c>
      <c r="N1917" s="6" t="inlineStr">
        <is>
          <t>Module Breakage</t>
        </is>
      </c>
      <c r="O1917" s="32" t="n">
        <v>590</v>
      </c>
      <c r="P1917" s="2" t="inlineStr">
        <is>
          <t>NSMI24110841225</t>
        </is>
      </c>
      <c r="Q1917" s="29">
        <f>MID(P1917,5,2)</f>
        <v/>
      </c>
      <c r="R1917" s="14">
        <f>MID(P1917,7,2)</f>
        <v/>
      </c>
      <c r="S1917" s="6" t="inlineStr">
        <is>
          <t>G2G</t>
        </is>
      </c>
      <c r="T1917" s="1" t="inlineStr">
        <is>
          <t>P4 - PEIPL</t>
        </is>
      </c>
      <c r="U1917" s="2" t="inlineStr">
        <is>
          <t xml:space="preserve">physically damaged </t>
        </is>
      </c>
      <c r="V1917" s="1" t="inlineStr">
        <is>
          <t>Inspection</t>
        </is>
      </c>
      <c r="W1917" s="1" t="inlineStr">
        <is>
          <t>Rejected</t>
        </is>
      </c>
      <c r="X1917" s="5">
        <f>Z1917</f>
        <v/>
      </c>
      <c r="Y1917" s="1">
        <f>X1917-A1917</f>
        <v/>
      </c>
      <c r="Z1917" s="5" t="n">
        <v>46197</v>
      </c>
      <c r="AA1917" s="3" t="n"/>
      <c r="AB1917" s="3" t="n"/>
      <c r="AE1917" s="146">
        <f>IF(AND(F1917="Closed",X1917&gt;=DATE(2026,6,1),X1917&lt;=DATE(2026,6,30)),"Closed in June","other")</f>
        <v/>
      </c>
    </row>
    <row r="1918" hidden="1">
      <c r="A1918" s="49" t="n">
        <v>46177</v>
      </c>
      <c r="B1918" s="1" t="n">
        <v>2026</v>
      </c>
      <c r="C1918" s="8" t="inlineStr">
        <is>
          <t>Ayana</t>
        </is>
      </c>
      <c r="D1918" s="11" t="inlineStr">
        <is>
          <t>Utility and C&amp;I</t>
        </is>
      </c>
      <c r="E1918" s="1" t="n"/>
      <c r="F1918" s="1" t="inlineStr">
        <is>
          <t>Closed</t>
        </is>
      </c>
      <c r="G1918" s="11" t="inlineStr">
        <is>
          <t>Vasu.N</t>
        </is>
      </c>
      <c r="H1918" s="8" t="n">
        <v>9578099893</v>
      </c>
      <c r="I1918" s="10" t="inlineStr">
        <is>
          <t>PE04062601</t>
        </is>
      </c>
      <c r="J1918" s="28" t="inlineStr">
        <is>
          <t>Module burnt</t>
        </is>
      </c>
      <c r="K1918" s="8" t="inlineStr">
        <is>
          <t>Zura</t>
        </is>
      </c>
      <c r="L1918" s="39" t="inlineStr">
        <is>
          <t>Gujarat</t>
        </is>
      </c>
      <c r="M1918" s="2" t="inlineStr">
        <is>
          <t xml:space="preserve">damage </t>
        </is>
      </c>
      <c r="N1918" s="6" t="inlineStr">
        <is>
          <t>Module Breakage</t>
        </is>
      </c>
      <c r="O1918" s="32" t="n">
        <v>590</v>
      </c>
      <c r="P1918" s="2" t="inlineStr">
        <is>
          <t>NSMI24110804239</t>
        </is>
      </c>
      <c r="Q1918" s="29">
        <f>MID(P1918,5,2)</f>
        <v/>
      </c>
      <c r="R1918" s="14">
        <f>MID(P1918,7,2)</f>
        <v/>
      </c>
      <c r="S1918" s="6" t="inlineStr">
        <is>
          <t>G2G</t>
        </is>
      </c>
      <c r="T1918" s="1" t="inlineStr">
        <is>
          <t>P4 - PEIPL</t>
        </is>
      </c>
      <c r="U1918" s="2" t="inlineStr">
        <is>
          <t xml:space="preserve">physically damaged </t>
        </is>
      </c>
      <c r="V1918" s="1" t="inlineStr">
        <is>
          <t>Inspection</t>
        </is>
      </c>
      <c r="W1918" s="1" t="inlineStr">
        <is>
          <t>Rejected</t>
        </is>
      </c>
      <c r="X1918" s="5">
        <f>Z1918</f>
        <v/>
      </c>
      <c r="Y1918" s="1">
        <f>X1918-A1918</f>
        <v/>
      </c>
      <c r="Z1918" s="5" t="n">
        <v>46197</v>
      </c>
      <c r="AA1918" s="3" t="n"/>
      <c r="AB1918" s="3" t="n"/>
      <c r="AE1918" s="146">
        <f>IF(AND(F1918="Closed",X1918&gt;=DATE(2026,6,1),X1918&lt;=DATE(2026,6,30)),"Closed in June","other")</f>
        <v/>
      </c>
    </row>
    <row r="1919" hidden="1">
      <c r="A1919" s="49" t="n">
        <v>46177</v>
      </c>
      <c r="B1919" s="1" t="n">
        <v>2026</v>
      </c>
      <c r="C1919" s="8" t="inlineStr">
        <is>
          <t>Ayana</t>
        </is>
      </c>
      <c r="D1919" s="11" t="inlineStr">
        <is>
          <t>Utility and C&amp;I</t>
        </is>
      </c>
      <c r="E1919" s="1" t="n"/>
      <c r="F1919" s="1" t="inlineStr">
        <is>
          <t>Closed</t>
        </is>
      </c>
      <c r="G1919" s="11" t="inlineStr">
        <is>
          <t>Vasu.N</t>
        </is>
      </c>
      <c r="H1919" s="8" t="n">
        <v>9578099893</v>
      </c>
      <c r="I1919" s="10" t="inlineStr">
        <is>
          <t>PE04062601</t>
        </is>
      </c>
      <c r="J1919" s="28" t="inlineStr">
        <is>
          <t>Module burnt</t>
        </is>
      </c>
      <c r="K1919" s="8" t="inlineStr">
        <is>
          <t>Zura</t>
        </is>
      </c>
      <c r="L1919" s="39" t="inlineStr">
        <is>
          <t>Gujarat</t>
        </is>
      </c>
      <c r="M1919" s="2" t="inlineStr">
        <is>
          <t xml:space="preserve">damage </t>
        </is>
      </c>
      <c r="N1919" s="6" t="inlineStr">
        <is>
          <t>Module Breakage</t>
        </is>
      </c>
      <c r="O1919" s="32" t="n">
        <v>590</v>
      </c>
      <c r="P1919" s="2" t="inlineStr">
        <is>
          <t>NSMI24100634457</t>
        </is>
      </c>
      <c r="Q1919" s="29">
        <f>MID(P1919,5,2)</f>
        <v/>
      </c>
      <c r="R1919" s="14">
        <f>MID(P1919,7,2)</f>
        <v/>
      </c>
      <c r="S1919" s="6" t="inlineStr">
        <is>
          <t>G2G</t>
        </is>
      </c>
      <c r="T1919" s="1" t="inlineStr">
        <is>
          <t>P4 - PEIPL</t>
        </is>
      </c>
      <c r="U1919" s="2" t="inlineStr">
        <is>
          <t xml:space="preserve">physically damaged </t>
        </is>
      </c>
      <c r="V1919" s="1" t="inlineStr">
        <is>
          <t>Inspection</t>
        </is>
      </c>
      <c r="W1919" s="1" t="inlineStr">
        <is>
          <t>Rejected</t>
        </is>
      </c>
      <c r="X1919" s="5">
        <f>Z1919</f>
        <v/>
      </c>
      <c r="Y1919" s="1">
        <f>X1919-A1919</f>
        <v/>
      </c>
      <c r="Z1919" s="5" t="n">
        <v>46197</v>
      </c>
      <c r="AA1919" s="3" t="n"/>
      <c r="AB1919" s="3" t="n"/>
      <c r="AE1919" s="146">
        <f>IF(AND(F1919="Closed",X1919&gt;=DATE(2026,6,1),X1919&lt;=DATE(2026,6,30)),"Closed in June","other")</f>
        <v/>
      </c>
    </row>
    <row r="1920" hidden="1">
      <c r="A1920" s="49" t="n">
        <v>46177</v>
      </c>
      <c r="B1920" s="1" t="n">
        <v>2026</v>
      </c>
      <c r="C1920" s="8" t="inlineStr">
        <is>
          <t>Ayana</t>
        </is>
      </c>
      <c r="D1920" s="11" t="inlineStr">
        <is>
          <t>Utility and C&amp;I</t>
        </is>
      </c>
      <c r="E1920" s="1" t="n"/>
      <c r="F1920" s="1" t="inlineStr">
        <is>
          <t>Closed</t>
        </is>
      </c>
      <c r="G1920" s="11" t="inlineStr">
        <is>
          <t>Vasu.N</t>
        </is>
      </c>
      <c r="H1920" s="8" t="n">
        <v>9578099893</v>
      </c>
      <c r="I1920" s="10" t="inlineStr">
        <is>
          <t>PE04062601</t>
        </is>
      </c>
      <c r="J1920" s="28" t="inlineStr">
        <is>
          <t>Module burnt</t>
        </is>
      </c>
      <c r="K1920" s="8" t="inlineStr">
        <is>
          <t>Zura</t>
        </is>
      </c>
      <c r="L1920" s="39" t="inlineStr">
        <is>
          <t>Gujarat</t>
        </is>
      </c>
      <c r="M1920" s="2" t="inlineStr">
        <is>
          <t xml:space="preserve">damage </t>
        </is>
      </c>
      <c r="N1920" s="6" t="inlineStr">
        <is>
          <t>Module Breakage</t>
        </is>
      </c>
      <c r="O1920" s="32" t="n">
        <v>590</v>
      </c>
      <c r="P1920" s="2" t="inlineStr">
        <is>
          <t>NSMI24110845971</t>
        </is>
      </c>
      <c r="Q1920" s="29">
        <f>MID(P1920,5,2)</f>
        <v/>
      </c>
      <c r="R1920" s="14">
        <f>MID(P1920,7,2)</f>
        <v/>
      </c>
      <c r="S1920" s="6" t="inlineStr">
        <is>
          <t>G2G</t>
        </is>
      </c>
      <c r="T1920" s="1" t="inlineStr">
        <is>
          <t>P4 - PEIPL</t>
        </is>
      </c>
      <c r="U1920" s="2" t="inlineStr">
        <is>
          <t xml:space="preserve">physically damaged </t>
        </is>
      </c>
      <c r="V1920" s="1" t="inlineStr">
        <is>
          <t>Inspection</t>
        </is>
      </c>
      <c r="W1920" s="1" t="inlineStr">
        <is>
          <t>Rejected</t>
        </is>
      </c>
      <c r="X1920" s="5">
        <f>Z1920</f>
        <v/>
      </c>
      <c r="Y1920" s="1">
        <f>X1920-A1920</f>
        <v/>
      </c>
      <c r="Z1920" s="5" t="n">
        <v>46197</v>
      </c>
      <c r="AA1920" s="3" t="n"/>
      <c r="AB1920" s="3" t="n"/>
      <c r="AE1920" s="146">
        <f>IF(AND(F1920="Closed",X1920&gt;=DATE(2026,6,1),X1920&lt;=DATE(2026,6,30)),"Closed in June","other")</f>
        <v/>
      </c>
    </row>
    <row r="1921" hidden="1">
      <c r="A1921" s="49" t="n">
        <v>46177</v>
      </c>
      <c r="B1921" s="1" t="n">
        <v>2026</v>
      </c>
      <c r="C1921" s="8" t="inlineStr">
        <is>
          <t>Ayana</t>
        </is>
      </c>
      <c r="D1921" s="11" t="inlineStr">
        <is>
          <t>Utility and C&amp;I</t>
        </is>
      </c>
      <c r="E1921" s="1" t="n"/>
      <c r="F1921" s="1" t="inlineStr">
        <is>
          <t>Closed</t>
        </is>
      </c>
      <c r="G1921" s="11" t="inlineStr">
        <is>
          <t>Vasu.N</t>
        </is>
      </c>
      <c r="H1921" s="8" t="n">
        <v>9578099893</v>
      </c>
      <c r="I1921" s="10" t="inlineStr">
        <is>
          <t>PE04062601</t>
        </is>
      </c>
      <c r="J1921" s="28" t="inlineStr">
        <is>
          <t>Module burnt</t>
        </is>
      </c>
      <c r="K1921" s="8" t="inlineStr">
        <is>
          <t>Zura</t>
        </is>
      </c>
      <c r="L1921" s="39" t="inlineStr">
        <is>
          <t>Gujarat</t>
        </is>
      </c>
      <c r="M1921" s="2" t="inlineStr">
        <is>
          <t xml:space="preserve">damage </t>
        </is>
      </c>
      <c r="N1921" s="6" t="inlineStr">
        <is>
          <t>Module Breakage</t>
        </is>
      </c>
      <c r="O1921" s="32" t="n">
        <v>590</v>
      </c>
      <c r="P1921" s="2" t="inlineStr">
        <is>
          <t>NSMI24110844835</t>
        </is>
      </c>
      <c r="Q1921" s="29">
        <f>MID(P1921,5,2)</f>
        <v/>
      </c>
      <c r="R1921" s="14">
        <f>MID(P1921,7,2)</f>
        <v/>
      </c>
      <c r="S1921" s="6" t="inlineStr">
        <is>
          <t>G2G</t>
        </is>
      </c>
      <c r="T1921" s="1" t="inlineStr">
        <is>
          <t>P4 - PEIPL</t>
        </is>
      </c>
      <c r="U1921" s="2" t="inlineStr">
        <is>
          <t xml:space="preserve">physically damaged </t>
        </is>
      </c>
      <c r="V1921" s="1" t="inlineStr">
        <is>
          <t>Inspection</t>
        </is>
      </c>
      <c r="W1921" s="1" t="inlineStr">
        <is>
          <t>Rejected</t>
        </is>
      </c>
      <c r="X1921" s="5">
        <f>Z1921</f>
        <v/>
      </c>
      <c r="Y1921" s="1">
        <f>X1921-A1921</f>
        <v/>
      </c>
      <c r="Z1921" s="5" t="n">
        <v>46197</v>
      </c>
      <c r="AA1921" s="3" t="n"/>
      <c r="AB1921" s="3" t="n"/>
      <c r="AE1921" s="146">
        <f>IF(AND(F1921="Closed",X1921&gt;=DATE(2026,6,1),X1921&lt;=DATE(2026,6,30)),"Closed in June","other")</f>
        <v/>
      </c>
    </row>
    <row r="1922" hidden="1">
      <c r="A1922" s="49" t="n">
        <v>46177</v>
      </c>
      <c r="B1922" s="1" t="n">
        <v>2026</v>
      </c>
      <c r="C1922" s="8" t="inlineStr">
        <is>
          <t>Ayana</t>
        </is>
      </c>
      <c r="D1922" s="11" t="inlineStr">
        <is>
          <t>Utility and C&amp;I</t>
        </is>
      </c>
      <c r="E1922" s="1" t="n"/>
      <c r="F1922" s="1" t="inlineStr">
        <is>
          <t>Closed</t>
        </is>
      </c>
      <c r="G1922" s="11" t="inlineStr">
        <is>
          <t>Vasu.N</t>
        </is>
      </c>
      <c r="H1922" s="8" t="n">
        <v>9578099893</v>
      </c>
      <c r="I1922" s="10" t="inlineStr">
        <is>
          <t>PE04062601</t>
        </is>
      </c>
      <c r="J1922" s="28" t="inlineStr">
        <is>
          <t>Module burnt</t>
        </is>
      </c>
      <c r="K1922" s="8" t="inlineStr">
        <is>
          <t>Zura</t>
        </is>
      </c>
      <c r="L1922" s="39" t="inlineStr">
        <is>
          <t>Gujarat</t>
        </is>
      </c>
      <c r="M1922" s="2" t="inlineStr">
        <is>
          <t xml:space="preserve">damage </t>
        </is>
      </c>
      <c r="N1922" s="6" t="inlineStr">
        <is>
          <t>Module Breakage</t>
        </is>
      </c>
      <c r="O1922" s="32" t="n">
        <v>590</v>
      </c>
      <c r="P1922" s="2" t="inlineStr">
        <is>
          <t>NSMI24110847722</t>
        </is>
      </c>
      <c r="Q1922" s="29">
        <f>MID(P1922,5,2)</f>
        <v/>
      </c>
      <c r="R1922" s="14">
        <f>MID(P1922,7,2)</f>
        <v/>
      </c>
      <c r="S1922" s="6" t="inlineStr">
        <is>
          <t>G2G</t>
        </is>
      </c>
      <c r="T1922" s="1" t="inlineStr">
        <is>
          <t>P4 - PEIPL</t>
        </is>
      </c>
      <c r="U1922" s="2" t="inlineStr">
        <is>
          <t xml:space="preserve">physically damaged </t>
        </is>
      </c>
      <c r="V1922" s="1" t="inlineStr">
        <is>
          <t>Inspection</t>
        </is>
      </c>
      <c r="W1922" s="1" t="inlineStr">
        <is>
          <t>Rejected</t>
        </is>
      </c>
      <c r="X1922" s="5">
        <f>Z1922</f>
        <v/>
      </c>
      <c r="Y1922" s="1">
        <f>X1922-A1922</f>
        <v/>
      </c>
      <c r="Z1922" s="5" t="n">
        <v>46197</v>
      </c>
      <c r="AA1922" s="3" t="n"/>
      <c r="AB1922" s="3" t="n"/>
      <c r="AE1922" s="146">
        <f>IF(AND(F1922="Closed",X1922&gt;=DATE(2026,6,1),X1922&lt;=DATE(2026,6,30)),"Closed in June","other")</f>
        <v/>
      </c>
    </row>
    <row r="1923" hidden="1">
      <c r="A1923" s="49" t="n">
        <v>46177</v>
      </c>
      <c r="B1923" s="1" t="n">
        <v>2026</v>
      </c>
      <c r="C1923" s="8" t="inlineStr">
        <is>
          <t>Ayana</t>
        </is>
      </c>
      <c r="D1923" s="11" t="inlineStr">
        <is>
          <t>Utility and C&amp;I</t>
        </is>
      </c>
      <c r="E1923" s="1" t="n"/>
      <c r="F1923" s="1" t="inlineStr">
        <is>
          <t>Closed</t>
        </is>
      </c>
      <c r="G1923" s="11" t="inlineStr">
        <is>
          <t>Vasu.N</t>
        </is>
      </c>
      <c r="H1923" s="8" t="n">
        <v>9578099893</v>
      </c>
      <c r="I1923" s="10" t="inlineStr">
        <is>
          <t>PE04062601</t>
        </is>
      </c>
      <c r="J1923" s="28" t="inlineStr">
        <is>
          <t>Module burnt</t>
        </is>
      </c>
      <c r="K1923" s="8" t="inlineStr">
        <is>
          <t>Zura</t>
        </is>
      </c>
      <c r="L1923" s="39" t="inlineStr">
        <is>
          <t>Gujarat</t>
        </is>
      </c>
      <c r="M1923" s="2" t="inlineStr">
        <is>
          <t xml:space="preserve">damage </t>
        </is>
      </c>
      <c r="N1923" s="6" t="inlineStr">
        <is>
          <t>Module Breakage</t>
        </is>
      </c>
      <c r="O1923" s="32" t="n">
        <v>590</v>
      </c>
      <c r="P1923" s="2" t="inlineStr">
        <is>
          <t>NSMI24100610778</t>
        </is>
      </c>
      <c r="Q1923" s="29">
        <f>MID(P1923,5,2)</f>
        <v/>
      </c>
      <c r="R1923" s="14">
        <f>MID(P1923,7,2)</f>
        <v/>
      </c>
      <c r="S1923" s="6" t="inlineStr">
        <is>
          <t>G2G</t>
        </is>
      </c>
      <c r="T1923" s="1" t="inlineStr">
        <is>
          <t>P4 - PEIPL</t>
        </is>
      </c>
      <c r="U1923" s="2" t="inlineStr">
        <is>
          <t xml:space="preserve">physically damaged </t>
        </is>
      </c>
      <c r="V1923" s="1" t="inlineStr">
        <is>
          <t>Inspection</t>
        </is>
      </c>
      <c r="W1923" s="1" t="inlineStr">
        <is>
          <t>Rejected</t>
        </is>
      </c>
      <c r="X1923" s="5">
        <f>Z1923</f>
        <v/>
      </c>
      <c r="Y1923" s="1">
        <f>X1923-A1923</f>
        <v/>
      </c>
      <c r="Z1923" s="5" t="n">
        <v>46197</v>
      </c>
      <c r="AA1923" s="3" t="n"/>
      <c r="AB1923" s="3" t="n"/>
      <c r="AE1923" s="146">
        <f>IF(AND(F1923="Closed",X1923&gt;=DATE(2026,6,1),X1923&lt;=DATE(2026,6,30)),"Closed in June","other")</f>
        <v/>
      </c>
    </row>
    <row r="1924" hidden="1">
      <c r="A1924" s="49" t="n">
        <v>46177</v>
      </c>
      <c r="B1924" s="1" t="n">
        <v>2026</v>
      </c>
      <c r="C1924" s="8" t="inlineStr">
        <is>
          <t>Ayana</t>
        </is>
      </c>
      <c r="D1924" s="11" t="inlineStr">
        <is>
          <t>Utility and C&amp;I</t>
        </is>
      </c>
      <c r="E1924" s="1" t="n"/>
      <c r="F1924" s="1" t="inlineStr">
        <is>
          <t>Closed</t>
        </is>
      </c>
      <c r="G1924" s="11" t="inlineStr">
        <is>
          <t>Vasu.N</t>
        </is>
      </c>
      <c r="H1924" s="8" t="n">
        <v>9578099893</v>
      </c>
      <c r="I1924" s="10" t="inlineStr">
        <is>
          <t>PE04062601</t>
        </is>
      </c>
      <c r="J1924" s="28" t="inlineStr">
        <is>
          <t>Module burnt</t>
        </is>
      </c>
      <c r="K1924" s="8" t="inlineStr">
        <is>
          <t>Zura</t>
        </is>
      </c>
      <c r="L1924" s="39" t="inlineStr">
        <is>
          <t>Gujarat</t>
        </is>
      </c>
      <c r="M1924" s="2" t="inlineStr">
        <is>
          <t xml:space="preserve">damage </t>
        </is>
      </c>
      <c r="N1924" s="6" t="inlineStr">
        <is>
          <t>Module Breakage</t>
        </is>
      </c>
      <c r="O1924" s="32" t="n">
        <v>590</v>
      </c>
      <c r="P1924" s="2" t="inlineStr">
        <is>
          <t>NSMI24100610786</t>
        </is>
      </c>
      <c r="Q1924" s="29">
        <f>MID(P1924,5,2)</f>
        <v/>
      </c>
      <c r="R1924" s="14">
        <f>MID(P1924,7,2)</f>
        <v/>
      </c>
      <c r="S1924" s="6" t="inlineStr">
        <is>
          <t>G2G</t>
        </is>
      </c>
      <c r="T1924" s="1" t="inlineStr">
        <is>
          <t>P4 - PEIPL</t>
        </is>
      </c>
      <c r="U1924" s="2" t="inlineStr">
        <is>
          <t xml:space="preserve">physically damaged </t>
        </is>
      </c>
      <c r="V1924" s="1" t="inlineStr">
        <is>
          <t>Inspection</t>
        </is>
      </c>
      <c r="W1924" s="1" t="inlineStr">
        <is>
          <t>Rejected</t>
        </is>
      </c>
      <c r="X1924" s="5">
        <f>Z1924</f>
        <v/>
      </c>
      <c r="Y1924" s="1">
        <f>X1924-A1924</f>
        <v/>
      </c>
      <c r="Z1924" s="5" t="n">
        <v>46197</v>
      </c>
      <c r="AA1924" s="3" t="n"/>
      <c r="AB1924" s="3" t="n"/>
      <c r="AE1924" s="146">
        <f>IF(AND(F1924="Closed",X1924&gt;=DATE(2026,6,1),X1924&lt;=DATE(2026,6,30)),"Closed in June","other")</f>
        <v/>
      </c>
    </row>
    <row r="1925" hidden="1">
      <c r="A1925" s="49" t="n">
        <v>46177</v>
      </c>
      <c r="B1925" s="1" t="n">
        <v>2026</v>
      </c>
      <c r="C1925" s="8" t="inlineStr">
        <is>
          <t>Ayana</t>
        </is>
      </c>
      <c r="D1925" s="11" t="inlineStr">
        <is>
          <t>Utility and C&amp;I</t>
        </is>
      </c>
      <c r="E1925" s="1" t="n"/>
      <c r="F1925" s="1" t="inlineStr">
        <is>
          <t>Closed</t>
        </is>
      </c>
      <c r="G1925" s="11" t="inlineStr">
        <is>
          <t>Vasu.N</t>
        </is>
      </c>
      <c r="H1925" s="8" t="n">
        <v>9578099893</v>
      </c>
      <c r="I1925" s="10" t="inlineStr">
        <is>
          <t>PE04062601</t>
        </is>
      </c>
      <c r="J1925" s="28" t="inlineStr">
        <is>
          <t>Module burnt</t>
        </is>
      </c>
      <c r="K1925" s="8" t="inlineStr">
        <is>
          <t>Zura</t>
        </is>
      </c>
      <c r="L1925" s="39" t="inlineStr">
        <is>
          <t>Gujarat</t>
        </is>
      </c>
      <c r="M1925" s="2" t="inlineStr">
        <is>
          <t xml:space="preserve">damage </t>
        </is>
      </c>
      <c r="N1925" s="6" t="inlineStr">
        <is>
          <t>Module Breakage</t>
        </is>
      </c>
      <c r="O1925" s="32" t="n">
        <v>590</v>
      </c>
      <c r="P1925" s="2" t="inlineStr">
        <is>
          <t>NSMI24100667841</t>
        </is>
      </c>
      <c r="Q1925" s="29">
        <f>MID(P1925,5,2)</f>
        <v/>
      </c>
      <c r="R1925" s="14">
        <f>MID(P1925,7,2)</f>
        <v/>
      </c>
      <c r="S1925" s="6" t="inlineStr">
        <is>
          <t>G2G</t>
        </is>
      </c>
      <c r="T1925" s="1" t="inlineStr">
        <is>
          <t>P4 - PEIPL</t>
        </is>
      </c>
      <c r="U1925" s="2" t="inlineStr">
        <is>
          <t xml:space="preserve">physically damaged </t>
        </is>
      </c>
      <c r="V1925" s="1" t="inlineStr">
        <is>
          <t>Inspection</t>
        </is>
      </c>
      <c r="W1925" s="1" t="inlineStr">
        <is>
          <t>Rejected</t>
        </is>
      </c>
      <c r="X1925" s="5">
        <f>Z1925</f>
        <v/>
      </c>
      <c r="Y1925" s="1">
        <f>X1925-A1925</f>
        <v/>
      </c>
      <c r="Z1925" s="5" t="n">
        <v>46197</v>
      </c>
      <c r="AA1925" s="3" t="n"/>
      <c r="AB1925" s="3" t="n"/>
      <c r="AE1925" s="146">
        <f>IF(AND(F1925="Closed",X1925&gt;=DATE(2026,6,1),X1925&lt;=DATE(2026,6,30)),"Closed in June","other")</f>
        <v/>
      </c>
    </row>
    <row r="1926" hidden="1">
      <c r="A1926" s="49" t="n">
        <v>46177</v>
      </c>
      <c r="B1926" s="1" t="n">
        <v>2026</v>
      </c>
      <c r="C1926" s="8" t="inlineStr">
        <is>
          <t>Ayana</t>
        </is>
      </c>
      <c r="D1926" s="11" t="inlineStr">
        <is>
          <t>Utility and C&amp;I</t>
        </is>
      </c>
      <c r="E1926" s="1" t="n"/>
      <c r="F1926" s="1" t="inlineStr">
        <is>
          <t>Closed</t>
        </is>
      </c>
      <c r="G1926" s="11" t="inlineStr">
        <is>
          <t>Vasu.N</t>
        </is>
      </c>
      <c r="H1926" s="8" t="n">
        <v>9578099893</v>
      </c>
      <c r="I1926" s="10" t="inlineStr">
        <is>
          <t>PE04062601</t>
        </is>
      </c>
      <c r="J1926" s="28" t="inlineStr">
        <is>
          <t>Module burnt</t>
        </is>
      </c>
      <c r="K1926" s="8" t="inlineStr">
        <is>
          <t>Zura</t>
        </is>
      </c>
      <c r="L1926" s="39" t="inlineStr">
        <is>
          <t>Gujarat</t>
        </is>
      </c>
      <c r="M1926" s="2" t="inlineStr">
        <is>
          <t xml:space="preserve">damage </t>
        </is>
      </c>
      <c r="N1926" s="6" t="inlineStr">
        <is>
          <t>Module Breakage</t>
        </is>
      </c>
      <c r="O1926" s="32" t="n">
        <v>590</v>
      </c>
      <c r="P1926" s="2" t="inlineStr">
        <is>
          <t>NSMI24100667840</t>
        </is>
      </c>
      <c r="Q1926" s="29">
        <f>MID(P1926,5,2)</f>
        <v/>
      </c>
      <c r="R1926" s="14">
        <f>MID(P1926,7,2)</f>
        <v/>
      </c>
      <c r="S1926" s="6" t="inlineStr">
        <is>
          <t>G2G</t>
        </is>
      </c>
      <c r="T1926" s="1" t="inlineStr">
        <is>
          <t>P4 - PEIPL</t>
        </is>
      </c>
      <c r="U1926" s="2" t="inlineStr">
        <is>
          <t xml:space="preserve">physically damaged </t>
        </is>
      </c>
      <c r="V1926" s="1" t="inlineStr">
        <is>
          <t>Inspection</t>
        </is>
      </c>
      <c r="W1926" s="1" t="inlineStr">
        <is>
          <t>Rejected</t>
        </is>
      </c>
      <c r="X1926" s="5">
        <f>Z1926</f>
        <v/>
      </c>
      <c r="Y1926" s="1">
        <f>X1926-A1926</f>
        <v/>
      </c>
      <c r="Z1926" s="5" t="n">
        <v>46197</v>
      </c>
      <c r="AA1926" s="3" t="n"/>
      <c r="AB1926" s="3" t="n"/>
      <c r="AE1926" s="146">
        <f>IF(AND(F1926="Closed",X1926&gt;=DATE(2026,6,1),X1926&lt;=DATE(2026,6,30)),"Closed in June","other")</f>
        <v/>
      </c>
    </row>
    <row r="1927" hidden="1">
      <c r="A1927" s="49" t="n">
        <v>46177</v>
      </c>
      <c r="B1927" s="1" t="n">
        <v>2026</v>
      </c>
      <c r="C1927" s="8" t="inlineStr">
        <is>
          <t>Ayana</t>
        </is>
      </c>
      <c r="D1927" s="11" t="inlineStr">
        <is>
          <t>Utility and C&amp;I</t>
        </is>
      </c>
      <c r="E1927" s="1" t="n"/>
      <c r="F1927" s="1" t="inlineStr">
        <is>
          <t>Closed</t>
        </is>
      </c>
      <c r="G1927" s="11" t="inlineStr">
        <is>
          <t>Vasu.N</t>
        </is>
      </c>
      <c r="H1927" s="8" t="n">
        <v>9578099893</v>
      </c>
      <c r="I1927" s="10" t="inlineStr">
        <is>
          <t>PE04062601</t>
        </is>
      </c>
      <c r="J1927" s="28" t="inlineStr">
        <is>
          <t>Module burnt</t>
        </is>
      </c>
      <c r="K1927" s="8" t="inlineStr">
        <is>
          <t>Zura</t>
        </is>
      </c>
      <c r="L1927" s="39" t="inlineStr">
        <is>
          <t>Gujarat</t>
        </is>
      </c>
      <c r="M1927" s="2" t="inlineStr">
        <is>
          <t xml:space="preserve">damage </t>
        </is>
      </c>
      <c r="N1927" s="6" t="inlineStr">
        <is>
          <t>Module Breakage</t>
        </is>
      </c>
      <c r="O1927" s="32" t="n">
        <v>590</v>
      </c>
      <c r="P1927" s="2" t="inlineStr">
        <is>
          <t>NSMI24110796688</t>
        </is>
      </c>
      <c r="Q1927" s="29">
        <f>MID(P1927,5,2)</f>
        <v/>
      </c>
      <c r="R1927" s="14">
        <f>MID(P1927,7,2)</f>
        <v/>
      </c>
      <c r="S1927" s="6" t="inlineStr">
        <is>
          <t>G2G</t>
        </is>
      </c>
      <c r="T1927" s="1" t="inlineStr">
        <is>
          <t>P4 - PEIPL</t>
        </is>
      </c>
      <c r="U1927" s="2" t="inlineStr">
        <is>
          <t xml:space="preserve">physically damaged </t>
        </is>
      </c>
      <c r="V1927" s="1" t="inlineStr">
        <is>
          <t>Inspection</t>
        </is>
      </c>
      <c r="W1927" s="1" t="inlineStr">
        <is>
          <t>Rejected</t>
        </is>
      </c>
      <c r="X1927" s="5">
        <f>Z1927</f>
        <v/>
      </c>
      <c r="Y1927" s="1">
        <f>X1927-A1927</f>
        <v/>
      </c>
      <c r="Z1927" s="5" t="n">
        <v>46197</v>
      </c>
      <c r="AA1927" s="3" t="n"/>
      <c r="AB1927" s="3" t="n"/>
      <c r="AE1927" s="146">
        <f>IF(AND(F1927="Closed",X1927&gt;=DATE(2026,6,1),X1927&lt;=DATE(2026,6,30)),"Closed in June","other")</f>
        <v/>
      </c>
    </row>
    <row r="1928" hidden="1">
      <c r="A1928" s="49" t="n">
        <v>46177</v>
      </c>
      <c r="B1928" s="1" t="n">
        <v>2026</v>
      </c>
      <c r="C1928" s="8" t="inlineStr">
        <is>
          <t>Ayana</t>
        </is>
      </c>
      <c r="D1928" s="11" t="inlineStr">
        <is>
          <t>Utility and C&amp;I</t>
        </is>
      </c>
      <c r="E1928" s="1" t="n"/>
      <c r="F1928" s="1" t="inlineStr">
        <is>
          <t>Closed</t>
        </is>
      </c>
      <c r="G1928" s="11" t="inlineStr">
        <is>
          <t>Vasu.N</t>
        </is>
      </c>
      <c r="H1928" s="8" t="n">
        <v>9578099893</v>
      </c>
      <c r="I1928" s="10" t="inlineStr">
        <is>
          <t>PE04062601</t>
        </is>
      </c>
      <c r="J1928" s="28" t="inlineStr">
        <is>
          <t>Module burnt</t>
        </is>
      </c>
      <c r="K1928" s="8" t="inlineStr">
        <is>
          <t>Zura</t>
        </is>
      </c>
      <c r="L1928" s="39" t="inlineStr">
        <is>
          <t>Gujarat</t>
        </is>
      </c>
      <c r="M1928" s="2" t="inlineStr">
        <is>
          <t xml:space="preserve">damage </t>
        </is>
      </c>
      <c r="N1928" s="6" t="inlineStr">
        <is>
          <t>Module Breakage</t>
        </is>
      </c>
      <c r="O1928" s="32" t="n">
        <v>590</v>
      </c>
      <c r="P1928" s="2" t="inlineStr">
        <is>
          <t>NSMI24100662257</t>
        </is>
      </c>
      <c r="Q1928" s="29">
        <f>MID(P1928,5,2)</f>
        <v/>
      </c>
      <c r="R1928" s="14">
        <f>MID(P1928,7,2)</f>
        <v/>
      </c>
      <c r="S1928" s="6" t="inlineStr">
        <is>
          <t>G2G</t>
        </is>
      </c>
      <c r="T1928" s="1" t="inlineStr">
        <is>
          <t>P4 - PEIPL</t>
        </is>
      </c>
      <c r="U1928" s="2" t="inlineStr">
        <is>
          <t xml:space="preserve">physically damaged </t>
        </is>
      </c>
      <c r="V1928" s="1" t="inlineStr">
        <is>
          <t>Inspection</t>
        </is>
      </c>
      <c r="W1928" s="1" t="inlineStr">
        <is>
          <t>Rejected</t>
        </is>
      </c>
      <c r="X1928" s="5">
        <f>Z1928</f>
        <v/>
      </c>
      <c r="Y1928" s="1">
        <f>X1928-A1928</f>
        <v/>
      </c>
      <c r="Z1928" s="5" t="n">
        <v>46197</v>
      </c>
      <c r="AA1928" s="3" t="n"/>
      <c r="AB1928" s="3" t="n"/>
      <c r="AE1928" s="146">
        <f>IF(AND(F1928="Closed",X1928&gt;=DATE(2026,6,1),X1928&lt;=DATE(2026,6,30)),"Closed in June","other")</f>
        <v/>
      </c>
    </row>
    <row r="1929" hidden="1">
      <c r="A1929" s="49" t="n">
        <v>46177</v>
      </c>
      <c r="B1929" s="1" t="n">
        <v>2026</v>
      </c>
      <c r="C1929" s="8" t="inlineStr">
        <is>
          <t>Ayana</t>
        </is>
      </c>
      <c r="D1929" s="11" t="inlineStr">
        <is>
          <t>Utility and C&amp;I</t>
        </is>
      </c>
      <c r="E1929" s="1" t="n"/>
      <c r="F1929" s="1" t="inlineStr">
        <is>
          <t>Closed</t>
        </is>
      </c>
      <c r="G1929" s="11" t="inlineStr">
        <is>
          <t>Vasu.N</t>
        </is>
      </c>
      <c r="H1929" s="8" t="n">
        <v>9578099893</v>
      </c>
      <c r="I1929" s="10" t="inlineStr">
        <is>
          <t>PE04062601</t>
        </is>
      </c>
      <c r="J1929" s="28" t="inlineStr">
        <is>
          <t>Module burnt</t>
        </is>
      </c>
      <c r="K1929" s="8" t="inlineStr">
        <is>
          <t>Zura</t>
        </is>
      </c>
      <c r="L1929" s="39" t="inlineStr">
        <is>
          <t>Gujarat</t>
        </is>
      </c>
      <c r="M1929" s="2" t="inlineStr">
        <is>
          <t xml:space="preserve">damage </t>
        </is>
      </c>
      <c r="N1929" s="6" t="inlineStr">
        <is>
          <t>Module Breakage</t>
        </is>
      </c>
      <c r="O1929" s="32" t="n">
        <v>590</v>
      </c>
      <c r="P1929" s="2" t="inlineStr">
        <is>
          <t>NSMI24100667001</t>
        </is>
      </c>
      <c r="Q1929" s="29">
        <f>MID(P1929,5,2)</f>
        <v/>
      </c>
      <c r="R1929" s="14">
        <f>MID(P1929,7,2)</f>
        <v/>
      </c>
      <c r="S1929" s="6" t="inlineStr">
        <is>
          <t>G2G</t>
        </is>
      </c>
      <c r="T1929" s="1" t="inlineStr">
        <is>
          <t>P4 - PEIPL</t>
        </is>
      </c>
      <c r="U1929" s="2" t="inlineStr">
        <is>
          <t xml:space="preserve">physically damaged </t>
        </is>
      </c>
      <c r="V1929" s="1" t="inlineStr">
        <is>
          <t>Inspection</t>
        </is>
      </c>
      <c r="W1929" s="1" t="inlineStr">
        <is>
          <t>Rejected</t>
        </is>
      </c>
      <c r="X1929" s="5">
        <f>Z1929</f>
        <v/>
      </c>
      <c r="Y1929" s="1">
        <f>X1929-A1929</f>
        <v/>
      </c>
      <c r="Z1929" s="5" t="n">
        <v>46197</v>
      </c>
      <c r="AA1929" s="3" t="n"/>
      <c r="AB1929" s="3" t="n"/>
      <c r="AE1929" s="146">
        <f>IF(AND(F1929="Closed",X1929&gt;=DATE(2026,6,1),X1929&lt;=DATE(2026,6,30)),"Closed in June","other")</f>
        <v/>
      </c>
    </row>
    <row r="1930" hidden="1">
      <c r="A1930" s="49" t="n">
        <v>46177</v>
      </c>
      <c r="B1930" s="1" t="n">
        <v>2026</v>
      </c>
      <c r="C1930" s="8" t="inlineStr">
        <is>
          <t>Ayana</t>
        </is>
      </c>
      <c r="D1930" s="11" t="inlineStr">
        <is>
          <t>Utility and C&amp;I</t>
        </is>
      </c>
      <c r="E1930" s="1" t="n"/>
      <c r="F1930" s="1" t="inlineStr">
        <is>
          <t>Closed</t>
        </is>
      </c>
      <c r="G1930" s="11" t="inlineStr">
        <is>
          <t>Vasu.N</t>
        </is>
      </c>
      <c r="H1930" s="8" t="n">
        <v>9578099893</v>
      </c>
      <c r="I1930" s="10" t="inlineStr">
        <is>
          <t>PE04062601</t>
        </is>
      </c>
      <c r="J1930" s="28" t="inlineStr">
        <is>
          <t>Module burnt</t>
        </is>
      </c>
      <c r="K1930" s="8" t="inlineStr">
        <is>
          <t>Zura</t>
        </is>
      </c>
      <c r="L1930" s="39" t="inlineStr">
        <is>
          <t>Gujarat</t>
        </is>
      </c>
      <c r="M1930" s="2" t="inlineStr">
        <is>
          <t xml:space="preserve">damage </t>
        </is>
      </c>
      <c r="N1930" s="6" t="inlineStr">
        <is>
          <t>Module Breakage</t>
        </is>
      </c>
      <c r="O1930" s="32" t="n">
        <v>590</v>
      </c>
      <c r="P1930" s="2" t="inlineStr">
        <is>
          <t>NSMI24100657434</t>
        </is>
      </c>
      <c r="Q1930" s="29">
        <f>MID(P1930,5,2)</f>
        <v/>
      </c>
      <c r="R1930" s="14">
        <f>MID(P1930,7,2)</f>
        <v/>
      </c>
      <c r="S1930" s="6" t="inlineStr">
        <is>
          <t>G2G</t>
        </is>
      </c>
      <c r="T1930" s="1" t="inlineStr">
        <is>
          <t>P4 - PEIPL</t>
        </is>
      </c>
      <c r="U1930" s="2" t="inlineStr">
        <is>
          <t xml:space="preserve">physically damaged </t>
        </is>
      </c>
      <c r="V1930" s="1" t="inlineStr">
        <is>
          <t>Inspection</t>
        </is>
      </c>
      <c r="W1930" s="1" t="inlineStr">
        <is>
          <t>Rejected</t>
        </is>
      </c>
      <c r="X1930" s="5">
        <f>Z1930</f>
        <v/>
      </c>
      <c r="Y1930" s="1">
        <f>X1930-A1930</f>
        <v/>
      </c>
      <c r="Z1930" s="5" t="n">
        <v>46197</v>
      </c>
      <c r="AA1930" s="3" t="n"/>
      <c r="AB1930" s="3" t="n"/>
      <c r="AE1930" s="146">
        <f>IF(AND(F1930="Closed",X1930&gt;=DATE(2026,6,1),X1930&lt;=DATE(2026,6,30)),"Closed in June","other")</f>
        <v/>
      </c>
    </row>
    <row r="1931" hidden="1">
      <c r="A1931" s="49" t="n">
        <v>46177</v>
      </c>
      <c r="B1931" s="1" t="n">
        <v>2026</v>
      </c>
      <c r="C1931" s="8" t="inlineStr">
        <is>
          <t>Ayana</t>
        </is>
      </c>
      <c r="D1931" s="11" t="inlineStr">
        <is>
          <t>Utility and C&amp;I</t>
        </is>
      </c>
      <c r="E1931" s="1" t="n"/>
      <c r="F1931" s="1" t="inlineStr">
        <is>
          <t>Closed</t>
        </is>
      </c>
      <c r="G1931" s="11" t="inlineStr">
        <is>
          <t>Vasu.N</t>
        </is>
      </c>
      <c r="H1931" s="8" t="n">
        <v>9578099893</v>
      </c>
      <c r="I1931" s="10" t="inlineStr">
        <is>
          <t>PE04062601</t>
        </is>
      </c>
      <c r="J1931" s="28" t="inlineStr">
        <is>
          <t>Module burnt</t>
        </is>
      </c>
      <c r="K1931" s="8" t="inlineStr">
        <is>
          <t>Zura</t>
        </is>
      </c>
      <c r="L1931" s="39" t="inlineStr">
        <is>
          <t>Gujarat</t>
        </is>
      </c>
      <c r="M1931" s="2" t="inlineStr">
        <is>
          <t xml:space="preserve">damage </t>
        </is>
      </c>
      <c r="N1931" s="6" t="inlineStr">
        <is>
          <t>Module Breakage</t>
        </is>
      </c>
      <c r="O1931" s="32" t="n">
        <v>590</v>
      </c>
      <c r="P1931" s="2" t="inlineStr">
        <is>
          <t>NSMI24100597401</t>
        </is>
      </c>
      <c r="Q1931" s="29">
        <f>MID(P1931,5,2)</f>
        <v/>
      </c>
      <c r="R1931" s="14">
        <f>MID(P1931,7,2)</f>
        <v/>
      </c>
      <c r="S1931" s="6" t="inlineStr">
        <is>
          <t>G2G</t>
        </is>
      </c>
      <c r="T1931" s="1" t="inlineStr">
        <is>
          <t>P4 - PEIPL</t>
        </is>
      </c>
      <c r="U1931" s="2" t="inlineStr">
        <is>
          <t xml:space="preserve">physically damaged </t>
        </is>
      </c>
      <c r="V1931" s="1" t="inlineStr">
        <is>
          <t>Inspection</t>
        </is>
      </c>
      <c r="W1931" s="1" t="inlineStr">
        <is>
          <t>Rejected</t>
        </is>
      </c>
      <c r="X1931" s="5">
        <f>Z1931</f>
        <v/>
      </c>
      <c r="Y1931" s="1">
        <f>X1931-A1931</f>
        <v/>
      </c>
      <c r="Z1931" s="5" t="n">
        <v>46197</v>
      </c>
      <c r="AA1931" s="3" t="n"/>
      <c r="AB1931" s="3" t="n"/>
      <c r="AE1931" s="146">
        <f>IF(AND(F1931="Closed",X1931&gt;=DATE(2026,6,1),X1931&lt;=DATE(2026,6,30)),"Closed in June","other")</f>
        <v/>
      </c>
    </row>
    <row r="1932" hidden="1">
      <c r="A1932" s="49" t="n">
        <v>46177</v>
      </c>
      <c r="B1932" s="1" t="n">
        <v>2026</v>
      </c>
      <c r="C1932" s="8" t="inlineStr">
        <is>
          <t>Ayana</t>
        </is>
      </c>
      <c r="D1932" s="11" t="inlineStr">
        <is>
          <t>Utility and C&amp;I</t>
        </is>
      </c>
      <c r="E1932" s="1" t="n"/>
      <c r="F1932" s="1" t="inlineStr">
        <is>
          <t>Closed</t>
        </is>
      </c>
      <c r="G1932" s="11" t="inlineStr">
        <is>
          <t>Vasu.N</t>
        </is>
      </c>
      <c r="H1932" s="8" t="n">
        <v>9578099893</v>
      </c>
      <c r="I1932" s="10" t="inlineStr">
        <is>
          <t>PE04062601</t>
        </is>
      </c>
      <c r="J1932" s="28" t="inlineStr">
        <is>
          <t>Module burnt</t>
        </is>
      </c>
      <c r="K1932" s="8" t="inlineStr">
        <is>
          <t>Zura</t>
        </is>
      </c>
      <c r="L1932" s="39" t="inlineStr">
        <is>
          <t>Gujarat</t>
        </is>
      </c>
      <c r="M1932" s="2" t="inlineStr">
        <is>
          <t xml:space="preserve">damage </t>
        </is>
      </c>
      <c r="N1932" s="6" t="inlineStr">
        <is>
          <t>Module Breakage</t>
        </is>
      </c>
      <c r="O1932" s="32" t="n">
        <v>590</v>
      </c>
      <c r="P1932" s="2" t="inlineStr">
        <is>
          <t>NSMI24110830034</t>
        </is>
      </c>
      <c r="Q1932" s="29">
        <f>MID(P1932,5,2)</f>
        <v/>
      </c>
      <c r="R1932" s="14">
        <f>MID(P1932,7,2)</f>
        <v/>
      </c>
      <c r="S1932" s="6" t="inlineStr">
        <is>
          <t>G2G</t>
        </is>
      </c>
      <c r="T1932" s="1" t="inlineStr">
        <is>
          <t>P4 - PEIPL</t>
        </is>
      </c>
      <c r="U1932" s="2" t="inlineStr">
        <is>
          <t xml:space="preserve">physically damaged </t>
        </is>
      </c>
      <c r="V1932" s="1" t="inlineStr">
        <is>
          <t>Inspection</t>
        </is>
      </c>
      <c r="W1932" s="1" t="inlineStr">
        <is>
          <t>Rejected</t>
        </is>
      </c>
      <c r="X1932" s="5">
        <f>Z1932</f>
        <v/>
      </c>
      <c r="Y1932" s="1">
        <f>X1932-A1932</f>
        <v/>
      </c>
      <c r="Z1932" s="5" t="n">
        <v>46197</v>
      </c>
      <c r="AA1932" s="3" t="n"/>
      <c r="AB1932" s="3" t="n"/>
      <c r="AE1932" s="146">
        <f>IF(AND(F1932="Closed",X1932&gt;=DATE(2026,6,1),X1932&lt;=DATE(2026,6,30)),"Closed in June","other")</f>
        <v/>
      </c>
    </row>
    <row r="1933" hidden="1">
      <c r="A1933" s="49" t="n">
        <v>46177</v>
      </c>
      <c r="B1933" s="1" t="n">
        <v>2026</v>
      </c>
      <c r="C1933" s="8" t="inlineStr">
        <is>
          <t>Ayana</t>
        </is>
      </c>
      <c r="D1933" s="11" t="inlineStr">
        <is>
          <t>Utility and C&amp;I</t>
        </is>
      </c>
      <c r="E1933" s="1" t="n"/>
      <c r="F1933" s="1" t="inlineStr">
        <is>
          <t>Closed</t>
        </is>
      </c>
      <c r="G1933" s="11" t="inlineStr">
        <is>
          <t>Vasu.N</t>
        </is>
      </c>
      <c r="H1933" s="8" t="n">
        <v>9578099893</v>
      </c>
      <c r="I1933" s="10" t="inlineStr">
        <is>
          <t>PE04062601</t>
        </is>
      </c>
      <c r="J1933" s="28" t="inlineStr">
        <is>
          <t>Module burnt</t>
        </is>
      </c>
      <c r="K1933" s="8" t="inlineStr">
        <is>
          <t>Zura</t>
        </is>
      </c>
      <c r="L1933" s="39" t="inlineStr">
        <is>
          <t>Gujarat</t>
        </is>
      </c>
      <c r="M1933" s="2" t="inlineStr">
        <is>
          <t xml:space="preserve">damage </t>
        </is>
      </c>
      <c r="N1933" s="6" t="inlineStr">
        <is>
          <t>Module Breakage</t>
        </is>
      </c>
      <c r="O1933" s="32" t="n">
        <v>590</v>
      </c>
      <c r="P1933" s="2" t="inlineStr">
        <is>
          <t>NSMI24110825353</t>
        </is>
      </c>
      <c r="Q1933" s="29">
        <f>MID(P1933,5,2)</f>
        <v/>
      </c>
      <c r="R1933" s="14">
        <f>MID(P1933,7,2)</f>
        <v/>
      </c>
      <c r="S1933" s="6" t="inlineStr">
        <is>
          <t>G2G</t>
        </is>
      </c>
      <c r="T1933" s="1" t="inlineStr">
        <is>
          <t>P4 - PEIPL</t>
        </is>
      </c>
      <c r="U1933" s="2" t="inlineStr">
        <is>
          <t xml:space="preserve">physically damaged </t>
        </is>
      </c>
      <c r="V1933" s="1" t="inlineStr">
        <is>
          <t>Inspection</t>
        </is>
      </c>
      <c r="W1933" s="1" t="inlineStr">
        <is>
          <t>Rejected</t>
        </is>
      </c>
      <c r="X1933" s="5">
        <f>Z1933</f>
        <v/>
      </c>
      <c r="Y1933" s="1">
        <f>X1933-A1933</f>
        <v/>
      </c>
      <c r="Z1933" s="5" t="n">
        <v>46197</v>
      </c>
      <c r="AA1933" s="3" t="n"/>
      <c r="AB1933" s="3" t="n"/>
      <c r="AE1933" s="146">
        <f>IF(AND(F1933="Closed",X1933&gt;=DATE(2026,6,1),X1933&lt;=DATE(2026,6,30)),"Closed in June","other")</f>
        <v/>
      </c>
    </row>
    <row r="1934" hidden="1">
      <c r="A1934" s="49" t="n">
        <v>46177</v>
      </c>
      <c r="B1934" s="1" t="n">
        <v>2026</v>
      </c>
      <c r="C1934" s="8" t="inlineStr">
        <is>
          <t>Ayana</t>
        </is>
      </c>
      <c r="D1934" s="11" t="inlineStr">
        <is>
          <t>Utility and C&amp;I</t>
        </is>
      </c>
      <c r="E1934" s="1" t="n"/>
      <c r="F1934" s="1" t="inlineStr">
        <is>
          <t>WIP</t>
        </is>
      </c>
      <c r="G1934" s="11" t="inlineStr">
        <is>
          <t>Vasu.N</t>
        </is>
      </c>
      <c r="H1934" s="8" t="n">
        <v>9578099893</v>
      </c>
      <c r="I1934" s="10" t="inlineStr">
        <is>
          <t>PE04062601</t>
        </is>
      </c>
      <c r="J1934" s="28" t="inlineStr">
        <is>
          <t>Module burnt</t>
        </is>
      </c>
      <c r="K1934" s="8" t="inlineStr">
        <is>
          <t>Zura</t>
        </is>
      </c>
      <c r="L1934" s="39" t="inlineStr">
        <is>
          <t>Gujarat</t>
        </is>
      </c>
      <c r="M1934" s="2" t="inlineStr">
        <is>
          <t xml:space="preserve">damage </t>
        </is>
      </c>
      <c r="N1934" s="6" t="inlineStr">
        <is>
          <t>Module Breakage</t>
        </is>
      </c>
      <c r="O1934" s="32" t="n">
        <v>590</v>
      </c>
      <c r="P1934" s="2" t="inlineStr">
        <is>
          <t>NSMI24110825353</t>
        </is>
      </c>
      <c r="Q1934" s="29">
        <f>MID(P1934,5,2)</f>
        <v/>
      </c>
      <c r="R1934" s="14">
        <f>MID(P1934,7,2)</f>
        <v/>
      </c>
      <c r="S1934" s="6" t="inlineStr">
        <is>
          <t>G2G</t>
        </is>
      </c>
      <c r="T1934" s="1" t="inlineStr">
        <is>
          <t>P4 - PEIPL</t>
        </is>
      </c>
      <c r="U1934" s="2" t="inlineStr">
        <is>
          <t>Frame Damaged</t>
        </is>
      </c>
      <c r="V1934" s="1" t="inlineStr">
        <is>
          <t>Inspection</t>
        </is>
      </c>
      <c r="W1934" s="1" t="inlineStr">
        <is>
          <t>WIP</t>
        </is>
      </c>
      <c r="X1934" s="12" t="n"/>
      <c r="Y1934" s="1">
        <f>IF(X1934="","",X1934-A1934)</f>
        <v/>
      </c>
      <c r="Z1934" s="5" t="n">
        <v>46197</v>
      </c>
      <c r="AA1934" s="3" t="n"/>
      <c r="AB1934" s="3" t="n"/>
      <c r="AE1934" s="146">
        <f>IF(AND(F1934="Closed",X1934&gt;=DATE(2026,6,1),X1934&lt;=DATE(2026,6,30)),"Closed in June","other")</f>
        <v/>
      </c>
    </row>
    <row r="1935" hidden="1">
      <c r="A1935" s="49" t="n">
        <v>46177</v>
      </c>
      <c r="B1935" s="1" t="n">
        <v>2026</v>
      </c>
      <c r="C1935" s="8" t="inlineStr">
        <is>
          <t>Ayana</t>
        </is>
      </c>
      <c r="D1935" s="11" t="inlineStr">
        <is>
          <t>Utility and C&amp;I</t>
        </is>
      </c>
      <c r="E1935" s="1" t="n"/>
      <c r="F1935" s="1" t="inlineStr">
        <is>
          <t>Closed</t>
        </is>
      </c>
      <c r="G1935" s="11" t="inlineStr">
        <is>
          <t>Vasu.N</t>
        </is>
      </c>
      <c r="H1935" s="8" t="n">
        <v>9578099893</v>
      </c>
      <c r="I1935" s="10" t="inlineStr">
        <is>
          <t>PE04062601</t>
        </is>
      </c>
      <c r="J1935" s="28" t="inlineStr">
        <is>
          <t>Module burnt</t>
        </is>
      </c>
      <c r="K1935" s="8" t="inlineStr">
        <is>
          <t>Zura</t>
        </is>
      </c>
      <c r="L1935" s="39" t="inlineStr">
        <is>
          <t>Gujarat</t>
        </is>
      </c>
      <c r="M1935" s="2" t="inlineStr">
        <is>
          <t xml:space="preserve">damage </t>
        </is>
      </c>
      <c r="N1935" s="6" t="inlineStr">
        <is>
          <t>Module Breakage</t>
        </is>
      </c>
      <c r="O1935" s="32" t="n">
        <v>590</v>
      </c>
      <c r="P1935" s="2" t="inlineStr">
        <is>
          <t>NSMI24090431589</t>
        </is>
      </c>
      <c r="Q1935" s="29">
        <f>MID(P1935,5,2)</f>
        <v/>
      </c>
      <c r="R1935" s="14">
        <f>MID(P1935,7,2)</f>
        <v/>
      </c>
      <c r="S1935" s="6" t="inlineStr">
        <is>
          <t>G2G</t>
        </is>
      </c>
      <c r="T1935" s="1" t="inlineStr">
        <is>
          <t>P4 - PEIPL</t>
        </is>
      </c>
      <c r="U1935" s="2" t="inlineStr">
        <is>
          <t xml:space="preserve">physically damaged </t>
        </is>
      </c>
      <c r="V1935" s="1" t="inlineStr">
        <is>
          <t>Inspection</t>
        </is>
      </c>
      <c r="W1935" s="1" t="inlineStr">
        <is>
          <t>Rejected</t>
        </is>
      </c>
      <c r="X1935" s="5">
        <f>Z1935</f>
        <v/>
      </c>
      <c r="Y1935" s="1">
        <f>X1935-A1935</f>
        <v/>
      </c>
      <c r="Z1935" s="5" t="n">
        <v>46197</v>
      </c>
      <c r="AA1935" s="3" t="n"/>
      <c r="AB1935" s="3" t="n"/>
      <c r="AE1935" s="146">
        <f>IF(AND(F1935="Closed",X1935&gt;=DATE(2026,6,1),X1935&lt;=DATE(2026,6,30)),"Closed in June","other")</f>
        <v/>
      </c>
    </row>
    <row r="1936" hidden="1">
      <c r="A1936" s="49" t="n">
        <v>46177</v>
      </c>
      <c r="B1936" s="1" t="n">
        <v>2026</v>
      </c>
      <c r="C1936" s="8" t="inlineStr">
        <is>
          <t>Ayana</t>
        </is>
      </c>
      <c r="D1936" s="11" t="inlineStr">
        <is>
          <t>Utility and C&amp;I</t>
        </is>
      </c>
      <c r="E1936" s="1" t="n"/>
      <c r="F1936" s="1" t="inlineStr">
        <is>
          <t>WIP</t>
        </is>
      </c>
      <c r="G1936" s="11" t="inlineStr">
        <is>
          <t>Vasu.N</t>
        </is>
      </c>
      <c r="H1936" s="8" t="n">
        <v>9578099893</v>
      </c>
      <c r="I1936" s="10" t="inlineStr">
        <is>
          <t>PE04062601</t>
        </is>
      </c>
      <c r="J1936" s="28" t="inlineStr">
        <is>
          <t>Module burnt</t>
        </is>
      </c>
      <c r="K1936" s="8" t="inlineStr">
        <is>
          <t>Zura</t>
        </is>
      </c>
      <c r="L1936" s="39" t="inlineStr">
        <is>
          <t>Gujarat</t>
        </is>
      </c>
      <c r="M1936" s="2" t="inlineStr">
        <is>
          <t xml:space="preserve">damage </t>
        </is>
      </c>
      <c r="N1936" s="6" t="inlineStr">
        <is>
          <t>Module Breakage</t>
        </is>
      </c>
      <c r="O1936" s="32" t="n">
        <v>590</v>
      </c>
      <c r="P1936" s="2" t="inlineStr">
        <is>
          <t>NSMI24110823629</t>
        </is>
      </c>
      <c r="Q1936" s="29">
        <f>MID(P1936,5,2)</f>
        <v/>
      </c>
      <c r="R1936" s="14">
        <f>MID(P1936,7,2)</f>
        <v/>
      </c>
      <c r="S1936" s="6" t="inlineStr">
        <is>
          <t>G2G</t>
        </is>
      </c>
      <c r="T1936" s="1" t="inlineStr">
        <is>
          <t>P4 - PEIPL</t>
        </is>
      </c>
      <c r="U1936" s="2" t="inlineStr">
        <is>
          <t>Frame Damaged</t>
        </is>
      </c>
      <c r="V1936" s="1" t="inlineStr">
        <is>
          <t>Inspection</t>
        </is>
      </c>
      <c r="W1936" s="1" t="inlineStr">
        <is>
          <t>WIP</t>
        </is>
      </c>
      <c r="X1936" s="12" t="n"/>
      <c r="Y1936" s="1">
        <f>IF(X1936="","",X1936-A1936)</f>
        <v/>
      </c>
      <c r="Z1936" s="5" t="n">
        <v>46197</v>
      </c>
      <c r="AA1936" s="3" t="n"/>
      <c r="AB1936" s="3" t="n"/>
      <c r="AE1936" s="146">
        <f>IF(AND(F1936="Closed",X1936&gt;=DATE(2026,6,1),X1936&lt;=DATE(2026,6,30)),"Closed in June","other")</f>
        <v/>
      </c>
    </row>
    <row r="1937" hidden="1">
      <c r="A1937" s="49" t="n">
        <v>46177</v>
      </c>
      <c r="B1937" s="1" t="n">
        <v>2026</v>
      </c>
      <c r="C1937" s="8" t="inlineStr">
        <is>
          <t>Ayana</t>
        </is>
      </c>
      <c r="D1937" s="11" t="inlineStr">
        <is>
          <t>Utility and C&amp;I</t>
        </is>
      </c>
      <c r="E1937" s="1" t="n"/>
      <c r="F1937" s="1" t="inlineStr">
        <is>
          <t>WIP</t>
        </is>
      </c>
      <c r="G1937" s="11" t="inlineStr">
        <is>
          <t>Vasu.N</t>
        </is>
      </c>
      <c r="H1937" s="8" t="n">
        <v>9578099893</v>
      </c>
      <c r="I1937" s="10" t="inlineStr">
        <is>
          <t>PE04062601</t>
        </is>
      </c>
      <c r="J1937" s="28" t="inlineStr">
        <is>
          <t>Module burnt</t>
        </is>
      </c>
      <c r="K1937" s="8" t="inlineStr">
        <is>
          <t>Zura</t>
        </is>
      </c>
      <c r="L1937" s="39" t="inlineStr">
        <is>
          <t>Gujarat</t>
        </is>
      </c>
      <c r="M1937" s="2" t="inlineStr">
        <is>
          <t xml:space="preserve">damage </t>
        </is>
      </c>
      <c r="N1937" s="6" t="inlineStr">
        <is>
          <t>Module Breakage</t>
        </is>
      </c>
      <c r="O1937" s="32" t="n">
        <v>590</v>
      </c>
      <c r="P1937" s="2" t="inlineStr">
        <is>
          <t>NSMI24110823645</t>
        </is>
      </c>
      <c r="Q1937" s="29">
        <f>MID(P1937,5,2)</f>
        <v/>
      </c>
      <c r="R1937" s="14">
        <f>MID(P1937,7,2)</f>
        <v/>
      </c>
      <c r="S1937" s="6" t="inlineStr">
        <is>
          <t>G2G</t>
        </is>
      </c>
      <c r="T1937" s="1" t="inlineStr">
        <is>
          <t>P4 - PEIPL</t>
        </is>
      </c>
      <c r="U1937" s="2" t="inlineStr">
        <is>
          <t>Frame Damaged</t>
        </is>
      </c>
      <c r="V1937" s="1" t="inlineStr">
        <is>
          <t>Inspection</t>
        </is>
      </c>
      <c r="W1937" s="1" t="inlineStr">
        <is>
          <t>WIP</t>
        </is>
      </c>
      <c r="X1937" s="12" t="n"/>
      <c r="Y1937" s="1">
        <f>IF(X1937="","",X1937-A1937)</f>
        <v/>
      </c>
      <c r="Z1937" s="5" t="n">
        <v>46197</v>
      </c>
      <c r="AA1937" s="3" t="n"/>
      <c r="AB1937" s="3" t="n"/>
      <c r="AE1937" s="146">
        <f>IF(AND(F1937="Closed",X1937&gt;=DATE(2026,6,1),X1937&lt;=DATE(2026,6,30)),"Closed in June","other")</f>
        <v/>
      </c>
    </row>
    <row r="1938" hidden="1">
      <c r="A1938" s="49" t="n">
        <v>46177</v>
      </c>
      <c r="B1938" s="1" t="n">
        <v>2026</v>
      </c>
      <c r="C1938" s="8" t="inlineStr">
        <is>
          <t>Ayana</t>
        </is>
      </c>
      <c r="D1938" s="11" t="inlineStr">
        <is>
          <t>Utility and C&amp;I</t>
        </is>
      </c>
      <c r="E1938" s="1" t="n"/>
      <c r="F1938" s="1" t="inlineStr">
        <is>
          <t>Closed</t>
        </is>
      </c>
      <c r="G1938" s="11" t="inlineStr">
        <is>
          <t>Vasu.N</t>
        </is>
      </c>
      <c r="H1938" s="8" t="n">
        <v>9578099893</v>
      </c>
      <c r="I1938" s="10" t="inlineStr">
        <is>
          <t>PE04062601</t>
        </is>
      </c>
      <c r="J1938" s="28" t="inlineStr">
        <is>
          <t>Module burnt</t>
        </is>
      </c>
      <c r="K1938" s="8" t="inlineStr">
        <is>
          <t>Zura</t>
        </is>
      </c>
      <c r="L1938" s="39" t="inlineStr">
        <is>
          <t>Gujarat</t>
        </is>
      </c>
      <c r="M1938" s="2" t="inlineStr">
        <is>
          <t xml:space="preserve">damage </t>
        </is>
      </c>
      <c r="N1938" s="6" t="inlineStr">
        <is>
          <t>Module Breakage</t>
        </is>
      </c>
      <c r="O1938" s="32" t="n">
        <v>590</v>
      </c>
      <c r="P1938" s="2" t="inlineStr">
        <is>
          <t>NSMI24110806064</t>
        </is>
      </c>
      <c r="Q1938" s="29">
        <f>MID(P1938,5,2)</f>
        <v/>
      </c>
      <c r="R1938" s="14">
        <f>MID(P1938,7,2)</f>
        <v/>
      </c>
      <c r="S1938" s="6" t="inlineStr">
        <is>
          <t>G2G</t>
        </is>
      </c>
      <c r="T1938" s="1" t="inlineStr">
        <is>
          <t>P4 - PEIPL</t>
        </is>
      </c>
      <c r="U1938" s="2" t="inlineStr">
        <is>
          <t xml:space="preserve">physically damaged </t>
        </is>
      </c>
      <c r="V1938" s="1" t="inlineStr">
        <is>
          <t>Inspection</t>
        </is>
      </c>
      <c r="W1938" s="1" t="inlineStr">
        <is>
          <t>Rejected</t>
        </is>
      </c>
      <c r="X1938" s="5">
        <f>Z1938</f>
        <v/>
      </c>
      <c r="Y1938" s="1">
        <f>X1938-A1938</f>
        <v/>
      </c>
      <c r="Z1938" s="5" t="n">
        <v>46197</v>
      </c>
      <c r="AA1938" s="3" t="n"/>
      <c r="AB1938" s="3" t="n"/>
      <c r="AE1938" s="146">
        <f>IF(AND(F1938="Closed",X1938&gt;=DATE(2026,6,1),X1938&lt;=DATE(2026,6,30)),"Closed in June","other")</f>
        <v/>
      </c>
    </row>
    <row r="1939" hidden="1">
      <c r="A1939" s="49" t="n">
        <v>46177</v>
      </c>
      <c r="B1939" s="1" t="n">
        <v>2026</v>
      </c>
      <c r="C1939" s="8" t="inlineStr">
        <is>
          <t>Ayana</t>
        </is>
      </c>
      <c r="D1939" s="11" t="inlineStr">
        <is>
          <t>Utility and C&amp;I</t>
        </is>
      </c>
      <c r="E1939" s="1" t="n"/>
      <c r="F1939" s="1" t="inlineStr">
        <is>
          <t>Closed</t>
        </is>
      </c>
      <c r="G1939" s="11" t="inlineStr">
        <is>
          <t>Vasu.N</t>
        </is>
      </c>
      <c r="H1939" s="8" t="n">
        <v>9578099893</v>
      </c>
      <c r="I1939" s="10" t="inlineStr">
        <is>
          <t>PE04062601</t>
        </is>
      </c>
      <c r="J1939" s="28" t="inlineStr">
        <is>
          <t>Module burnt</t>
        </is>
      </c>
      <c r="K1939" s="8" t="inlineStr">
        <is>
          <t>Zura</t>
        </is>
      </c>
      <c r="L1939" s="39" t="inlineStr">
        <is>
          <t>Gujarat</t>
        </is>
      </c>
      <c r="M1939" s="2" t="inlineStr">
        <is>
          <t xml:space="preserve">damage </t>
        </is>
      </c>
      <c r="N1939" s="6" t="inlineStr">
        <is>
          <t>Module Breakage</t>
        </is>
      </c>
      <c r="O1939" s="32" t="n">
        <v>590</v>
      </c>
      <c r="P1939" s="2" t="inlineStr">
        <is>
          <t>NSMI24100645714</t>
        </is>
      </c>
      <c r="Q1939" s="29">
        <f>MID(P1939,5,2)</f>
        <v/>
      </c>
      <c r="R1939" s="14">
        <f>MID(P1939,7,2)</f>
        <v/>
      </c>
      <c r="S1939" s="6" t="inlineStr">
        <is>
          <t>G2G</t>
        </is>
      </c>
      <c r="T1939" s="1" t="inlineStr">
        <is>
          <t>P4 - PEIPL</t>
        </is>
      </c>
      <c r="U1939" s="2" t="inlineStr">
        <is>
          <t xml:space="preserve">physically damaged </t>
        </is>
      </c>
      <c r="V1939" s="1" t="inlineStr">
        <is>
          <t>Inspection</t>
        </is>
      </c>
      <c r="W1939" s="1" t="inlineStr">
        <is>
          <t>Rejected</t>
        </is>
      </c>
      <c r="X1939" s="5">
        <f>Z1939</f>
        <v/>
      </c>
      <c r="Y1939" s="1">
        <f>X1939-A1939</f>
        <v/>
      </c>
      <c r="Z1939" s="5" t="n">
        <v>46197</v>
      </c>
      <c r="AA1939" s="3" t="n"/>
      <c r="AB1939" s="3" t="n"/>
      <c r="AE1939" s="146">
        <f>IF(AND(F1939="Closed",X1939&gt;=DATE(2026,6,1),X1939&lt;=DATE(2026,6,30)),"Closed in June","other")</f>
        <v/>
      </c>
    </row>
    <row r="1940" hidden="1">
      <c r="A1940" s="49" t="n">
        <v>46177</v>
      </c>
      <c r="B1940" s="1" t="n">
        <v>2026</v>
      </c>
      <c r="C1940" s="8" t="inlineStr">
        <is>
          <t>Ayana</t>
        </is>
      </c>
      <c r="D1940" s="11" t="inlineStr">
        <is>
          <t>Utility and C&amp;I</t>
        </is>
      </c>
      <c r="E1940" s="1" t="n"/>
      <c r="F1940" s="1" t="inlineStr">
        <is>
          <t>Closed</t>
        </is>
      </c>
      <c r="G1940" s="11" t="inlineStr">
        <is>
          <t>Vasu.N</t>
        </is>
      </c>
      <c r="H1940" s="8" t="n">
        <v>9578099893</v>
      </c>
      <c r="I1940" s="10" t="inlineStr">
        <is>
          <t>PE04062601</t>
        </is>
      </c>
      <c r="J1940" s="28" t="inlineStr">
        <is>
          <t>Module burnt</t>
        </is>
      </c>
      <c r="K1940" s="8" t="inlineStr">
        <is>
          <t>Zura</t>
        </is>
      </c>
      <c r="L1940" s="39" t="inlineStr">
        <is>
          <t>Gujarat</t>
        </is>
      </c>
      <c r="M1940" s="2" t="inlineStr">
        <is>
          <t xml:space="preserve">damage </t>
        </is>
      </c>
      <c r="N1940" s="6" t="inlineStr">
        <is>
          <t>Module Breakage</t>
        </is>
      </c>
      <c r="O1940" s="32" t="n">
        <v>590</v>
      </c>
      <c r="P1940" s="2" t="inlineStr">
        <is>
          <t>NSMI24100682795</t>
        </is>
      </c>
      <c r="Q1940" s="29">
        <f>MID(P1940,5,2)</f>
        <v/>
      </c>
      <c r="R1940" s="14">
        <f>MID(P1940,7,2)</f>
        <v/>
      </c>
      <c r="S1940" s="6" t="inlineStr">
        <is>
          <t>G2G</t>
        </is>
      </c>
      <c r="T1940" s="1" t="inlineStr">
        <is>
          <t>P4 - PEIPL</t>
        </is>
      </c>
      <c r="U1940" s="2" t="inlineStr">
        <is>
          <t xml:space="preserve">physically damaged </t>
        </is>
      </c>
      <c r="V1940" s="1" t="inlineStr">
        <is>
          <t>Inspection</t>
        </is>
      </c>
      <c r="W1940" s="1" t="inlineStr">
        <is>
          <t>Rejected</t>
        </is>
      </c>
      <c r="X1940" s="5">
        <f>Z1940</f>
        <v/>
      </c>
      <c r="Y1940" s="1">
        <f>X1940-A1940</f>
        <v/>
      </c>
      <c r="Z1940" s="5" t="n">
        <v>46197</v>
      </c>
      <c r="AA1940" s="3" t="n"/>
      <c r="AB1940" s="3" t="n"/>
      <c r="AE1940" s="146">
        <f>IF(AND(F1940="Closed",X1940&gt;=DATE(2026,6,1),X1940&lt;=DATE(2026,6,30)),"Closed in June","other")</f>
        <v/>
      </c>
    </row>
    <row r="1941" hidden="1">
      <c r="A1941" s="49" t="n">
        <v>46177</v>
      </c>
      <c r="B1941" s="1" t="n">
        <v>2026</v>
      </c>
      <c r="C1941" s="8" t="inlineStr">
        <is>
          <t>Ayana</t>
        </is>
      </c>
      <c r="D1941" s="11" t="inlineStr">
        <is>
          <t>Utility and C&amp;I</t>
        </is>
      </c>
      <c r="E1941" s="1" t="n"/>
      <c r="F1941" s="1" t="inlineStr">
        <is>
          <t>Closed</t>
        </is>
      </c>
      <c r="G1941" s="11" t="inlineStr">
        <is>
          <t>Vasu.N</t>
        </is>
      </c>
      <c r="H1941" s="8" t="n">
        <v>9578099893</v>
      </c>
      <c r="I1941" s="10" t="inlineStr">
        <is>
          <t>PE04062601</t>
        </is>
      </c>
      <c r="J1941" s="28" t="inlineStr">
        <is>
          <t>Module burnt</t>
        </is>
      </c>
      <c r="K1941" s="8" t="inlineStr">
        <is>
          <t>Zura</t>
        </is>
      </c>
      <c r="L1941" s="39" t="inlineStr">
        <is>
          <t>Gujarat</t>
        </is>
      </c>
      <c r="M1941" s="2" t="inlineStr">
        <is>
          <t xml:space="preserve">damage </t>
        </is>
      </c>
      <c r="N1941" s="6" t="inlineStr">
        <is>
          <t>Module Breakage</t>
        </is>
      </c>
      <c r="O1941" s="32" t="n">
        <v>590</v>
      </c>
      <c r="P1941" s="2" t="inlineStr">
        <is>
          <t>NSMI24100657395</t>
        </is>
      </c>
      <c r="Q1941" s="29">
        <f>MID(P1941,5,2)</f>
        <v/>
      </c>
      <c r="R1941" s="14">
        <f>MID(P1941,7,2)</f>
        <v/>
      </c>
      <c r="S1941" s="6" t="inlineStr">
        <is>
          <t>G2G</t>
        </is>
      </c>
      <c r="T1941" s="1" t="inlineStr">
        <is>
          <t>P4 - PEIPL</t>
        </is>
      </c>
      <c r="U1941" s="2" t="inlineStr">
        <is>
          <t xml:space="preserve">physically damaged </t>
        </is>
      </c>
      <c r="V1941" s="1" t="inlineStr">
        <is>
          <t>Inspection</t>
        </is>
      </c>
      <c r="W1941" s="1" t="inlineStr">
        <is>
          <t>Rejected</t>
        </is>
      </c>
      <c r="X1941" s="5">
        <f>Z1941</f>
        <v/>
      </c>
      <c r="Y1941" s="1">
        <f>X1941-A1941</f>
        <v/>
      </c>
      <c r="Z1941" s="5" t="n">
        <v>46197</v>
      </c>
      <c r="AA1941" s="3" t="n"/>
      <c r="AB1941" s="3" t="n"/>
      <c r="AE1941" s="146">
        <f>IF(AND(F1941="Closed",X1941&gt;=DATE(2026,6,1),X1941&lt;=DATE(2026,6,30)),"Closed in June","other")</f>
        <v/>
      </c>
    </row>
    <row r="1942" hidden="1">
      <c r="A1942" s="49" t="n">
        <v>46177</v>
      </c>
      <c r="B1942" s="1" t="n">
        <v>2026</v>
      </c>
      <c r="C1942" s="8" t="inlineStr">
        <is>
          <t>Ayana</t>
        </is>
      </c>
      <c r="D1942" s="11" t="inlineStr">
        <is>
          <t>Utility and C&amp;I</t>
        </is>
      </c>
      <c r="E1942" s="1" t="n"/>
      <c r="F1942" s="1" t="inlineStr">
        <is>
          <t>Closed</t>
        </is>
      </c>
      <c r="G1942" s="11" t="inlineStr">
        <is>
          <t>Vasu.N</t>
        </is>
      </c>
      <c r="H1942" s="8" t="n">
        <v>9578099893</v>
      </c>
      <c r="I1942" s="10" t="inlineStr">
        <is>
          <t>PE04062601</t>
        </is>
      </c>
      <c r="J1942" s="28" t="inlineStr">
        <is>
          <t>Module burnt</t>
        </is>
      </c>
      <c r="K1942" s="8" t="inlineStr">
        <is>
          <t>Zura</t>
        </is>
      </c>
      <c r="L1942" s="39" t="inlineStr">
        <is>
          <t>Gujarat</t>
        </is>
      </c>
      <c r="M1942" s="2" t="inlineStr">
        <is>
          <t xml:space="preserve">damage </t>
        </is>
      </c>
      <c r="N1942" s="6" t="inlineStr">
        <is>
          <t>Module Breakage</t>
        </is>
      </c>
      <c r="O1942" s="32" t="n">
        <v>590</v>
      </c>
      <c r="P1942" s="2" t="inlineStr">
        <is>
          <t>NSMI24100657416</t>
        </is>
      </c>
      <c r="Q1942" s="29">
        <f>MID(P1942,5,2)</f>
        <v/>
      </c>
      <c r="R1942" s="14">
        <f>MID(P1942,7,2)</f>
        <v/>
      </c>
      <c r="S1942" s="6" t="inlineStr">
        <is>
          <t>G2G</t>
        </is>
      </c>
      <c r="T1942" s="1" t="inlineStr">
        <is>
          <t>P4 - PEIPL</t>
        </is>
      </c>
      <c r="U1942" s="2" t="inlineStr">
        <is>
          <t xml:space="preserve">physically damaged </t>
        </is>
      </c>
      <c r="V1942" s="1" t="inlineStr">
        <is>
          <t>Inspection</t>
        </is>
      </c>
      <c r="W1942" s="1" t="inlineStr">
        <is>
          <t>Rejected</t>
        </is>
      </c>
      <c r="X1942" s="5">
        <f>Z1942</f>
        <v/>
      </c>
      <c r="Y1942" s="1">
        <f>X1942-A1942</f>
        <v/>
      </c>
      <c r="Z1942" s="5" t="n">
        <v>46197</v>
      </c>
      <c r="AA1942" s="3" t="n"/>
      <c r="AB1942" s="3" t="n"/>
      <c r="AE1942" s="146">
        <f>IF(AND(F1942="Closed",X1942&gt;=DATE(2026,6,1),X1942&lt;=DATE(2026,6,30)),"Closed in June","other")</f>
        <v/>
      </c>
    </row>
    <row r="1943" hidden="1">
      <c r="A1943" s="49" t="n">
        <v>46177</v>
      </c>
      <c r="B1943" s="1" t="n">
        <v>2026</v>
      </c>
      <c r="C1943" s="8" t="inlineStr">
        <is>
          <t>Ayana</t>
        </is>
      </c>
      <c r="D1943" s="11" t="inlineStr">
        <is>
          <t>Utility and C&amp;I</t>
        </is>
      </c>
      <c r="E1943" s="1" t="n"/>
      <c r="F1943" s="1" t="inlineStr">
        <is>
          <t>Closed</t>
        </is>
      </c>
      <c r="G1943" s="11" t="inlineStr">
        <is>
          <t>Vasu.N</t>
        </is>
      </c>
      <c r="H1943" s="8" t="n">
        <v>9578099893</v>
      </c>
      <c r="I1943" s="10" t="inlineStr">
        <is>
          <t>PE04062601</t>
        </is>
      </c>
      <c r="J1943" s="28" t="inlineStr">
        <is>
          <t>Module burnt</t>
        </is>
      </c>
      <c r="K1943" s="8" t="inlineStr">
        <is>
          <t>Zura</t>
        </is>
      </c>
      <c r="L1943" s="39" t="inlineStr">
        <is>
          <t>Gujarat</t>
        </is>
      </c>
      <c r="M1943" s="2" t="inlineStr">
        <is>
          <t xml:space="preserve">damage </t>
        </is>
      </c>
      <c r="N1943" s="6" t="inlineStr">
        <is>
          <t>Module Breakage</t>
        </is>
      </c>
      <c r="O1943" s="32" t="n">
        <v>590</v>
      </c>
      <c r="P1943" s="2" t="inlineStr">
        <is>
          <t>NSMI24100615921</t>
        </is>
      </c>
      <c r="Q1943" s="29">
        <f>MID(P1943,5,2)</f>
        <v/>
      </c>
      <c r="R1943" s="14">
        <f>MID(P1943,7,2)</f>
        <v/>
      </c>
      <c r="S1943" s="6" t="inlineStr">
        <is>
          <t>G2G</t>
        </is>
      </c>
      <c r="T1943" s="1" t="inlineStr">
        <is>
          <t>P4 - PEIPL</t>
        </is>
      </c>
      <c r="U1943" s="2" t="inlineStr">
        <is>
          <t xml:space="preserve">physically damaged </t>
        </is>
      </c>
      <c r="V1943" s="1" t="inlineStr">
        <is>
          <t>Inspection</t>
        </is>
      </c>
      <c r="W1943" s="1" t="inlineStr">
        <is>
          <t>Rejected</t>
        </is>
      </c>
      <c r="X1943" s="5">
        <f>Z1943</f>
        <v/>
      </c>
      <c r="Y1943" s="1">
        <f>X1943-A1943</f>
        <v/>
      </c>
      <c r="Z1943" s="5" t="n">
        <v>46197</v>
      </c>
      <c r="AA1943" s="3" t="n"/>
      <c r="AB1943" s="3" t="n"/>
      <c r="AE1943" s="146">
        <f>IF(AND(F1943="Closed",X1943&gt;=DATE(2026,6,1),X1943&lt;=DATE(2026,6,30)),"Closed in June","other")</f>
        <v/>
      </c>
    </row>
    <row r="1944" hidden="1">
      <c r="A1944" s="49" t="n">
        <v>46177</v>
      </c>
      <c r="B1944" s="1" t="n">
        <v>2026</v>
      </c>
      <c r="C1944" s="8" t="inlineStr">
        <is>
          <t>Ayana</t>
        </is>
      </c>
      <c r="D1944" s="11" t="inlineStr">
        <is>
          <t>Utility and C&amp;I</t>
        </is>
      </c>
      <c r="E1944" s="1" t="n"/>
      <c r="F1944" s="1" t="inlineStr">
        <is>
          <t>Closed</t>
        </is>
      </c>
      <c r="G1944" s="11" t="inlineStr">
        <is>
          <t>Vasu.N</t>
        </is>
      </c>
      <c r="H1944" s="8" t="n">
        <v>9578099893</v>
      </c>
      <c r="I1944" s="10" t="inlineStr">
        <is>
          <t>PE04062601</t>
        </is>
      </c>
      <c r="J1944" s="28" t="inlineStr">
        <is>
          <t>Module burnt</t>
        </is>
      </c>
      <c r="K1944" s="8" t="inlineStr">
        <is>
          <t>Zura</t>
        </is>
      </c>
      <c r="L1944" s="39" t="inlineStr">
        <is>
          <t>Gujarat</t>
        </is>
      </c>
      <c r="M1944" s="2" t="inlineStr">
        <is>
          <t xml:space="preserve">damage </t>
        </is>
      </c>
      <c r="N1944" s="6" t="inlineStr">
        <is>
          <t>Module Breakage</t>
        </is>
      </c>
      <c r="O1944" s="32" t="n">
        <v>590</v>
      </c>
      <c r="P1944" s="2" t="inlineStr">
        <is>
          <t>NSMI24100633378</t>
        </is>
      </c>
      <c r="Q1944" s="29">
        <f>MID(P1944,5,2)</f>
        <v/>
      </c>
      <c r="R1944" s="14">
        <f>MID(P1944,7,2)</f>
        <v/>
      </c>
      <c r="S1944" s="6" t="inlineStr">
        <is>
          <t>G2G</t>
        </is>
      </c>
      <c r="T1944" s="1" t="inlineStr">
        <is>
          <t>P4 - PEIPL</t>
        </is>
      </c>
      <c r="U1944" s="2" t="inlineStr">
        <is>
          <t xml:space="preserve">physically damaged </t>
        </is>
      </c>
      <c r="V1944" s="1" t="inlineStr">
        <is>
          <t>Inspection</t>
        </is>
      </c>
      <c r="W1944" s="1" t="inlineStr">
        <is>
          <t>Rejected</t>
        </is>
      </c>
      <c r="X1944" s="5">
        <f>Z1944</f>
        <v/>
      </c>
      <c r="Y1944" s="1">
        <f>X1944-A1944</f>
        <v/>
      </c>
      <c r="Z1944" s="5" t="n">
        <v>46197</v>
      </c>
      <c r="AA1944" s="3" t="n"/>
      <c r="AB1944" s="3" t="n"/>
      <c r="AE1944" s="146">
        <f>IF(AND(F1944="Closed",X1944&gt;=DATE(2026,6,1),X1944&lt;=DATE(2026,6,30)),"Closed in June","other")</f>
        <v/>
      </c>
    </row>
    <row r="1945" hidden="1">
      <c r="A1945" s="49" t="n">
        <v>46177</v>
      </c>
      <c r="B1945" s="1" t="n">
        <v>2026</v>
      </c>
      <c r="C1945" s="8" t="inlineStr">
        <is>
          <t>Ayana</t>
        </is>
      </c>
      <c r="D1945" s="11" t="inlineStr">
        <is>
          <t>Utility and C&amp;I</t>
        </is>
      </c>
      <c r="E1945" s="1" t="n"/>
      <c r="F1945" s="1" t="inlineStr">
        <is>
          <t>Closed</t>
        </is>
      </c>
      <c r="G1945" s="11" t="inlineStr">
        <is>
          <t>Vasu.N</t>
        </is>
      </c>
      <c r="H1945" s="8" t="n">
        <v>9578099893</v>
      </c>
      <c r="I1945" s="10" t="inlineStr">
        <is>
          <t>PE04062601</t>
        </is>
      </c>
      <c r="J1945" s="28" t="inlineStr">
        <is>
          <t>Module burnt</t>
        </is>
      </c>
      <c r="K1945" s="8" t="inlineStr">
        <is>
          <t>Zura</t>
        </is>
      </c>
      <c r="L1945" s="39" t="inlineStr">
        <is>
          <t>Gujarat</t>
        </is>
      </c>
      <c r="M1945" s="2" t="inlineStr">
        <is>
          <t xml:space="preserve">damage </t>
        </is>
      </c>
      <c r="N1945" s="6" t="inlineStr">
        <is>
          <t>Module Breakage</t>
        </is>
      </c>
      <c r="O1945" s="32" t="n">
        <v>590</v>
      </c>
      <c r="P1945" s="2" t="inlineStr">
        <is>
          <t>NSMI24100608356</t>
        </is>
      </c>
      <c r="Q1945" s="29">
        <f>MID(P1945,5,2)</f>
        <v/>
      </c>
      <c r="R1945" s="14">
        <f>MID(P1945,7,2)</f>
        <v/>
      </c>
      <c r="S1945" s="6" t="inlineStr">
        <is>
          <t>G2G</t>
        </is>
      </c>
      <c r="T1945" s="1" t="inlineStr">
        <is>
          <t>P4 - PEIPL</t>
        </is>
      </c>
      <c r="U1945" s="2" t="inlineStr">
        <is>
          <t xml:space="preserve">physically damaged </t>
        </is>
      </c>
      <c r="V1945" s="1" t="inlineStr">
        <is>
          <t>Inspection</t>
        </is>
      </c>
      <c r="W1945" s="1" t="inlineStr">
        <is>
          <t>Rejected</t>
        </is>
      </c>
      <c r="X1945" s="5">
        <f>Z1945</f>
        <v/>
      </c>
      <c r="Y1945" s="1">
        <f>X1945-A1945</f>
        <v/>
      </c>
      <c r="Z1945" s="5" t="n">
        <v>46197</v>
      </c>
      <c r="AA1945" s="3" t="n"/>
      <c r="AB1945" s="3" t="n"/>
      <c r="AE1945" s="146">
        <f>IF(AND(F1945="Closed",X1945&gt;=DATE(2026,6,1),X1945&lt;=DATE(2026,6,30)),"Closed in June","other")</f>
        <v/>
      </c>
    </row>
    <row r="1946" hidden="1">
      <c r="A1946" s="49" t="n">
        <v>46177</v>
      </c>
      <c r="B1946" s="1" t="n">
        <v>2026</v>
      </c>
      <c r="C1946" s="8" t="inlineStr">
        <is>
          <t>Ayana</t>
        </is>
      </c>
      <c r="D1946" s="11" t="inlineStr">
        <is>
          <t>Utility and C&amp;I</t>
        </is>
      </c>
      <c r="E1946" s="1" t="n"/>
      <c r="F1946" s="1" t="inlineStr">
        <is>
          <t>Closed</t>
        </is>
      </c>
      <c r="G1946" s="11" t="inlineStr">
        <is>
          <t>Vasu.N</t>
        </is>
      </c>
      <c r="H1946" s="8" t="n">
        <v>9578099893</v>
      </c>
      <c r="I1946" s="10" t="inlineStr">
        <is>
          <t>PE04062601</t>
        </is>
      </c>
      <c r="J1946" s="28" t="inlineStr">
        <is>
          <t>Module burnt</t>
        </is>
      </c>
      <c r="K1946" s="8" t="inlineStr">
        <is>
          <t>Zura</t>
        </is>
      </c>
      <c r="L1946" s="39" t="inlineStr">
        <is>
          <t>Gujarat</t>
        </is>
      </c>
      <c r="M1946" s="2" t="inlineStr">
        <is>
          <t xml:space="preserve">damage </t>
        </is>
      </c>
      <c r="N1946" s="6" t="inlineStr">
        <is>
          <t>Module Breakage</t>
        </is>
      </c>
      <c r="O1946" s="32" t="n">
        <v>590</v>
      </c>
      <c r="P1946" s="2" t="inlineStr">
        <is>
          <t>NSMI24100609891</t>
        </is>
      </c>
      <c r="Q1946" s="29">
        <f>MID(P1946,5,2)</f>
        <v/>
      </c>
      <c r="R1946" s="14">
        <f>MID(P1946,7,2)</f>
        <v/>
      </c>
      <c r="S1946" s="6" t="inlineStr">
        <is>
          <t>G2G</t>
        </is>
      </c>
      <c r="T1946" s="1" t="inlineStr">
        <is>
          <t>P4 - PEIPL</t>
        </is>
      </c>
      <c r="U1946" s="2" t="inlineStr">
        <is>
          <t xml:space="preserve">physically damaged </t>
        </is>
      </c>
      <c r="V1946" s="1" t="inlineStr">
        <is>
          <t>Inspection</t>
        </is>
      </c>
      <c r="W1946" s="1" t="inlineStr">
        <is>
          <t>Rejected</t>
        </is>
      </c>
      <c r="X1946" s="5">
        <f>Z1946</f>
        <v/>
      </c>
      <c r="Y1946" s="1">
        <f>X1946-A1946</f>
        <v/>
      </c>
      <c r="Z1946" s="5" t="n">
        <v>46197</v>
      </c>
      <c r="AA1946" s="3" t="n"/>
      <c r="AB1946" s="3" t="n"/>
      <c r="AE1946" s="146">
        <f>IF(AND(F1946="Closed",X1946&gt;=DATE(2026,6,1),X1946&lt;=DATE(2026,6,30)),"Closed in June","other")</f>
        <v/>
      </c>
    </row>
    <row r="1947" hidden="1">
      <c r="A1947" s="49" t="n">
        <v>46177</v>
      </c>
      <c r="B1947" s="1" t="n">
        <v>2026</v>
      </c>
      <c r="C1947" s="8" t="inlineStr">
        <is>
          <t>Ayana</t>
        </is>
      </c>
      <c r="D1947" s="11" t="inlineStr">
        <is>
          <t>Utility and C&amp;I</t>
        </is>
      </c>
      <c r="E1947" s="1" t="n"/>
      <c r="F1947" s="1" t="inlineStr">
        <is>
          <t>WIP</t>
        </is>
      </c>
      <c r="G1947" s="11" t="inlineStr">
        <is>
          <t>Vasu.N</t>
        </is>
      </c>
      <c r="H1947" s="8" t="n">
        <v>9578099893</v>
      </c>
      <c r="I1947" s="10" t="inlineStr">
        <is>
          <t>PE04062601</t>
        </is>
      </c>
      <c r="J1947" s="28" t="inlineStr">
        <is>
          <t>Module burnt</t>
        </is>
      </c>
      <c r="K1947" s="8" t="inlineStr">
        <is>
          <t>Zura</t>
        </is>
      </c>
      <c r="L1947" s="39" t="inlineStr">
        <is>
          <t>Gujarat</t>
        </is>
      </c>
      <c r="M1947" s="2" t="inlineStr">
        <is>
          <t xml:space="preserve">damage </t>
        </is>
      </c>
      <c r="N1947" s="6" t="inlineStr">
        <is>
          <t>Module Breakage</t>
        </is>
      </c>
      <c r="O1947" s="32" t="n">
        <v>590</v>
      </c>
      <c r="P1947" s="2" t="inlineStr">
        <is>
          <t>NSMI24110823818</t>
        </is>
      </c>
      <c r="Q1947" s="29">
        <f>MID(P1947,5,2)</f>
        <v/>
      </c>
      <c r="R1947" s="14">
        <f>MID(P1947,7,2)</f>
        <v/>
      </c>
      <c r="S1947" s="6" t="inlineStr">
        <is>
          <t>G2G</t>
        </is>
      </c>
      <c r="T1947" s="1" t="inlineStr">
        <is>
          <t>P4 - PEIPL</t>
        </is>
      </c>
      <c r="U1947" s="2" t="inlineStr">
        <is>
          <t>Frame Damaged</t>
        </is>
      </c>
      <c r="V1947" s="1" t="inlineStr">
        <is>
          <t>Inspection</t>
        </is>
      </c>
      <c r="W1947" s="1" t="inlineStr">
        <is>
          <t>WIP</t>
        </is>
      </c>
      <c r="X1947" s="12" t="n"/>
      <c r="Y1947" s="1">
        <f>IF(X1947="","",X1947-A1947)</f>
        <v/>
      </c>
      <c r="Z1947" s="5" t="n">
        <v>46197</v>
      </c>
      <c r="AA1947" s="3" t="n"/>
      <c r="AB1947" s="3" t="n"/>
      <c r="AE1947" s="146">
        <f>IF(AND(F1947="Closed",X1947&gt;=DATE(2026,6,1),X1947&lt;=DATE(2026,6,30)),"Closed in June","other")</f>
        <v/>
      </c>
    </row>
    <row r="1948" hidden="1">
      <c r="A1948" s="49" t="n">
        <v>46177</v>
      </c>
      <c r="B1948" s="1" t="n">
        <v>2026</v>
      </c>
      <c r="C1948" s="8" t="inlineStr">
        <is>
          <t>Ayana</t>
        </is>
      </c>
      <c r="D1948" s="11" t="inlineStr">
        <is>
          <t>Utility and C&amp;I</t>
        </is>
      </c>
      <c r="E1948" s="1" t="n"/>
      <c r="F1948" s="1" t="inlineStr">
        <is>
          <t>WIP</t>
        </is>
      </c>
      <c r="G1948" s="11" t="inlineStr">
        <is>
          <t>Vasu.N</t>
        </is>
      </c>
      <c r="H1948" s="8" t="n">
        <v>9578099893</v>
      </c>
      <c r="I1948" s="10" t="inlineStr">
        <is>
          <t>PE04062601</t>
        </is>
      </c>
      <c r="J1948" s="28" t="inlineStr">
        <is>
          <t>Module burnt</t>
        </is>
      </c>
      <c r="K1948" s="8" t="inlineStr">
        <is>
          <t>Zura</t>
        </is>
      </c>
      <c r="L1948" s="39" t="inlineStr">
        <is>
          <t>Gujarat</t>
        </is>
      </c>
      <c r="M1948" s="2" t="inlineStr">
        <is>
          <t xml:space="preserve">damage </t>
        </is>
      </c>
      <c r="N1948" s="6" t="inlineStr">
        <is>
          <t>Module Breakage</t>
        </is>
      </c>
      <c r="O1948" s="32" t="n">
        <v>590</v>
      </c>
      <c r="P1948" s="2" t="inlineStr">
        <is>
          <t>NSMI24110823819</t>
        </is>
      </c>
      <c r="Q1948" s="29">
        <f>MID(P1948,5,2)</f>
        <v/>
      </c>
      <c r="R1948" s="14">
        <f>MID(P1948,7,2)</f>
        <v/>
      </c>
      <c r="S1948" s="6" t="inlineStr">
        <is>
          <t>G2G</t>
        </is>
      </c>
      <c r="T1948" s="1" t="inlineStr">
        <is>
          <t>P4 - PEIPL</t>
        </is>
      </c>
      <c r="U1948" s="2" t="inlineStr">
        <is>
          <t>Frame Damaged</t>
        </is>
      </c>
      <c r="V1948" s="1" t="inlineStr">
        <is>
          <t>Inspection</t>
        </is>
      </c>
      <c r="W1948" s="1" t="inlineStr">
        <is>
          <t>WIP</t>
        </is>
      </c>
      <c r="X1948" s="12" t="n"/>
      <c r="Y1948" s="1">
        <f>IF(X1948="","",X1948-A1948)</f>
        <v/>
      </c>
      <c r="Z1948" s="5" t="n">
        <v>46197</v>
      </c>
      <c r="AA1948" s="3" t="n"/>
      <c r="AB1948" s="3" t="n"/>
      <c r="AE1948" s="146">
        <f>IF(AND(F1948="Closed",X1948&gt;=DATE(2026,6,1),X1948&lt;=DATE(2026,6,30)),"Closed in June","other")</f>
        <v/>
      </c>
    </row>
    <row r="1949" hidden="1">
      <c r="A1949" s="49" t="n">
        <v>46177</v>
      </c>
      <c r="B1949" s="1" t="n">
        <v>2026</v>
      </c>
      <c r="C1949" s="8" t="inlineStr">
        <is>
          <t>Ayana</t>
        </is>
      </c>
      <c r="D1949" s="11" t="inlineStr">
        <is>
          <t>Utility and C&amp;I</t>
        </is>
      </c>
      <c r="E1949" s="1" t="n"/>
      <c r="F1949" s="1" t="inlineStr">
        <is>
          <t>Closed</t>
        </is>
      </c>
      <c r="G1949" s="11" t="inlineStr">
        <is>
          <t>Vasu.N</t>
        </is>
      </c>
      <c r="H1949" s="8" t="n">
        <v>9578099893</v>
      </c>
      <c r="I1949" s="10" t="inlineStr">
        <is>
          <t>PE04062601</t>
        </is>
      </c>
      <c r="J1949" s="28" t="inlineStr">
        <is>
          <t>Module burnt</t>
        </is>
      </c>
      <c r="K1949" s="8" t="inlineStr">
        <is>
          <t>Zura</t>
        </is>
      </c>
      <c r="L1949" s="39" t="inlineStr">
        <is>
          <t>Gujarat</t>
        </is>
      </c>
      <c r="M1949" s="2" t="inlineStr">
        <is>
          <t xml:space="preserve">damage </t>
        </is>
      </c>
      <c r="N1949" s="6" t="inlineStr">
        <is>
          <t>Module Breakage</t>
        </is>
      </c>
      <c r="O1949" s="32" t="n">
        <v>590</v>
      </c>
      <c r="P1949" s="2" t="inlineStr">
        <is>
          <t>NSMI24100596461</t>
        </is>
      </c>
      <c r="Q1949" s="29">
        <f>MID(P1949,5,2)</f>
        <v/>
      </c>
      <c r="R1949" s="14">
        <f>MID(P1949,7,2)</f>
        <v/>
      </c>
      <c r="S1949" s="6" t="inlineStr">
        <is>
          <t>G2G</t>
        </is>
      </c>
      <c r="T1949" s="1" t="inlineStr">
        <is>
          <t>P4 - PEIPL</t>
        </is>
      </c>
      <c r="U1949" s="2" t="inlineStr">
        <is>
          <t xml:space="preserve">physically damaged </t>
        </is>
      </c>
      <c r="V1949" s="1" t="inlineStr">
        <is>
          <t>Inspection</t>
        </is>
      </c>
      <c r="W1949" s="1" t="inlineStr">
        <is>
          <t>Rejected</t>
        </is>
      </c>
      <c r="X1949" s="5">
        <f>Z1949</f>
        <v/>
      </c>
      <c r="Y1949" s="1">
        <f>X1949-A1949</f>
        <v/>
      </c>
      <c r="Z1949" s="5" t="n">
        <v>46197</v>
      </c>
      <c r="AA1949" s="3" t="n"/>
      <c r="AB1949" s="3" t="n"/>
      <c r="AE1949" s="146">
        <f>IF(AND(F1949="Closed",X1949&gt;=DATE(2026,6,1),X1949&lt;=DATE(2026,6,30)),"Closed in June","other")</f>
        <v/>
      </c>
    </row>
    <row r="1950" hidden="1">
      <c r="A1950" s="49" t="n">
        <v>46177</v>
      </c>
      <c r="B1950" s="1" t="n">
        <v>2026</v>
      </c>
      <c r="C1950" s="8" t="inlineStr">
        <is>
          <t>Ayana</t>
        </is>
      </c>
      <c r="D1950" s="11" t="inlineStr">
        <is>
          <t>Utility and C&amp;I</t>
        </is>
      </c>
      <c r="E1950" s="1" t="n"/>
      <c r="F1950" s="1" t="inlineStr">
        <is>
          <t>Closed</t>
        </is>
      </c>
      <c r="G1950" s="11" t="inlineStr">
        <is>
          <t>Vasu.N</t>
        </is>
      </c>
      <c r="H1950" s="8" t="n">
        <v>9578099893</v>
      </c>
      <c r="I1950" s="10" t="inlineStr">
        <is>
          <t>PE04062601</t>
        </is>
      </c>
      <c r="J1950" s="28" t="inlineStr">
        <is>
          <t>Module burnt</t>
        </is>
      </c>
      <c r="K1950" s="8" t="inlineStr">
        <is>
          <t>Zura</t>
        </is>
      </c>
      <c r="L1950" s="39" t="inlineStr">
        <is>
          <t>Gujarat</t>
        </is>
      </c>
      <c r="M1950" s="2" t="inlineStr">
        <is>
          <t xml:space="preserve">damage </t>
        </is>
      </c>
      <c r="N1950" s="6" t="inlineStr">
        <is>
          <t>Module Breakage</t>
        </is>
      </c>
      <c r="O1950" s="32" t="n">
        <v>590</v>
      </c>
      <c r="P1950" s="2" t="inlineStr">
        <is>
          <t>NSMI24100636400</t>
        </is>
      </c>
      <c r="Q1950" s="29">
        <f>MID(P1950,5,2)</f>
        <v/>
      </c>
      <c r="R1950" s="14">
        <f>MID(P1950,7,2)</f>
        <v/>
      </c>
      <c r="S1950" s="6" t="inlineStr">
        <is>
          <t>G2G</t>
        </is>
      </c>
      <c r="T1950" s="1" t="inlineStr">
        <is>
          <t>P4 - PEIPL</t>
        </is>
      </c>
      <c r="U1950" s="2" t="inlineStr">
        <is>
          <t xml:space="preserve">physically damaged </t>
        </is>
      </c>
      <c r="V1950" s="1" t="inlineStr">
        <is>
          <t>Inspection</t>
        </is>
      </c>
      <c r="W1950" s="1" t="inlineStr">
        <is>
          <t>Rejected</t>
        </is>
      </c>
      <c r="X1950" s="5">
        <f>Z1950</f>
        <v/>
      </c>
      <c r="Y1950" s="1">
        <f>X1950-A1950</f>
        <v/>
      </c>
      <c r="Z1950" s="5" t="n">
        <v>46197</v>
      </c>
      <c r="AA1950" s="3" t="n"/>
      <c r="AB1950" s="3" t="n"/>
      <c r="AE1950" s="146">
        <f>IF(AND(F1950="Closed",X1950&gt;=DATE(2026,6,1),X1950&lt;=DATE(2026,6,30)),"Closed in June","other")</f>
        <v/>
      </c>
    </row>
    <row r="1951" hidden="1">
      <c r="A1951" s="49" t="n">
        <v>46177</v>
      </c>
      <c r="B1951" s="1" t="n">
        <v>2026</v>
      </c>
      <c r="C1951" s="8" t="inlineStr">
        <is>
          <t>Ayana</t>
        </is>
      </c>
      <c r="D1951" s="11" t="inlineStr">
        <is>
          <t>Utility and C&amp;I</t>
        </is>
      </c>
      <c r="E1951" s="1" t="n"/>
      <c r="F1951" s="1" t="inlineStr">
        <is>
          <t>Closed</t>
        </is>
      </c>
      <c r="G1951" s="11" t="inlineStr">
        <is>
          <t>Vasu.N</t>
        </is>
      </c>
      <c r="H1951" s="8" t="n">
        <v>9578099893</v>
      </c>
      <c r="I1951" s="10" t="inlineStr">
        <is>
          <t>PE04062601</t>
        </is>
      </c>
      <c r="J1951" s="28" t="inlineStr">
        <is>
          <t>Module burnt</t>
        </is>
      </c>
      <c r="K1951" s="8" t="inlineStr">
        <is>
          <t>Zura</t>
        </is>
      </c>
      <c r="L1951" s="39" t="inlineStr">
        <is>
          <t>Gujarat</t>
        </is>
      </c>
      <c r="M1951" s="2" t="inlineStr">
        <is>
          <t xml:space="preserve">damage </t>
        </is>
      </c>
      <c r="N1951" s="6" t="inlineStr">
        <is>
          <t>Module Breakage</t>
        </is>
      </c>
      <c r="O1951" s="32" t="n">
        <v>590</v>
      </c>
      <c r="P1951" s="2" t="inlineStr">
        <is>
          <t>NSMI24110797443</t>
        </is>
      </c>
      <c r="Q1951" s="29">
        <f>MID(P1951,5,2)</f>
        <v/>
      </c>
      <c r="R1951" s="14">
        <f>MID(P1951,7,2)</f>
        <v/>
      </c>
      <c r="S1951" s="6" t="inlineStr">
        <is>
          <t>G2G</t>
        </is>
      </c>
      <c r="T1951" s="1" t="inlineStr">
        <is>
          <t>P4 - PEIPL</t>
        </is>
      </c>
      <c r="U1951" s="2" t="inlineStr">
        <is>
          <t xml:space="preserve">physically damaged </t>
        </is>
      </c>
      <c r="V1951" s="1" t="inlineStr">
        <is>
          <t>Inspection</t>
        </is>
      </c>
      <c r="W1951" s="1" t="inlineStr">
        <is>
          <t>Rejected</t>
        </is>
      </c>
      <c r="X1951" s="5">
        <f>Z1951</f>
        <v/>
      </c>
      <c r="Y1951" s="1">
        <f>X1951-A1951</f>
        <v/>
      </c>
      <c r="Z1951" s="5" t="n">
        <v>46197</v>
      </c>
      <c r="AA1951" s="3" t="n"/>
      <c r="AB1951" s="3" t="n"/>
      <c r="AE1951" s="146">
        <f>IF(AND(F1951="Closed",X1951&gt;=DATE(2026,6,1),X1951&lt;=DATE(2026,6,30)),"Closed in June","other")</f>
        <v/>
      </c>
    </row>
    <row r="1952" hidden="1">
      <c r="A1952" s="49" t="n">
        <v>46177</v>
      </c>
      <c r="B1952" s="1" t="n">
        <v>2026</v>
      </c>
      <c r="C1952" s="8" t="inlineStr">
        <is>
          <t>Ayana</t>
        </is>
      </c>
      <c r="D1952" s="11" t="inlineStr">
        <is>
          <t>Utility and C&amp;I</t>
        </is>
      </c>
      <c r="E1952" s="1" t="n"/>
      <c r="F1952" s="1" t="inlineStr">
        <is>
          <t>Closed</t>
        </is>
      </c>
      <c r="G1952" s="11" t="inlineStr">
        <is>
          <t>Vasu.N</t>
        </is>
      </c>
      <c r="H1952" s="8" t="n">
        <v>9578099893</v>
      </c>
      <c r="I1952" s="10" t="inlineStr">
        <is>
          <t>PE04062601</t>
        </is>
      </c>
      <c r="J1952" s="28" t="inlineStr">
        <is>
          <t>Module burnt</t>
        </is>
      </c>
      <c r="K1952" s="8" t="inlineStr">
        <is>
          <t>Zura</t>
        </is>
      </c>
      <c r="L1952" s="39" t="inlineStr">
        <is>
          <t>Gujarat</t>
        </is>
      </c>
      <c r="M1952" s="2" t="inlineStr">
        <is>
          <t xml:space="preserve">damage </t>
        </is>
      </c>
      <c r="N1952" s="6" t="inlineStr">
        <is>
          <t>Module Breakage</t>
        </is>
      </c>
      <c r="O1952" s="32" t="n">
        <v>590</v>
      </c>
      <c r="P1952" s="2" t="inlineStr">
        <is>
          <t>NSMI24110797196</t>
        </is>
      </c>
      <c r="Q1952" s="29">
        <f>MID(P1952,5,2)</f>
        <v/>
      </c>
      <c r="R1952" s="14">
        <f>MID(P1952,7,2)</f>
        <v/>
      </c>
      <c r="S1952" s="6" t="inlineStr">
        <is>
          <t>G2G</t>
        </is>
      </c>
      <c r="T1952" s="1" t="inlineStr">
        <is>
          <t>P4 - PEIPL</t>
        </is>
      </c>
      <c r="U1952" s="2" t="inlineStr">
        <is>
          <t xml:space="preserve">physically damaged </t>
        </is>
      </c>
      <c r="V1952" s="1" t="inlineStr">
        <is>
          <t>Inspection</t>
        </is>
      </c>
      <c r="W1952" s="1" t="inlineStr">
        <is>
          <t>Rejected</t>
        </is>
      </c>
      <c r="X1952" s="5">
        <f>Z1952</f>
        <v/>
      </c>
      <c r="Y1952" s="1">
        <f>X1952-A1952</f>
        <v/>
      </c>
      <c r="Z1952" s="5" t="n">
        <v>46197</v>
      </c>
      <c r="AA1952" s="3" t="n"/>
      <c r="AB1952" s="3" t="n"/>
      <c r="AE1952" s="146">
        <f>IF(AND(F1952="Closed",X1952&gt;=DATE(2026,6,1),X1952&lt;=DATE(2026,6,30)),"Closed in June","other")</f>
        <v/>
      </c>
    </row>
    <row r="1953" hidden="1">
      <c r="A1953" s="49" t="n">
        <v>46177</v>
      </c>
      <c r="B1953" s="1" t="n">
        <v>2026</v>
      </c>
      <c r="C1953" s="8" t="inlineStr">
        <is>
          <t>Ayana</t>
        </is>
      </c>
      <c r="D1953" s="11" t="inlineStr">
        <is>
          <t>Utility and C&amp;I</t>
        </is>
      </c>
      <c r="E1953" s="1" t="n"/>
      <c r="F1953" s="1" t="inlineStr">
        <is>
          <t>Closed</t>
        </is>
      </c>
      <c r="G1953" s="11" t="inlineStr">
        <is>
          <t>Vasu.N</t>
        </is>
      </c>
      <c r="H1953" s="8" t="n">
        <v>9578099893</v>
      </c>
      <c r="I1953" s="10" t="inlineStr">
        <is>
          <t>PE04062601</t>
        </is>
      </c>
      <c r="J1953" s="28" t="inlineStr">
        <is>
          <t>Module burnt</t>
        </is>
      </c>
      <c r="K1953" s="8" t="inlineStr">
        <is>
          <t>Zura</t>
        </is>
      </c>
      <c r="L1953" s="39" t="inlineStr">
        <is>
          <t>Gujarat</t>
        </is>
      </c>
      <c r="M1953" s="2" t="inlineStr">
        <is>
          <t xml:space="preserve">damage </t>
        </is>
      </c>
      <c r="N1953" s="6" t="inlineStr">
        <is>
          <t>Module Breakage</t>
        </is>
      </c>
      <c r="O1953" s="32" t="n">
        <v>590</v>
      </c>
      <c r="P1953" s="2" t="inlineStr">
        <is>
          <t>NSMI24110814113</t>
        </is>
      </c>
      <c r="Q1953" s="29">
        <f>MID(P1953,5,2)</f>
        <v/>
      </c>
      <c r="R1953" s="14">
        <f>MID(P1953,7,2)</f>
        <v/>
      </c>
      <c r="S1953" s="6" t="inlineStr">
        <is>
          <t>G2G</t>
        </is>
      </c>
      <c r="T1953" s="1" t="inlineStr">
        <is>
          <t>P4 - PEIPL</t>
        </is>
      </c>
      <c r="U1953" s="2" t="inlineStr">
        <is>
          <t xml:space="preserve">physically damaged </t>
        </is>
      </c>
      <c r="V1953" s="1" t="inlineStr">
        <is>
          <t>Inspection</t>
        </is>
      </c>
      <c r="W1953" s="1" t="inlineStr">
        <is>
          <t>Rejected</t>
        </is>
      </c>
      <c r="X1953" s="5">
        <f>Z1953</f>
        <v/>
      </c>
      <c r="Y1953" s="1">
        <f>X1953-A1953</f>
        <v/>
      </c>
      <c r="Z1953" s="5" t="n">
        <v>46197</v>
      </c>
      <c r="AA1953" s="3" t="n"/>
      <c r="AB1953" s="3" t="n"/>
      <c r="AE1953" s="146">
        <f>IF(AND(F1953="Closed",X1953&gt;=DATE(2026,6,1),X1953&lt;=DATE(2026,6,30)),"Closed in June","other")</f>
        <v/>
      </c>
    </row>
    <row r="1954" hidden="1">
      <c r="A1954" s="49" t="n">
        <v>46177</v>
      </c>
      <c r="B1954" s="1" t="n">
        <v>2026</v>
      </c>
      <c r="C1954" s="8" t="inlineStr">
        <is>
          <t>Ayana</t>
        </is>
      </c>
      <c r="D1954" s="11" t="inlineStr">
        <is>
          <t>Utility and C&amp;I</t>
        </is>
      </c>
      <c r="E1954" s="1" t="n"/>
      <c r="F1954" s="1" t="inlineStr">
        <is>
          <t>Closed</t>
        </is>
      </c>
      <c r="G1954" s="11" t="inlineStr">
        <is>
          <t>Vasu.N</t>
        </is>
      </c>
      <c r="H1954" s="8" t="n">
        <v>9578099893</v>
      </c>
      <c r="I1954" s="10" t="inlineStr">
        <is>
          <t>PE04062601</t>
        </is>
      </c>
      <c r="J1954" s="28" t="inlineStr">
        <is>
          <t>Module burnt</t>
        </is>
      </c>
      <c r="K1954" s="8" t="inlineStr">
        <is>
          <t>Zura</t>
        </is>
      </c>
      <c r="L1954" s="39" t="inlineStr">
        <is>
          <t>Gujarat</t>
        </is>
      </c>
      <c r="M1954" s="2" t="inlineStr">
        <is>
          <t xml:space="preserve">damage </t>
        </is>
      </c>
      <c r="N1954" s="6" t="inlineStr">
        <is>
          <t>Module Breakage</t>
        </is>
      </c>
      <c r="O1954" s="32" t="n">
        <v>590</v>
      </c>
      <c r="P1954" s="2" t="inlineStr">
        <is>
          <t>NSMI24100661022</t>
        </is>
      </c>
      <c r="Q1954" s="29">
        <f>MID(P1954,5,2)</f>
        <v/>
      </c>
      <c r="R1954" s="14">
        <f>MID(P1954,7,2)</f>
        <v/>
      </c>
      <c r="S1954" s="6" t="inlineStr">
        <is>
          <t>G2G</t>
        </is>
      </c>
      <c r="T1954" s="1" t="inlineStr">
        <is>
          <t>P4 - PEIPL</t>
        </is>
      </c>
      <c r="U1954" s="2" t="inlineStr">
        <is>
          <t xml:space="preserve">physically damaged </t>
        </is>
      </c>
      <c r="V1954" s="1" t="inlineStr">
        <is>
          <t>Inspection</t>
        </is>
      </c>
      <c r="W1954" s="1" t="inlineStr">
        <is>
          <t>Rejected</t>
        </is>
      </c>
      <c r="X1954" s="5">
        <f>Z1954</f>
        <v/>
      </c>
      <c r="Y1954" s="1">
        <f>X1954-A1954</f>
        <v/>
      </c>
      <c r="Z1954" s="5" t="n">
        <v>46197</v>
      </c>
      <c r="AA1954" s="3" t="n"/>
      <c r="AB1954" s="3" t="n"/>
      <c r="AE1954" s="146">
        <f>IF(AND(F1954="Closed",X1954&gt;=DATE(2026,6,1),X1954&lt;=DATE(2026,6,30)),"Closed in June","other")</f>
        <v/>
      </c>
    </row>
    <row r="1955" hidden="1">
      <c r="A1955" s="49" t="n">
        <v>46177</v>
      </c>
      <c r="B1955" s="1" t="n">
        <v>2026</v>
      </c>
      <c r="C1955" s="8" t="inlineStr">
        <is>
          <t>Ayana</t>
        </is>
      </c>
      <c r="D1955" s="11" t="inlineStr">
        <is>
          <t>Utility and C&amp;I</t>
        </is>
      </c>
      <c r="E1955" s="1" t="n"/>
      <c r="F1955" s="1" t="inlineStr">
        <is>
          <t>Closed</t>
        </is>
      </c>
      <c r="G1955" s="11" t="inlineStr">
        <is>
          <t>Vasu.N</t>
        </is>
      </c>
      <c r="H1955" s="8" t="n">
        <v>9578099893</v>
      </c>
      <c r="I1955" s="10" t="inlineStr">
        <is>
          <t>PE04062601</t>
        </is>
      </c>
      <c r="J1955" s="28" t="inlineStr">
        <is>
          <t>Module burnt</t>
        </is>
      </c>
      <c r="K1955" s="8" t="inlineStr">
        <is>
          <t>Zura</t>
        </is>
      </c>
      <c r="L1955" s="39" t="inlineStr">
        <is>
          <t>Gujarat</t>
        </is>
      </c>
      <c r="M1955" s="2" t="inlineStr">
        <is>
          <t xml:space="preserve">damage </t>
        </is>
      </c>
      <c r="N1955" s="6" t="inlineStr">
        <is>
          <t>Module Breakage</t>
        </is>
      </c>
      <c r="O1955" s="32" t="n">
        <v>590</v>
      </c>
      <c r="P1955" s="2" t="inlineStr">
        <is>
          <t>NSMI24100592875</t>
        </is>
      </c>
      <c r="Q1955" s="29">
        <f>MID(P1955,5,2)</f>
        <v/>
      </c>
      <c r="R1955" s="14">
        <f>MID(P1955,7,2)</f>
        <v/>
      </c>
      <c r="S1955" s="6" t="inlineStr">
        <is>
          <t>G2G</t>
        </is>
      </c>
      <c r="T1955" s="1" t="inlineStr">
        <is>
          <t>P4 - PEIPL</t>
        </is>
      </c>
      <c r="U1955" s="2" t="inlineStr">
        <is>
          <t xml:space="preserve">physically damaged </t>
        </is>
      </c>
      <c r="V1955" s="1" t="inlineStr">
        <is>
          <t>Inspection</t>
        </is>
      </c>
      <c r="W1955" s="1" t="inlineStr">
        <is>
          <t>Rejected</t>
        </is>
      </c>
      <c r="X1955" s="5">
        <f>Z1955</f>
        <v/>
      </c>
      <c r="Y1955" s="1">
        <f>X1955-A1955</f>
        <v/>
      </c>
      <c r="Z1955" s="5" t="n">
        <v>46197</v>
      </c>
      <c r="AA1955" s="3" t="n"/>
      <c r="AB1955" s="3" t="n"/>
      <c r="AE1955" s="146">
        <f>IF(AND(F1955="Closed",X1955&gt;=DATE(2026,6,1),X1955&lt;=DATE(2026,6,30)),"Closed in June","other")</f>
        <v/>
      </c>
    </row>
    <row r="1956" hidden="1">
      <c r="A1956" s="49" t="n">
        <v>46177</v>
      </c>
      <c r="B1956" s="1" t="n">
        <v>2026</v>
      </c>
      <c r="C1956" s="8" t="inlineStr">
        <is>
          <t>Ayana</t>
        </is>
      </c>
      <c r="D1956" s="11" t="inlineStr">
        <is>
          <t>Utility and C&amp;I</t>
        </is>
      </c>
      <c r="E1956" s="1" t="n"/>
      <c r="F1956" s="1" t="inlineStr">
        <is>
          <t>Closed</t>
        </is>
      </c>
      <c r="G1956" s="11" t="inlineStr">
        <is>
          <t>Vasu.N</t>
        </is>
      </c>
      <c r="H1956" s="8" t="n">
        <v>9578099893</v>
      </c>
      <c r="I1956" s="10" t="inlineStr">
        <is>
          <t>PE04062601</t>
        </is>
      </c>
      <c r="J1956" s="28" t="inlineStr">
        <is>
          <t>Module burnt</t>
        </is>
      </c>
      <c r="K1956" s="8" t="inlineStr">
        <is>
          <t>Zura</t>
        </is>
      </c>
      <c r="L1956" s="39" t="inlineStr">
        <is>
          <t>Gujarat</t>
        </is>
      </c>
      <c r="M1956" s="2" t="inlineStr">
        <is>
          <t xml:space="preserve">damage </t>
        </is>
      </c>
      <c r="N1956" s="6" t="inlineStr">
        <is>
          <t>Module Breakage</t>
        </is>
      </c>
      <c r="O1956" s="32" t="n">
        <v>590</v>
      </c>
      <c r="P1956" s="2" t="inlineStr">
        <is>
          <t>NSMI24110834934</t>
        </is>
      </c>
      <c r="Q1956" s="29">
        <f>MID(P1956,5,2)</f>
        <v/>
      </c>
      <c r="R1956" s="14">
        <f>MID(P1956,7,2)</f>
        <v/>
      </c>
      <c r="S1956" s="6" t="inlineStr">
        <is>
          <t>G2G</t>
        </is>
      </c>
      <c r="T1956" s="1" t="inlineStr">
        <is>
          <t>P4 - PEIPL</t>
        </is>
      </c>
      <c r="U1956" s="2" t="inlineStr">
        <is>
          <t xml:space="preserve">physically damaged </t>
        </is>
      </c>
      <c r="V1956" s="1" t="inlineStr">
        <is>
          <t>Inspection</t>
        </is>
      </c>
      <c r="W1956" s="1" t="inlineStr">
        <is>
          <t>Rejected</t>
        </is>
      </c>
      <c r="X1956" s="5">
        <f>Z1956</f>
        <v/>
      </c>
      <c r="Y1956" s="1">
        <f>X1956-A1956</f>
        <v/>
      </c>
      <c r="Z1956" s="5" t="n">
        <v>46197</v>
      </c>
      <c r="AA1956" s="3" t="n"/>
      <c r="AB1956" s="3" t="n"/>
      <c r="AE1956" s="146">
        <f>IF(AND(F1956="Closed",X1956&gt;=DATE(2026,6,1),X1956&lt;=DATE(2026,6,30)),"Closed in June","other")</f>
        <v/>
      </c>
    </row>
    <row r="1957" hidden="1">
      <c r="A1957" s="49" t="n">
        <v>46177</v>
      </c>
      <c r="B1957" s="1" t="n">
        <v>2026</v>
      </c>
      <c r="C1957" s="8" t="inlineStr">
        <is>
          <t>Ayana</t>
        </is>
      </c>
      <c r="D1957" s="11" t="inlineStr">
        <is>
          <t>Utility and C&amp;I</t>
        </is>
      </c>
      <c r="E1957" s="1" t="n"/>
      <c r="F1957" s="1" t="inlineStr">
        <is>
          <t>Closed</t>
        </is>
      </c>
      <c r="G1957" s="11" t="inlineStr">
        <is>
          <t>Vasu.N</t>
        </is>
      </c>
      <c r="H1957" s="8" t="n">
        <v>9578099893</v>
      </c>
      <c r="I1957" s="10" t="inlineStr">
        <is>
          <t>PE04062601</t>
        </is>
      </c>
      <c r="J1957" s="28" t="inlineStr">
        <is>
          <t>Module burnt</t>
        </is>
      </c>
      <c r="K1957" s="8" t="inlineStr">
        <is>
          <t>Zura</t>
        </is>
      </c>
      <c r="L1957" s="39" t="inlineStr">
        <is>
          <t>Gujarat</t>
        </is>
      </c>
      <c r="M1957" s="2" t="inlineStr">
        <is>
          <t xml:space="preserve">damage </t>
        </is>
      </c>
      <c r="N1957" s="6" t="inlineStr">
        <is>
          <t>Module Breakage</t>
        </is>
      </c>
      <c r="O1957" s="32" t="n">
        <v>590</v>
      </c>
      <c r="P1957" s="2" t="inlineStr">
        <is>
          <t>NSMI24110827643</t>
        </is>
      </c>
      <c r="Q1957" s="29">
        <f>MID(P1957,5,2)</f>
        <v/>
      </c>
      <c r="R1957" s="14">
        <f>MID(P1957,7,2)</f>
        <v/>
      </c>
      <c r="S1957" s="6" t="inlineStr">
        <is>
          <t>G2G</t>
        </is>
      </c>
      <c r="T1957" s="1" t="inlineStr">
        <is>
          <t>P4 - PEIPL</t>
        </is>
      </c>
      <c r="U1957" s="2" t="inlineStr">
        <is>
          <t xml:space="preserve">physically damaged </t>
        </is>
      </c>
      <c r="V1957" s="1" t="inlineStr">
        <is>
          <t>Inspection</t>
        </is>
      </c>
      <c r="W1957" s="1" t="inlineStr">
        <is>
          <t>Rejected</t>
        </is>
      </c>
      <c r="X1957" s="5">
        <f>Z1957</f>
        <v/>
      </c>
      <c r="Y1957" s="1">
        <f>X1957-A1957</f>
        <v/>
      </c>
      <c r="Z1957" s="5" t="n">
        <v>46197</v>
      </c>
      <c r="AA1957" s="3" t="n"/>
      <c r="AB1957" s="3" t="n"/>
      <c r="AE1957" s="146">
        <f>IF(AND(F1957="Closed",X1957&gt;=DATE(2026,6,1),X1957&lt;=DATE(2026,6,30)),"Closed in June","other")</f>
        <v/>
      </c>
    </row>
    <row r="1958" hidden="1">
      <c r="A1958" s="49" t="n">
        <v>46177</v>
      </c>
      <c r="B1958" s="1" t="n">
        <v>2026</v>
      </c>
      <c r="C1958" s="8" t="inlineStr">
        <is>
          <t>Ayana</t>
        </is>
      </c>
      <c r="D1958" s="11" t="inlineStr">
        <is>
          <t>Utility and C&amp;I</t>
        </is>
      </c>
      <c r="E1958" s="1" t="n"/>
      <c r="F1958" s="1" t="inlineStr">
        <is>
          <t>Closed</t>
        </is>
      </c>
      <c r="G1958" s="11" t="inlineStr">
        <is>
          <t>Vasu.N</t>
        </is>
      </c>
      <c r="H1958" s="8" t="n">
        <v>9578099893</v>
      </c>
      <c r="I1958" s="10" t="inlineStr">
        <is>
          <t>PE04062601</t>
        </is>
      </c>
      <c r="J1958" s="28" t="inlineStr">
        <is>
          <t>Module burnt</t>
        </is>
      </c>
      <c r="K1958" s="8" t="inlineStr">
        <is>
          <t>Zura</t>
        </is>
      </c>
      <c r="L1958" s="39" t="inlineStr">
        <is>
          <t>Gujarat</t>
        </is>
      </c>
      <c r="M1958" s="2" t="inlineStr">
        <is>
          <t xml:space="preserve">damage </t>
        </is>
      </c>
      <c r="N1958" s="6" t="inlineStr">
        <is>
          <t>Module Breakage</t>
        </is>
      </c>
      <c r="O1958" s="32" t="n">
        <v>590</v>
      </c>
      <c r="P1958" s="2" t="inlineStr">
        <is>
          <t>NSMI24100611706</t>
        </is>
      </c>
      <c r="Q1958" s="29">
        <f>MID(P1958,5,2)</f>
        <v/>
      </c>
      <c r="R1958" s="14">
        <f>MID(P1958,7,2)</f>
        <v/>
      </c>
      <c r="S1958" s="6" t="inlineStr">
        <is>
          <t>G2G</t>
        </is>
      </c>
      <c r="T1958" s="1" t="inlineStr">
        <is>
          <t>P4 - PEIPL</t>
        </is>
      </c>
      <c r="U1958" s="2" t="inlineStr">
        <is>
          <t xml:space="preserve">physically damaged </t>
        </is>
      </c>
      <c r="V1958" s="1" t="inlineStr">
        <is>
          <t>Inspection</t>
        </is>
      </c>
      <c r="W1958" s="1" t="inlineStr">
        <is>
          <t>Rejected</t>
        </is>
      </c>
      <c r="X1958" s="5">
        <f>Z1958</f>
        <v/>
      </c>
      <c r="Y1958" s="1">
        <f>X1958-A1958</f>
        <v/>
      </c>
      <c r="Z1958" s="5" t="n">
        <v>46197</v>
      </c>
      <c r="AA1958" s="3" t="n"/>
      <c r="AB1958" s="3" t="n"/>
      <c r="AE1958" s="146">
        <f>IF(AND(F1958="Closed",X1958&gt;=DATE(2026,6,1),X1958&lt;=DATE(2026,6,30)),"Closed in June","other")</f>
        <v/>
      </c>
    </row>
    <row r="1959" hidden="1">
      <c r="A1959" s="49" t="n">
        <v>46177</v>
      </c>
      <c r="B1959" s="1" t="n">
        <v>2026</v>
      </c>
      <c r="C1959" s="8" t="inlineStr">
        <is>
          <t>Ayana</t>
        </is>
      </c>
      <c r="D1959" s="11" t="inlineStr">
        <is>
          <t>Utility and C&amp;I</t>
        </is>
      </c>
      <c r="E1959" s="1" t="n"/>
      <c r="F1959" s="1" t="inlineStr">
        <is>
          <t>Closed</t>
        </is>
      </c>
      <c r="G1959" s="11" t="inlineStr">
        <is>
          <t>Vasu.N</t>
        </is>
      </c>
      <c r="H1959" s="8" t="n">
        <v>9578099893</v>
      </c>
      <c r="I1959" s="10" t="inlineStr">
        <is>
          <t>PE04062601</t>
        </is>
      </c>
      <c r="J1959" s="28" t="inlineStr">
        <is>
          <t>Module burnt</t>
        </is>
      </c>
      <c r="K1959" s="8" t="inlineStr">
        <is>
          <t>Zura</t>
        </is>
      </c>
      <c r="L1959" s="39" t="inlineStr">
        <is>
          <t>Gujarat</t>
        </is>
      </c>
      <c r="M1959" s="2" t="inlineStr">
        <is>
          <t xml:space="preserve">damage </t>
        </is>
      </c>
      <c r="N1959" s="6" t="inlineStr">
        <is>
          <t>Module Breakage</t>
        </is>
      </c>
      <c r="O1959" s="32" t="n">
        <v>590</v>
      </c>
      <c r="P1959" s="2" t="inlineStr">
        <is>
          <t>NSMI24100611690</t>
        </is>
      </c>
      <c r="Q1959" s="29">
        <f>MID(P1959,5,2)</f>
        <v/>
      </c>
      <c r="R1959" s="14">
        <f>MID(P1959,7,2)</f>
        <v/>
      </c>
      <c r="S1959" s="6" t="inlineStr">
        <is>
          <t>G2G</t>
        </is>
      </c>
      <c r="T1959" s="1" t="inlineStr">
        <is>
          <t>P4 - PEIPL</t>
        </is>
      </c>
      <c r="U1959" s="2" t="inlineStr">
        <is>
          <t xml:space="preserve">physically damaged </t>
        </is>
      </c>
      <c r="V1959" s="1" t="inlineStr">
        <is>
          <t>Inspection</t>
        </is>
      </c>
      <c r="W1959" s="1" t="inlineStr">
        <is>
          <t>Rejected</t>
        </is>
      </c>
      <c r="X1959" s="5">
        <f>Z1959</f>
        <v/>
      </c>
      <c r="Y1959" s="1">
        <f>X1959-A1959</f>
        <v/>
      </c>
      <c r="Z1959" s="5" t="n">
        <v>46197</v>
      </c>
      <c r="AA1959" s="3" t="n"/>
      <c r="AB1959" s="3" t="n"/>
      <c r="AE1959" s="146">
        <f>IF(AND(F1959="Closed",X1959&gt;=DATE(2026,6,1),X1959&lt;=DATE(2026,6,30)),"Closed in June","other")</f>
        <v/>
      </c>
    </row>
    <row r="1960" hidden="1">
      <c r="A1960" s="49" t="n">
        <v>46177</v>
      </c>
      <c r="B1960" s="1" t="n">
        <v>2026</v>
      </c>
      <c r="C1960" s="8" t="inlineStr">
        <is>
          <t>Ayana</t>
        </is>
      </c>
      <c r="D1960" s="11" t="inlineStr">
        <is>
          <t>Utility and C&amp;I</t>
        </is>
      </c>
      <c r="E1960" s="1" t="n"/>
      <c r="F1960" s="1" t="inlineStr">
        <is>
          <t>Closed</t>
        </is>
      </c>
      <c r="G1960" s="11" t="inlineStr">
        <is>
          <t>Vasu.N</t>
        </is>
      </c>
      <c r="H1960" s="8" t="n">
        <v>9578099893</v>
      </c>
      <c r="I1960" s="10" t="inlineStr">
        <is>
          <t>PE04062601</t>
        </is>
      </c>
      <c r="J1960" s="28" t="inlineStr">
        <is>
          <t>Module burnt</t>
        </is>
      </c>
      <c r="K1960" s="8" t="inlineStr">
        <is>
          <t>Zura</t>
        </is>
      </c>
      <c r="L1960" s="39" t="inlineStr">
        <is>
          <t>Gujarat</t>
        </is>
      </c>
      <c r="M1960" s="2" t="inlineStr">
        <is>
          <t xml:space="preserve">damage </t>
        </is>
      </c>
      <c r="N1960" s="6" t="inlineStr">
        <is>
          <t>Module Breakage</t>
        </is>
      </c>
      <c r="O1960" s="32" t="n">
        <v>590</v>
      </c>
      <c r="P1960" s="2" t="inlineStr">
        <is>
          <t>NSMI24100611703</t>
        </is>
      </c>
      <c r="Q1960" s="29">
        <f>MID(P1960,5,2)</f>
        <v/>
      </c>
      <c r="R1960" s="14">
        <f>MID(P1960,7,2)</f>
        <v/>
      </c>
      <c r="S1960" s="6" t="inlineStr">
        <is>
          <t>G2G</t>
        </is>
      </c>
      <c r="T1960" s="1" t="inlineStr">
        <is>
          <t>P4 - PEIPL</t>
        </is>
      </c>
      <c r="U1960" s="2" t="inlineStr">
        <is>
          <t xml:space="preserve">physically damaged </t>
        </is>
      </c>
      <c r="V1960" s="1" t="inlineStr">
        <is>
          <t>Inspection</t>
        </is>
      </c>
      <c r="W1960" s="1" t="inlineStr">
        <is>
          <t>Rejected</t>
        </is>
      </c>
      <c r="X1960" s="5">
        <f>Z1960</f>
        <v/>
      </c>
      <c r="Y1960" s="1">
        <f>X1960-A1960</f>
        <v/>
      </c>
      <c r="Z1960" s="5" t="n">
        <v>46197</v>
      </c>
      <c r="AA1960" s="3" t="n"/>
      <c r="AB1960" s="3" t="n"/>
      <c r="AE1960" s="146">
        <f>IF(AND(F1960="Closed",X1960&gt;=DATE(2026,6,1),X1960&lt;=DATE(2026,6,30)),"Closed in June","other")</f>
        <v/>
      </c>
    </row>
    <row r="1961" hidden="1">
      <c r="A1961" s="49" t="n">
        <v>46177</v>
      </c>
      <c r="B1961" s="1" t="n">
        <v>2026</v>
      </c>
      <c r="C1961" s="8" t="inlineStr">
        <is>
          <t>Ayana</t>
        </is>
      </c>
      <c r="D1961" s="11" t="inlineStr">
        <is>
          <t>Utility and C&amp;I</t>
        </is>
      </c>
      <c r="E1961" s="1" t="n"/>
      <c r="F1961" s="1" t="inlineStr">
        <is>
          <t>Closed</t>
        </is>
      </c>
      <c r="G1961" s="11" t="inlineStr">
        <is>
          <t>Vasu.N</t>
        </is>
      </c>
      <c r="H1961" s="8" t="n">
        <v>9578099893</v>
      </c>
      <c r="I1961" s="10" t="inlineStr">
        <is>
          <t>PE04062601</t>
        </is>
      </c>
      <c r="J1961" s="28" t="inlineStr">
        <is>
          <t>Module burnt</t>
        </is>
      </c>
      <c r="K1961" s="8" t="inlineStr">
        <is>
          <t>Zura</t>
        </is>
      </c>
      <c r="L1961" s="39" t="inlineStr">
        <is>
          <t>Gujarat</t>
        </is>
      </c>
      <c r="M1961" s="2" t="inlineStr">
        <is>
          <t xml:space="preserve">damage </t>
        </is>
      </c>
      <c r="N1961" s="6" t="inlineStr">
        <is>
          <t>Module Breakage</t>
        </is>
      </c>
      <c r="O1961" s="32" t="n">
        <v>590</v>
      </c>
      <c r="P1961" s="2" t="inlineStr">
        <is>
          <t>NSMI24100611640</t>
        </is>
      </c>
      <c r="Q1961" s="29">
        <f>MID(P1961,5,2)</f>
        <v/>
      </c>
      <c r="R1961" s="14">
        <f>MID(P1961,7,2)</f>
        <v/>
      </c>
      <c r="S1961" s="6" t="inlineStr">
        <is>
          <t>G2G</t>
        </is>
      </c>
      <c r="T1961" s="1" t="inlineStr">
        <is>
          <t>P4 - PEIPL</t>
        </is>
      </c>
      <c r="U1961" s="2" t="inlineStr">
        <is>
          <t xml:space="preserve">physically damaged </t>
        </is>
      </c>
      <c r="V1961" s="1" t="inlineStr">
        <is>
          <t>Inspection</t>
        </is>
      </c>
      <c r="W1961" s="1" t="inlineStr">
        <is>
          <t>Rejected</t>
        </is>
      </c>
      <c r="X1961" s="5">
        <f>Z1961</f>
        <v/>
      </c>
      <c r="Y1961" s="1">
        <f>X1961-A1961</f>
        <v/>
      </c>
      <c r="Z1961" s="5" t="n">
        <v>46197</v>
      </c>
      <c r="AA1961" s="3" t="n"/>
      <c r="AB1961" s="3" t="n"/>
      <c r="AE1961" s="146">
        <f>IF(AND(F1961="Closed",X1961&gt;=DATE(2026,6,1),X1961&lt;=DATE(2026,6,30)),"Closed in June","other")</f>
        <v/>
      </c>
    </row>
    <row r="1962" hidden="1">
      <c r="A1962" s="49" t="n">
        <v>46177</v>
      </c>
      <c r="B1962" s="1" t="n">
        <v>2026</v>
      </c>
      <c r="C1962" s="8" t="inlineStr">
        <is>
          <t>Ayana</t>
        </is>
      </c>
      <c r="D1962" s="11" t="inlineStr">
        <is>
          <t>Utility and C&amp;I</t>
        </is>
      </c>
      <c r="E1962" s="1" t="n"/>
      <c r="F1962" s="1" t="inlineStr">
        <is>
          <t>Closed</t>
        </is>
      </c>
      <c r="G1962" s="11" t="inlineStr">
        <is>
          <t>Vasu.N</t>
        </is>
      </c>
      <c r="H1962" s="8" t="n">
        <v>9578099893</v>
      </c>
      <c r="I1962" s="10" t="inlineStr">
        <is>
          <t>PE04062601</t>
        </is>
      </c>
      <c r="J1962" s="28" t="inlineStr">
        <is>
          <t>Module burnt</t>
        </is>
      </c>
      <c r="K1962" s="8" t="inlineStr">
        <is>
          <t>Zura</t>
        </is>
      </c>
      <c r="L1962" s="39" t="inlineStr">
        <is>
          <t>Gujarat</t>
        </is>
      </c>
      <c r="M1962" s="2" t="inlineStr">
        <is>
          <t xml:space="preserve">damage </t>
        </is>
      </c>
      <c r="N1962" s="6" t="inlineStr">
        <is>
          <t>Module Breakage</t>
        </is>
      </c>
      <c r="O1962" s="32" t="n">
        <v>590</v>
      </c>
      <c r="P1962" s="2" t="inlineStr">
        <is>
          <t>NSMI24110804824</t>
        </is>
      </c>
      <c r="Q1962" s="29">
        <f>MID(P1962,5,2)</f>
        <v/>
      </c>
      <c r="R1962" s="14">
        <f>MID(P1962,7,2)</f>
        <v/>
      </c>
      <c r="S1962" s="6" t="inlineStr">
        <is>
          <t>G2G</t>
        </is>
      </c>
      <c r="T1962" s="1" t="inlineStr">
        <is>
          <t>P4 - PEIPL</t>
        </is>
      </c>
      <c r="U1962" s="2" t="inlineStr">
        <is>
          <t xml:space="preserve">physically damaged </t>
        </is>
      </c>
      <c r="V1962" s="1" t="inlineStr">
        <is>
          <t>Inspection</t>
        </is>
      </c>
      <c r="W1962" s="1" t="inlineStr">
        <is>
          <t>Rejected</t>
        </is>
      </c>
      <c r="X1962" s="5">
        <f>Z1962</f>
        <v/>
      </c>
      <c r="Y1962" s="1">
        <f>X1962-A1962</f>
        <v/>
      </c>
      <c r="Z1962" s="5" t="n">
        <v>46197</v>
      </c>
      <c r="AA1962" s="3" t="n"/>
      <c r="AB1962" s="3" t="n"/>
      <c r="AE1962" s="146">
        <f>IF(AND(F1962="Closed",X1962&gt;=DATE(2026,6,1),X1962&lt;=DATE(2026,6,30)),"Closed in June","other")</f>
        <v/>
      </c>
    </row>
    <row r="1963" hidden="1">
      <c r="A1963" s="49" t="n">
        <v>46177</v>
      </c>
      <c r="B1963" s="1" t="n">
        <v>2026</v>
      </c>
      <c r="C1963" s="8" t="inlineStr">
        <is>
          <t>Ayana</t>
        </is>
      </c>
      <c r="D1963" s="11" t="inlineStr">
        <is>
          <t>Utility and C&amp;I</t>
        </is>
      </c>
      <c r="E1963" s="1" t="n"/>
      <c r="F1963" s="1" t="inlineStr">
        <is>
          <t>Closed</t>
        </is>
      </c>
      <c r="G1963" s="11" t="inlineStr">
        <is>
          <t>Vasu.N</t>
        </is>
      </c>
      <c r="H1963" s="8" t="n">
        <v>9578099893</v>
      </c>
      <c r="I1963" s="10" t="inlineStr">
        <is>
          <t>PE04062601</t>
        </is>
      </c>
      <c r="J1963" s="28" t="inlineStr">
        <is>
          <t>Module burnt</t>
        </is>
      </c>
      <c r="K1963" s="8" t="inlineStr">
        <is>
          <t>Zura</t>
        </is>
      </c>
      <c r="L1963" s="39" t="inlineStr">
        <is>
          <t>Gujarat</t>
        </is>
      </c>
      <c r="M1963" s="2" t="inlineStr">
        <is>
          <t xml:space="preserve">damage </t>
        </is>
      </c>
      <c r="N1963" s="6" t="inlineStr">
        <is>
          <t>Module Breakage</t>
        </is>
      </c>
      <c r="O1963" s="32" t="n">
        <v>590</v>
      </c>
      <c r="P1963" s="2" t="inlineStr">
        <is>
          <t>NSMI24100612467</t>
        </is>
      </c>
      <c r="Q1963" s="29">
        <f>MID(P1963,5,2)</f>
        <v/>
      </c>
      <c r="R1963" s="14">
        <f>MID(P1963,7,2)</f>
        <v/>
      </c>
      <c r="S1963" s="6" t="inlineStr">
        <is>
          <t>G2G</t>
        </is>
      </c>
      <c r="T1963" s="1" t="inlineStr">
        <is>
          <t>P4 - PEIPL</t>
        </is>
      </c>
      <c r="U1963" s="2" t="inlineStr">
        <is>
          <t xml:space="preserve">physically damaged </t>
        </is>
      </c>
      <c r="V1963" s="1" t="inlineStr">
        <is>
          <t>Inspection</t>
        </is>
      </c>
      <c r="W1963" s="1" t="inlineStr">
        <is>
          <t>Rejected</t>
        </is>
      </c>
      <c r="X1963" s="5">
        <f>Z1963</f>
        <v/>
      </c>
      <c r="Y1963" s="1">
        <f>X1963-A1963</f>
        <v/>
      </c>
      <c r="Z1963" s="5" t="n">
        <v>46197</v>
      </c>
      <c r="AA1963" s="3" t="n"/>
      <c r="AB1963" s="3" t="n"/>
      <c r="AE1963" s="146">
        <f>IF(AND(F1963="Closed",X1963&gt;=DATE(2026,6,1),X1963&lt;=DATE(2026,6,30)),"Closed in June","other")</f>
        <v/>
      </c>
    </row>
    <row r="1964" hidden="1">
      <c r="A1964" s="49" t="n">
        <v>46177</v>
      </c>
      <c r="B1964" s="1" t="n">
        <v>2026</v>
      </c>
      <c r="C1964" s="8" t="inlineStr">
        <is>
          <t>Ayana</t>
        </is>
      </c>
      <c r="D1964" s="11" t="inlineStr">
        <is>
          <t>Utility and C&amp;I</t>
        </is>
      </c>
      <c r="E1964" s="1" t="n"/>
      <c r="F1964" s="1" t="inlineStr">
        <is>
          <t>Closed</t>
        </is>
      </c>
      <c r="G1964" s="11" t="inlineStr">
        <is>
          <t>Vasu.N</t>
        </is>
      </c>
      <c r="H1964" s="8" t="n">
        <v>9578099893</v>
      </c>
      <c r="I1964" s="10" t="inlineStr">
        <is>
          <t>PE04062601</t>
        </is>
      </c>
      <c r="J1964" s="28" t="inlineStr">
        <is>
          <t>Module burnt</t>
        </is>
      </c>
      <c r="K1964" s="8" t="inlineStr">
        <is>
          <t>Zura</t>
        </is>
      </c>
      <c r="L1964" s="39" t="inlineStr">
        <is>
          <t>Gujarat</t>
        </is>
      </c>
      <c r="M1964" s="2" t="inlineStr">
        <is>
          <t xml:space="preserve">damage </t>
        </is>
      </c>
      <c r="N1964" s="6" t="inlineStr">
        <is>
          <t>Module Breakage</t>
        </is>
      </c>
      <c r="O1964" s="32" t="n">
        <v>590</v>
      </c>
      <c r="P1964" s="2" t="inlineStr">
        <is>
          <t>NSMI24110823999</t>
        </is>
      </c>
      <c r="Q1964" s="29">
        <f>MID(P1964,5,2)</f>
        <v/>
      </c>
      <c r="R1964" s="14">
        <f>MID(P1964,7,2)</f>
        <v/>
      </c>
      <c r="S1964" s="6" t="inlineStr">
        <is>
          <t>G2G</t>
        </is>
      </c>
      <c r="T1964" s="1" t="inlineStr">
        <is>
          <t>P4 - PEIPL</t>
        </is>
      </c>
      <c r="U1964" s="2" t="inlineStr">
        <is>
          <t xml:space="preserve">physically damaged </t>
        </is>
      </c>
      <c r="V1964" s="1" t="inlineStr">
        <is>
          <t>Inspection</t>
        </is>
      </c>
      <c r="W1964" s="1" t="inlineStr">
        <is>
          <t>Rejected</t>
        </is>
      </c>
      <c r="X1964" s="5">
        <f>Z1964</f>
        <v/>
      </c>
      <c r="Y1964" s="1">
        <f>X1964-A1964</f>
        <v/>
      </c>
      <c r="Z1964" s="5" t="n">
        <v>46197</v>
      </c>
      <c r="AA1964" s="3" t="n"/>
      <c r="AB1964" s="3" t="n"/>
      <c r="AE1964" s="146">
        <f>IF(AND(F1964="Closed",X1964&gt;=DATE(2026,6,1),X1964&lt;=DATE(2026,6,30)),"Closed in June","other")</f>
        <v/>
      </c>
    </row>
    <row r="1965" hidden="1">
      <c r="A1965" s="49" t="n">
        <v>46177</v>
      </c>
      <c r="B1965" s="1" t="n">
        <v>2026</v>
      </c>
      <c r="C1965" s="8" t="inlineStr">
        <is>
          <t>Ayana</t>
        </is>
      </c>
      <c r="D1965" s="11" t="inlineStr">
        <is>
          <t>Utility and C&amp;I</t>
        </is>
      </c>
      <c r="E1965" s="1" t="n"/>
      <c r="F1965" s="1" t="inlineStr">
        <is>
          <t>Closed</t>
        </is>
      </c>
      <c r="G1965" s="11" t="inlineStr">
        <is>
          <t>Vasu.N</t>
        </is>
      </c>
      <c r="H1965" s="8" t="n">
        <v>9578099893</v>
      </c>
      <c r="I1965" s="10" t="inlineStr">
        <is>
          <t>PE04062601</t>
        </is>
      </c>
      <c r="J1965" s="28" t="inlineStr">
        <is>
          <t>Module burnt</t>
        </is>
      </c>
      <c r="K1965" s="8" t="inlineStr">
        <is>
          <t>Zura</t>
        </is>
      </c>
      <c r="L1965" s="39" t="inlineStr">
        <is>
          <t>Gujarat</t>
        </is>
      </c>
      <c r="M1965" s="2" t="inlineStr">
        <is>
          <t xml:space="preserve">damage </t>
        </is>
      </c>
      <c r="N1965" s="6" t="inlineStr">
        <is>
          <t>Module Breakage</t>
        </is>
      </c>
      <c r="O1965" s="32" t="n">
        <v>590</v>
      </c>
      <c r="P1965" s="2" t="inlineStr">
        <is>
          <t>NSMI24110824006</t>
        </is>
      </c>
      <c r="Q1965" s="29">
        <f>MID(P1965,5,2)</f>
        <v/>
      </c>
      <c r="R1965" s="14">
        <f>MID(P1965,7,2)</f>
        <v/>
      </c>
      <c r="S1965" s="6" t="inlineStr">
        <is>
          <t>G2G</t>
        </is>
      </c>
      <c r="T1965" s="1" t="inlineStr">
        <is>
          <t>P4 - PEIPL</t>
        </is>
      </c>
      <c r="U1965" s="2" t="inlineStr">
        <is>
          <t xml:space="preserve">physically damaged </t>
        </is>
      </c>
      <c r="V1965" s="1" t="inlineStr">
        <is>
          <t>Inspection</t>
        </is>
      </c>
      <c r="W1965" s="1" t="inlineStr">
        <is>
          <t>Rejected</t>
        </is>
      </c>
      <c r="X1965" s="5">
        <f>Z1965</f>
        <v/>
      </c>
      <c r="Y1965" s="1">
        <f>X1965-A1965</f>
        <v/>
      </c>
      <c r="Z1965" s="5" t="n">
        <v>46197</v>
      </c>
      <c r="AA1965" s="3" t="n"/>
      <c r="AB1965" s="3" t="n"/>
      <c r="AE1965" s="146">
        <f>IF(AND(F1965="Closed",X1965&gt;=DATE(2026,6,1),X1965&lt;=DATE(2026,6,30)),"Closed in June","other")</f>
        <v/>
      </c>
    </row>
    <row r="1966" hidden="1">
      <c r="A1966" s="49" t="n">
        <v>46177</v>
      </c>
      <c r="B1966" s="1" t="n">
        <v>2026</v>
      </c>
      <c r="C1966" s="8" t="inlineStr">
        <is>
          <t>Ayana</t>
        </is>
      </c>
      <c r="D1966" s="11" t="inlineStr">
        <is>
          <t>Utility and C&amp;I</t>
        </is>
      </c>
      <c r="E1966" s="1" t="n"/>
      <c r="F1966" s="1" t="inlineStr">
        <is>
          <t>Closed</t>
        </is>
      </c>
      <c r="G1966" s="11" t="inlineStr">
        <is>
          <t>Vasu.N</t>
        </is>
      </c>
      <c r="H1966" s="8" t="n">
        <v>9578099893</v>
      </c>
      <c r="I1966" s="10" t="inlineStr">
        <is>
          <t>PE04062601</t>
        </is>
      </c>
      <c r="J1966" s="28" t="inlineStr">
        <is>
          <t>Module burnt</t>
        </is>
      </c>
      <c r="K1966" s="8" t="inlineStr">
        <is>
          <t>Zura</t>
        </is>
      </c>
      <c r="L1966" s="39" t="inlineStr">
        <is>
          <t>Gujarat</t>
        </is>
      </c>
      <c r="M1966" s="2" t="inlineStr">
        <is>
          <t xml:space="preserve">damage </t>
        </is>
      </c>
      <c r="N1966" s="6" t="inlineStr">
        <is>
          <t>Module Breakage</t>
        </is>
      </c>
      <c r="O1966" s="32" t="n">
        <v>590</v>
      </c>
      <c r="P1966" s="2" t="inlineStr">
        <is>
          <t>NSMI24110825726</t>
        </is>
      </c>
      <c r="Q1966" s="29">
        <f>MID(P1966,5,2)</f>
        <v/>
      </c>
      <c r="R1966" s="14">
        <f>MID(P1966,7,2)</f>
        <v/>
      </c>
      <c r="S1966" s="6" t="inlineStr">
        <is>
          <t>G2G</t>
        </is>
      </c>
      <c r="T1966" s="1" t="inlineStr">
        <is>
          <t>P4 - PEIPL</t>
        </is>
      </c>
      <c r="U1966" s="2" t="inlineStr">
        <is>
          <t xml:space="preserve">physically damaged </t>
        </is>
      </c>
      <c r="V1966" s="1" t="inlineStr">
        <is>
          <t>Inspection</t>
        </is>
      </c>
      <c r="W1966" s="1" t="inlineStr">
        <is>
          <t>Rejected</t>
        </is>
      </c>
      <c r="X1966" s="5">
        <f>Z1966</f>
        <v/>
      </c>
      <c r="Y1966" s="1">
        <f>X1966-A1966</f>
        <v/>
      </c>
      <c r="Z1966" s="5" t="n">
        <v>46197</v>
      </c>
      <c r="AA1966" s="3" t="n"/>
      <c r="AB1966" s="3" t="n"/>
      <c r="AE1966" s="146">
        <f>IF(AND(F1966="Closed",X1966&gt;=DATE(2026,6,1),X1966&lt;=DATE(2026,6,30)),"Closed in June","other")</f>
        <v/>
      </c>
    </row>
    <row r="1967" hidden="1">
      <c r="A1967" s="49" t="n">
        <v>46177</v>
      </c>
      <c r="B1967" s="1" t="n">
        <v>2026</v>
      </c>
      <c r="C1967" s="8" t="inlineStr">
        <is>
          <t>Ayana</t>
        </is>
      </c>
      <c r="D1967" s="11" t="inlineStr">
        <is>
          <t>Utility and C&amp;I</t>
        </is>
      </c>
      <c r="E1967" s="1" t="n"/>
      <c r="F1967" s="1" t="inlineStr">
        <is>
          <t>Closed</t>
        </is>
      </c>
      <c r="G1967" s="11" t="inlineStr">
        <is>
          <t>Vasu.N</t>
        </is>
      </c>
      <c r="H1967" s="8" t="n">
        <v>9578099893</v>
      </c>
      <c r="I1967" s="10" t="inlineStr">
        <is>
          <t>PE04062601</t>
        </is>
      </c>
      <c r="J1967" s="28" t="inlineStr">
        <is>
          <t>Module burnt</t>
        </is>
      </c>
      <c r="K1967" s="8" t="inlineStr">
        <is>
          <t>Zura</t>
        </is>
      </c>
      <c r="L1967" s="39" t="inlineStr">
        <is>
          <t>Gujarat</t>
        </is>
      </c>
      <c r="M1967" s="2" t="inlineStr">
        <is>
          <t xml:space="preserve">damage </t>
        </is>
      </c>
      <c r="N1967" s="6" t="inlineStr">
        <is>
          <t>Module Breakage</t>
        </is>
      </c>
      <c r="O1967" s="32" t="n">
        <v>590</v>
      </c>
      <c r="P1967" s="2" t="inlineStr">
        <is>
          <t>NSMI24110825725</t>
        </is>
      </c>
      <c r="Q1967" s="29">
        <f>MID(P1967,5,2)</f>
        <v/>
      </c>
      <c r="R1967" s="14">
        <f>MID(P1967,7,2)</f>
        <v/>
      </c>
      <c r="S1967" s="6" t="inlineStr">
        <is>
          <t>G2G</t>
        </is>
      </c>
      <c r="T1967" s="1" t="inlineStr">
        <is>
          <t>P4 - PEIPL</t>
        </is>
      </c>
      <c r="U1967" s="2" t="inlineStr">
        <is>
          <t xml:space="preserve">physically damaged </t>
        </is>
      </c>
      <c r="V1967" s="1" t="inlineStr">
        <is>
          <t>Inspection</t>
        </is>
      </c>
      <c r="W1967" s="1" t="inlineStr">
        <is>
          <t>Rejected</t>
        </is>
      </c>
      <c r="X1967" s="5">
        <f>Z1967</f>
        <v/>
      </c>
      <c r="Y1967" s="1">
        <f>X1967-A1967</f>
        <v/>
      </c>
      <c r="Z1967" s="5" t="n">
        <v>46197</v>
      </c>
      <c r="AA1967" s="3" t="n"/>
      <c r="AB1967" s="3" t="n"/>
      <c r="AE1967" s="146">
        <f>IF(AND(F1967="Closed",X1967&gt;=DATE(2026,6,1),X1967&lt;=DATE(2026,6,30)),"Closed in June","other")</f>
        <v/>
      </c>
    </row>
    <row r="1968" hidden="1">
      <c r="A1968" s="49" t="n">
        <v>46177</v>
      </c>
      <c r="B1968" s="1" t="n">
        <v>2026</v>
      </c>
      <c r="C1968" s="8" t="inlineStr">
        <is>
          <t>Ayana</t>
        </is>
      </c>
      <c r="D1968" s="11" t="inlineStr">
        <is>
          <t>Utility and C&amp;I</t>
        </is>
      </c>
      <c r="E1968" s="1" t="n"/>
      <c r="F1968" s="1" t="inlineStr">
        <is>
          <t>Closed</t>
        </is>
      </c>
      <c r="G1968" s="11" t="inlineStr">
        <is>
          <t>Vasu.N</t>
        </is>
      </c>
      <c r="H1968" s="8" t="n">
        <v>9578099893</v>
      </c>
      <c r="I1968" s="10" t="inlineStr">
        <is>
          <t>PE04062601</t>
        </is>
      </c>
      <c r="J1968" s="28" t="inlineStr">
        <is>
          <t>Module burnt</t>
        </is>
      </c>
      <c r="K1968" s="8" t="inlineStr">
        <is>
          <t>Zura</t>
        </is>
      </c>
      <c r="L1968" s="39" t="inlineStr">
        <is>
          <t>Gujarat</t>
        </is>
      </c>
      <c r="M1968" s="2" t="inlineStr">
        <is>
          <t xml:space="preserve">damage </t>
        </is>
      </c>
      <c r="N1968" s="6" t="inlineStr">
        <is>
          <t>Module Breakage</t>
        </is>
      </c>
      <c r="O1968" s="32" t="n">
        <v>590</v>
      </c>
      <c r="P1968" s="2" t="inlineStr">
        <is>
          <t>NSMI24110837960</t>
        </is>
      </c>
      <c r="Q1968" s="29">
        <f>MID(P1968,5,2)</f>
        <v/>
      </c>
      <c r="R1968" s="14">
        <f>MID(P1968,7,2)</f>
        <v/>
      </c>
      <c r="S1968" s="6" t="inlineStr">
        <is>
          <t>G2G</t>
        </is>
      </c>
      <c r="T1968" s="1" t="inlineStr">
        <is>
          <t>P4 - PEIPL</t>
        </is>
      </c>
      <c r="U1968" s="2" t="inlineStr">
        <is>
          <t xml:space="preserve">physically damaged </t>
        </is>
      </c>
      <c r="V1968" s="1" t="inlineStr">
        <is>
          <t>Inspection</t>
        </is>
      </c>
      <c r="W1968" s="1" t="inlineStr">
        <is>
          <t>Rejected</t>
        </is>
      </c>
      <c r="X1968" s="5">
        <f>Z1968</f>
        <v/>
      </c>
      <c r="Y1968" s="1">
        <f>X1968-A1968</f>
        <v/>
      </c>
      <c r="Z1968" s="5" t="n">
        <v>46197</v>
      </c>
      <c r="AA1968" s="3" t="n"/>
      <c r="AB1968" s="3" t="n"/>
      <c r="AE1968" s="146">
        <f>IF(AND(F1968="Closed",X1968&gt;=DATE(2026,6,1),X1968&lt;=DATE(2026,6,30)),"Closed in June","other")</f>
        <v/>
      </c>
    </row>
    <row r="1969" hidden="1">
      <c r="A1969" s="49" t="n">
        <v>46177</v>
      </c>
      <c r="B1969" s="1" t="n">
        <v>2026</v>
      </c>
      <c r="C1969" s="8" t="inlineStr">
        <is>
          <t>Ayana</t>
        </is>
      </c>
      <c r="D1969" s="11" t="inlineStr">
        <is>
          <t>Utility and C&amp;I</t>
        </is>
      </c>
      <c r="E1969" s="1" t="n"/>
      <c r="F1969" s="1" t="inlineStr">
        <is>
          <t>Closed</t>
        </is>
      </c>
      <c r="G1969" s="11" t="inlineStr">
        <is>
          <t>Vasu.N</t>
        </is>
      </c>
      <c r="H1969" s="8" t="n">
        <v>9578099893</v>
      </c>
      <c r="I1969" s="10" t="inlineStr">
        <is>
          <t>PE04062601</t>
        </is>
      </c>
      <c r="J1969" s="28" t="inlineStr">
        <is>
          <t>Module burnt</t>
        </is>
      </c>
      <c r="K1969" s="8" t="inlineStr">
        <is>
          <t>Zura</t>
        </is>
      </c>
      <c r="L1969" s="39" t="inlineStr">
        <is>
          <t>Gujarat</t>
        </is>
      </c>
      <c r="M1969" s="2" t="inlineStr">
        <is>
          <t xml:space="preserve">damage </t>
        </is>
      </c>
      <c r="N1969" s="6" t="inlineStr">
        <is>
          <t>Module Breakage</t>
        </is>
      </c>
      <c r="O1969" s="32" t="n">
        <v>590</v>
      </c>
      <c r="P1969" s="2" t="inlineStr">
        <is>
          <t>NSMI24110838174</t>
        </is>
      </c>
      <c r="Q1969" s="29">
        <f>MID(P1969,5,2)</f>
        <v/>
      </c>
      <c r="R1969" s="14">
        <f>MID(P1969,7,2)</f>
        <v/>
      </c>
      <c r="S1969" s="6" t="inlineStr">
        <is>
          <t>G2G</t>
        </is>
      </c>
      <c r="T1969" s="1" t="inlineStr">
        <is>
          <t>P4 - PEIPL</t>
        </is>
      </c>
      <c r="U1969" s="2" t="inlineStr">
        <is>
          <t xml:space="preserve">physically damaged </t>
        </is>
      </c>
      <c r="V1969" s="1" t="inlineStr">
        <is>
          <t>Inspection</t>
        </is>
      </c>
      <c r="W1969" s="1" t="inlineStr">
        <is>
          <t>Rejected</t>
        </is>
      </c>
      <c r="X1969" s="5">
        <f>Z1969</f>
        <v/>
      </c>
      <c r="Y1969" s="1">
        <f>X1969-A1969</f>
        <v/>
      </c>
      <c r="Z1969" s="5" t="n">
        <v>46197</v>
      </c>
      <c r="AA1969" s="3" t="n"/>
      <c r="AB1969" s="3" t="n"/>
      <c r="AE1969" s="146">
        <f>IF(AND(F1969="Closed",X1969&gt;=DATE(2026,6,1),X1969&lt;=DATE(2026,6,30)),"Closed in June","other")</f>
        <v/>
      </c>
    </row>
    <row r="1970" hidden="1">
      <c r="A1970" s="49" t="n">
        <v>46177</v>
      </c>
      <c r="B1970" s="1" t="n">
        <v>2026</v>
      </c>
      <c r="C1970" s="8" t="inlineStr">
        <is>
          <t>Ayana</t>
        </is>
      </c>
      <c r="D1970" s="11" t="inlineStr">
        <is>
          <t>Utility and C&amp;I</t>
        </is>
      </c>
      <c r="E1970" s="1" t="n"/>
      <c r="F1970" s="1" t="inlineStr">
        <is>
          <t>Closed</t>
        </is>
      </c>
      <c r="G1970" s="11" t="inlineStr">
        <is>
          <t>Vasu.N</t>
        </is>
      </c>
      <c r="H1970" s="8" t="n">
        <v>9578099893</v>
      </c>
      <c r="I1970" s="10" t="inlineStr">
        <is>
          <t>PE04062601</t>
        </is>
      </c>
      <c r="J1970" s="28" t="inlineStr">
        <is>
          <t>Module burnt</t>
        </is>
      </c>
      <c r="K1970" s="8" t="inlineStr">
        <is>
          <t>Zura</t>
        </is>
      </c>
      <c r="L1970" s="39" t="inlineStr">
        <is>
          <t>Gujarat</t>
        </is>
      </c>
      <c r="M1970" s="2" t="inlineStr">
        <is>
          <t xml:space="preserve">damage </t>
        </is>
      </c>
      <c r="N1970" s="6" t="inlineStr">
        <is>
          <t>Module Breakage</t>
        </is>
      </c>
      <c r="O1970" s="32" t="n">
        <v>590</v>
      </c>
      <c r="P1970" s="2" t="inlineStr">
        <is>
          <t>NSMI24110821417</t>
        </is>
      </c>
      <c r="Q1970" s="29">
        <f>MID(P1970,5,2)</f>
        <v/>
      </c>
      <c r="R1970" s="14">
        <f>MID(P1970,7,2)</f>
        <v/>
      </c>
      <c r="S1970" s="6" t="inlineStr">
        <is>
          <t>G2G</t>
        </is>
      </c>
      <c r="T1970" s="1" t="inlineStr">
        <is>
          <t>P4 - PEIPL</t>
        </is>
      </c>
      <c r="U1970" s="2" t="inlineStr">
        <is>
          <t xml:space="preserve">physically damaged </t>
        </is>
      </c>
      <c r="V1970" s="1" t="inlineStr">
        <is>
          <t>Inspection</t>
        </is>
      </c>
      <c r="W1970" s="1" t="inlineStr">
        <is>
          <t>Rejected</t>
        </is>
      </c>
      <c r="X1970" s="5">
        <f>Z1970</f>
        <v/>
      </c>
      <c r="Y1970" s="1">
        <f>X1970-A1970</f>
        <v/>
      </c>
      <c r="Z1970" s="5" t="n">
        <v>46197</v>
      </c>
      <c r="AA1970" s="3" t="n"/>
      <c r="AB1970" s="3" t="n"/>
      <c r="AE1970" s="146">
        <f>IF(AND(F1970="Closed",X1970&gt;=DATE(2026,6,1),X1970&lt;=DATE(2026,6,30)),"Closed in June","other")</f>
        <v/>
      </c>
    </row>
    <row r="1971" hidden="1">
      <c r="A1971" s="49" t="n">
        <v>46177</v>
      </c>
      <c r="B1971" s="1" t="n">
        <v>2026</v>
      </c>
      <c r="C1971" s="8" t="inlineStr">
        <is>
          <t>Ayana</t>
        </is>
      </c>
      <c r="D1971" s="11" t="inlineStr">
        <is>
          <t>Utility and C&amp;I</t>
        </is>
      </c>
      <c r="E1971" s="1" t="n"/>
      <c r="F1971" s="1" t="inlineStr">
        <is>
          <t>Closed</t>
        </is>
      </c>
      <c r="G1971" s="11" t="inlineStr">
        <is>
          <t>Vasu.N</t>
        </is>
      </c>
      <c r="H1971" s="8" t="n">
        <v>9578099893</v>
      </c>
      <c r="I1971" s="10" t="inlineStr">
        <is>
          <t>PE04062601</t>
        </is>
      </c>
      <c r="J1971" s="28" t="inlineStr">
        <is>
          <t>Module burnt</t>
        </is>
      </c>
      <c r="K1971" s="8" t="inlineStr">
        <is>
          <t>Zura</t>
        </is>
      </c>
      <c r="L1971" s="39" t="inlineStr">
        <is>
          <t>Gujarat</t>
        </is>
      </c>
      <c r="M1971" s="2" t="inlineStr">
        <is>
          <t xml:space="preserve">damage </t>
        </is>
      </c>
      <c r="N1971" s="6" t="inlineStr">
        <is>
          <t>Module Breakage</t>
        </is>
      </c>
      <c r="O1971" s="32" t="n">
        <v>590</v>
      </c>
      <c r="P1971" s="2" t="inlineStr">
        <is>
          <t>NSMI24110833476</t>
        </is>
      </c>
      <c r="Q1971" s="29">
        <f>MID(P1971,5,2)</f>
        <v/>
      </c>
      <c r="R1971" s="14">
        <f>MID(P1971,7,2)</f>
        <v/>
      </c>
      <c r="S1971" s="6" t="inlineStr">
        <is>
          <t>G2G</t>
        </is>
      </c>
      <c r="T1971" s="1" t="inlineStr">
        <is>
          <t>P4 - PEIPL</t>
        </is>
      </c>
      <c r="U1971" s="2" t="inlineStr">
        <is>
          <t xml:space="preserve">physically damaged </t>
        </is>
      </c>
      <c r="V1971" s="1" t="inlineStr">
        <is>
          <t>Inspection</t>
        </is>
      </c>
      <c r="W1971" s="1" t="inlineStr">
        <is>
          <t>Rejected</t>
        </is>
      </c>
      <c r="X1971" s="5">
        <f>Z1971</f>
        <v/>
      </c>
      <c r="Y1971" s="1">
        <f>X1971-A1971</f>
        <v/>
      </c>
      <c r="Z1971" s="5" t="n">
        <v>46197</v>
      </c>
      <c r="AA1971" s="3" t="n"/>
      <c r="AB1971" s="3" t="n"/>
      <c r="AE1971" s="146">
        <f>IF(AND(F1971="Closed",X1971&gt;=DATE(2026,6,1),X1971&lt;=DATE(2026,6,30)),"Closed in June","other")</f>
        <v/>
      </c>
    </row>
    <row r="1972" hidden="1">
      <c r="A1972" s="49" t="n">
        <v>46177</v>
      </c>
      <c r="B1972" s="1" t="n">
        <v>2026</v>
      </c>
      <c r="C1972" s="8" t="inlineStr">
        <is>
          <t>Ayana</t>
        </is>
      </c>
      <c r="D1972" s="11" t="inlineStr">
        <is>
          <t>Utility and C&amp;I</t>
        </is>
      </c>
      <c r="E1972" s="1" t="n"/>
      <c r="F1972" s="1" t="inlineStr">
        <is>
          <t>Closed</t>
        </is>
      </c>
      <c r="G1972" s="11" t="inlineStr">
        <is>
          <t>Vasu.N</t>
        </is>
      </c>
      <c r="H1972" s="8" t="n">
        <v>9578099893</v>
      </c>
      <c r="I1972" s="10" t="inlineStr">
        <is>
          <t>PE04062601</t>
        </is>
      </c>
      <c r="J1972" s="28" t="inlineStr">
        <is>
          <t>Module burnt</t>
        </is>
      </c>
      <c r="K1972" s="8" t="inlineStr">
        <is>
          <t>Zura</t>
        </is>
      </c>
      <c r="L1972" s="39" t="inlineStr">
        <is>
          <t>Gujarat</t>
        </is>
      </c>
      <c r="M1972" s="2" t="inlineStr">
        <is>
          <t xml:space="preserve">damage </t>
        </is>
      </c>
      <c r="N1972" s="6" t="inlineStr">
        <is>
          <t>Module Breakage</t>
        </is>
      </c>
      <c r="O1972" s="32" t="n">
        <v>590</v>
      </c>
      <c r="P1972" s="2" t="inlineStr">
        <is>
          <t>NSMI24110826181</t>
        </is>
      </c>
      <c r="Q1972" s="29">
        <f>MID(P1972,5,2)</f>
        <v/>
      </c>
      <c r="R1972" s="14">
        <f>MID(P1972,7,2)</f>
        <v/>
      </c>
      <c r="S1972" s="6" t="inlineStr">
        <is>
          <t>G2G</t>
        </is>
      </c>
      <c r="T1972" s="1" t="inlineStr">
        <is>
          <t>P4 - PEIPL</t>
        </is>
      </c>
      <c r="U1972" s="2" t="inlineStr">
        <is>
          <t xml:space="preserve">physically damaged </t>
        </is>
      </c>
      <c r="V1972" s="1" t="inlineStr">
        <is>
          <t>Inspection</t>
        </is>
      </c>
      <c r="W1972" s="1" t="inlineStr">
        <is>
          <t>Rejected</t>
        </is>
      </c>
      <c r="X1972" s="5">
        <f>Z1972</f>
        <v/>
      </c>
      <c r="Y1972" s="1">
        <f>X1972-A1972</f>
        <v/>
      </c>
      <c r="Z1972" s="5" t="n">
        <v>46197</v>
      </c>
      <c r="AA1972" s="3" t="n"/>
      <c r="AB1972" s="3" t="n"/>
      <c r="AE1972" s="146">
        <f>IF(AND(F1972="Closed",X1972&gt;=DATE(2026,6,1),X1972&lt;=DATE(2026,6,30)),"Closed in June","other")</f>
        <v/>
      </c>
    </row>
    <row r="1973" hidden="1">
      <c r="A1973" s="49" t="n">
        <v>46177</v>
      </c>
      <c r="B1973" s="1" t="n">
        <v>2026</v>
      </c>
      <c r="C1973" s="8" t="inlineStr">
        <is>
          <t>Ayana</t>
        </is>
      </c>
      <c r="D1973" s="11" t="inlineStr">
        <is>
          <t>Utility and C&amp;I</t>
        </is>
      </c>
      <c r="E1973" s="1" t="n"/>
      <c r="F1973" s="1" t="inlineStr">
        <is>
          <t>Closed</t>
        </is>
      </c>
      <c r="G1973" s="11" t="inlineStr">
        <is>
          <t>Vasu.N</t>
        </is>
      </c>
      <c r="H1973" s="8" t="n">
        <v>9578099893</v>
      </c>
      <c r="I1973" s="10" t="inlineStr">
        <is>
          <t>PE04062601</t>
        </is>
      </c>
      <c r="J1973" s="28" t="inlineStr">
        <is>
          <t>Module burnt</t>
        </is>
      </c>
      <c r="K1973" s="8" t="inlineStr">
        <is>
          <t>Zura</t>
        </is>
      </c>
      <c r="L1973" s="39" t="inlineStr">
        <is>
          <t>Gujarat</t>
        </is>
      </c>
      <c r="M1973" s="2" t="inlineStr">
        <is>
          <t xml:space="preserve">damage </t>
        </is>
      </c>
      <c r="N1973" s="6" t="inlineStr">
        <is>
          <t>Module Breakage</t>
        </is>
      </c>
      <c r="O1973" s="32" t="n">
        <v>590</v>
      </c>
      <c r="P1973" s="2" t="inlineStr">
        <is>
          <t>NSMI24100648235</t>
        </is>
      </c>
      <c r="Q1973" s="29">
        <f>MID(P1973,5,2)</f>
        <v/>
      </c>
      <c r="R1973" s="14">
        <f>MID(P1973,7,2)</f>
        <v/>
      </c>
      <c r="S1973" s="6" t="inlineStr">
        <is>
          <t>G2G</t>
        </is>
      </c>
      <c r="T1973" s="1" t="inlineStr">
        <is>
          <t>P4 - PEIPL</t>
        </is>
      </c>
      <c r="U1973" s="2" t="inlineStr">
        <is>
          <t xml:space="preserve">physically damaged </t>
        </is>
      </c>
      <c r="V1973" s="1" t="inlineStr">
        <is>
          <t>Inspection</t>
        </is>
      </c>
      <c r="W1973" s="1" t="inlineStr">
        <is>
          <t>Rejected</t>
        </is>
      </c>
      <c r="X1973" s="5">
        <f>Z1973</f>
        <v/>
      </c>
      <c r="Y1973" s="1">
        <f>X1973-A1973</f>
        <v/>
      </c>
      <c r="Z1973" s="5" t="n">
        <v>46197</v>
      </c>
      <c r="AA1973" s="3" t="n"/>
      <c r="AB1973" s="3" t="n"/>
      <c r="AE1973" s="146">
        <f>IF(AND(F1973="Closed",X1973&gt;=DATE(2026,6,1),X1973&lt;=DATE(2026,6,30)),"Closed in June","other")</f>
        <v/>
      </c>
    </row>
    <row r="1974" hidden="1">
      <c r="A1974" s="49" t="n">
        <v>46177</v>
      </c>
      <c r="B1974" s="1" t="n">
        <v>2026</v>
      </c>
      <c r="C1974" s="8" t="inlineStr">
        <is>
          <t>Ayana</t>
        </is>
      </c>
      <c r="D1974" s="11" t="inlineStr">
        <is>
          <t>Utility and C&amp;I</t>
        </is>
      </c>
      <c r="E1974" s="1" t="n"/>
      <c r="F1974" s="1" t="inlineStr">
        <is>
          <t>Closed</t>
        </is>
      </c>
      <c r="G1974" s="11" t="inlineStr">
        <is>
          <t>Vasu.N</t>
        </is>
      </c>
      <c r="H1974" s="8" t="n">
        <v>9578099893</v>
      </c>
      <c r="I1974" s="10" t="inlineStr">
        <is>
          <t>PE04062601</t>
        </is>
      </c>
      <c r="J1974" s="28" t="inlineStr">
        <is>
          <t>Module burnt</t>
        </is>
      </c>
      <c r="K1974" s="8" t="inlineStr">
        <is>
          <t>Zura</t>
        </is>
      </c>
      <c r="L1974" s="39" t="inlineStr">
        <is>
          <t>Gujarat</t>
        </is>
      </c>
      <c r="M1974" s="2" t="inlineStr">
        <is>
          <t xml:space="preserve">damage </t>
        </is>
      </c>
      <c r="N1974" s="6" t="inlineStr">
        <is>
          <t>Module Breakage</t>
        </is>
      </c>
      <c r="O1974" s="32" t="n">
        <v>590</v>
      </c>
      <c r="P1974" s="2" t="inlineStr">
        <is>
          <t>NSMI24100634761</t>
        </is>
      </c>
      <c r="Q1974" s="29">
        <f>MID(P1974,5,2)</f>
        <v/>
      </c>
      <c r="R1974" s="14">
        <f>MID(P1974,7,2)</f>
        <v/>
      </c>
      <c r="S1974" s="6" t="inlineStr">
        <is>
          <t>G2G</t>
        </is>
      </c>
      <c r="T1974" s="1" t="inlineStr">
        <is>
          <t>P4 - PEIPL</t>
        </is>
      </c>
      <c r="U1974" s="2" t="inlineStr">
        <is>
          <t xml:space="preserve">physically damaged </t>
        </is>
      </c>
      <c r="V1974" s="1" t="inlineStr">
        <is>
          <t>Inspection</t>
        </is>
      </c>
      <c r="W1974" s="1" t="inlineStr">
        <is>
          <t>Rejected</t>
        </is>
      </c>
      <c r="X1974" s="5">
        <f>Z1974</f>
        <v/>
      </c>
      <c r="Y1974" s="1">
        <f>X1974-A1974</f>
        <v/>
      </c>
      <c r="Z1974" s="5" t="n">
        <v>46197</v>
      </c>
      <c r="AA1974" s="3" t="n"/>
      <c r="AB1974" s="3" t="n"/>
      <c r="AE1974" s="146">
        <f>IF(AND(F1974="Closed",X1974&gt;=DATE(2026,6,1),X1974&lt;=DATE(2026,6,30)),"Closed in June","other")</f>
        <v/>
      </c>
    </row>
    <row r="1975" hidden="1">
      <c r="A1975" s="49" t="n">
        <v>46177</v>
      </c>
      <c r="B1975" s="1" t="n">
        <v>2026</v>
      </c>
      <c r="C1975" s="8" t="inlineStr">
        <is>
          <t>Ayana</t>
        </is>
      </c>
      <c r="D1975" s="11" t="inlineStr">
        <is>
          <t>Utility and C&amp;I</t>
        </is>
      </c>
      <c r="E1975" s="1" t="n"/>
      <c r="F1975" s="1" t="inlineStr">
        <is>
          <t>Closed</t>
        </is>
      </c>
      <c r="G1975" s="11" t="inlineStr">
        <is>
          <t>Vasu.N</t>
        </is>
      </c>
      <c r="H1975" s="8" t="n">
        <v>9578099893</v>
      </c>
      <c r="I1975" s="10" t="inlineStr">
        <is>
          <t>PE04062601</t>
        </is>
      </c>
      <c r="J1975" s="28" t="inlineStr">
        <is>
          <t>Module burnt</t>
        </is>
      </c>
      <c r="K1975" s="8" t="inlineStr">
        <is>
          <t>Zura</t>
        </is>
      </c>
      <c r="L1975" s="39" t="inlineStr">
        <is>
          <t>Gujarat</t>
        </is>
      </c>
      <c r="M1975" s="2" t="inlineStr">
        <is>
          <t xml:space="preserve">damage </t>
        </is>
      </c>
      <c r="N1975" s="6" t="inlineStr">
        <is>
          <t>Module Breakage</t>
        </is>
      </c>
      <c r="O1975" s="32" t="n">
        <v>590</v>
      </c>
      <c r="P1975" s="2" t="inlineStr">
        <is>
          <t>NSMI24110830109</t>
        </is>
      </c>
      <c r="Q1975" s="29">
        <f>MID(P1975,5,2)</f>
        <v/>
      </c>
      <c r="R1975" s="14">
        <f>MID(P1975,7,2)</f>
        <v/>
      </c>
      <c r="S1975" s="6" t="inlineStr">
        <is>
          <t>G2G</t>
        </is>
      </c>
      <c r="T1975" s="1" t="inlineStr">
        <is>
          <t>P4 - PEIPL</t>
        </is>
      </c>
      <c r="U1975" s="2" t="inlineStr">
        <is>
          <t xml:space="preserve">physically damaged </t>
        </is>
      </c>
      <c r="V1975" s="1" t="inlineStr">
        <is>
          <t>Inspection</t>
        </is>
      </c>
      <c r="W1975" s="1" t="inlineStr">
        <is>
          <t>Rejected</t>
        </is>
      </c>
      <c r="X1975" s="5">
        <f>Z1975</f>
        <v/>
      </c>
      <c r="Y1975" s="1">
        <f>X1975-A1975</f>
        <v/>
      </c>
      <c r="Z1975" s="5" t="n">
        <v>46197</v>
      </c>
      <c r="AA1975" s="3" t="n"/>
      <c r="AB1975" s="3" t="n"/>
      <c r="AE1975" s="146">
        <f>IF(AND(F1975="Closed",X1975&gt;=DATE(2026,6,1),X1975&lt;=DATE(2026,6,30)),"Closed in June","other")</f>
        <v/>
      </c>
    </row>
    <row r="1976" hidden="1">
      <c r="A1976" s="49" t="n">
        <v>46177</v>
      </c>
      <c r="B1976" s="1" t="n">
        <v>2026</v>
      </c>
      <c r="C1976" s="8" t="inlineStr">
        <is>
          <t>Ayana</t>
        </is>
      </c>
      <c r="D1976" s="11" t="inlineStr">
        <is>
          <t>Utility and C&amp;I</t>
        </is>
      </c>
      <c r="E1976" s="1" t="n"/>
      <c r="F1976" s="1" t="inlineStr">
        <is>
          <t>Closed</t>
        </is>
      </c>
      <c r="G1976" s="11" t="inlineStr">
        <is>
          <t>Vasu.N</t>
        </is>
      </c>
      <c r="H1976" s="8" t="n">
        <v>9578099893</v>
      </c>
      <c r="I1976" s="10" t="inlineStr">
        <is>
          <t>PE04062601</t>
        </is>
      </c>
      <c r="J1976" s="28" t="inlineStr">
        <is>
          <t>Module burnt</t>
        </is>
      </c>
      <c r="K1976" s="8" t="inlineStr">
        <is>
          <t>Zura</t>
        </is>
      </c>
      <c r="L1976" s="39" t="inlineStr">
        <is>
          <t>Gujarat</t>
        </is>
      </c>
      <c r="M1976" s="2" t="inlineStr">
        <is>
          <t xml:space="preserve">damage </t>
        </is>
      </c>
      <c r="N1976" s="6" t="inlineStr">
        <is>
          <t>Module Breakage</t>
        </is>
      </c>
      <c r="O1976" s="32" t="n">
        <v>590</v>
      </c>
      <c r="P1976" s="2" t="inlineStr">
        <is>
          <t>NSMI24110804289</t>
        </is>
      </c>
      <c r="Q1976" s="29">
        <f>MID(P1976,5,2)</f>
        <v/>
      </c>
      <c r="R1976" s="14">
        <f>MID(P1976,7,2)</f>
        <v/>
      </c>
      <c r="S1976" s="6" t="inlineStr">
        <is>
          <t>G2G</t>
        </is>
      </c>
      <c r="T1976" s="1" t="inlineStr">
        <is>
          <t>P4 - PEIPL</t>
        </is>
      </c>
      <c r="U1976" s="2" t="inlineStr">
        <is>
          <t xml:space="preserve">physically damaged </t>
        </is>
      </c>
      <c r="V1976" s="1" t="inlineStr">
        <is>
          <t>Inspection</t>
        </is>
      </c>
      <c r="W1976" s="1" t="inlineStr">
        <is>
          <t>Rejected</t>
        </is>
      </c>
      <c r="X1976" s="5">
        <f>Z1976</f>
        <v/>
      </c>
      <c r="Y1976" s="1">
        <f>X1976-A1976</f>
        <v/>
      </c>
      <c r="Z1976" s="5" t="n">
        <v>46197</v>
      </c>
      <c r="AA1976" s="3" t="n"/>
      <c r="AB1976" s="3" t="n"/>
      <c r="AE1976" s="146">
        <f>IF(AND(F1976="Closed",X1976&gt;=DATE(2026,6,1),X1976&lt;=DATE(2026,6,30)),"Closed in June","other")</f>
        <v/>
      </c>
    </row>
    <row r="1977" hidden="1">
      <c r="A1977" s="49" t="n">
        <v>46177</v>
      </c>
      <c r="B1977" s="1" t="n">
        <v>2026</v>
      </c>
      <c r="C1977" s="8" t="inlineStr">
        <is>
          <t>Ayana</t>
        </is>
      </c>
      <c r="D1977" s="11" t="inlineStr">
        <is>
          <t>Utility and C&amp;I</t>
        </is>
      </c>
      <c r="E1977" s="1" t="n"/>
      <c r="F1977" s="1" t="inlineStr">
        <is>
          <t>Closed</t>
        </is>
      </c>
      <c r="G1977" s="11" t="inlineStr">
        <is>
          <t>Vasu.N</t>
        </is>
      </c>
      <c r="H1977" s="8" t="n">
        <v>9578099893</v>
      </c>
      <c r="I1977" s="10" t="inlineStr">
        <is>
          <t>PE04062601</t>
        </is>
      </c>
      <c r="J1977" s="28" t="inlineStr">
        <is>
          <t>Module burnt</t>
        </is>
      </c>
      <c r="K1977" s="8" t="inlineStr">
        <is>
          <t>Zura</t>
        </is>
      </c>
      <c r="L1977" s="39" t="inlineStr">
        <is>
          <t>Gujarat</t>
        </is>
      </c>
      <c r="M1977" s="2" t="inlineStr">
        <is>
          <t xml:space="preserve">damage </t>
        </is>
      </c>
      <c r="N1977" s="6" t="inlineStr">
        <is>
          <t>Module Breakage</t>
        </is>
      </c>
      <c r="O1977" s="32" t="n">
        <v>590</v>
      </c>
      <c r="P1977" s="2" t="inlineStr">
        <is>
          <t>NSMI24110834875</t>
        </is>
      </c>
      <c r="Q1977" s="29">
        <f>MID(P1977,5,2)</f>
        <v/>
      </c>
      <c r="R1977" s="14">
        <f>MID(P1977,7,2)</f>
        <v/>
      </c>
      <c r="S1977" s="6" t="inlineStr">
        <is>
          <t>G2G</t>
        </is>
      </c>
      <c r="T1977" s="1" t="inlineStr">
        <is>
          <t>P4 - PEIPL</t>
        </is>
      </c>
      <c r="U1977" s="2" t="inlineStr">
        <is>
          <t xml:space="preserve">physically damaged </t>
        </is>
      </c>
      <c r="V1977" s="1" t="inlineStr">
        <is>
          <t>Inspection</t>
        </is>
      </c>
      <c r="W1977" s="1" t="inlineStr">
        <is>
          <t>Rejected</t>
        </is>
      </c>
      <c r="X1977" s="5">
        <f>Z1977</f>
        <v/>
      </c>
      <c r="Y1977" s="1">
        <f>X1977-A1977</f>
        <v/>
      </c>
      <c r="Z1977" s="5" t="n">
        <v>46197</v>
      </c>
      <c r="AA1977" s="3" t="n"/>
      <c r="AB1977" s="3" t="n"/>
      <c r="AE1977" s="146">
        <f>IF(AND(F1977="Closed",X1977&gt;=DATE(2026,6,1),X1977&lt;=DATE(2026,6,30)),"Closed in June","other")</f>
        <v/>
      </c>
    </row>
    <row r="1978" hidden="1">
      <c r="A1978" s="49" t="n">
        <v>46177</v>
      </c>
      <c r="B1978" s="1" t="n">
        <v>2026</v>
      </c>
      <c r="C1978" s="8" t="inlineStr">
        <is>
          <t>Ayana</t>
        </is>
      </c>
      <c r="D1978" s="11" t="inlineStr">
        <is>
          <t>Utility and C&amp;I</t>
        </is>
      </c>
      <c r="E1978" s="1" t="n"/>
      <c r="F1978" s="1" t="inlineStr">
        <is>
          <t>Closed</t>
        </is>
      </c>
      <c r="G1978" s="11" t="inlineStr">
        <is>
          <t>Vasu.N</t>
        </is>
      </c>
      <c r="H1978" s="8" t="n">
        <v>9578099893</v>
      </c>
      <c r="I1978" s="10" t="inlineStr">
        <is>
          <t>PE04062601</t>
        </is>
      </c>
      <c r="J1978" s="28" t="inlineStr">
        <is>
          <t>Module burnt</t>
        </is>
      </c>
      <c r="K1978" s="8" t="inlineStr">
        <is>
          <t>Zura</t>
        </is>
      </c>
      <c r="L1978" s="39" t="inlineStr">
        <is>
          <t>Gujarat</t>
        </is>
      </c>
      <c r="M1978" s="2" t="inlineStr">
        <is>
          <t xml:space="preserve">damage </t>
        </is>
      </c>
      <c r="N1978" s="6" t="inlineStr">
        <is>
          <t>Module Breakage</t>
        </is>
      </c>
      <c r="O1978" s="32" t="n">
        <v>590</v>
      </c>
      <c r="P1978" s="2" t="inlineStr">
        <is>
          <t>NSMI24110832969</t>
        </is>
      </c>
      <c r="Q1978" s="29">
        <f>MID(P1978,5,2)</f>
        <v/>
      </c>
      <c r="R1978" s="14">
        <f>MID(P1978,7,2)</f>
        <v/>
      </c>
      <c r="S1978" s="6" t="inlineStr">
        <is>
          <t>G2G</t>
        </is>
      </c>
      <c r="T1978" s="1" t="inlineStr">
        <is>
          <t>P4 - PEIPL</t>
        </is>
      </c>
      <c r="U1978" s="2" t="inlineStr">
        <is>
          <t xml:space="preserve">physically damaged </t>
        </is>
      </c>
      <c r="V1978" s="1" t="inlineStr">
        <is>
          <t>Inspection</t>
        </is>
      </c>
      <c r="W1978" s="1" t="inlineStr">
        <is>
          <t>Rejected</t>
        </is>
      </c>
      <c r="X1978" s="5">
        <f>Z1978</f>
        <v/>
      </c>
      <c r="Y1978" s="1">
        <f>X1978-A1978</f>
        <v/>
      </c>
      <c r="Z1978" s="5" t="n">
        <v>46197</v>
      </c>
      <c r="AA1978" s="3" t="n"/>
      <c r="AB1978" s="3" t="n"/>
      <c r="AE1978" s="146">
        <f>IF(AND(F1978="Closed",X1978&gt;=DATE(2026,6,1),X1978&lt;=DATE(2026,6,30)),"Closed in June","other")</f>
        <v/>
      </c>
    </row>
    <row r="1979" hidden="1">
      <c r="A1979" s="49" t="n">
        <v>46177</v>
      </c>
      <c r="B1979" s="1" t="n">
        <v>2026</v>
      </c>
      <c r="C1979" s="8" t="inlineStr">
        <is>
          <t>Ayana</t>
        </is>
      </c>
      <c r="D1979" s="11" t="inlineStr">
        <is>
          <t>Utility and C&amp;I</t>
        </is>
      </c>
      <c r="E1979" s="1" t="n"/>
      <c r="F1979" s="1" t="inlineStr">
        <is>
          <t>Closed</t>
        </is>
      </c>
      <c r="G1979" s="11" t="inlineStr">
        <is>
          <t>Vasu.N</t>
        </is>
      </c>
      <c r="H1979" s="8" t="n">
        <v>9578099893</v>
      </c>
      <c r="I1979" s="10" t="inlineStr">
        <is>
          <t>PE04062601</t>
        </is>
      </c>
      <c r="J1979" s="28" t="inlineStr">
        <is>
          <t>Module burnt</t>
        </is>
      </c>
      <c r="K1979" s="8" t="inlineStr">
        <is>
          <t>Zura</t>
        </is>
      </c>
      <c r="L1979" s="39" t="inlineStr">
        <is>
          <t>Gujarat</t>
        </is>
      </c>
      <c r="M1979" s="2" t="inlineStr">
        <is>
          <t xml:space="preserve">damage </t>
        </is>
      </c>
      <c r="N1979" s="6" t="inlineStr">
        <is>
          <t>Module Breakage</t>
        </is>
      </c>
      <c r="O1979" s="32" t="n">
        <v>590</v>
      </c>
      <c r="P1979" s="2" t="inlineStr">
        <is>
          <t>NSMI24110832951</t>
        </is>
      </c>
      <c r="Q1979" s="29">
        <f>MID(P1979,5,2)</f>
        <v/>
      </c>
      <c r="R1979" s="14">
        <f>MID(P1979,7,2)</f>
        <v/>
      </c>
      <c r="S1979" s="6" t="inlineStr">
        <is>
          <t>G2G</t>
        </is>
      </c>
      <c r="T1979" s="1" t="inlineStr">
        <is>
          <t>P4 - PEIPL</t>
        </is>
      </c>
      <c r="U1979" s="2" t="inlineStr">
        <is>
          <t xml:space="preserve">physically damaged </t>
        </is>
      </c>
      <c r="V1979" s="1" t="inlineStr">
        <is>
          <t>Inspection</t>
        </is>
      </c>
      <c r="W1979" s="1" t="inlineStr">
        <is>
          <t>Rejected</t>
        </is>
      </c>
      <c r="X1979" s="5">
        <f>Z1979</f>
        <v/>
      </c>
      <c r="Y1979" s="1">
        <f>X1979-A1979</f>
        <v/>
      </c>
      <c r="Z1979" s="5" t="n">
        <v>46197</v>
      </c>
      <c r="AA1979" s="3" t="n"/>
      <c r="AB1979" s="3" t="n"/>
      <c r="AE1979" s="146">
        <f>IF(AND(F1979="Closed",X1979&gt;=DATE(2026,6,1),X1979&lt;=DATE(2026,6,30)),"Closed in June","other")</f>
        <v/>
      </c>
    </row>
    <row r="1980" hidden="1">
      <c r="A1980" s="49" t="n">
        <v>46177</v>
      </c>
      <c r="B1980" s="1" t="n">
        <v>2026</v>
      </c>
      <c r="C1980" s="8" t="inlineStr">
        <is>
          <t>Ayana</t>
        </is>
      </c>
      <c r="D1980" s="11" t="inlineStr">
        <is>
          <t>Utility and C&amp;I</t>
        </is>
      </c>
      <c r="E1980" s="1" t="n"/>
      <c r="F1980" s="1" t="inlineStr">
        <is>
          <t>Closed</t>
        </is>
      </c>
      <c r="G1980" s="11" t="inlineStr">
        <is>
          <t>Vasu.N</t>
        </is>
      </c>
      <c r="H1980" s="8" t="n">
        <v>9578099893</v>
      </c>
      <c r="I1980" s="10" t="inlineStr">
        <is>
          <t>PE04062601</t>
        </is>
      </c>
      <c r="J1980" s="28" t="inlineStr">
        <is>
          <t>Module burnt</t>
        </is>
      </c>
      <c r="K1980" s="8" t="inlineStr">
        <is>
          <t>Zura</t>
        </is>
      </c>
      <c r="L1980" s="39" t="inlineStr">
        <is>
          <t>Gujarat</t>
        </is>
      </c>
      <c r="M1980" s="2" t="inlineStr">
        <is>
          <t xml:space="preserve">damage </t>
        </is>
      </c>
      <c r="N1980" s="6" t="inlineStr">
        <is>
          <t>Module Breakage</t>
        </is>
      </c>
      <c r="O1980" s="32" t="n">
        <v>590</v>
      </c>
      <c r="P1980" s="2" t="inlineStr">
        <is>
          <t>NSMI24110812112</t>
        </is>
      </c>
      <c r="Q1980" s="29">
        <f>MID(P1980,5,2)</f>
        <v/>
      </c>
      <c r="R1980" s="14">
        <f>MID(P1980,7,2)</f>
        <v/>
      </c>
      <c r="S1980" s="6" t="inlineStr">
        <is>
          <t>G2G</t>
        </is>
      </c>
      <c r="T1980" s="1" t="inlineStr">
        <is>
          <t>P4 - PEIPL</t>
        </is>
      </c>
      <c r="U1980" s="2" t="inlineStr">
        <is>
          <t xml:space="preserve">physically damaged </t>
        </is>
      </c>
      <c r="V1980" s="1" t="inlineStr">
        <is>
          <t>Inspection</t>
        </is>
      </c>
      <c r="W1980" s="1" t="inlineStr">
        <is>
          <t>Rejected</t>
        </is>
      </c>
      <c r="X1980" s="5">
        <f>Z1980</f>
        <v/>
      </c>
      <c r="Y1980" s="1">
        <f>X1980-A1980</f>
        <v/>
      </c>
      <c r="Z1980" s="5" t="n">
        <v>46197</v>
      </c>
      <c r="AA1980" s="3" t="n"/>
      <c r="AB1980" s="3" t="n"/>
      <c r="AE1980" s="146">
        <f>IF(AND(F1980="Closed",X1980&gt;=DATE(2026,6,1),X1980&lt;=DATE(2026,6,30)),"Closed in June","other")</f>
        <v/>
      </c>
    </row>
    <row r="1981" hidden="1">
      <c r="A1981" s="49" t="n">
        <v>46177</v>
      </c>
      <c r="B1981" s="1" t="n">
        <v>2026</v>
      </c>
      <c r="C1981" s="8" t="inlineStr">
        <is>
          <t>Ayana</t>
        </is>
      </c>
      <c r="D1981" s="11" t="inlineStr">
        <is>
          <t>Utility and C&amp;I</t>
        </is>
      </c>
      <c r="E1981" s="1" t="n"/>
      <c r="F1981" s="1" t="inlineStr">
        <is>
          <t>Closed</t>
        </is>
      </c>
      <c r="G1981" s="11" t="inlineStr">
        <is>
          <t>Vasu.N</t>
        </is>
      </c>
      <c r="H1981" s="8" t="n">
        <v>9578099893</v>
      </c>
      <c r="I1981" s="10" t="inlineStr">
        <is>
          <t>PE04062601</t>
        </is>
      </c>
      <c r="J1981" s="28" t="inlineStr">
        <is>
          <t>Module burnt</t>
        </is>
      </c>
      <c r="K1981" s="8" t="inlineStr">
        <is>
          <t>Zura</t>
        </is>
      </c>
      <c r="L1981" s="39" t="inlineStr">
        <is>
          <t>Gujarat</t>
        </is>
      </c>
      <c r="M1981" s="2" t="inlineStr">
        <is>
          <t xml:space="preserve">damage </t>
        </is>
      </c>
      <c r="N1981" s="6" t="inlineStr">
        <is>
          <t>Module Breakage</t>
        </is>
      </c>
      <c r="O1981" s="32" t="n">
        <v>590</v>
      </c>
      <c r="P1981" s="2" t="inlineStr">
        <is>
          <t>NSMI24110798317</t>
        </is>
      </c>
      <c r="Q1981" s="29">
        <f>MID(P1981,5,2)</f>
        <v/>
      </c>
      <c r="R1981" s="14">
        <f>MID(P1981,7,2)</f>
        <v/>
      </c>
      <c r="S1981" s="6" t="inlineStr">
        <is>
          <t>G2G</t>
        </is>
      </c>
      <c r="T1981" s="1" t="inlineStr">
        <is>
          <t>P4 - PEIPL</t>
        </is>
      </c>
      <c r="U1981" s="2" t="inlineStr">
        <is>
          <t xml:space="preserve">physically damaged </t>
        </is>
      </c>
      <c r="V1981" s="1" t="inlineStr">
        <is>
          <t>Inspection</t>
        </is>
      </c>
      <c r="W1981" s="1" t="inlineStr">
        <is>
          <t>Rejected</t>
        </is>
      </c>
      <c r="X1981" s="5">
        <f>Z1981</f>
        <v/>
      </c>
      <c r="Y1981" s="1">
        <f>X1981-A1981</f>
        <v/>
      </c>
      <c r="Z1981" s="5" t="n">
        <v>46197</v>
      </c>
      <c r="AA1981" s="3" t="n"/>
      <c r="AB1981" s="3" t="n"/>
      <c r="AE1981" s="146">
        <f>IF(AND(F1981="Closed",X1981&gt;=DATE(2026,6,1),X1981&lt;=DATE(2026,6,30)),"Closed in June","other")</f>
        <v/>
      </c>
    </row>
    <row r="1982" hidden="1">
      <c r="A1982" s="49" t="n">
        <v>46177</v>
      </c>
      <c r="B1982" s="1" t="n">
        <v>2026</v>
      </c>
      <c r="C1982" s="8" t="inlineStr">
        <is>
          <t>Ayana</t>
        </is>
      </c>
      <c r="D1982" s="11" t="inlineStr">
        <is>
          <t>Utility and C&amp;I</t>
        </is>
      </c>
      <c r="E1982" s="1" t="n"/>
      <c r="F1982" s="1" t="inlineStr">
        <is>
          <t>Closed</t>
        </is>
      </c>
      <c r="G1982" s="11" t="inlineStr">
        <is>
          <t>Vasu.N</t>
        </is>
      </c>
      <c r="H1982" s="8" t="n">
        <v>9578099893</v>
      </c>
      <c r="I1982" s="10" t="inlineStr">
        <is>
          <t>PE04062601</t>
        </is>
      </c>
      <c r="J1982" s="28" t="inlineStr">
        <is>
          <t>Module burnt</t>
        </is>
      </c>
      <c r="K1982" s="8" t="inlineStr">
        <is>
          <t>Zura</t>
        </is>
      </c>
      <c r="L1982" s="39" t="inlineStr">
        <is>
          <t>Gujarat</t>
        </is>
      </c>
      <c r="M1982" s="2" t="inlineStr">
        <is>
          <t xml:space="preserve">damage </t>
        </is>
      </c>
      <c r="N1982" s="6" t="inlineStr">
        <is>
          <t>Module Breakage</t>
        </is>
      </c>
      <c r="O1982" s="32" t="n">
        <v>590</v>
      </c>
      <c r="P1982" s="2" t="inlineStr">
        <is>
          <t>NSMI24100642469</t>
        </is>
      </c>
      <c r="Q1982" s="29">
        <f>MID(P1982,5,2)</f>
        <v/>
      </c>
      <c r="R1982" s="14">
        <f>MID(P1982,7,2)</f>
        <v/>
      </c>
      <c r="S1982" s="6" t="inlineStr">
        <is>
          <t>G2G</t>
        </is>
      </c>
      <c r="T1982" s="1" t="inlineStr">
        <is>
          <t>P4 - PEIPL</t>
        </is>
      </c>
      <c r="U1982" s="2" t="inlineStr">
        <is>
          <t xml:space="preserve">physically damaged </t>
        </is>
      </c>
      <c r="V1982" s="1" t="inlineStr">
        <is>
          <t>Inspection</t>
        </is>
      </c>
      <c r="W1982" s="1" t="inlineStr">
        <is>
          <t>Rejected</t>
        </is>
      </c>
      <c r="X1982" s="5">
        <f>Z1982</f>
        <v/>
      </c>
      <c r="Y1982" s="1">
        <f>X1982-A1982</f>
        <v/>
      </c>
      <c r="Z1982" s="5" t="n">
        <v>46197</v>
      </c>
      <c r="AA1982" s="3" t="n"/>
      <c r="AB1982" s="3" t="n"/>
      <c r="AE1982" s="146">
        <f>IF(AND(F1982="Closed",X1982&gt;=DATE(2026,6,1),X1982&lt;=DATE(2026,6,30)),"Closed in June","other")</f>
        <v/>
      </c>
    </row>
    <row r="1983" hidden="1">
      <c r="A1983" s="49" t="n">
        <v>46177</v>
      </c>
      <c r="B1983" s="1" t="n">
        <v>2026</v>
      </c>
      <c r="C1983" s="8" t="inlineStr">
        <is>
          <t>Ayana</t>
        </is>
      </c>
      <c r="D1983" s="11" t="inlineStr">
        <is>
          <t>Utility and C&amp;I</t>
        </is>
      </c>
      <c r="E1983" s="1" t="n"/>
      <c r="F1983" s="1" t="inlineStr">
        <is>
          <t>WIP</t>
        </is>
      </c>
      <c r="G1983" s="11" t="inlineStr">
        <is>
          <t>Vasu.N</t>
        </is>
      </c>
      <c r="H1983" s="8" t="n">
        <v>9578099893</v>
      </c>
      <c r="I1983" s="10" t="inlineStr">
        <is>
          <t>PE04062601</t>
        </is>
      </c>
      <c r="J1983" s="28" t="inlineStr">
        <is>
          <t>Module burnt</t>
        </is>
      </c>
      <c r="K1983" s="8" t="inlineStr">
        <is>
          <t>Zura</t>
        </is>
      </c>
      <c r="L1983" s="39" t="inlineStr">
        <is>
          <t>Gujarat</t>
        </is>
      </c>
      <c r="M1983" s="2" t="inlineStr">
        <is>
          <t xml:space="preserve">damage </t>
        </is>
      </c>
      <c r="N1983" s="6" t="inlineStr">
        <is>
          <t>Module Breakage</t>
        </is>
      </c>
      <c r="O1983" s="32" t="n">
        <v>590</v>
      </c>
      <c r="P1983" s="2" t="inlineStr">
        <is>
          <t>NSMI24100682187</t>
        </is>
      </c>
      <c r="Q1983" s="29">
        <f>MID(P1983,5,2)</f>
        <v/>
      </c>
      <c r="R1983" s="14">
        <f>MID(P1983,7,2)</f>
        <v/>
      </c>
      <c r="S1983" s="6" t="inlineStr">
        <is>
          <t>G2G</t>
        </is>
      </c>
      <c r="T1983" s="1" t="inlineStr">
        <is>
          <t>P4 - PEIPL</t>
        </is>
      </c>
      <c r="U1983" s="2" t="inlineStr">
        <is>
          <t>Frame Damaged</t>
        </is>
      </c>
      <c r="V1983" s="1" t="inlineStr">
        <is>
          <t>Inspection</t>
        </is>
      </c>
      <c r="W1983" s="1" t="inlineStr">
        <is>
          <t>WIP</t>
        </is>
      </c>
      <c r="X1983" s="12" t="n"/>
      <c r="Y1983" s="1">
        <f>IF(X1983="","",X1983-A1983)</f>
        <v/>
      </c>
      <c r="Z1983" s="5" t="n">
        <v>46197</v>
      </c>
      <c r="AA1983" s="3" t="n"/>
      <c r="AB1983" s="3" t="n"/>
      <c r="AE1983" s="146">
        <f>IF(AND(F1983="Closed",X1983&gt;=DATE(2026,6,1),X1983&lt;=DATE(2026,6,30)),"Closed in June","other")</f>
        <v/>
      </c>
    </row>
    <row r="1984" hidden="1">
      <c r="A1984" s="49" t="n">
        <v>46177</v>
      </c>
      <c r="B1984" s="1" t="n">
        <v>2026</v>
      </c>
      <c r="C1984" s="8" t="inlineStr">
        <is>
          <t>Ayana</t>
        </is>
      </c>
      <c r="D1984" s="11" t="inlineStr">
        <is>
          <t>Utility and C&amp;I</t>
        </is>
      </c>
      <c r="E1984" s="1" t="n"/>
      <c r="F1984" s="1" t="inlineStr">
        <is>
          <t>Closed</t>
        </is>
      </c>
      <c r="G1984" s="11" t="inlineStr">
        <is>
          <t>Vasu.N</t>
        </is>
      </c>
      <c r="H1984" s="8" t="n">
        <v>9578099893</v>
      </c>
      <c r="I1984" s="10" t="inlineStr">
        <is>
          <t>PE04062601</t>
        </is>
      </c>
      <c r="J1984" s="28" t="inlineStr">
        <is>
          <t>Module burnt</t>
        </is>
      </c>
      <c r="K1984" s="8" t="inlineStr">
        <is>
          <t>Zura</t>
        </is>
      </c>
      <c r="L1984" s="39" t="inlineStr">
        <is>
          <t>Gujarat</t>
        </is>
      </c>
      <c r="M1984" s="2" t="inlineStr">
        <is>
          <t xml:space="preserve">damage </t>
        </is>
      </c>
      <c r="N1984" s="6" t="inlineStr">
        <is>
          <t>Module Breakage</t>
        </is>
      </c>
      <c r="O1984" s="32" t="n">
        <v>590</v>
      </c>
      <c r="P1984" s="2" t="inlineStr">
        <is>
          <t>NSMI24100660115</t>
        </is>
      </c>
      <c r="Q1984" s="29">
        <f>MID(P1984,5,2)</f>
        <v/>
      </c>
      <c r="R1984" s="14">
        <f>MID(P1984,7,2)</f>
        <v/>
      </c>
      <c r="S1984" s="6" t="inlineStr">
        <is>
          <t>G2G</t>
        </is>
      </c>
      <c r="T1984" s="1" t="inlineStr">
        <is>
          <t>P4 - PEIPL</t>
        </is>
      </c>
      <c r="U1984" s="2" t="inlineStr">
        <is>
          <t xml:space="preserve">physically damaged </t>
        </is>
      </c>
      <c r="V1984" s="1" t="inlineStr">
        <is>
          <t>Inspection</t>
        </is>
      </c>
      <c r="W1984" s="1" t="inlineStr">
        <is>
          <t>Rejected</t>
        </is>
      </c>
      <c r="X1984" s="5">
        <f>Z1984</f>
        <v/>
      </c>
      <c r="Y1984" s="1">
        <f>X1984-A1984</f>
        <v/>
      </c>
      <c r="Z1984" s="5" t="n">
        <v>46197</v>
      </c>
      <c r="AA1984" s="3" t="n"/>
      <c r="AB1984" s="3" t="n"/>
      <c r="AE1984" s="146">
        <f>IF(AND(F1984="Closed",X1984&gt;=DATE(2026,6,1),X1984&lt;=DATE(2026,6,30)),"Closed in June","other")</f>
        <v/>
      </c>
    </row>
    <row r="1985" hidden="1">
      <c r="A1985" s="49" t="n">
        <v>46177</v>
      </c>
      <c r="B1985" s="1" t="n">
        <v>2026</v>
      </c>
      <c r="C1985" s="8" t="inlineStr">
        <is>
          <t>Ayana</t>
        </is>
      </c>
      <c r="D1985" s="11" t="inlineStr">
        <is>
          <t>Utility and C&amp;I</t>
        </is>
      </c>
      <c r="E1985" s="1" t="n"/>
      <c r="F1985" s="1" t="inlineStr">
        <is>
          <t>Closed</t>
        </is>
      </c>
      <c r="G1985" s="11" t="inlineStr">
        <is>
          <t>Vasu.N</t>
        </is>
      </c>
      <c r="H1985" s="8" t="n">
        <v>9578099893</v>
      </c>
      <c r="I1985" s="10" t="inlineStr">
        <is>
          <t>PE04062601</t>
        </is>
      </c>
      <c r="J1985" s="28" t="inlineStr">
        <is>
          <t>Module burnt</t>
        </is>
      </c>
      <c r="K1985" s="8" t="inlineStr">
        <is>
          <t>Zura</t>
        </is>
      </c>
      <c r="L1985" s="39" t="inlineStr">
        <is>
          <t>Gujarat</t>
        </is>
      </c>
      <c r="M1985" s="2" t="inlineStr">
        <is>
          <t xml:space="preserve">damage </t>
        </is>
      </c>
      <c r="N1985" s="6" t="inlineStr">
        <is>
          <t>Module Breakage</t>
        </is>
      </c>
      <c r="O1985" s="32" t="n">
        <v>590</v>
      </c>
      <c r="P1985" s="2" t="inlineStr">
        <is>
          <t>NSMI24110793839</t>
        </is>
      </c>
      <c r="Q1985" s="29">
        <f>MID(P1985,5,2)</f>
        <v/>
      </c>
      <c r="R1985" s="14">
        <f>MID(P1985,7,2)</f>
        <v/>
      </c>
      <c r="S1985" s="6" t="inlineStr">
        <is>
          <t>G2G</t>
        </is>
      </c>
      <c r="T1985" s="1" t="inlineStr">
        <is>
          <t>P4 - PEIPL</t>
        </is>
      </c>
      <c r="U1985" s="2" t="inlineStr">
        <is>
          <t xml:space="preserve">physically damaged </t>
        </is>
      </c>
      <c r="V1985" s="1" t="inlineStr">
        <is>
          <t>Inspection</t>
        </is>
      </c>
      <c r="W1985" s="1" t="inlineStr">
        <is>
          <t>Rejected</t>
        </is>
      </c>
      <c r="X1985" s="5">
        <f>Z1985</f>
        <v/>
      </c>
      <c r="Y1985" s="1">
        <f>X1985-A1985</f>
        <v/>
      </c>
      <c r="Z1985" s="5" t="n">
        <v>46197</v>
      </c>
      <c r="AA1985" s="3" t="n"/>
      <c r="AB1985" s="3" t="n"/>
      <c r="AE1985" s="146">
        <f>IF(AND(F1985="Closed",X1985&gt;=DATE(2026,6,1),X1985&lt;=DATE(2026,6,30)),"Closed in June","other")</f>
        <v/>
      </c>
    </row>
    <row r="1986" hidden="1">
      <c r="A1986" s="49" t="n">
        <v>46177</v>
      </c>
      <c r="B1986" s="1" t="n">
        <v>2026</v>
      </c>
      <c r="C1986" s="8" t="inlineStr">
        <is>
          <t>Ayana</t>
        </is>
      </c>
      <c r="D1986" s="11" t="inlineStr">
        <is>
          <t>Utility and C&amp;I</t>
        </is>
      </c>
      <c r="E1986" s="1" t="n"/>
      <c r="F1986" s="1" t="inlineStr">
        <is>
          <t>WIP</t>
        </is>
      </c>
      <c r="G1986" s="11" t="inlineStr">
        <is>
          <t>Vasu.N</t>
        </is>
      </c>
      <c r="H1986" s="8" t="n">
        <v>9578099893</v>
      </c>
      <c r="I1986" s="10" t="inlineStr">
        <is>
          <t>PE04062601</t>
        </is>
      </c>
      <c r="J1986" s="28" t="inlineStr">
        <is>
          <t>Module burnt</t>
        </is>
      </c>
      <c r="K1986" s="8" t="inlineStr">
        <is>
          <t>Zura</t>
        </is>
      </c>
      <c r="L1986" s="39" t="inlineStr">
        <is>
          <t>Gujarat</t>
        </is>
      </c>
      <c r="M1986" s="2" t="inlineStr">
        <is>
          <t xml:space="preserve">damage </t>
        </is>
      </c>
      <c r="N1986" s="6" t="inlineStr">
        <is>
          <t>Module Breakage</t>
        </is>
      </c>
      <c r="O1986" s="32" t="n">
        <v>590</v>
      </c>
      <c r="P1986" s="2" t="inlineStr">
        <is>
          <t>NSMI24100628845</t>
        </is>
      </c>
      <c r="Q1986" s="29">
        <f>MID(P1986,5,2)</f>
        <v/>
      </c>
      <c r="R1986" s="14">
        <f>MID(P1986,7,2)</f>
        <v/>
      </c>
      <c r="S1986" s="6" t="inlineStr">
        <is>
          <t>G2G</t>
        </is>
      </c>
      <c r="T1986" s="1" t="inlineStr">
        <is>
          <t>P4 - PEIPL</t>
        </is>
      </c>
      <c r="U1986" s="2" t="inlineStr">
        <is>
          <t xml:space="preserve">JB wire damege </t>
        </is>
      </c>
      <c r="V1986" s="1" t="inlineStr">
        <is>
          <t>Inspection</t>
        </is>
      </c>
      <c r="W1986" s="1" t="inlineStr">
        <is>
          <t>WIP</t>
        </is>
      </c>
      <c r="X1986" s="12" t="n"/>
      <c r="Y1986" s="1">
        <f>IF(X1986="","",X1986-A1986)</f>
        <v/>
      </c>
      <c r="Z1986" s="5" t="n">
        <v>46197</v>
      </c>
      <c r="AA1986" s="3" t="n"/>
      <c r="AB1986" s="3" t="n"/>
      <c r="AE1986" s="146">
        <f>IF(AND(F1986="Closed",X1986&gt;=DATE(2026,6,1),X1986&lt;=DATE(2026,6,30)),"Closed in June","other")</f>
        <v/>
      </c>
    </row>
    <row r="1987" hidden="1">
      <c r="A1987" s="49" t="n">
        <v>46177</v>
      </c>
      <c r="B1987" s="1" t="n">
        <v>2026</v>
      </c>
      <c r="C1987" s="8" t="inlineStr">
        <is>
          <t>Ayana</t>
        </is>
      </c>
      <c r="D1987" s="11" t="inlineStr">
        <is>
          <t>Utility and C&amp;I</t>
        </is>
      </c>
      <c r="E1987" s="1" t="n"/>
      <c r="F1987" s="1" t="inlineStr">
        <is>
          <t>Closed</t>
        </is>
      </c>
      <c r="G1987" s="11" t="inlineStr">
        <is>
          <t>Vasu.N</t>
        </is>
      </c>
      <c r="H1987" s="8" t="n">
        <v>9578099893</v>
      </c>
      <c r="I1987" s="10" t="inlineStr">
        <is>
          <t>PE04062601</t>
        </is>
      </c>
      <c r="J1987" s="28" t="inlineStr">
        <is>
          <t>Module burnt</t>
        </is>
      </c>
      <c r="K1987" s="8" t="inlineStr">
        <is>
          <t>Zura</t>
        </is>
      </c>
      <c r="L1987" s="39" t="inlineStr">
        <is>
          <t>Gujarat</t>
        </is>
      </c>
      <c r="M1987" s="2" t="inlineStr">
        <is>
          <t xml:space="preserve">damage </t>
        </is>
      </c>
      <c r="N1987" s="6" t="inlineStr">
        <is>
          <t>Module Breakage</t>
        </is>
      </c>
      <c r="O1987" s="32" t="n">
        <v>590</v>
      </c>
      <c r="P1987" s="2" t="inlineStr">
        <is>
          <t>NSMI24100637877</t>
        </is>
      </c>
      <c r="Q1987" s="29">
        <f>MID(P1987,5,2)</f>
        <v/>
      </c>
      <c r="R1987" s="14">
        <f>MID(P1987,7,2)</f>
        <v/>
      </c>
      <c r="S1987" s="6" t="inlineStr">
        <is>
          <t>G2G</t>
        </is>
      </c>
      <c r="T1987" s="1" t="inlineStr">
        <is>
          <t>P4 - PEIPL</t>
        </is>
      </c>
      <c r="U1987" s="2" t="inlineStr">
        <is>
          <t xml:space="preserve">physically damaged </t>
        </is>
      </c>
      <c r="V1987" s="1" t="inlineStr">
        <is>
          <t>Inspection</t>
        </is>
      </c>
      <c r="W1987" s="1" t="inlineStr">
        <is>
          <t>Rejected</t>
        </is>
      </c>
      <c r="X1987" s="5">
        <f>Z1987</f>
        <v/>
      </c>
      <c r="Y1987" s="1">
        <f>X1987-A1987</f>
        <v/>
      </c>
      <c r="Z1987" s="5" t="n">
        <v>46197</v>
      </c>
      <c r="AA1987" s="3" t="n"/>
      <c r="AB1987" s="3" t="n"/>
      <c r="AE1987" s="146">
        <f>IF(AND(F1987="Closed",X1987&gt;=DATE(2026,6,1),X1987&lt;=DATE(2026,6,30)),"Closed in June","other")</f>
        <v/>
      </c>
    </row>
    <row r="1988" hidden="1">
      <c r="A1988" s="49" t="n">
        <v>46177</v>
      </c>
      <c r="B1988" s="1" t="n">
        <v>2026</v>
      </c>
      <c r="C1988" s="8" t="inlineStr">
        <is>
          <t>Ayana</t>
        </is>
      </c>
      <c r="D1988" s="11" t="inlineStr">
        <is>
          <t>Utility and C&amp;I</t>
        </is>
      </c>
      <c r="E1988" s="1" t="n"/>
      <c r="F1988" s="1" t="inlineStr">
        <is>
          <t>Closed</t>
        </is>
      </c>
      <c r="G1988" s="11" t="inlineStr">
        <is>
          <t>Vasu.N</t>
        </is>
      </c>
      <c r="H1988" s="8" t="n">
        <v>9578099893</v>
      </c>
      <c r="I1988" s="10" t="inlineStr">
        <is>
          <t>PE04062601</t>
        </is>
      </c>
      <c r="J1988" s="28" t="inlineStr">
        <is>
          <t>Module burnt</t>
        </is>
      </c>
      <c r="K1988" s="8" t="inlineStr">
        <is>
          <t>Zura</t>
        </is>
      </c>
      <c r="L1988" s="39" t="inlineStr">
        <is>
          <t>Gujarat</t>
        </is>
      </c>
      <c r="M1988" s="2" t="inlineStr">
        <is>
          <t xml:space="preserve">damage </t>
        </is>
      </c>
      <c r="N1988" s="6" t="inlineStr">
        <is>
          <t>Module Breakage</t>
        </is>
      </c>
      <c r="O1988" s="32" t="n">
        <v>590</v>
      </c>
      <c r="P1988" s="2" t="inlineStr">
        <is>
          <t>NSMI24100596491</t>
        </is>
      </c>
      <c r="Q1988" s="29">
        <f>MID(P1988,5,2)</f>
        <v/>
      </c>
      <c r="R1988" s="14">
        <f>MID(P1988,7,2)</f>
        <v/>
      </c>
      <c r="S1988" s="6" t="inlineStr">
        <is>
          <t>G2G</t>
        </is>
      </c>
      <c r="T1988" s="1" t="inlineStr">
        <is>
          <t>P4 - PEIPL</t>
        </is>
      </c>
      <c r="U1988" s="2" t="inlineStr">
        <is>
          <t xml:space="preserve">physically damaged </t>
        </is>
      </c>
      <c r="V1988" s="1" t="inlineStr">
        <is>
          <t>Inspection</t>
        </is>
      </c>
      <c r="W1988" s="1" t="inlineStr">
        <is>
          <t>Rejected</t>
        </is>
      </c>
      <c r="X1988" s="5">
        <f>Z1988</f>
        <v/>
      </c>
      <c r="Y1988" s="1">
        <f>X1988-A1988</f>
        <v/>
      </c>
      <c r="Z1988" s="5" t="n">
        <v>46197</v>
      </c>
      <c r="AA1988" s="3" t="n"/>
      <c r="AB1988" s="3" t="n"/>
      <c r="AE1988" s="146">
        <f>IF(AND(F1988="Closed",X1988&gt;=DATE(2026,6,1),X1988&lt;=DATE(2026,6,30)),"Closed in June","other")</f>
        <v/>
      </c>
    </row>
    <row r="1989" hidden="1">
      <c r="A1989" s="49" t="n">
        <v>46177</v>
      </c>
      <c r="B1989" s="1" t="n">
        <v>2026</v>
      </c>
      <c r="C1989" s="8" t="inlineStr">
        <is>
          <t>Ayana</t>
        </is>
      </c>
      <c r="D1989" s="11" t="inlineStr">
        <is>
          <t>Utility and C&amp;I</t>
        </is>
      </c>
      <c r="E1989" s="1" t="n"/>
      <c r="F1989" s="1" t="inlineStr">
        <is>
          <t>Closed</t>
        </is>
      </c>
      <c r="G1989" s="11" t="inlineStr">
        <is>
          <t>Vasu.N</t>
        </is>
      </c>
      <c r="H1989" s="8" t="n">
        <v>9578099893</v>
      </c>
      <c r="I1989" s="10" t="inlineStr">
        <is>
          <t>PE04062601</t>
        </is>
      </c>
      <c r="J1989" s="28" t="inlineStr">
        <is>
          <t>Module burnt</t>
        </is>
      </c>
      <c r="K1989" s="8" t="inlineStr">
        <is>
          <t>Zura</t>
        </is>
      </c>
      <c r="L1989" s="39" t="inlineStr">
        <is>
          <t>Gujarat</t>
        </is>
      </c>
      <c r="M1989" s="2" t="inlineStr">
        <is>
          <t xml:space="preserve">damage </t>
        </is>
      </c>
      <c r="N1989" s="6" t="inlineStr">
        <is>
          <t>Module Breakage</t>
        </is>
      </c>
      <c r="O1989" s="32" t="n">
        <v>590</v>
      </c>
      <c r="P1989" s="2" t="inlineStr">
        <is>
          <t>NSMI24100615129</t>
        </is>
      </c>
      <c r="Q1989" s="29">
        <f>MID(P1989,5,2)</f>
        <v/>
      </c>
      <c r="R1989" s="14">
        <f>MID(P1989,7,2)</f>
        <v/>
      </c>
      <c r="S1989" s="6" t="inlineStr">
        <is>
          <t>G2G</t>
        </is>
      </c>
      <c r="T1989" s="1" t="inlineStr">
        <is>
          <t>P4 - PEIPL</t>
        </is>
      </c>
      <c r="U1989" s="2" t="inlineStr">
        <is>
          <t xml:space="preserve">physically damaged </t>
        </is>
      </c>
      <c r="V1989" s="1" t="inlineStr">
        <is>
          <t>Inspection</t>
        </is>
      </c>
      <c r="W1989" s="1" t="inlineStr">
        <is>
          <t>Rejected</t>
        </is>
      </c>
      <c r="X1989" s="5">
        <f>Z1989</f>
        <v/>
      </c>
      <c r="Y1989" s="1">
        <f>X1989-A1989</f>
        <v/>
      </c>
      <c r="Z1989" s="5" t="n">
        <v>46197</v>
      </c>
      <c r="AA1989" s="3" t="n"/>
      <c r="AB1989" s="3" t="n"/>
      <c r="AE1989" s="146">
        <f>IF(AND(F1989="Closed",X1989&gt;=DATE(2026,6,1),X1989&lt;=DATE(2026,6,30)),"Closed in June","other")</f>
        <v/>
      </c>
    </row>
    <row r="1990" hidden="1">
      <c r="A1990" s="49" t="n">
        <v>46177</v>
      </c>
      <c r="B1990" s="1" t="n">
        <v>2026</v>
      </c>
      <c r="C1990" s="8" t="inlineStr">
        <is>
          <t>Ayana</t>
        </is>
      </c>
      <c r="D1990" s="11" t="inlineStr">
        <is>
          <t>Utility and C&amp;I</t>
        </is>
      </c>
      <c r="E1990" s="1" t="n"/>
      <c r="F1990" s="1" t="inlineStr">
        <is>
          <t>Closed</t>
        </is>
      </c>
      <c r="G1990" s="11" t="inlineStr">
        <is>
          <t>Vasu.N</t>
        </is>
      </c>
      <c r="H1990" s="8" t="n">
        <v>9578099893</v>
      </c>
      <c r="I1990" s="10" t="inlineStr">
        <is>
          <t>PE04062601</t>
        </is>
      </c>
      <c r="J1990" s="28" t="inlineStr">
        <is>
          <t>Module burnt</t>
        </is>
      </c>
      <c r="K1990" s="8" t="inlineStr">
        <is>
          <t>Zura</t>
        </is>
      </c>
      <c r="L1990" s="39" t="inlineStr">
        <is>
          <t>Gujarat</t>
        </is>
      </c>
      <c r="M1990" s="2" t="inlineStr">
        <is>
          <t xml:space="preserve">damage </t>
        </is>
      </c>
      <c r="N1990" s="6" t="inlineStr">
        <is>
          <t>Module Breakage</t>
        </is>
      </c>
      <c r="O1990" s="32" t="n">
        <v>590</v>
      </c>
      <c r="P1990" s="2" t="inlineStr">
        <is>
          <t>NSMI24100550916</t>
        </is>
      </c>
      <c r="Q1990" s="29">
        <f>MID(P1990,5,2)</f>
        <v/>
      </c>
      <c r="R1990" s="14">
        <f>MID(P1990,7,2)</f>
        <v/>
      </c>
      <c r="S1990" s="6" t="inlineStr">
        <is>
          <t>G2G</t>
        </is>
      </c>
      <c r="T1990" s="1" t="inlineStr">
        <is>
          <t>P4 - PEIPL</t>
        </is>
      </c>
      <c r="U1990" s="2" t="inlineStr">
        <is>
          <t xml:space="preserve">physically damaged </t>
        </is>
      </c>
      <c r="V1990" s="1" t="inlineStr">
        <is>
          <t>Inspection</t>
        </is>
      </c>
      <c r="W1990" s="1" t="inlineStr">
        <is>
          <t>Rejected</t>
        </is>
      </c>
      <c r="X1990" s="5">
        <f>Z1990</f>
        <v/>
      </c>
      <c r="Y1990" s="1">
        <f>X1990-A1990</f>
        <v/>
      </c>
      <c r="Z1990" s="5" t="n">
        <v>46197</v>
      </c>
      <c r="AA1990" s="3" t="n"/>
      <c r="AB1990" s="3" t="n"/>
      <c r="AE1990" s="146">
        <f>IF(AND(F1990="Closed",X1990&gt;=DATE(2026,6,1),X1990&lt;=DATE(2026,6,30)),"Closed in June","other")</f>
        <v/>
      </c>
    </row>
    <row r="1991" hidden="1">
      <c r="A1991" s="49" t="n">
        <v>46177</v>
      </c>
      <c r="B1991" s="1" t="n">
        <v>2026</v>
      </c>
      <c r="C1991" s="8" t="inlineStr">
        <is>
          <t>Ayana</t>
        </is>
      </c>
      <c r="D1991" s="11" t="inlineStr">
        <is>
          <t>Utility and C&amp;I</t>
        </is>
      </c>
      <c r="E1991" s="1" t="n"/>
      <c r="F1991" s="1" t="inlineStr">
        <is>
          <t>WIP</t>
        </is>
      </c>
      <c r="G1991" s="11" t="inlineStr">
        <is>
          <t>Vasu.N</t>
        </is>
      </c>
      <c r="H1991" s="8" t="n">
        <v>9578099893</v>
      </c>
      <c r="I1991" s="10" t="inlineStr">
        <is>
          <t>PE04062601</t>
        </is>
      </c>
      <c r="J1991" s="28" t="inlineStr">
        <is>
          <t>Module burnt</t>
        </is>
      </c>
      <c r="K1991" s="8" t="inlineStr">
        <is>
          <t>Zura</t>
        </is>
      </c>
      <c r="L1991" s="39" t="inlineStr">
        <is>
          <t>Gujarat</t>
        </is>
      </c>
      <c r="M1991" s="2" t="inlineStr">
        <is>
          <t xml:space="preserve">damage </t>
        </is>
      </c>
      <c r="N1991" s="6" t="inlineStr">
        <is>
          <t>Module Breakage</t>
        </is>
      </c>
      <c r="O1991" s="32" t="n">
        <v>590</v>
      </c>
      <c r="P1991" s="2" t="inlineStr">
        <is>
          <t>NSMI24090538469</t>
        </is>
      </c>
      <c r="Q1991" s="29">
        <f>MID(P1991,5,2)</f>
        <v/>
      </c>
      <c r="R1991" s="14">
        <f>MID(P1991,7,2)</f>
        <v/>
      </c>
      <c r="S1991" s="6" t="inlineStr">
        <is>
          <t>G2G</t>
        </is>
      </c>
      <c r="T1991" s="1" t="inlineStr">
        <is>
          <t>P4 - PEIPL</t>
        </is>
      </c>
      <c r="U1991" s="2" t="inlineStr">
        <is>
          <t xml:space="preserve">JB wire damege </t>
        </is>
      </c>
      <c r="V1991" s="1" t="inlineStr">
        <is>
          <t>Inspection</t>
        </is>
      </c>
      <c r="W1991" s="1" t="inlineStr">
        <is>
          <t>WIP</t>
        </is>
      </c>
      <c r="X1991" s="12" t="n"/>
      <c r="Y1991" s="1">
        <f>IF(X1991="","",X1991-A1991)</f>
        <v/>
      </c>
      <c r="Z1991" s="5" t="n">
        <v>46197</v>
      </c>
      <c r="AA1991" s="3" t="n"/>
      <c r="AB1991" s="3" t="n"/>
      <c r="AE1991" s="146">
        <f>IF(AND(F1991="Closed",X1991&gt;=DATE(2026,6,1),X1991&lt;=DATE(2026,6,30)),"Closed in June","other")</f>
        <v/>
      </c>
    </row>
    <row r="1992" hidden="1">
      <c r="A1992" s="49" t="n">
        <v>46177</v>
      </c>
      <c r="B1992" s="1" t="n">
        <v>2026</v>
      </c>
      <c r="C1992" s="8" t="inlineStr">
        <is>
          <t>Ayana</t>
        </is>
      </c>
      <c r="D1992" s="11" t="inlineStr">
        <is>
          <t>Utility and C&amp;I</t>
        </is>
      </c>
      <c r="E1992" s="1" t="n"/>
      <c r="F1992" s="1" t="inlineStr">
        <is>
          <t>Closed</t>
        </is>
      </c>
      <c r="G1992" s="11" t="inlineStr">
        <is>
          <t>Vasu.N</t>
        </is>
      </c>
      <c r="H1992" s="8" t="n">
        <v>9578099893</v>
      </c>
      <c r="I1992" s="10" t="inlineStr">
        <is>
          <t>PE04062601</t>
        </is>
      </c>
      <c r="J1992" s="28" t="inlineStr">
        <is>
          <t>Module burnt</t>
        </is>
      </c>
      <c r="K1992" s="8" t="inlineStr">
        <is>
          <t>Zura</t>
        </is>
      </c>
      <c r="L1992" s="39" t="inlineStr">
        <is>
          <t>Gujarat</t>
        </is>
      </c>
      <c r="M1992" s="2" t="inlineStr">
        <is>
          <t xml:space="preserve">damage </t>
        </is>
      </c>
      <c r="N1992" s="6" t="inlineStr">
        <is>
          <t>Module Breakage</t>
        </is>
      </c>
      <c r="O1992" s="32" t="n">
        <v>590</v>
      </c>
      <c r="P1992" s="2" t="inlineStr">
        <is>
          <t>NSMI24100634068</t>
        </is>
      </c>
      <c r="Q1992" s="29">
        <f>MID(P1992,5,2)</f>
        <v/>
      </c>
      <c r="R1992" s="14">
        <f>MID(P1992,7,2)</f>
        <v/>
      </c>
      <c r="S1992" s="6" t="inlineStr">
        <is>
          <t>G2G</t>
        </is>
      </c>
      <c r="T1992" s="1" t="inlineStr">
        <is>
          <t>P4 - PEIPL</t>
        </is>
      </c>
      <c r="U1992" s="2" t="inlineStr">
        <is>
          <t xml:space="preserve">physically damaged </t>
        </is>
      </c>
      <c r="V1992" s="1" t="inlineStr">
        <is>
          <t>Inspection</t>
        </is>
      </c>
      <c r="W1992" s="1" t="inlineStr">
        <is>
          <t>Rejected</t>
        </is>
      </c>
      <c r="X1992" s="5">
        <f>Z1992</f>
        <v/>
      </c>
      <c r="Y1992" s="1">
        <f>X1992-A1992</f>
        <v/>
      </c>
      <c r="Z1992" s="5" t="n">
        <v>46197</v>
      </c>
      <c r="AA1992" s="3" t="n"/>
      <c r="AB1992" s="3" t="n"/>
      <c r="AE1992" s="146">
        <f>IF(AND(F1992="Closed",X1992&gt;=DATE(2026,6,1),X1992&lt;=DATE(2026,6,30)),"Closed in June","other")</f>
        <v/>
      </c>
    </row>
    <row r="1993" hidden="1">
      <c r="A1993" s="49" t="n">
        <v>46177</v>
      </c>
      <c r="B1993" s="1" t="n">
        <v>2026</v>
      </c>
      <c r="C1993" s="8" t="inlineStr">
        <is>
          <t>Ayana</t>
        </is>
      </c>
      <c r="D1993" s="11" t="inlineStr">
        <is>
          <t>Utility and C&amp;I</t>
        </is>
      </c>
      <c r="E1993" s="1" t="n"/>
      <c r="F1993" s="1" t="inlineStr">
        <is>
          <t>Closed</t>
        </is>
      </c>
      <c r="G1993" s="11" t="inlineStr">
        <is>
          <t>Vasu.N</t>
        </is>
      </c>
      <c r="H1993" s="8" t="n">
        <v>9578099893</v>
      </c>
      <c r="I1993" s="10" t="inlineStr">
        <is>
          <t>PE04062601</t>
        </is>
      </c>
      <c r="J1993" s="28" t="inlineStr">
        <is>
          <t>Module burnt</t>
        </is>
      </c>
      <c r="K1993" s="8" t="inlineStr">
        <is>
          <t>Zura</t>
        </is>
      </c>
      <c r="L1993" s="39" t="inlineStr">
        <is>
          <t>Gujarat</t>
        </is>
      </c>
      <c r="M1993" s="2" t="inlineStr">
        <is>
          <t xml:space="preserve">damage </t>
        </is>
      </c>
      <c r="N1993" s="6" t="inlineStr">
        <is>
          <t>Module Breakage</t>
        </is>
      </c>
      <c r="O1993" s="32" t="n">
        <v>590</v>
      </c>
      <c r="P1993" s="2" t="inlineStr">
        <is>
          <t>NSMI24100610766</t>
        </is>
      </c>
      <c r="Q1993" s="29">
        <f>MID(P1993,5,2)</f>
        <v/>
      </c>
      <c r="R1993" s="14">
        <f>MID(P1993,7,2)</f>
        <v/>
      </c>
      <c r="S1993" s="6" t="inlineStr">
        <is>
          <t>G2G</t>
        </is>
      </c>
      <c r="T1993" s="1" t="inlineStr">
        <is>
          <t>P4 - PEIPL</t>
        </is>
      </c>
      <c r="U1993" s="2" t="inlineStr">
        <is>
          <t xml:space="preserve">physically damaged </t>
        </is>
      </c>
      <c r="V1993" s="1" t="inlineStr">
        <is>
          <t>Inspection</t>
        </is>
      </c>
      <c r="W1993" s="1" t="inlineStr">
        <is>
          <t>Rejected</t>
        </is>
      </c>
      <c r="X1993" s="5">
        <f>Z1993</f>
        <v/>
      </c>
      <c r="Y1993" s="1">
        <f>X1993-A1993</f>
        <v/>
      </c>
      <c r="Z1993" s="5" t="n">
        <v>46197</v>
      </c>
      <c r="AA1993" s="3" t="n"/>
      <c r="AB1993" s="3" t="n"/>
      <c r="AE1993" s="146">
        <f>IF(AND(F1993="Closed",X1993&gt;=DATE(2026,6,1),X1993&lt;=DATE(2026,6,30)),"Closed in June","other")</f>
        <v/>
      </c>
    </row>
    <row r="1994" hidden="1">
      <c r="A1994" s="49" t="n">
        <v>46177</v>
      </c>
      <c r="B1994" s="1" t="n">
        <v>2026</v>
      </c>
      <c r="C1994" s="8" t="inlineStr">
        <is>
          <t>Ayana</t>
        </is>
      </c>
      <c r="D1994" s="11" t="inlineStr">
        <is>
          <t>Utility and C&amp;I</t>
        </is>
      </c>
      <c r="E1994" s="1" t="n"/>
      <c r="F1994" s="1" t="inlineStr">
        <is>
          <t>Closed</t>
        </is>
      </c>
      <c r="G1994" s="11" t="inlineStr">
        <is>
          <t>Vasu.N</t>
        </is>
      </c>
      <c r="H1994" s="8" t="n">
        <v>9578099893</v>
      </c>
      <c r="I1994" s="10" t="inlineStr">
        <is>
          <t>PE04062601</t>
        </is>
      </c>
      <c r="J1994" s="28" t="inlineStr">
        <is>
          <t>Module burnt</t>
        </is>
      </c>
      <c r="K1994" s="8" t="inlineStr">
        <is>
          <t>Zura</t>
        </is>
      </c>
      <c r="L1994" s="39" t="inlineStr">
        <is>
          <t>Gujarat</t>
        </is>
      </c>
      <c r="M1994" s="2" t="inlineStr">
        <is>
          <t xml:space="preserve">damage </t>
        </is>
      </c>
      <c r="N1994" s="6" t="inlineStr">
        <is>
          <t>Module Breakage</t>
        </is>
      </c>
      <c r="O1994" s="32" t="n">
        <v>590</v>
      </c>
      <c r="P1994" s="2" t="inlineStr">
        <is>
          <t>NSMI24100648214</t>
        </is>
      </c>
      <c r="Q1994" s="29">
        <f>MID(P1994,5,2)</f>
        <v/>
      </c>
      <c r="R1994" s="14">
        <f>MID(P1994,7,2)</f>
        <v/>
      </c>
      <c r="S1994" s="6" t="inlineStr">
        <is>
          <t>G2G</t>
        </is>
      </c>
      <c r="T1994" s="1" t="inlineStr">
        <is>
          <t>P4 - PEIPL</t>
        </is>
      </c>
      <c r="U1994" s="2" t="inlineStr">
        <is>
          <t xml:space="preserve">physically damaged </t>
        </is>
      </c>
      <c r="V1994" s="1" t="inlineStr">
        <is>
          <t>Inspection</t>
        </is>
      </c>
      <c r="W1994" s="1" t="inlineStr">
        <is>
          <t>Rejected</t>
        </is>
      </c>
      <c r="X1994" s="5">
        <f>Z1994</f>
        <v/>
      </c>
      <c r="Y1994" s="1">
        <f>X1994-A1994</f>
        <v/>
      </c>
      <c r="Z1994" s="5" t="n">
        <v>46197</v>
      </c>
      <c r="AA1994" s="3" t="n"/>
      <c r="AB1994" s="3" t="n"/>
      <c r="AE1994" s="146">
        <f>IF(AND(F1994="Closed",X1994&gt;=DATE(2026,6,1),X1994&lt;=DATE(2026,6,30)),"Closed in June","other")</f>
        <v/>
      </c>
    </row>
    <row r="1995" hidden="1">
      <c r="A1995" s="49" t="n">
        <v>46177</v>
      </c>
      <c r="B1995" s="1" t="n">
        <v>2026</v>
      </c>
      <c r="C1995" s="8" t="inlineStr">
        <is>
          <t>Ayana</t>
        </is>
      </c>
      <c r="D1995" s="11" t="inlineStr">
        <is>
          <t>Utility and C&amp;I</t>
        </is>
      </c>
      <c r="E1995" s="1" t="n"/>
      <c r="F1995" s="1" t="inlineStr">
        <is>
          <t>Closed</t>
        </is>
      </c>
      <c r="G1995" s="11" t="inlineStr">
        <is>
          <t>Vasu.N</t>
        </is>
      </c>
      <c r="H1995" s="8" t="n">
        <v>9578099893</v>
      </c>
      <c r="I1995" s="10" t="inlineStr">
        <is>
          <t>PE04062601</t>
        </is>
      </c>
      <c r="J1995" s="28" t="inlineStr">
        <is>
          <t>Module burnt</t>
        </is>
      </c>
      <c r="K1995" s="8" t="inlineStr">
        <is>
          <t>Zura</t>
        </is>
      </c>
      <c r="L1995" s="39" t="inlineStr">
        <is>
          <t>Gujarat</t>
        </is>
      </c>
      <c r="M1995" s="2" t="inlineStr">
        <is>
          <t xml:space="preserve">damage </t>
        </is>
      </c>
      <c r="N1995" s="6" t="inlineStr">
        <is>
          <t>Module Breakage</t>
        </is>
      </c>
      <c r="O1995" s="32" t="n">
        <v>590</v>
      </c>
      <c r="P1995" s="2" t="inlineStr">
        <is>
          <t>NSMI24110792983</t>
        </is>
      </c>
      <c r="Q1995" s="29">
        <f>MID(P1995,5,2)</f>
        <v/>
      </c>
      <c r="R1995" s="14">
        <f>MID(P1995,7,2)</f>
        <v/>
      </c>
      <c r="S1995" s="6" t="inlineStr">
        <is>
          <t>G2G</t>
        </is>
      </c>
      <c r="T1995" s="1" t="inlineStr">
        <is>
          <t>P4 - PEIPL</t>
        </is>
      </c>
      <c r="U1995" s="2" t="inlineStr">
        <is>
          <t xml:space="preserve">physically damaged </t>
        </is>
      </c>
      <c r="V1995" s="1" t="inlineStr">
        <is>
          <t>Inspection</t>
        </is>
      </c>
      <c r="W1995" s="1" t="inlineStr">
        <is>
          <t>Rejected</t>
        </is>
      </c>
      <c r="X1995" s="5">
        <f>Z1995</f>
        <v/>
      </c>
      <c r="Y1995" s="1">
        <f>X1995-A1995</f>
        <v/>
      </c>
      <c r="Z1995" s="5" t="n">
        <v>46197</v>
      </c>
      <c r="AA1995" s="3" t="n"/>
      <c r="AB1995" s="3" t="n"/>
      <c r="AE1995" s="146">
        <f>IF(AND(F1995="Closed",X1995&gt;=DATE(2026,6,1),X1995&lt;=DATE(2026,6,30)),"Closed in June","other")</f>
        <v/>
      </c>
    </row>
    <row r="1996" hidden="1">
      <c r="A1996" s="49" t="n">
        <v>46177</v>
      </c>
      <c r="B1996" s="1" t="n">
        <v>2026</v>
      </c>
      <c r="C1996" s="8" t="inlineStr">
        <is>
          <t>Ayana</t>
        </is>
      </c>
      <c r="D1996" s="11" t="inlineStr">
        <is>
          <t>Utility and C&amp;I</t>
        </is>
      </c>
      <c r="E1996" s="1" t="n"/>
      <c r="F1996" s="1" t="inlineStr">
        <is>
          <t>Closed</t>
        </is>
      </c>
      <c r="G1996" s="11" t="inlineStr">
        <is>
          <t>Vasu.N</t>
        </is>
      </c>
      <c r="H1996" s="8" t="n">
        <v>9578099893</v>
      </c>
      <c r="I1996" s="10" t="inlineStr">
        <is>
          <t>PE04062601</t>
        </is>
      </c>
      <c r="J1996" s="28" t="inlineStr">
        <is>
          <t>Module burnt</t>
        </is>
      </c>
      <c r="K1996" s="8" t="inlineStr">
        <is>
          <t>Zura</t>
        </is>
      </c>
      <c r="L1996" s="39" t="inlineStr">
        <is>
          <t>Gujarat</t>
        </is>
      </c>
      <c r="M1996" s="2" t="inlineStr">
        <is>
          <t xml:space="preserve">damage </t>
        </is>
      </c>
      <c r="N1996" s="6" t="inlineStr">
        <is>
          <t>Module Breakage</t>
        </is>
      </c>
      <c r="O1996" s="32" t="n">
        <v>590</v>
      </c>
      <c r="P1996" s="2" t="inlineStr">
        <is>
          <t>NSMI24110819154</t>
        </is>
      </c>
      <c r="Q1996" s="29">
        <f>MID(P1996,5,2)</f>
        <v/>
      </c>
      <c r="R1996" s="14">
        <f>MID(P1996,7,2)</f>
        <v/>
      </c>
      <c r="S1996" s="6" t="inlineStr">
        <is>
          <t>G2G</t>
        </is>
      </c>
      <c r="T1996" s="1" t="inlineStr">
        <is>
          <t>P4 - PEIPL</t>
        </is>
      </c>
      <c r="U1996" s="2" t="inlineStr">
        <is>
          <t xml:space="preserve">physically damaged </t>
        </is>
      </c>
      <c r="V1996" s="1" t="inlineStr">
        <is>
          <t>Inspection</t>
        </is>
      </c>
      <c r="W1996" s="1" t="inlineStr">
        <is>
          <t>Rejected</t>
        </is>
      </c>
      <c r="X1996" s="5">
        <f>Z1996</f>
        <v/>
      </c>
      <c r="Y1996" s="1">
        <f>X1996-A1996</f>
        <v/>
      </c>
      <c r="Z1996" s="5" t="n">
        <v>46197</v>
      </c>
      <c r="AA1996" s="3" t="n"/>
      <c r="AB1996" s="3" t="n"/>
      <c r="AE1996" s="146">
        <f>IF(AND(F1996="Closed",X1996&gt;=DATE(2026,6,1),X1996&lt;=DATE(2026,6,30)),"Closed in June","other")</f>
        <v/>
      </c>
    </row>
    <row r="1997" hidden="1">
      <c r="A1997" s="49" t="n">
        <v>46177</v>
      </c>
      <c r="B1997" s="1" t="n">
        <v>2026</v>
      </c>
      <c r="C1997" s="8" t="inlineStr">
        <is>
          <t>Ayana</t>
        </is>
      </c>
      <c r="D1997" s="11" t="inlineStr">
        <is>
          <t>Utility and C&amp;I</t>
        </is>
      </c>
      <c r="E1997" s="1" t="n"/>
      <c r="F1997" s="1" t="inlineStr">
        <is>
          <t>Closed</t>
        </is>
      </c>
      <c r="G1997" s="11" t="inlineStr">
        <is>
          <t>Vasu.N</t>
        </is>
      </c>
      <c r="H1997" s="8" t="n">
        <v>9578099893</v>
      </c>
      <c r="I1997" s="10" t="inlineStr">
        <is>
          <t>PE04062601</t>
        </is>
      </c>
      <c r="J1997" s="28" t="inlineStr">
        <is>
          <t>Module burnt</t>
        </is>
      </c>
      <c r="K1997" s="8" t="inlineStr">
        <is>
          <t>Zura</t>
        </is>
      </c>
      <c r="L1997" s="39" t="inlineStr">
        <is>
          <t>Gujarat</t>
        </is>
      </c>
      <c r="M1997" s="2" t="inlineStr">
        <is>
          <t xml:space="preserve">damage </t>
        </is>
      </c>
      <c r="N1997" s="6" t="inlineStr">
        <is>
          <t>Module Breakage</t>
        </is>
      </c>
      <c r="O1997" s="32" t="n">
        <v>590</v>
      </c>
      <c r="P1997" s="2" t="inlineStr">
        <is>
          <t>NSMI24110819134</t>
        </is>
      </c>
      <c r="Q1997" s="29">
        <f>MID(P1997,5,2)</f>
        <v/>
      </c>
      <c r="R1997" s="14">
        <f>MID(P1997,7,2)</f>
        <v/>
      </c>
      <c r="S1997" s="6" t="inlineStr">
        <is>
          <t>G2G</t>
        </is>
      </c>
      <c r="T1997" s="1" t="inlineStr">
        <is>
          <t>P4 - PEIPL</t>
        </is>
      </c>
      <c r="U1997" s="2" t="inlineStr">
        <is>
          <t xml:space="preserve">physically damaged </t>
        </is>
      </c>
      <c r="V1997" s="1" t="inlineStr">
        <is>
          <t>Inspection</t>
        </is>
      </c>
      <c r="W1997" s="1" t="inlineStr">
        <is>
          <t>Rejected</t>
        </is>
      </c>
      <c r="X1997" s="5">
        <f>Z1997</f>
        <v/>
      </c>
      <c r="Y1997" s="1">
        <f>X1997-A1997</f>
        <v/>
      </c>
      <c r="Z1997" s="5" t="n">
        <v>46197</v>
      </c>
      <c r="AA1997" s="3" t="n"/>
      <c r="AB1997" s="3" t="n"/>
      <c r="AE1997" s="146">
        <f>IF(AND(F1997="Closed",X1997&gt;=DATE(2026,6,1),X1997&lt;=DATE(2026,6,30)),"Closed in June","other")</f>
        <v/>
      </c>
    </row>
    <row r="1998" hidden="1">
      <c r="A1998" s="49" t="n">
        <v>46177</v>
      </c>
      <c r="B1998" s="1" t="n">
        <v>2026</v>
      </c>
      <c r="C1998" s="8" t="inlineStr">
        <is>
          <t>Ayana</t>
        </is>
      </c>
      <c r="D1998" s="11" t="inlineStr">
        <is>
          <t>Utility and C&amp;I</t>
        </is>
      </c>
      <c r="E1998" s="1" t="n"/>
      <c r="F1998" s="1" t="inlineStr">
        <is>
          <t>Closed</t>
        </is>
      </c>
      <c r="G1998" s="11" t="inlineStr">
        <is>
          <t>Vasu.N</t>
        </is>
      </c>
      <c r="H1998" s="8" t="n">
        <v>9578099893</v>
      </c>
      <c r="I1998" s="10" t="inlineStr">
        <is>
          <t>PE04062601</t>
        </is>
      </c>
      <c r="J1998" s="28" t="inlineStr">
        <is>
          <t>Module burnt</t>
        </is>
      </c>
      <c r="K1998" s="8" t="inlineStr">
        <is>
          <t>Zura</t>
        </is>
      </c>
      <c r="L1998" s="39" t="inlineStr">
        <is>
          <t>Gujarat</t>
        </is>
      </c>
      <c r="M1998" s="2" t="inlineStr">
        <is>
          <t>Frame damage</t>
        </is>
      </c>
      <c r="N1998" s="2" t="inlineStr">
        <is>
          <t>Frame damage</t>
        </is>
      </c>
      <c r="O1998" s="32" t="n">
        <v>590</v>
      </c>
      <c r="P1998" s="2" t="inlineStr">
        <is>
          <t>NSMI24100554557</t>
        </is>
      </c>
      <c r="Q1998" s="29">
        <f>MID(P1998,5,2)</f>
        <v/>
      </c>
      <c r="R1998" s="14">
        <f>MID(P1998,7,2)</f>
        <v/>
      </c>
      <c r="S1998" s="6" t="inlineStr">
        <is>
          <t>G2G</t>
        </is>
      </c>
      <c r="T1998" s="1" t="inlineStr">
        <is>
          <t>P4 - PEIPL</t>
        </is>
      </c>
      <c r="U1998" s="2" t="inlineStr">
        <is>
          <t xml:space="preserve">physically damaged </t>
        </is>
      </c>
      <c r="V1998" s="1" t="inlineStr">
        <is>
          <t>Inspection</t>
        </is>
      </c>
      <c r="W1998" s="1" t="inlineStr">
        <is>
          <t>Rejected</t>
        </is>
      </c>
      <c r="X1998" s="5">
        <f>Z1998</f>
        <v/>
      </c>
      <c r="Y1998" s="1">
        <f>X1998-A1998</f>
        <v/>
      </c>
      <c r="Z1998" s="5" t="n">
        <v>46197</v>
      </c>
      <c r="AA1998" s="3" t="n"/>
      <c r="AB1998" s="3" t="n"/>
      <c r="AE1998" s="146">
        <f>IF(AND(F1998="Closed",X1998&gt;=DATE(2026,6,1),X1998&lt;=DATE(2026,6,30)),"Closed in June","other")</f>
        <v/>
      </c>
    </row>
    <row r="1999" hidden="1">
      <c r="A1999" s="49" t="n">
        <v>46177</v>
      </c>
      <c r="B1999" s="1" t="n">
        <v>2026</v>
      </c>
      <c r="C1999" s="8" t="inlineStr">
        <is>
          <t>Ayana</t>
        </is>
      </c>
      <c r="D1999" s="11" t="inlineStr">
        <is>
          <t>Utility and C&amp;I</t>
        </is>
      </c>
      <c r="E1999" s="1" t="n"/>
      <c r="F1999" s="1" t="inlineStr">
        <is>
          <t>Closed</t>
        </is>
      </c>
      <c r="G1999" s="11" t="inlineStr">
        <is>
          <t>Vasu.N</t>
        </is>
      </c>
      <c r="H1999" s="8" t="n">
        <v>9578099893</v>
      </c>
      <c r="I1999" s="10" t="inlineStr">
        <is>
          <t>PE04062601</t>
        </is>
      </c>
      <c r="J1999" s="28" t="inlineStr">
        <is>
          <t>Module burnt</t>
        </is>
      </c>
      <c r="K1999" s="8" t="inlineStr">
        <is>
          <t>Zura</t>
        </is>
      </c>
      <c r="L1999" s="39" t="inlineStr">
        <is>
          <t>Gujarat</t>
        </is>
      </c>
      <c r="M1999" s="2" t="inlineStr">
        <is>
          <t>forcefully damage</t>
        </is>
      </c>
      <c r="N1999" s="6" t="inlineStr">
        <is>
          <t>Module Breakage</t>
        </is>
      </c>
      <c r="O1999" s="32" t="n">
        <v>590</v>
      </c>
      <c r="P1999" s="2" t="inlineStr">
        <is>
          <t>NSMI24100689682</t>
        </is>
      </c>
      <c r="Q1999" s="29">
        <f>MID(P1999,5,2)</f>
        <v/>
      </c>
      <c r="R1999" s="14">
        <f>MID(P1999,7,2)</f>
        <v/>
      </c>
      <c r="S1999" s="6" t="inlineStr">
        <is>
          <t>G2G</t>
        </is>
      </c>
      <c r="T1999" s="1" t="inlineStr">
        <is>
          <t>P4 - PEIPL</t>
        </is>
      </c>
      <c r="U1999" s="2" t="inlineStr">
        <is>
          <t xml:space="preserve">physically damaged </t>
        </is>
      </c>
      <c r="V1999" s="1" t="inlineStr">
        <is>
          <t>Inspection</t>
        </is>
      </c>
      <c r="W1999" s="1" t="inlineStr">
        <is>
          <t>Rejected</t>
        </is>
      </c>
      <c r="X1999" s="5">
        <f>Z1999</f>
        <v/>
      </c>
      <c r="Y1999" s="1">
        <f>X1999-A1999</f>
        <v/>
      </c>
      <c r="Z1999" s="5" t="n">
        <v>46197</v>
      </c>
      <c r="AA1999" s="3" t="n"/>
      <c r="AB1999" s="3" t="n"/>
      <c r="AE1999" s="146">
        <f>IF(AND(F1999="Closed",X1999&gt;=DATE(2026,6,1),X1999&lt;=DATE(2026,6,30)),"Closed in June","other")</f>
        <v/>
      </c>
    </row>
    <row r="2000" hidden="1">
      <c r="A2000" s="49" t="n">
        <v>46177</v>
      </c>
      <c r="B2000" s="1" t="n">
        <v>2026</v>
      </c>
      <c r="C2000" s="8" t="inlineStr">
        <is>
          <t>Ayana</t>
        </is>
      </c>
      <c r="D2000" s="11" t="inlineStr">
        <is>
          <t>Utility and C&amp;I</t>
        </is>
      </c>
      <c r="E2000" s="1" t="n"/>
      <c r="F2000" s="1" t="inlineStr">
        <is>
          <t>WIP</t>
        </is>
      </c>
      <c r="G2000" s="11" t="inlineStr">
        <is>
          <t>Vasu.N</t>
        </is>
      </c>
      <c r="H2000" s="8" t="n">
        <v>9578099893</v>
      </c>
      <c r="I2000" s="10" t="inlineStr">
        <is>
          <t>PE04062601</t>
        </is>
      </c>
      <c r="J2000" s="28" t="inlineStr">
        <is>
          <t>Module burnt</t>
        </is>
      </c>
      <c r="K2000" s="8" t="inlineStr">
        <is>
          <t>Zura</t>
        </is>
      </c>
      <c r="L2000" s="39" t="inlineStr">
        <is>
          <t>Gujarat</t>
        </is>
      </c>
      <c r="M2000" s="2" t="inlineStr">
        <is>
          <t xml:space="preserve">Both glass broken with burn spot </t>
        </is>
      </c>
      <c r="N2000" s="6" t="inlineStr">
        <is>
          <t>Glass Breakage with Burn Spot</t>
        </is>
      </c>
      <c r="O2000" s="32" t="n">
        <v>590</v>
      </c>
      <c r="P2000" s="2" t="inlineStr">
        <is>
          <t>NSMI24100660444</t>
        </is>
      </c>
      <c r="Q2000" s="29">
        <f>MID(P2000,5,2)</f>
        <v/>
      </c>
      <c r="R2000" s="14">
        <f>MID(P2000,7,2)</f>
        <v/>
      </c>
      <c r="S2000" s="6" t="inlineStr">
        <is>
          <t>G2G</t>
        </is>
      </c>
      <c r="T2000" s="1" t="inlineStr">
        <is>
          <t>P4 - PEIPL</t>
        </is>
      </c>
      <c r="U2000" s="6" t="inlineStr">
        <is>
          <t>Glass Breakage with Burn Spot</t>
        </is>
      </c>
      <c r="V2000" s="1" t="inlineStr">
        <is>
          <t>Inspection</t>
        </is>
      </c>
      <c r="W2000" s="1" t="inlineStr">
        <is>
          <t>WIP</t>
        </is>
      </c>
      <c r="X2000" s="12" t="n"/>
      <c r="Y2000" s="1">
        <f>IF(X2000="","",X2000-A2000)</f>
        <v/>
      </c>
      <c r="Z2000" s="5" t="n">
        <v>46197</v>
      </c>
      <c r="AA2000" s="3" t="n"/>
      <c r="AB2000" s="3" t="n"/>
      <c r="AE2000" s="146">
        <f>IF(AND(F2000="Closed",X2000&gt;=DATE(2026,6,1),X2000&lt;=DATE(2026,6,30)),"Closed in June","other")</f>
        <v/>
      </c>
    </row>
    <row r="2001" hidden="1">
      <c r="A2001" s="49" t="n">
        <v>46177</v>
      </c>
      <c r="B2001" s="1" t="n">
        <v>2026</v>
      </c>
      <c r="C2001" s="8" t="inlineStr">
        <is>
          <t>Ayana</t>
        </is>
      </c>
      <c r="D2001" s="11" t="inlineStr">
        <is>
          <t>Utility and C&amp;I</t>
        </is>
      </c>
      <c r="E2001" s="1" t="n"/>
      <c r="F2001" s="1" t="inlineStr">
        <is>
          <t>WIP</t>
        </is>
      </c>
      <c r="G2001" s="11" t="inlineStr">
        <is>
          <t>Vasu.N</t>
        </is>
      </c>
      <c r="H2001" s="8" t="n">
        <v>9578099893</v>
      </c>
      <c r="I2001" s="10" t="inlineStr">
        <is>
          <t>PE04062601</t>
        </is>
      </c>
      <c r="J2001" s="28" t="inlineStr">
        <is>
          <t>Module burnt</t>
        </is>
      </c>
      <c r="K2001" s="8" t="inlineStr">
        <is>
          <t>Zura</t>
        </is>
      </c>
      <c r="L2001" s="39" t="inlineStr">
        <is>
          <t>Gujarat</t>
        </is>
      </c>
      <c r="M2001" s="2" t="inlineStr">
        <is>
          <t>Font glass broken with burn spot</t>
        </is>
      </c>
      <c r="N2001" s="6" t="inlineStr">
        <is>
          <t>Glass Breakage with Burn Spot</t>
        </is>
      </c>
      <c r="O2001" s="32" t="n">
        <v>590</v>
      </c>
      <c r="P2001" s="2" t="inlineStr">
        <is>
          <t>NSMI24100668543</t>
        </is>
      </c>
      <c r="Q2001" s="29">
        <f>MID(P2001,5,2)</f>
        <v/>
      </c>
      <c r="R2001" s="14">
        <f>MID(P2001,7,2)</f>
        <v/>
      </c>
      <c r="S2001" s="6" t="inlineStr">
        <is>
          <t>G2G</t>
        </is>
      </c>
      <c r="T2001" s="1" t="inlineStr">
        <is>
          <t>P4 - PEIPL</t>
        </is>
      </c>
      <c r="U2001" s="6" t="inlineStr">
        <is>
          <t>Glass Breakage with Burn Spot</t>
        </is>
      </c>
      <c r="V2001" s="1" t="inlineStr">
        <is>
          <t>Inspection</t>
        </is>
      </c>
      <c r="W2001" s="1" t="inlineStr">
        <is>
          <t>WIP</t>
        </is>
      </c>
      <c r="X2001" s="12" t="n"/>
      <c r="Y2001" s="1">
        <f>IF(X2001="","",X2001-A2001)</f>
        <v/>
      </c>
      <c r="Z2001" s="5" t="n">
        <v>46197</v>
      </c>
      <c r="AA2001" s="3" t="n"/>
      <c r="AB2001" s="3" t="n"/>
      <c r="AE2001" s="146">
        <f>IF(AND(F2001="Closed",X2001&gt;=DATE(2026,6,1),X2001&lt;=DATE(2026,6,30)),"Closed in June","other")</f>
        <v/>
      </c>
    </row>
    <row r="2002" hidden="1">
      <c r="A2002" s="49" t="n">
        <v>46177</v>
      </c>
      <c r="B2002" s="1" t="n">
        <v>2026</v>
      </c>
      <c r="C2002" s="8" t="inlineStr">
        <is>
          <t>Ayana</t>
        </is>
      </c>
      <c r="D2002" s="11" t="inlineStr">
        <is>
          <t>Utility and C&amp;I</t>
        </is>
      </c>
      <c r="E2002" s="1" t="n"/>
      <c r="F2002" s="1" t="inlineStr">
        <is>
          <t>WIP</t>
        </is>
      </c>
      <c r="G2002" s="11" t="inlineStr">
        <is>
          <t>Vasu.N</t>
        </is>
      </c>
      <c r="H2002" s="8" t="n">
        <v>9578099893</v>
      </c>
      <c r="I2002" s="10" t="inlineStr">
        <is>
          <t>PE04062601</t>
        </is>
      </c>
      <c r="J2002" s="28" t="inlineStr">
        <is>
          <t>Module burnt</t>
        </is>
      </c>
      <c r="K2002" s="8" t="inlineStr">
        <is>
          <t>Zura</t>
        </is>
      </c>
      <c r="L2002" s="39" t="inlineStr">
        <is>
          <t>Gujarat</t>
        </is>
      </c>
      <c r="M2002" s="2" t="inlineStr">
        <is>
          <t>Font glass broken with burn spot</t>
        </is>
      </c>
      <c r="N2002" s="6" t="inlineStr">
        <is>
          <t>Glass Breakage with Burn Spot</t>
        </is>
      </c>
      <c r="O2002" s="32" t="n">
        <v>590</v>
      </c>
      <c r="P2002" s="2" t="inlineStr">
        <is>
          <t>NSMI24110799326</t>
        </is>
      </c>
      <c r="Q2002" s="29">
        <f>MID(P2002,5,2)</f>
        <v/>
      </c>
      <c r="R2002" s="14">
        <f>MID(P2002,7,2)</f>
        <v/>
      </c>
      <c r="S2002" s="6" t="inlineStr">
        <is>
          <t>G2G</t>
        </is>
      </c>
      <c r="T2002" s="1" t="inlineStr">
        <is>
          <t>P4 - PEIPL</t>
        </is>
      </c>
      <c r="U2002" s="6" t="inlineStr">
        <is>
          <t>Glass Breakage with Burn Spot</t>
        </is>
      </c>
      <c r="V2002" s="1" t="inlineStr">
        <is>
          <t>Inspection</t>
        </is>
      </c>
      <c r="W2002" s="1" t="inlineStr">
        <is>
          <t>WIP</t>
        </is>
      </c>
      <c r="X2002" s="12" t="n"/>
      <c r="Y2002" s="1">
        <f>IF(X2002="","",X2002-A2002)</f>
        <v/>
      </c>
      <c r="Z2002" s="5" t="n">
        <v>46197</v>
      </c>
      <c r="AA2002" s="3" t="n"/>
      <c r="AB2002" s="3" t="n"/>
      <c r="AE2002" s="146">
        <f>IF(AND(F2002="Closed",X2002&gt;=DATE(2026,6,1),X2002&lt;=DATE(2026,6,30)),"Closed in June","other")</f>
        <v/>
      </c>
    </row>
    <row r="2003" hidden="1">
      <c r="A2003" s="49" t="n">
        <v>46177</v>
      </c>
      <c r="B2003" s="1" t="n">
        <v>2026</v>
      </c>
      <c r="C2003" s="8" t="inlineStr">
        <is>
          <t>Ayana</t>
        </is>
      </c>
      <c r="D2003" s="11" t="inlineStr">
        <is>
          <t>Utility and C&amp;I</t>
        </is>
      </c>
      <c r="E2003" s="1" t="n"/>
      <c r="F2003" s="1" t="inlineStr">
        <is>
          <t>WIP</t>
        </is>
      </c>
      <c r="G2003" s="11" t="inlineStr">
        <is>
          <t>Vasu.N</t>
        </is>
      </c>
      <c r="H2003" s="8" t="n">
        <v>9578099893</v>
      </c>
      <c r="I2003" s="10" t="inlineStr">
        <is>
          <t>PE04062601</t>
        </is>
      </c>
      <c r="J2003" s="28" t="inlineStr">
        <is>
          <t>Module burnt</t>
        </is>
      </c>
      <c r="K2003" s="8" t="inlineStr">
        <is>
          <t>Zura</t>
        </is>
      </c>
      <c r="L2003" s="39" t="inlineStr">
        <is>
          <t>Gujarat</t>
        </is>
      </c>
      <c r="M2003" s="2" t="inlineStr">
        <is>
          <t xml:space="preserve">Both glass broken with burn spot </t>
        </is>
      </c>
      <c r="N2003" s="6" t="inlineStr">
        <is>
          <t>Glass Breakage with Burn Spot</t>
        </is>
      </c>
      <c r="O2003" s="32" t="n">
        <v>590</v>
      </c>
      <c r="P2003" s="2" t="inlineStr">
        <is>
          <t>NSMI24110796740</t>
        </is>
      </c>
      <c r="Q2003" s="29">
        <f>MID(P2003,5,2)</f>
        <v/>
      </c>
      <c r="R2003" s="14">
        <f>MID(P2003,7,2)</f>
        <v/>
      </c>
      <c r="S2003" s="6" t="inlineStr">
        <is>
          <t>G2G</t>
        </is>
      </c>
      <c r="T2003" s="1" t="inlineStr">
        <is>
          <t>P4 - PEIPL</t>
        </is>
      </c>
      <c r="U2003" s="6" t="inlineStr">
        <is>
          <t>Glass Breakage with Burn Spot</t>
        </is>
      </c>
      <c r="V2003" s="1" t="inlineStr">
        <is>
          <t>Inspection</t>
        </is>
      </c>
      <c r="W2003" s="1" t="inlineStr">
        <is>
          <t>WIP</t>
        </is>
      </c>
      <c r="X2003" s="12" t="n"/>
      <c r="Y2003" s="1">
        <f>IF(X2003="","",X2003-A2003)</f>
        <v/>
      </c>
      <c r="Z2003" s="5" t="n">
        <v>46197</v>
      </c>
      <c r="AA2003" s="3" t="n"/>
      <c r="AB2003" s="3" t="n"/>
      <c r="AE2003" s="146">
        <f>IF(AND(F2003="Closed",X2003&gt;=DATE(2026,6,1),X2003&lt;=DATE(2026,6,30)),"Closed in June","other")</f>
        <v/>
      </c>
    </row>
    <row r="2004" hidden="1">
      <c r="A2004" s="49" t="n">
        <v>46177</v>
      </c>
      <c r="B2004" s="1" t="n">
        <v>2026</v>
      </c>
      <c r="C2004" s="8" t="inlineStr">
        <is>
          <t>Ayana</t>
        </is>
      </c>
      <c r="D2004" s="11" t="inlineStr">
        <is>
          <t>Utility and C&amp;I</t>
        </is>
      </c>
      <c r="E2004" s="1" t="n"/>
      <c r="F2004" s="1" t="inlineStr">
        <is>
          <t>WIP</t>
        </is>
      </c>
      <c r="G2004" s="11" t="inlineStr">
        <is>
          <t>Vasu.N</t>
        </is>
      </c>
      <c r="H2004" s="8" t="n">
        <v>9578099893</v>
      </c>
      <c r="I2004" s="10" t="inlineStr">
        <is>
          <t>PE04062601</t>
        </is>
      </c>
      <c r="J2004" s="28" t="inlineStr">
        <is>
          <t>Module burnt</t>
        </is>
      </c>
      <c r="K2004" s="8" t="inlineStr">
        <is>
          <t>Zura</t>
        </is>
      </c>
      <c r="L2004" s="39" t="inlineStr">
        <is>
          <t>Gujarat</t>
        </is>
      </c>
      <c r="M2004" s="2" t="inlineStr">
        <is>
          <t xml:space="preserve">Both glass broken with burn spot </t>
        </is>
      </c>
      <c r="N2004" s="6" t="inlineStr">
        <is>
          <t>Glass Breakage with Burn Spot</t>
        </is>
      </c>
      <c r="O2004" s="32" t="n">
        <v>590</v>
      </c>
      <c r="P2004" s="2" t="inlineStr">
        <is>
          <t>NSMI24100684599</t>
        </is>
      </c>
      <c r="Q2004" s="29">
        <f>MID(P2004,5,2)</f>
        <v/>
      </c>
      <c r="R2004" s="14">
        <f>MID(P2004,7,2)</f>
        <v/>
      </c>
      <c r="S2004" s="6" t="inlineStr">
        <is>
          <t>G2G</t>
        </is>
      </c>
      <c r="T2004" s="1" t="inlineStr">
        <is>
          <t>P4 - PEIPL</t>
        </is>
      </c>
      <c r="U2004" s="6" t="inlineStr">
        <is>
          <t>Glass Breakage with Burn Spot</t>
        </is>
      </c>
      <c r="V2004" s="1" t="inlineStr">
        <is>
          <t>Inspection</t>
        </is>
      </c>
      <c r="W2004" s="1" t="inlineStr">
        <is>
          <t>WIP</t>
        </is>
      </c>
      <c r="X2004" s="12" t="n"/>
      <c r="Y2004" s="1">
        <f>IF(X2004="","",X2004-A2004)</f>
        <v/>
      </c>
      <c r="Z2004" s="5" t="n">
        <v>46197</v>
      </c>
      <c r="AA2004" s="3" t="n"/>
      <c r="AB2004" s="3" t="n"/>
      <c r="AE2004" s="146">
        <f>IF(AND(F2004="Closed",X2004&gt;=DATE(2026,6,1),X2004&lt;=DATE(2026,6,30)),"Closed in June","other")</f>
        <v/>
      </c>
    </row>
    <row r="2005" hidden="1">
      <c r="A2005" s="49" t="n">
        <v>46177</v>
      </c>
      <c r="B2005" s="1" t="n">
        <v>2026</v>
      </c>
      <c r="C2005" s="8" t="inlineStr">
        <is>
          <t>Ayana</t>
        </is>
      </c>
      <c r="D2005" s="11" t="inlineStr">
        <is>
          <t>Utility and C&amp;I</t>
        </is>
      </c>
      <c r="E2005" s="1" t="n"/>
      <c r="F2005" s="1" t="inlineStr">
        <is>
          <t>WIP</t>
        </is>
      </c>
      <c r="G2005" s="11" t="inlineStr">
        <is>
          <t>Vasu.N</t>
        </is>
      </c>
      <c r="H2005" s="8" t="n">
        <v>9578099893</v>
      </c>
      <c r="I2005" s="10" t="inlineStr">
        <is>
          <t>PE04062601</t>
        </is>
      </c>
      <c r="J2005" s="28" t="inlineStr">
        <is>
          <t>Module burnt</t>
        </is>
      </c>
      <c r="K2005" s="8" t="inlineStr">
        <is>
          <t>Zura</t>
        </is>
      </c>
      <c r="L2005" s="39" t="inlineStr">
        <is>
          <t>Gujarat</t>
        </is>
      </c>
      <c r="M2005" s="2" t="inlineStr">
        <is>
          <t xml:space="preserve">Both glass broken with burn spot </t>
        </is>
      </c>
      <c r="N2005" s="6" t="inlineStr">
        <is>
          <t>Glass Breakage with Burn Spot</t>
        </is>
      </c>
      <c r="O2005" s="32" t="n">
        <v>590</v>
      </c>
      <c r="P2005" s="2" t="inlineStr">
        <is>
          <t>NSMI24100684715</t>
        </is>
      </c>
      <c r="Q2005" s="29">
        <f>MID(P2005,5,2)</f>
        <v/>
      </c>
      <c r="R2005" s="14">
        <f>MID(P2005,7,2)</f>
        <v/>
      </c>
      <c r="S2005" s="6" t="inlineStr">
        <is>
          <t>G2G</t>
        </is>
      </c>
      <c r="T2005" s="1" t="inlineStr">
        <is>
          <t>P4 - PEIPL</t>
        </is>
      </c>
      <c r="U2005" s="6" t="inlineStr">
        <is>
          <t>Glass Breakage with Burn Spot</t>
        </is>
      </c>
      <c r="V2005" s="1" t="inlineStr">
        <is>
          <t>Inspection</t>
        </is>
      </c>
      <c r="W2005" s="1" t="inlineStr">
        <is>
          <t>WIP</t>
        </is>
      </c>
      <c r="X2005" s="12" t="n"/>
      <c r="Y2005" s="1">
        <f>IF(X2005="","",X2005-A2005)</f>
        <v/>
      </c>
      <c r="Z2005" s="5" t="n">
        <v>46197</v>
      </c>
      <c r="AA2005" s="3" t="n"/>
      <c r="AB2005" s="3" t="n"/>
      <c r="AE2005" s="146">
        <f>IF(AND(F2005="Closed",X2005&gt;=DATE(2026,6,1),X2005&lt;=DATE(2026,6,30)),"Closed in June","other")</f>
        <v/>
      </c>
    </row>
    <row r="2006" hidden="1">
      <c r="A2006" s="49" t="n">
        <v>46177</v>
      </c>
      <c r="B2006" s="1" t="n">
        <v>2026</v>
      </c>
      <c r="C2006" s="8" t="inlineStr">
        <is>
          <t>Ayana</t>
        </is>
      </c>
      <c r="D2006" s="11" t="inlineStr">
        <is>
          <t>Utility and C&amp;I</t>
        </is>
      </c>
      <c r="E2006" s="1" t="n"/>
      <c r="F2006" s="1" t="inlineStr">
        <is>
          <t>WIP</t>
        </is>
      </c>
      <c r="G2006" s="11" t="inlineStr">
        <is>
          <t>Vasu.N</t>
        </is>
      </c>
      <c r="H2006" s="8" t="n">
        <v>9578099893</v>
      </c>
      <c r="I2006" s="10" t="inlineStr">
        <is>
          <t>PE04062601</t>
        </is>
      </c>
      <c r="J2006" s="28" t="inlineStr">
        <is>
          <t>Module burnt</t>
        </is>
      </c>
      <c r="K2006" s="8" t="inlineStr">
        <is>
          <t>Zura</t>
        </is>
      </c>
      <c r="L2006" s="39" t="inlineStr">
        <is>
          <t>Gujarat</t>
        </is>
      </c>
      <c r="M2006" s="2" t="inlineStr">
        <is>
          <t xml:space="preserve">Back glass broken </t>
        </is>
      </c>
      <c r="N2006" s="6" t="inlineStr">
        <is>
          <t>Module Breakage</t>
        </is>
      </c>
      <c r="O2006" s="32" t="n">
        <v>590</v>
      </c>
      <c r="P2006" s="2" t="inlineStr">
        <is>
          <t>NSMI24090486570</t>
        </is>
      </c>
      <c r="Q2006" s="29">
        <f>MID(P2006,5,2)</f>
        <v/>
      </c>
      <c r="R2006" s="14">
        <f>MID(P2006,7,2)</f>
        <v/>
      </c>
      <c r="S2006" s="6" t="inlineStr">
        <is>
          <t>G2G</t>
        </is>
      </c>
      <c r="T2006" s="1" t="inlineStr">
        <is>
          <t>P4 - PEIPL</t>
        </is>
      </c>
      <c r="U2006" s="6" t="inlineStr">
        <is>
          <t>Glass Breakage</t>
        </is>
      </c>
      <c r="V2006" s="1" t="inlineStr">
        <is>
          <t>Inspection</t>
        </is>
      </c>
      <c r="W2006" s="1" t="inlineStr">
        <is>
          <t>WIP</t>
        </is>
      </c>
      <c r="X2006" s="12" t="n"/>
      <c r="Y2006" s="1">
        <f>IF(X2006="","",X2006-A2006)</f>
        <v/>
      </c>
      <c r="Z2006" s="5" t="n">
        <v>46197</v>
      </c>
      <c r="AA2006" s="3" t="n"/>
      <c r="AB2006" s="3" t="n"/>
      <c r="AE2006" s="146">
        <f>IF(AND(F2006="Closed",X2006&gt;=DATE(2026,6,1),X2006&lt;=DATE(2026,6,30)),"Closed in June","other")</f>
        <v/>
      </c>
    </row>
    <row r="2007" hidden="1">
      <c r="A2007" s="49" t="n">
        <v>46177</v>
      </c>
      <c r="B2007" s="1" t="n">
        <v>2026</v>
      </c>
      <c r="C2007" s="8" t="inlineStr">
        <is>
          <t>Ayana</t>
        </is>
      </c>
      <c r="D2007" s="11" t="inlineStr">
        <is>
          <t>Utility and C&amp;I</t>
        </is>
      </c>
      <c r="E2007" s="1" t="n"/>
      <c r="F2007" s="1" t="inlineStr">
        <is>
          <t>WIP</t>
        </is>
      </c>
      <c r="G2007" s="11" t="inlineStr">
        <is>
          <t>Vasu.N</t>
        </is>
      </c>
      <c r="H2007" s="8" t="n">
        <v>9578099893</v>
      </c>
      <c r="I2007" s="10" t="inlineStr">
        <is>
          <t>PE04062601</t>
        </is>
      </c>
      <c r="J2007" s="28" t="inlineStr">
        <is>
          <t>Module burnt</t>
        </is>
      </c>
      <c r="K2007" s="8" t="inlineStr">
        <is>
          <t>Zura</t>
        </is>
      </c>
      <c r="L2007" s="39" t="inlineStr">
        <is>
          <t>Gujarat</t>
        </is>
      </c>
      <c r="M2007" s="2" t="inlineStr">
        <is>
          <t xml:space="preserve">Back glass broken </t>
        </is>
      </c>
      <c r="N2007" s="6" t="inlineStr">
        <is>
          <t>Module Breakage</t>
        </is>
      </c>
      <c r="O2007" s="32" t="n">
        <v>590</v>
      </c>
      <c r="P2007" s="2" t="inlineStr">
        <is>
          <t>NSMI24100597108</t>
        </is>
      </c>
      <c r="Q2007" s="29">
        <f>MID(P2007,5,2)</f>
        <v/>
      </c>
      <c r="R2007" s="14">
        <f>MID(P2007,7,2)</f>
        <v/>
      </c>
      <c r="S2007" s="6" t="inlineStr">
        <is>
          <t>G2G</t>
        </is>
      </c>
      <c r="T2007" s="1" t="inlineStr">
        <is>
          <t>P4 - PEIPL</t>
        </is>
      </c>
      <c r="U2007" s="6" t="inlineStr">
        <is>
          <t>Glass Breakage</t>
        </is>
      </c>
      <c r="V2007" s="1" t="inlineStr">
        <is>
          <t>Inspection</t>
        </is>
      </c>
      <c r="W2007" s="1" t="inlineStr">
        <is>
          <t>WIP</t>
        </is>
      </c>
      <c r="X2007" s="12" t="n"/>
      <c r="Y2007" s="1">
        <f>IF(X2007="","",X2007-A2007)</f>
        <v/>
      </c>
      <c r="Z2007" s="5" t="n">
        <v>46197</v>
      </c>
      <c r="AA2007" s="3" t="n"/>
      <c r="AB2007" s="3" t="n"/>
      <c r="AE2007" s="146">
        <f>IF(AND(F2007="Closed",X2007&gt;=DATE(2026,6,1),X2007&lt;=DATE(2026,6,30)),"Closed in June","other")</f>
        <v/>
      </c>
    </row>
    <row r="2008" hidden="1">
      <c r="A2008" s="49" t="n">
        <v>46177</v>
      </c>
      <c r="B2008" s="1" t="n">
        <v>2026</v>
      </c>
      <c r="C2008" s="8" t="inlineStr">
        <is>
          <t>Ayana</t>
        </is>
      </c>
      <c r="D2008" s="11" t="inlineStr">
        <is>
          <t>Utility and C&amp;I</t>
        </is>
      </c>
      <c r="E2008" s="1" t="n"/>
      <c r="F2008" s="1" t="inlineStr">
        <is>
          <t>WIP</t>
        </is>
      </c>
      <c r="G2008" s="11" t="inlineStr">
        <is>
          <t>Vasu.N</t>
        </is>
      </c>
      <c r="H2008" s="8" t="n">
        <v>9578099893</v>
      </c>
      <c r="I2008" s="10" t="inlineStr">
        <is>
          <t>PE04062601</t>
        </is>
      </c>
      <c r="J2008" s="28" t="inlineStr">
        <is>
          <t>Module burnt</t>
        </is>
      </c>
      <c r="K2008" s="8" t="inlineStr">
        <is>
          <t>Zura</t>
        </is>
      </c>
      <c r="L2008" s="39" t="inlineStr">
        <is>
          <t>Gujarat</t>
        </is>
      </c>
      <c r="M2008" s="2" t="inlineStr">
        <is>
          <t xml:space="preserve">Back glass broken </t>
        </is>
      </c>
      <c r="N2008" s="6" t="inlineStr">
        <is>
          <t>Module Breakage</t>
        </is>
      </c>
      <c r="O2008" s="32" t="n">
        <v>590</v>
      </c>
      <c r="P2008" s="2" t="inlineStr">
        <is>
          <t>NSMI24100637133</t>
        </is>
      </c>
      <c r="Q2008" s="29">
        <f>MID(P2008,5,2)</f>
        <v/>
      </c>
      <c r="R2008" s="14">
        <f>MID(P2008,7,2)</f>
        <v/>
      </c>
      <c r="S2008" s="6" t="inlineStr">
        <is>
          <t>G2G</t>
        </is>
      </c>
      <c r="T2008" s="1" t="inlineStr">
        <is>
          <t>P4 - PEIPL</t>
        </is>
      </c>
      <c r="U2008" s="6" t="inlineStr">
        <is>
          <t>Glass Breakage</t>
        </is>
      </c>
      <c r="V2008" s="1" t="inlineStr">
        <is>
          <t>Inspection</t>
        </is>
      </c>
      <c r="W2008" s="1" t="inlineStr">
        <is>
          <t>WIP</t>
        </is>
      </c>
      <c r="X2008" s="12" t="n"/>
      <c r="Y2008" s="1">
        <f>IF(X2008="","",X2008-A2008)</f>
        <v/>
      </c>
      <c r="Z2008" s="5" t="n">
        <v>46197</v>
      </c>
      <c r="AA2008" s="3" t="n"/>
      <c r="AB2008" s="3" t="n"/>
      <c r="AE2008" s="146">
        <f>IF(AND(F2008="Closed",X2008&gt;=DATE(2026,6,1),X2008&lt;=DATE(2026,6,30)),"Closed in June","other")</f>
        <v/>
      </c>
    </row>
    <row r="2009" hidden="1">
      <c r="A2009" s="49" t="n">
        <v>46177</v>
      </c>
      <c r="B2009" s="1" t="n">
        <v>2026</v>
      </c>
      <c r="C2009" s="8" t="inlineStr">
        <is>
          <t>Ayana</t>
        </is>
      </c>
      <c r="D2009" s="11" t="inlineStr">
        <is>
          <t>Utility and C&amp;I</t>
        </is>
      </c>
      <c r="E2009" s="1" t="n"/>
      <c r="F2009" s="1" t="inlineStr">
        <is>
          <t>WIP</t>
        </is>
      </c>
      <c r="G2009" s="11" t="inlineStr">
        <is>
          <t>Vasu.N</t>
        </is>
      </c>
      <c r="H2009" s="8" t="n">
        <v>9578099893</v>
      </c>
      <c r="I2009" s="10" t="inlineStr">
        <is>
          <t>PE04062601</t>
        </is>
      </c>
      <c r="J2009" s="28" t="inlineStr">
        <is>
          <t>Module burnt</t>
        </is>
      </c>
      <c r="K2009" s="8" t="inlineStr">
        <is>
          <t>Zura</t>
        </is>
      </c>
      <c r="L2009" s="39" t="inlineStr">
        <is>
          <t>Gujarat</t>
        </is>
      </c>
      <c r="M2009" s="2" t="inlineStr">
        <is>
          <t xml:space="preserve">Back glass broken </t>
        </is>
      </c>
      <c r="N2009" s="6" t="inlineStr">
        <is>
          <t>Module Breakage</t>
        </is>
      </c>
      <c r="O2009" s="32" t="n">
        <v>590</v>
      </c>
      <c r="P2009" s="2" t="inlineStr">
        <is>
          <t>NSMI24100630474</t>
        </is>
      </c>
      <c r="Q2009" s="29">
        <f>MID(P2009,5,2)</f>
        <v/>
      </c>
      <c r="R2009" s="14">
        <f>MID(P2009,7,2)</f>
        <v/>
      </c>
      <c r="S2009" s="6" t="inlineStr">
        <is>
          <t>G2G</t>
        </is>
      </c>
      <c r="T2009" s="1" t="inlineStr">
        <is>
          <t>P4 - PEIPL</t>
        </is>
      </c>
      <c r="U2009" s="6" t="inlineStr">
        <is>
          <t>Glass Breakage</t>
        </is>
      </c>
      <c r="V2009" s="1" t="inlineStr">
        <is>
          <t>Inspection</t>
        </is>
      </c>
      <c r="W2009" s="1" t="inlineStr">
        <is>
          <t>WIP</t>
        </is>
      </c>
      <c r="X2009" s="12" t="n"/>
      <c r="Y2009" s="1">
        <f>IF(X2009="","",X2009-A2009)</f>
        <v/>
      </c>
      <c r="Z2009" s="5" t="n">
        <v>46197</v>
      </c>
      <c r="AA2009" s="3" t="n"/>
      <c r="AB2009" s="3" t="n"/>
      <c r="AE2009" s="146">
        <f>IF(AND(F2009="Closed",X2009&gt;=DATE(2026,6,1),X2009&lt;=DATE(2026,6,30)),"Closed in June","other")</f>
        <v/>
      </c>
    </row>
    <row r="2010" hidden="1">
      <c r="A2010" s="49" t="n">
        <v>46177</v>
      </c>
      <c r="B2010" s="1" t="n">
        <v>2026</v>
      </c>
      <c r="C2010" s="8" t="inlineStr">
        <is>
          <t>Ayana</t>
        </is>
      </c>
      <c r="D2010" s="11" t="inlineStr">
        <is>
          <t>Utility and C&amp;I</t>
        </is>
      </c>
      <c r="E2010" s="1" t="n"/>
      <c r="F2010" s="1" t="inlineStr">
        <is>
          <t>WIP</t>
        </is>
      </c>
      <c r="G2010" s="11" t="inlineStr">
        <is>
          <t>Vasu.N</t>
        </is>
      </c>
      <c r="H2010" s="8" t="n">
        <v>9578099893</v>
      </c>
      <c r="I2010" s="10" t="inlineStr">
        <is>
          <t>PE04062601</t>
        </is>
      </c>
      <c r="J2010" s="28" t="inlineStr">
        <is>
          <t>Module burnt</t>
        </is>
      </c>
      <c r="K2010" s="8" t="inlineStr">
        <is>
          <t>Zura</t>
        </is>
      </c>
      <c r="L2010" s="39" t="inlineStr">
        <is>
          <t>Gujarat</t>
        </is>
      </c>
      <c r="M2010" s="2" t="inlineStr">
        <is>
          <t>Font glass broken with burn spot</t>
        </is>
      </c>
      <c r="N2010" s="6" t="inlineStr">
        <is>
          <t>Glass Breakage with Burn Spot</t>
        </is>
      </c>
      <c r="O2010" s="32" t="n">
        <v>590</v>
      </c>
      <c r="P2010" s="2" t="inlineStr">
        <is>
          <t>NSMI24110831738</t>
        </is>
      </c>
      <c r="Q2010" s="29">
        <f>MID(P2010,5,2)</f>
        <v/>
      </c>
      <c r="R2010" s="14">
        <f>MID(P2010,7,2)</f>
        <v/>
      </c>
      <c r="S2010" s="6" t="inlineStr">
        <is>
          <t>G2G</t>
        </is>
      </c>
      <c r="T2010" s="1" t="inlineStr">
        <is>
          <t>P4 - PEIPL</t>
        </is>
      </c>
      <c r="U2010" s="6" t="inlineStr">
        <is>
          <t>Glass Breakage with Burn Spot</t>
        </is>
      </c>
      <c r="V2010" s="1" t="inlineStr">
        <is>
          <t>Inspection</t>
        </is>
      </c>
      <c r="W2010" s="1" t="inlineStr">
        <is>
          <t>WIP</t>
        </is>
      </c>
      <c r="X2010" s="12" t="n"/>
      <c r="Y2010" s="1">
        <f>IF(X2010="","",X2010-A2010)</f>
        <v/>
      </c>
      <c r="Z2010" s="5" t="n">
        <v>46197</v>
      </c>
      <c r="AA2010" s="3" t="n"/>
      <c r="AB2010" s="3" t="n"/>
      <c r="AE2010" s="146">
        <f>IF(AND(F2010="Closed",X2010&gt;=DATE(2026,6,1),X2010&lt;=DATE(2026,6,30)),"Closed in June","other")</f>
        <v/>
      </c>
    </row>
    <row r="2011" hidden="1">
      <c r="A2011" s="49" t="n">
        <v>46177</v>
      </c>
      <c r="B2011" s="1" t="n">
        <v>2026</v>
      </c>
      <c r="C2011" s="8" t="inlineStr">
        <is>
          <t>Ayana</t>
        </is>
      </c>
      <c r="D2011" s="11" t="inlineStr">
        <is>
          <t>Utility and C&amp;I</t>
        </is>
      </c>
      <c r="E2011" s="1" t="n"/>
      <c r="F2011" s="1" t="inlineStr">
        <is>
          <t>WIP</t>
        </is>
      </c>
      <c r="G2011" s="11" t="inlineStr">
        <is>
          <t>Vasu.N</t>
        </is>
      </c>
      <c r="H2011" s="8" t="n">
        <v>9578099893</v>
      </c>
      <c r="I2011" s="10" t="inlineStr">
        <is>
          <t>PE04062601</t>
        </is>
      </c>
      <c r="J2011" s="28" t="inlineStr">
        <is>
          <t>Module burnt</t>
        </is>
      </c>
      <c r="K2011" s="8" t="inlineStr">
        <is>
          <t>Zura</t>
        </is>
      </c>
      <c r="L2011" s="39" t="inlineStr">
        <is>
          <t>Gujarat</t>
        </is>
      </c>
      <c r="M2011" s="2" t="inlineStr">
        <is>
          <t>Back glass broken</t>
        </is>
      </c>
      <c r="N2011" s="6" t="inlineStr">
        <is>
          <t>Module Breakage</t>
        </is>
      </c>
      <c r="O2011" s="32" t="n">
        <v>590</v>
      </c>
      <c r="P2011" s="2" t="inlineStr">
        <is>
          <t>NSMI24100588498</t>
        </is>
      </c>
      <c r="Q2011" s="29">
        <f>MID(P2011,5,2)</f>
        <v/>
      </c>
      <c r="R2011" s="14">
        <f>MID(P2011,7,2)</f>
        <v/>
      </c>
      <c r="S2011" s="6" t="inlineStr">
        <is>
          <t>G2G</t>
        </is>
      </c>
      <c r="T2011" s="1" t="inlineStr">
        <is>
          <t>P4 - PEIPL</t>
        </is>
      </c>
      <c r="U2011" s="6" t="inlineStr">
        <is>
          <t>Glass Breakage</t>
        </is>
      </c>
      <c r="V2011" s="1" t="inlineStr">
        <is>
          <t>Inspection</t>
        </is>
      </c>
      <c r="W2011" s="1" t="inlineStr">
        <is>
          <t>WIP</t>
        </is>
      </c>
      <c r="X2011" s="12" t="n"/>
      <c r="Y2011" s="1">
        <f>IF(X2011="","",X2011-A2011)</f>
        <v/>
      </c>
      <c r="Z2011" s="5" t="n">
        <v>46197</v>
      </c>
      <c r="AA2011" s="3" t="n"/>
      <c r="AB2011" s="3" t="n"/>
      <c r="AE2011" s="146">
        <f>IF(AND(F2011="Closed",X2011&gt;=DATE(2026,6,1),X2011&lt;=DATE(2026,6,30)),"Closed in June","other")</f>
        <v/>
      </c>
    </row>
    <row r="2012" hidden="1">
      <c r="A2012" s="49" t="n">
        <v>46177</v>
      </c>
      <c r="B2012" s="1" t="n">
        <v>2026</v>
      </c>
      <c r="C2012" s="8" t="inlineStr">
        <is>
          <t>Ayana</t>
        </is>
      </c>
      <c r="D2012" s="11" t="inlineStr">
        <is>
          <t>Utility and C&amp;I</t>
        </is>
      </c>
      <c r="E2012" s="1" t="n"/>
      <c r="F2012" s="1" t="inlineStr">
        <is>
          <t>WIP</t>
        </is>
      </c>
      <c r="G2012" s="11" t="inlineStr">
        <is>
          <t>Vasu.N</t>
        </is>
      </c>
      <c r="H2012" s="8" t="n">
        <v>9578099893</v>
      </c>
      <c r="I2012" s="10" t="inlineStr">
        <is>
          <t>PE04062601</t>
        </is>
      </c>
      <c r="J2012" s="28" t="inlineStr">
        <is>
          <t>Module burnt</t>
        </is>
      </c>
      <c r="K2012" s="8" t="inlineStr">
        <is>
          <t>Zura</t>
        </is>
      </c>
      <c r="L2012" s="39" t="inlineStr">
        <is>
          <t>Gujarat</t>
        </is>
      </c>
      <c r="M2012" s="2" t="inlineStr">
        <is>
          <t>Back glass broken</t>
        </is>
      </c>
      <c r="N2012" s="6" t="inlineStr">
        <is>
          <t>Module Breakage</t>
        </is>
      </c>
      <c r="O2012" s="32" t="n">
        <v>590</v>
      </c>
      <c r="P2012" s="2" t="inlineStr">
        <is>
          <t>NSMI24110834460</t>
        </is>
      </c>
      <c r="Q2012" s="29">
        <f>MID(P2012,5,2)</f>
        <v/>
      </c>
      <c r="R2012" s="14">
        <f>MID(P2012,7,2)</f>
        <v/>
      </c>
      <c r="S2012" s="6" t="inlineStr">
        <is>
          <t>G2G</t>
        </is>
      </c>
      <c r="T2012" s="1" t="inlineStr">
        <is>
          <t>P4 - PEIPL</t>
        </is>
      </c>
      <c r="U2012" s="6" t="inlineStr">
        <is>
          <t>Glass Breakage</t>
        </is>
      </c>
      <c r="V2012" s="1" t="inlineStr">
        <is>
          <t>Inspection</t>
        </is>
      </c>
      <c r="W2012" s="1" t="inlineStr">
        <is>
          <t>WIP</t>
        </is>
      </c>
      <c r="X2012" s="12" t="n"/>
      <c r="Y2012" s="1">
        <f>IF(X2012="","",X2012-A2012)</f>
        <v/>
      </c>
      <c r="Z2012" s="5" t="n">
        <v>46197</v>
      </c>
      <c r="AA2012" s="3" t="n"/>
      <c r="AB2012" s="3" t="n"/>
      <c r="AE2012" s="146">
        <f>IF(AND(F2012="Closed",X2012&gt;=DATE(2026,6,1),X2012&lt;=DATE(2026,6,30)),"Closed in June","other")</f>
        <v/>
      </c>
    </row>
    <row r="2013" hidden="1">
      <c r="A2013" s="49" t="n">
        <v>46177</v>
      </c>
      <c r="B2013" s="1" t="n">
        <v>2026</v>
      </c>
      <c r="C2013" s="8" t="inlineStr">
        <is>
          <t>Ayana</t>
        </is>
      </c>
      <c r="D2013" s="11" t="inlineStr">
        <is>
          <t>Utility and C&amp;I</t>
        </is>
      </c>
      <c r="E2013" s="1" t="n"/>
      <c r="F2013" s="1" t="inlineStr">
        <is>
          <t>WIP</t>
        </is>
      </c>
      <c r="G2013" s="11" t="inlineStr">
        <is>
          <t>Vasu.N</t>
        </is>
      </c>
      <c r="H2013" s="8" t="n">
        <v>9578099893</v>
      </c>
      <c r="I2013" s="10" t="inlineStr">
        <is>
          <t>PE04062601</t>
        </is>
      </c>
      <c r="J2013" s="28" t="inlineStr">
        <is>
          <t>Module burnt</t>
        </is>
      </c>
      <c r="K2013" s="8" t="inlineStr">
        <is>
          <t>Zura</t>
        </is>
      </c>
      <c r="L2013" s="39" t="inlineStr">
        <is>
          <t>Gujarat</t>
        </is>
      </c>
      <c r="M2013" s="2" t="inlineStr">
        <is>
          <t xml:space="preserve">damage </t>
        </is>
      </c>
      <c r="N2013" s="6" t="inlineStr">
        <is>
          <t>Module Breakage</t>
        </is>
      </c>
      <c r="O2013" s="32" t="n">
        <v>590</v>
      </c>
      <c r="P2013" s="2" t="inlineStr">
        <is>
          <t>NSMI24110796785</t>
        </is>
      </c>
      <c r="Q2013" s="29">
        <f>MID(P2013,5,2)</f>
        <v/>
      </c>
      <c r="R2013" s="14">
        <f>MID(P2013,7,2)</f>
        <v/>
      </c>
      <c r="S2013" s="6" t="inlineStr">
        <is>
          <t>G2G</t>
        </is>
      </c>
      <c r="T2013" s="1" t="inlineStr">
        <is>
          <t>P4 - PEIPL</t>
        </is>
      </c>
      <c r="U2013" s="2" t="inlineStr">
        <is>
          <t xml:space="preserve">JB FORCEFULLY BROKEN </t>
        </is>
      </c>
      <c r="V2013" s="1" t="inlineStr">
        <is>
          <t>Inspection</t>
        </is>
      </c>
      <c r="W2013" s="1" t="inlineStr">
        <is>
          <t>WIP</t>
        </is>
      </c>
      <c r="X2013" s="12" t="n"/>
      <c r="Y2013" s="1">
        <f>IF(X2013="","",X2013-A2013)</f>
        <v/>
      </c>
      <c r="Z2013" s="5" t="n">
        <v>46198</v>
      </c>
      <c r="AA2013" s="3" t="n"/>
      <c r="AB2013" s="3" t="n"/>
      <c r="AE2013" s="146">
        <f>IF(AND(F2013="Closed",X2013&gt;=DATE(2026,6,1),X2013&lt;=DATE(2026,6,30)),"Closed in June","other")</f>
        <v/>
      </c>
    </row>
    <row r="2014" hidden="1">
      <c r="A2014" s="49" t="n">
        <v>46177</v>
      </c>
      <c r="B2014" s="1" t="n">
        <v>2026</v>
      </c>
      <c r="C2014" s="8" t="inlineStr">
        <is>
          <t>Ayana</t>
        </is>
      </c>
      <c r="D2014" s="11" t="inlineStr">
        <is>
          <t>Utility and C&amp;I</t>
        </is>
      </c>
      <c r="E2014" s="1" t="n"/>
      <c r="F2014" s="1" t="inlineStr">
        <is>
          <t>Closed</t>
        </is>
      </c>
      <c r="G2014" s="11" t="inlineStr">
        <is>
          <t>Vasu.N</t>
        </is>
      </c>
      <c r="H2014" s="8" t="n">
        <v>9578099893</v>
      </c>
      <c r="I2014" s="10" t="inlineStr">
        <is>
          <t>PE04062601</t>
        </is>
      </c>
      <c r="J2014" s="28" t="inlineStr">
        <is>
          <t>Module burnt</t>
        </is>
      </c>
      <c r="K2014" s="8" t="inlineStr">
        <is>
          <t>Zura</t>
        </is>
      </c>
      <c r="L2014" s="39" t="inlineStr">
        <is>
          <t>Gujarat</t>
        </is>
      </c>
      <c r="M2014" s="2" t="inlineStr">
        <is>
          <t xml:space="preserve">damage </t>
        </is>
      </c>
      <c r="N2014" s="6" t="inlineStr">
        <is>
          <t>Module Breakage</t>
        </is>
      </c>
      <c r="O2014" s="32" t="n">
        <v>590</v>
      </c>
      <c r="P2014" s="2" t="inlineStr">
        <is>
          <t>NSMI24110796714</t>
        </is>
      </c>
      <c r="Q2014" s="29">
        <f>MID(P2014,5,2)</f>
        <v/>
      </c>
      <c r="R2014" s="14">
        <f>MID(P2014,7,2)</f>
        <v/>
      </c>
      <c r="S2014" s="6" t="inlineStr">
        <is>
          <t>G2G</t>
        </is>
      </c>
      <c r="T2014" s="1" t="inlineStr">
        <is>
          <t>P4 - PEIPL</t>
        </is>
      </c>
      <c r="U2014" s="2" t="inlineStr">
        <is>
          <t xml:space="preserve">physically damaged </t>
        </is>
      </c>
      <c r="V2014" s="1" t="inlineStr">
        <is>
          <t>Inspection</t>
        </is>
      </c>
      <c r="W2014" s="1" t="inlineStr">
        <is>
          <t>Rejected</t>
        </is>
      </c>
      <c r="X2014" s="5">
        <f>Z2014</f>
        <v/>
      </c>
      <c r="Y2014" s="1">
        <f>X2014-A2014</f>
        <v/>
      </c>
      <c r="Z2014" s="5" t="n">
        <v>46198</v>
      </c>
      <c r="AA2014" s="3" t="n"/>
      <c r="AB2014" s="3" t="n"/>
      <c r="AE2014" s="146">
        <f>IF(AND(F2014="Closed",X2014&gt;=DATE(2026,6,1),X2014&lt;=DATE(2026,6,30)),"Closed in June","other")</f>
        <v/>
      </c>
    </row>
    <row r="2015" hidden="1">
      <c r="A2015" s="49" t="n">
        <v>46177</v>
      </c>
      <c r="B2015" s="1" t="n">
        <v>2026</v>
      </c>
      <c r="C2015" s="8" t="inlineStr">
        <is>
          <t>Ayana</t>
        </is>
      </c>
      <c r="D2015" s="11" t="inlineStr">
        <is>
          <t>Utility and C&amp;I</t>
        </is>
      </c>
      <c r="E2015" s="1" t="n"/>
      <c r="F2015" s="1" t="inlineStr">
        <is>
          <t>Closed</t>
        </is>
      </c>
      <c r="G2015" s="11" t="inlineStr">
        <is>
          <t>Vasu.N</t>
        </is>
      </c>
      <c r="H2015" s="8" t="n">
        <v>9578099893</v>
      </c>
      <c r="I2015" s="10" t="inlineStr">
        <is>
          <t>PE04062601</t>
        </is>
      </c>
      <c r="J2015" s="28" t="inlineStr">
        <is>
          <t>Module burnt</t>
        </is>
      </c>
      <c r="K2015" s="8" t="inlineStr">
        <is>
          <t>Zura</t>
        </is>
      </c>
      <c r="L2015" s="39" t="inlineStr">
        <is>
          <t>Gujarat</t>
        </is>
      </c>
      <c r="M2015" s="2" t="inlineStr">
        <is>
          <t xml:space="preserve">damage </t>
        </is>
      </c>
      <c r="N2015" s="6" t="inlineStr">
        <is>
          <t>Module Breakage</t>
        </is>
      </c>
      <c r="O2015" s="32" t="n">
        <v>590</v>
      </c>
      <c r="P2015" s="2" t="inlineStr">
        <is>
          <t>NSMI24110796786</t>
        </is>
      </c>
      <c r="Q2015" s="29">
        <f>MID(P2015,5,2)</f>
        <v/>
      </c>
      <c r="R2015" s="14">
        <f>MID(P2015,7,2)</f>
        <v/>
      </c>
      <c r="S2015" s="6" t="inlineStr">
        <is>
          <t>G2G</t>
        </is>
      </c>
      <c r="T2015" s="1" t="inlineStr">
        <is>
          <t>P4 - PEIPL</t>
        </is>
      </c>
      <c r="U2015" s="2" t="inlineStr">
        <is>
          <t xml:space="preserve">physically damaged </t>
        </is>
      </c>
      <c r="V2015" s="1" t="inlineStr">
        <is>
          <t>Inspection</t>
        </is>
      </c>
      <c r="W2015" s="1" t="inlineStr">
        <is>
          <t>Rejected</t>
        </is>
      </c>
      <c r="X2015" s="5">
        <f>Z2015</f>
        <v/>
      </c>
      <c r="Y2015" s="1">
        <f>X2015-A2015</f>
        <v/>
      </c>
      <c r="Z2015" s="5" t="n">
        <v>46198</v>
      </c>
      <c r="AA2015" s="3" t="n"/>
      <c r="AB2015" s="3" t="n"/>
      <c r="AE2015" s="146">
        <f>IF(AND(F2015="Closed",X2015&gt;=DATE(2026,6,1),X2015&lt;=DATE(2026,6,30)),"Closed in June","other")</f>
        <v/>
      </c>
    </row>
    <row r="2016" hidden="1">
      <c r="A2016" s="49" t="n">
        <v>46177</v>
      </c>
      <c r="B2016" s="1" t="n">
        <v>2026</v>
      </c>
      <c r="C2016" s="8" t="inlineStr">
        <is>
          <t>Ayana</t>
        </is>
      </c>
      <c r="D2016" s="11" t="inlineStr">
        <is>
          <t>Utility and C&amp;I</t>
        </is>
      </c>
      <c r="E2016" s="1" t="n"/>
      <c r="F2016" s="1" t="inlineStr">
        <is>
          <t>Closed</t>
        </is>
      </c>
      <c r="G2016" s="11" t="inlineStr">
        <is>
          <t>Vasu.N</t>
        </is>
      </c>
      <c r="H2016" s="8" t="n">
        <v>9578099893</v>
      </c>
      <c r="I2016" s="10" t="inlineStr">
        <is>
          <t>PE04062601</t>
        </is>
      </c>
      <c r="J2016" s="28" t="inlineStr">
        <is>
          <t>Module burnt</t>
        </is>
      </c>
      <c r="K2016" s="8" t="inlineStr">
        <is>
          <t>Zura</t>
        </is>
      </c>
      <c r="L2016" s="39" t="inlineStr">
        <is>
          <t>Gujarat</t>
        </is>
      </c>
      <c r="M2016" s="2" t="inlineStr">
        <is>
          <t xml:space="preserve">damage </t>
        </is>
      </c>
      <c r="N2016" s="6" t="inlineStr">
        <is>
          <t>Module Breakage</t>
        </is>
      </c>
      <c r="O2016" s="32" t="n">
        <v>590</v>
      </c>
      <c r="P2016" s="2" t="inlineStr">
        <is>
          <t>NSMI24110796636</t>
        </is>
      </c>
      <c r="Q2016" s="29">
        <f>MID(P2016,5,2)</f>
        <v/>
      </c>
      <c r="R2016" s="14">
        <f>MID(P2016,7,2)</f>
        <v/>
      </c>
      <c r="S2016" s="6" t="inlineStr">
        <is>
          <t>G2G</t>
        </is>
      </c>
      <c r="T2016" s="1" t="inlineStr">
        <is>
          <t>P4 - PEIPL</t>
        </is>
      </c>
      <c r="U2016" s="2" t="inlineStr">
        <is>
          <t xml:space="preserve">physically damaged </t>
        </is>
      </c>
      <c r="V2016" s="1" t="inlineStr">
        <is>
          <t>Inspection</t>
        </is>
      </c>
      <c r="W2016" s="1" t="inlineStr">
        <is>
          <t>Rejected</t>
        </is>
      </c>
      <c r="X2016" s="5">
        <f>Z2016</f>
        <v/>
      </c>
      <c r="Y2016" s="1">
        <f>X2016-A2016</f>
        <v/>
      </c>
      <c r="Z2016" s="5" t="n">
        <v>46198</v>
      </c>
      <c r="AA2016" s="3" t="n"/>
      <c r="AB2016" s="3" t="n"/>
      <c r="AE2016" s="146">
        <f>IF(AND(F2016="Closed",X2016&gt;=DATE(2026,6,1),X2016&lt;=DATE(2026,6,30)),"Closed in June","other")</f>
        <v/>
      </c>
    </row>
    <row r="2017" hidden="1">
      <c r="A2017" s="49" t="n">
        <v>46177</v>
      </c>
      <c r="B2017" s="1" t="n">
        <v>2026</v>
      </c>
      <c r="C2017" s="8" t="inlineStr">
        <is>
          <t>Ayana</t>
        </is>
      </c>
      <c r="D2017" s="11" t="inlineStr">
        <is>
          <t>Utility and C&amp;I</t>
        </is>
      </c>
      <c r="E2017" s="1" t="n"/>
      <c r="F2017" s="1" t="inlineStr">
        <is>
          <t>Closed</t>
        </is>
      </c>
      <c r="G2017" s="11" t="inlineStr">
        <is>
          <t>Vasu.N</t>
        </is>
      </c>
      <c r="H2017" s="8" t="n">
        <v>9578099893</v>
      </c>
      <c r="I2017" s="10" t="inlineStr">
        <is>
          <t>PE04062601</t>
        </is>
      </c>
      <c r="J2017" s="28" t="inlineStr">
        <is>
          <t>Module burnt</t>
        </is>
      </c>
      <c r="K2017" s="8" t="inlineStr">
        <is>
          <t>Zura</t>
        </is>
      </c>
      <c r="L2017" s="39" t="inlineStr">
        <is>
          <t>Gujarat</t>
        </is>
      </c>
      <c r="M2017" s="2" t="inlineStr">
        <is>
          <t xml:space="preserve">damage </t>
        </is>
      </c>
      <c r="N2017" s="6" t="inlineStr">
        <is>
          <t>Module Breakage</t>
        </is>
      </c>
      <c r="O2017" s="32" t="n">
        <v>590</v>
      </c>
      <c r="P2017" s="2" t="inlineStr">
        <is>
          <t>NSMI24110796704</t>
        </is>
      </c>
      <c r="Q2017" s="29">
        <f>MID(P2017,5,2)</f>
        <v/>
      </c>
      <c r="R2017" s="14">
        <f>MID(P2017,7,2)</f>
        <v/>
      </c>
      <c r="S2017" s="6" t="inlineStr">
        <is>
          <t>G2G</t>
        </is>
      </c>
      <c r="T2017" s="1" t="inlineStr">
        <is>
          <t>P4 - PEIPL</t>
        </is>
      </c>
      <c r="U2017" s="2" t="inlineStr">
        <is>
          <t xml:space="preserve">physically damaged </t>
        </is>
      </c>
      <c r="V2017" s="1" t="inlineStr">
        <is>
          <t>Inspection</t>
        </is>
      </c>
      <c r="W2017" s="1" t="inlineStr">
        <is>
          <t>Rejected</t>
        </is>
      </c>
      <c r="X2017" s="5">
        <f>Z2017</f>
        <v/>
      </c>
      <c r="Y2017" s="1">
        <f>X2017-A2017</f>
        <v/>
      </c>
      <c r="Z2017" s="5" t="n">
        <v>46198</v>
      </c>
      <c r="AA2017" s="3" t="n"/>
      <c r="AB2017" s="3" t="n"/>
      <c r="AE2017" s="146">
        <f>IF(AND(F2017="Closed",X2017&gt;=DATE(2026,6,1),X2017&lt;=DATE(2026,6,30)),"Closed in June","other")</f>
        <v/>
      </c>
    </row>
    <row r="2018" hidden="1">
      <c r="A2018" s="49" t="n">
        <v>46177</v>
      </c>
      <c r="B2018" s="1" t="n">
        <v>2026</v>
      </c>
      <c r="C2018" s="8" t="inlineStr">
        <is>
          <t>Ayana</t>
        </is>
      </c>
      <c r="D2018" s="11" t="inlineStr">
        <is>
          <t>Utility and C&amp;I</t>
        </is>
      </c>
      <c r="E2018" s="1" t="n"/>
      <c r="F2018" s="1" t="inlineStr">
        <is>
          <t>Closed</t>
        </is>
      </c>
      <c r="G2018" s="11" t="inlineStr">
        <is>
          <t>Vasu.N</t>
        </is>
      </c>
      <c r="H2018" s="8" t="n">
        <v>9578099893</v>
      </c>
      <c r="I2018" s="10" t="inlineStr">
        <is>
          <t>PE04062601</t>
        </is>
      </c>
      <c r="J2018" s="28" t="inlineStr">
        <is>
          <t>Module burnt</t>
        </is>
      </c>
      <c r="K2018" s="8" t="inlineStr">
        <is>
          <t>Zura</t>
        </is>
      </c>
      <c r="L2018" s="39" t="inlineStr">
        <is>
          <t>Gujarat</t>
        </is>
      </c>
      <c r="M2018" s="2" t="inlineStr">
        <is>
          <t xml:space="preserve">damage </t>
        </is>
      </c>
      <c r="N2018" s="6" t="inlineStr">
        <is>
          <t>Module Breakage</t>
        </is>
      </c>
      <c r="O2018" s="32" t="n">
        <v>590</v>
      </c>
      <c r="P2018" s="2" t="inlineStr">
        <is>
          <t>NSMI24110796737</t>
        </is>
      </c>
      <c r="Q2018" s="29">
        <f>MID(P2018,5,2)</f>
        <v/>
      </c>
      <c r="R2018" s="14">
        <f>MID(P2018,7,2)</f>
        <v/>
      </c>
      <c r="S2018" s="6" t="inlineStr">
        <is>
          <t>G2G</t>
        </is>
      </c>
      <c r="T2018" s="1" t="inlineStr">
        <is>
          <t>P4 - PEIPL</t>
        </is>
      </c>
      <c r="U2018" s="2" t="inlineStr">
        <is>
          <t xml:space="preserve">physically damaged </t>
        </is>
      </c>
      <c r="V2018" s="1" t="inlineStr">
        <is>
          <t>Inspection</t>
        </is>
      </c>
      <c r="W2018" s="1" t="inlineStr">
        <is>
          <t>Rejected</t>
        </is>
      </c>
      <c r="X2018" s="5">
        <f>Z2018</f>
        <v/>
      </c>
      <c r="Y2018" s="1">
        <f>X2018-A2018</f>
        <v/>
      </c>
      <c r="Z2018" s="5" t="n">
        <v>46198</v>
      </c>
      <c r="AA2018" s="3" t="n"/>
      <c r="AB2018" s="3" t="n"/>
      <c r="AE2018" s="146">
        <f>IF(AND(F2018="Closed",X2018&gt;=DATE(2026,6,1),X2018&lt;=DATE(2026,6,30)),"Closed in June","other")</f>
        <v/>
      </c>
    </row>
    <row r="2019" hidden="1">
      <c r="A2019" s="49" t="n">
        <v>46177</v>
      </c>
      <c r="B2019" s="1" t="n">
        <v>2026</v>
      </c>
      <c r="C2019" s="8" t="inlineStr">
        <is>
          <t>Ayana</t>
        </is>
      </c>
      <c r="D2019" s="11" t="inlineStr">
        <is>
          <t>Utility and C&amp;I</t>
        </is>
      </c>
      <c r="E2019" s="1" t="n"/>
      <c r="F2019" s="1" t="inlineStr">
        <is>
          <t>Closed</t>
        </is>
      </c>
      <c r="G2019" s="11" t="inlineStr">
        <is>
          <t>Vasu.N</t>
        </is>
      </c>
      <c r="H2019" s="8" t="n">
        <v>9578099893</v>
      </c>
      <c r="I2019" s="10" t="inlineStr">
        <is>
          <t>PE04062601</t>
        </is>
      </c>
      <c r="J2019" s="28" t="inlineStr">
        <is>
          <t>Module burnt</t>
        </is>
      </c>
      <c r="K2019" s="8" t="inlineStr">
        <is>
          <t>Zura</t>
        </is>
      </c>
      <c r="L2019" s="39" t="inlineStr">
        <is>
          <t>Gujarat</t>
        </is>
      </c>
      <c r="M2019" s="2" t="inlineStr">
        <is>
          <t xml:space="preserve">damage </t>
        </is>
      </c>
      <c r="N2019" s="6" t="inlineStr">
        <is>
          <t>Module Breakage</t>
        </is>
      </c>
      <c r="O2019" s="32" t="n">
        <v>590</v>
      </c>
      <c r="P2019" s="2" t="inlineStr">
        <is>
          <t>NSMI24100689656</t>
        </is>
      </c>
      <c r="Q2019" s="29">
        <f>MID(P2019,5,2)</f>
        <v/>
      </c>
      <c r="R2019" s="14">
        <f>MID(P2019,7,2)</f>
        <v/>
      </c>
      <c r="S2019" s="6" t="inlineStr">
        <is>
          <t>G2G</t>
        </is>
      </c>
      <c r="T2019" s="1" t="inlineStr">
        <is>
          <t>P4 - PEIPL</t>
        </is>
      </c>
      <c r="U2019" s="2" t="inlineStr">
        <is>
          <t xml:space="preserve">physically damaged </t>
        </is>
      </c>
      <c r="V2019" s="1" t="inlineStr">
        <is>
          <t>Inspection</t>
        </is>
      </c>
      <c r="W2019" s="1" t="inlineStr">
        <is>
          <t>Rejected</t>
        </is>
      </c>
      <c r="X2019" s="5">
        <f>Z2019</f>
        <v/>
      </c>
      <c r="Y2019" s="1">
        <f>X2019-A2019</f>
        <v/>
      </c>
      <c r="Z2019" s="5" t="n">
        <v>46198</v>
      </c>
      <c r="AA2019" s="3" t="n"/>
      <c r="AB2019" s="3" t="n"/>
      <c r="AE2019" s="146">
        <f>IF(AND(F2019="Closed",X2019&gt;=DATE(2026,6,1),X2019&lt;=DATE(2026,6,30)),"Closed in June","other")</f>
        <v/>
      </c>
    </row>
    <row r="2020" hidden="1">
      <c r="A2020" s="49" t="n">
        <v>46177</v>
      </c>
      <c r="B2020" s="1" t="n">
        <v>2026</v>
      </c>
      <c r="C2020" s="8" t="inlineStr">
        <is>
          <t>Ayana</t>
        </is>
      </c>
      <c r="D2020" s="11" t="inlineStr">
        <is>
          <t>Utility and C&amp;I</t>
        </is>
      </c>
      <c r="E2020" s="1" t="n"/>
      <c r="F2020" s="1" t="inlineStr">
        <is>
          <t>Closed</t>
        </is>
      </c>
      <c r="G2020" s="11" t="inlineStr">
        <is>
          <t>Vasu.N</t>
        </is>
      </c>
      <c r="H2020" s="8" t="n">
        <v>9578099893</v>
      </c>
      <c r="I2020" s="10" t="inlineStr">
        <is>
          <t>PE04062601</t>
        </is>
      </c>
      <c r="J2020" s="28" t="inlineStr">
        <is>
          <t>Module burnt</t>
        </is>
      </c>
      <c r="K2020" s="8" t="inlineStr">
        <is>
          <t>Zura</t>
        </is>
      </c>
      <c r="L2020" s="39" t="inlineStr">
        <is>
          <t>Gujarat</t>
        </is>
      </c>
      <c r="M2020" s="2" t="inlineStr">
        <is>
          <t xml:space="preserve">damage </t>
        </is>
      </c>
      <c r="N2020" s="6" t="inlineStr">
        <is>
          <t>Module Breakage</t>
        </is>
      </c>
      <c r="O2020" s="32" t="n">
        <v>590</v>
      </c>
      <c r="P2020" s="2" t="inlineStr">
        <is>
          <t>NSMI24100682724</t>
        </is>
      </c>
      <c r="Q2020" s="29">
        <f>MID(P2020,5,2)</f>
        <v/>
      </c>
      <c r="R2020" s="14">
        <f>MID(P2020,7,2)</f>
        <v/>
      </c>
      <c r="S2020" s="6" t="inlineStr">
        <is>
          <t>G2G</t>
        </is>
      </c>
      <c r="T2020" s="1" t="inlineStr">
        <is>
          <t>P4 - PEIPL</t>
        </is>
      </c>
      <c r="U2020" s="2" t="inlineStr">
        <is>
          <t xml:space="preserve">physically damaged </t>
        </is>
      </c>
      <c r="V2020" s="1" t="inlineStr">
        <is>
          <t>Inspection</t>
        </is>
      </c>
      <c r="W2020" s="1" t="inlineStr">
        <is>
          <t>Rejected</t>
        </is>
      </c>
      <c r="X2020" s="5">
        <f>Z2020</f>
        <v/>
      </c>
      <c r="Y2020" s="1">
        <f>X2020-A2020</f>
        <v/>
      </c>
      <c r="Z2020" s="5" t="n">
        <v>46198</v>
      </c>
      <c r="AA2020" s="3" t="n"/>
      <c r="AB2020" s="3" t="n"/>
      <c r="AE2020" s="146">
        <f>IF(AND(F2020="Closed",X2020&gt;=DATE(2026,6,1),X2020&lt;=DATE(2026,6,30)),"Closed in June","other")</f>
        <v/>
      </c>
    </row>
    <row r="2021" hidden="1">
      <c r="A2021" s="49" t="n">
        <v>46177</v>
      </c>
      <c r="B2021" s="1" t="n">
        <v>2026</v>
      </c>
      <c r="C2021" s="8" t="inlineStr">
        <is>
          <t>Ayana</t>
        </is>
      </c>
      <c r="D2021" s="11" t="inlineStr">
        <is>
          <t>Utility and C&amp;I</t>
        </is>
      </c>
      <c r="E2021" s="1" t="n"/>
      <c r="F2021" s="1" t="inlineStr">
        <is>
          <t>Closed</t>
        </is>
      </c>
      <c r="G2021" s="11" t="inlineStr">
        <is>
          <t>Vasu.N</t>
        </is>
      </c>
      <c r="H2021" s="8" t="n">
        <v>9578099893</v>
      </c>
      <c r="I2021" s="10" t="inlineStr">
        <is>
          <t>PE04062601</t>
        </is>
      </c>
      <c r="J2021" s="28" t="inlineStr">
        <is>
          <t>Module burnt</t>
        </is>
      </c>
      <c r="K2021" s="8" t="inlineStr">
        <is>
          <t>Zura</t>
        </is>
      </c>
      <c r="L2021" s="39" t="inlineStr">
        <is>
          <t>Gujarat</t>
        </is>
      </c>
      <c r="M2021" s="2" t="inlineStr">
        <is>
          <t xml:space="preserve">damage </t>
        </is>
      </c>
      <c r="N2021" s="6" t="inlineStr">
        <is>
          <t>Module Breakage</t>
        </is>
      </c>
      <c r="O2021" s="32" t="n">
        <v>590</v>
      </c>
      <c r="P2021" s="2" t="inlineStr">
        <is>
          <t>NSMI24100667284</t>
        </is>
      </c>
      <c r="Q2021" s="29">
        <f>MID(P2021,5,2)</f>
        <v/>
      </c>
      <c r="R2021" s="14">
        <f>MID(P2021,7,2)</f>
        <v/>
      </c>
      <c r="S2021" s="6" t="inlineStr">
        <is>
          <t>G2G</t>
        </is>
      </c>
      <c r="T2021" s="1" t="inlineStr">
        <is>
          <t>P4 - PEIPL</t>
        </is>
      </c>
      <c r="U2021" s="2" t="inlineStr">
        <is>
          <t xml:space="preserve">physically damaged </t>
        </is>
      </c>
      <c r="V2021" s="1" t="inlineStr">
        <is>
          <t>Inspection</t>
        </is>
      </c>
      <c r="W2021" s="1" t="inlineStr">
        <is>
          <t>Rejected</t>
        </is>
      </c>
      <c r="X2021" s="5">
        <f>Z2021</f>
        <v/>
      </c>
      <c r="Y2021" s="1">
        <f>X2021-A2021</f>
        <v/>
      </c>
      <c r="Z2021" s="5" t="n">
        <v>46198</v>
      </c>
      <c r="AA2021" s="3" t="n"/>
      <c r="AB2021" s="3" t="n"/>
      <c r="AE2021" s="146">
        <f>IF(AND(F2021="Closed",X2021&gt;=DATE(2026,6,1),X2021&lt;=DATE(2026,6,30)),"Closed in June","other")</f>
        <v/>
      </c>
    </row>
    <row r="2022" hidden="1">
      <c r="A2022" s="49" t="n">
        <v>46177</v>
      </c>
      <c r="B2022" s="1" t="n">
        <v>2026</v>
      </c>
      <c r="C2022" s="8" t="inlineStr">
        <is>
          <t>Ayana</t>
        </is>
      </c>
      <c r="D2022" s="11" t="inlineStr">
        <is>
          <t>Utility and C&amp;I</t>
        </is>
      </c>
      <c r="E2022" s="1" t="n"/>
      <c r="F2022" s="1" t="inlineStr">
        <is>
          <t>Closed</t>
        </is>
      </c>
      <c r="G2022" s="11" t="inlineStr">
        <is>
          <t>Vasu.N</t>
        </is>
      </c>
      <c r="H2022" s="8" t="n">
        <v>9578099893</v>
      </c>
      <c r="I2022" s="10" t="inlineStr">
        <is>
          <t>PE04062601</t>
        </is>
      </c>
      <c r="J2022" s="28" t="inlineStr">
        <is>
          <t>Module burnt</t>
        </is>
      </c>
      <c r="K2022" s="8" t="inlineStr">
        <is>
          <t>Zura</t>
        </is>
      </c>
      <c r="L2022" s="39" t="inlineStr">
        <is>
          <t>Gujarat</t>
        </is>
      </c>
      <c r="M2022" s="2" t="inlineStr">
        <is>
          <t xml:space="preserve">damage </t>
        </is>
      </c>
      <c r="N2022" s="6" t="inlineStr">
        <is>
          <t>Module Breakage</t>
        </is>
      </c>
      <c r="O2022" s="32" t="n">
        <v>590</v>
      </c>
      <c r="P2022" s="2" t="inlineStr">
        <is>
          <t>NSMI24100667294</t>
        </is>
      </c>
      <c r="Q2022" s="29">
        <f>MID(P2022,5,2)</f>
        <v/>
      </c>
      <c r="R2022" s="14">
        <f>MID(P2022,7,2)</f>
        <v/>
      </c>
      <c r="S2022" s="6" t="inlineStr">
        <is>
          <t>G2G</t>
        </is>
      </c>
      <c r="T2022" s="1" t="inlineStr">
        <is>
          <t>P4 - PEIPL</t>
        </is>
      </c>
      <c r="U2022" s="2" t="inlineStr">
        <is>
          <t xml:space="preserve">physically damaged </t>
        </is>
      </c>
      <c r="V2022" s="1" t="inlineStr">
        <is>
          <t>Inspection</t>
        </is>
      </c>
      <c r="W2022" s="1" t="inlineStr">
        <is>
          <t>Rejected</t>
        </is>
      </c>
      <c r="X2022" s="5">
        <f>Z2022</f>
        <v/>
      </c>
      <c r="Y2022" s="1">
        <f>X2022-A2022</f>
        <v/>
      </c>
      <c r="Z2022" s="5" t="n">
        <v>46198</v>
      </c>
      <c r="AA2022" s="3" t="n"/>
      <c r="AB2022" s="3" t="n"/>
      <c r="AE2022" s="146">
        <f>IF(AND(F2022="Closed",X2022&gt;=DATE(2026,6,1),X2022&lt;=DATE(2026,6,30)),"Closed in June","other")</f>
        <v/>
      </c>
    </row>
    <row r="2023" hidden="1">
      <c r="A2023" s="49" t="n">
        <v>46177</v>
      </c>
      <c r="B2023" s="1" t="n">
        <v>2026</v>
      </c>
      <c r="C2023" s="8" t="inlineStr">
        <is>
          <t>Ayana</t>
        </is>
      </c>
      <c r="D2023" s="11" t="inlineStr">
        <is>
          <t>Utility and C&amp;I</t>
        </is>
      </c>
      <c r="E2023" s="1" t="n"/>
      <c r="F2023" s="1" t="inlineStr">
        <is>
          <t>Closed</t>
        </is>
      </c>
      <c r="G2023" s="11" t="inlineStr">
        <is>
          <t>Vasu.N</t>
        </is>
      </c>
      <c r="H2023" s="8" t="n">
        <v>9578099893</v>
      </c>
      <c r="I2023" s="10" t="inlineStr">
        <is>
          <t>PE04062601</t>
        </is>
      </c>
      <c r="J2023" s="28" t="inlineStr">
        <is>
          <t>Module burnt</t>
        </is>
      </c>
      <c r="K2023" s="8" t="inlineStr">
        <is>
          <t>Zura</t>
        </is>
      </c>
      <c r="L2023" s="39" t="inlineStr">
        <is>
          <t>Gujarat</t>
        </is>
      </c>
      <c r="M2023" s="2" t="inlineStr">
        <is>
          <t xml:space="preserve">damage </t>
        </is>
      </c>
      <c r="N2023" s="6" t="inlineStr">
        <is>
          <t>Module Breakage</t>
        </is>
      </c>
      <c r="O2023" s="32" t="n">
        <v>590</v>
      </c>
      <c r="P2023" s="2" t="inlineStr">
        <is>
          <t>NSMI24100650374</t>
        </is>
      </c>
      <c r="Q2023" s="29">
        <f>MID(P2023,5,2)</f>
        <v/>
      </c>
      <c r="R2023" s="14">
        <f>MID(P2023,7,2)</f>
        <v/>
      </c>
      <c r="S2023" s="6" t="inlineStr">
        <is>
          <t>G2G</t>
        </is>
      </c>
      <c r="T2023" s="1" t="inlineStr">
        <is>
          <t>P4 - PEIPL</t>
        </is>
      </c>
      <c r="U2023" s="2" t="inlineStr">
        <is>
          <t xml:space="preserve">physically damaged </t>
        </is>
      </c>
      <c r="V2023" s="1" t="inlineStr">
        <is>
          <t>Inspection</t>
        </is>
      </c>
      <c r="W2023" s="1" t="inlineStr">
        <is>
          <t>Rejected</t>
        </is>
      </c>
      <c r="X2023" s="5">
        <f>Z2023</f>
        <v/>
      </c>
      <c r="Y2023" s="1">
        <f>X2023-A2023</f>
        <v/>
      </c>
      <c r="Z2023" s="5" t="n">
        <v>46198</v>
      </c>
      <c r="AA2023" s="3" t="n"/>
      <c r="AB2023" s="3" t="n"/>
      <c r="AE2023" s="146">
        <f>IF(AND(F2023="Closed",X2023&gt;=DATE(2026,6,1),X2023&lt;=DATE(2026,6,30)),"Closed in June","other")</f>
        <v/>
      </c>
    </row>
    <row r="2024" hidden="1">
      <c r="A2024" s="49" t="n">
        <v>46177</v>
      </c>
      <c r="B2024" s="1" t="n">
        <v>2026</v>
      </c>
      <c r="C2024" s="8" t="inlineStr">
        <is>
          <t>Ayana</t>
        </is>
      </c>
      <c r="D2024" s="11" t="inlineStr">
        <is>
          <t>Utility and C&amp;I</t>
        </is>
      </c>
      <c r="E2024" s="1" t="n"/>
      <c r="F2024" s="1" t="inlineStr">
        <is>
          <t>Closed</t>
        </is>
      </c>
      <c r="G2024" s="11" t="inlineStr">
        <is>
          <t>Vasu.N</t>
        </is>
      </c>
      <c r="H2024" s="8" t="n">
        <v>9578099893</v>
      </c>
      <c r="I2024" s="10" t="inlineStr">
        <is>
          <t>PE04062601</t>
        </is>
      </c>
      <c r="J2024" s="28" t="inlineStr">
        <is>
          <t>Module burnt</t>
        </is>
      </c>
      <c r="K2024" s="8" t="inlineStr">
        <is>
          <t>Zura</t>
        </is>
      </c>
      <c r="L2024" s="39" t="inlineStr">
        <is>
          <t>Gujarat</t>
        </is>
      </c>
      <c r="M2024" s="2" t="inlineStr">
        <is>
          <t xml:space="preserve">damage </t>
        </is>
      </c>
      <c r="N2024" s="6" t="inlineStr">
        <is>
          <t>Module Breakage</t>
        </is>
      </c>
      <c r="O2024" s="32" t="n">
        <v>590</v>
      </c>
      <c r="P2024" s="2" t="inlineStr">
        <is>
          <t>NSMI24100650289</t>
        </is>
      </c>
      <c r="Q2024" s="29">
        <f>MID(P2024,5,2)</f>
        <v/>
      </c>
      <c r="R2024" s="14">
        <f>MID(P2024,7,2)</f>
        <v/>
      </c>
      <c r="S2024" s="6" t="inlineStr">
        <is>
          <t>G2G</t>
        </is>
      </c>
      <c r="T2024" s="1" t="inlineStr">
        <is>
          <t>P4 - PEIPL</t>
        </is>
      </c>
      <c r="U2024" s="2" t="inlineStr">
        <is>
          <t xml:space="preserve">physically damaged </t>
        </is>
      </c>
      <c r="V2024" s="1" t="inlineStr">
        <is>
          <t>Inspection</t>
        </is>
      </c>
      <c r="W2024" s="1" t="inlineStr">
        <is>
          <t>Rejected</t>
        </is>
      </c>
      <c r="X2024" s="5">
        <f>Z2024</f>
        <v/>
      </c>
      <c r="Y2024" s="1">
        <f>X2024-A2024</f>
        <v/>
      </c>
      <c r="Z2024" s="5" t="n">
        <v>46198</v>
      </c>
      <c r="AA2024" s="3" t="n"/>
      <c r="AB2024" s="3" t="n"/>
      <c r="AE2024" s="146">
        <f>IF(AND(F2024="Closed",X2024&gt;=DATE(2026,6,1),X2024&lt;=DATE(2026,6,30)),"Closed in June","other")</f>
        <v/>
      </c>
    </row>
    <row r="2025" hidden="1">
      <c r="A2025" s="49" t="n">
        <v>46177</v>
      </c>
      <c r="B2025" s="1" t="n">
        <v>2026</v>
      </c>
      <c r="C2025" s="8" t="inlineStr">
        <is>
          <t>Ayana</t>
        </is>
      </c>
      <c r="D2025" s="11" t="inlineStr">
        <is>
          <t>Utility and C&amp;I</t>
        </is>
      </c>
      <c r="E2025" s="1" t="n"/>
      <c r="F2025" s="1" t="inlineStr">
        <is>
          <t>Closed</t>
        </is>
      </c>
      <c r="G2025" s="11" t="inlineStr">
        <is>
          <t>Vasu.N</t>
        </is>
      </c>
      <c r="H2025" s="8" t="n">
        <v>9578099893</v>
      </c>
      <c r="I2025" s="10" t="inlineStr">
        <is>
          <t>PE04062601</t>
        </is>
      </c>
      <c r="J2025" s="28" t="inlineStr">
        <is>
          <t>Module burnt</t>
        </is>
      </c>
      <c r="K2025" s="8" t="inlineStr">
        <is>
          <t>Zura</t>
        </is>
      </c>
      <c r="L2025" s="39" t="inlineStr">
        <is>
          <t>Gujarat</t>
        </is>
      </c>
      <c r="M2025" s="2" t="inlineStr">
        <is>
          <t xml:space="preserve">damage </t>
        </is>
      </c>
      <c r="N2025" s="6" t="inlineStr">
        <is>
          <t>Module Breakage</t>
        </is>
      </c>
      <c r="O2025" s="32" t="n">
        <v>590</v>
      </c>
      <c r="P2025" s="2" t="inlineStr">
        <is>
          <t>NSMI24100683102</t>
        </is>
      </c>
      <c r="Q2025" s="29">
        <f>MID(P2025,5,2)</f>
        <v/>
      </c>
      <c r="R2025" s="14">
        <f>MID(P2025,7,2)</f>
        <v/>
      </c>
      <c r="S2025" s="6" t="inlineStr">
        <is>
          <t>G2G</t>
        </is>
      </c>
      <c r="T2025" s="1" t="inlineStr">
        <is>
          <t>P4 - PEIPL</t>
        </is>
      </c>
      <c r="U2025" s="2" t="inlineStr">
        <is>
          <t xml:space="preserve">physically damaged </t>
        </is>
      </c>
      <c r="V2025" s="1" t="inlineStr">
        <is>
          <t>Inspection</t>
        </is>
      </c>
      <c r="W2025" s="1" t="inlineStr">
        <is>
          <t>Rejected</t>
        </is>
      </c>
      <c r="X2025" s="5">
        <f>Z2025</f>
        <v/>
      </c>
      <c r="Y2025" s="1">
        <f>X2025-A2025</f>
        <v/>
      </c>
      <c r="Z2025" s="5" t="n">
        <v>46198</v>
      </c>
      <c r="AA2025" s="3" t="n"/>
      <c r="AB2025" s="3" t="n"/>
      <c r="AE2025" s="146">
        <f>IF(AND(F2025="Closed",X2025&gt;=DATE(2026,6,1),X2025&lt;=DATE(2026,6,30)),"Closed in June","other")</f>
        <v/>
      </c>
    </row>
    <row r="2026" hidden="1">
      <c r="A2026" s="49" t="n">
        <v>46177</v>
      </c>
      <c r="B2026" s="1" t="n">
        <v>2026</v>
      </c>
      <c r="C2026" s="8" t="inlineStr">
        <is>
          <t>Ayana</t>
        </is>
      </c>
      <c r="D2026" s="11" t="inlineStr">
        <is>
          <t>Utility and C&amp;I</t>
        </is>
      </c>
      <c r="E2026" s="1" t="n"/>
      <c r="F2026" s="1" t="inlineStr">
        <is>
          <t>Closed</t>
        </is>
      </c>
      <c r="G2026" s="11" t="inlineStr">
        <is>
          <t>Vasu.N</t>
        </is>
      </c>
      <c r="H2026" s="8" t="n">
        <v>9578099893</v>
      </c>
      <c r="I2026" s="10" t="inlineStr">
        <is>
          <t>PE04062601</t>
        </is>
      </c>
      <c r="J2026" s="28" t="inlineStr">
        <is>
          <t>Module burnt</t>
        </is>
      </c>
      <c r="K2026" s="8" t="inlineStr">
        <is>
          <t>Zura</t>
        </is>
      </c>
      <c r="L2026" s="39" t="inlineStr">
        <is>
          <t>Gujarat</t>
        </is>
      </c>
      <c r="M2026" s="2" t="inlineStr">
        <is>
          <t xml:space="preserve">damage </t>
        </is>
      </c>
      <c r="N2026" s="6" t="inlineStr">
        <is>
          <t>Module Breakage</t>
        </is>
      </c>
      <c r="O2026" s="32" t="n">
        <v>590</v>
      </c>
      <c r="P2026" s="2" t="inlineStr">
        <is>
          <t>NSMI24100688096</t>
        </is>
      </c>
      <c r="Q2026" s="29">
        <f>MID(P2026,5,2)</f>
        <v/>
      </c>
      <c r="R2026" s="14">
        <f>MID(P2026,7,2)</f>
        <v/>
      </c>
      <c r="S2026" s="6" t="inlineStr">
        <is>
          <t>G2G</t>
        </is>
      </c>
      <c r="T2026" s="1" t="inlineStr">
        <is>
          <t>P4 - PEIPL</t>
        </is>
      </c>
      <c r="U2026" s="2" t="inlineStr">
        <is>
          <t xml:space="preserve">physically damaged </t>
        </is>
      </c>
      <c r="V2026" s="1" t="inlineStr">
        <is>
          <t>Inspection</t>
        </is>
      </c>
      <c r="W2026" s="1" t="inlineStr">
        <is>
          <t>Rejected</t>
        </is>
      </c>
      <c r="X2026" s="5">
        <f>Z2026</f>
        <v/>
      </c>
      <c r="Y2026" s="1">
        <f>X2026-A2026</f>
        <v/>
      </c>
      <c r="Z2026" s="5" t="n">
        <v>46198</v>
      </c>
      <c r="AA2026" s="3" t="n"/>
      <c r="AB2026" s="3" t="n"/>
      <c r="AE2026" s="146">
        <f>IF(AND(F2026="Closed",X2026&gt;=DATE(2026,6,1),X2026&lt;=DATE(2026,6,30)),"Closed in June","other")</f>
        <v/>
      </c>
    </row>
    <row r="2027" hidden="1">
      <c r="A2027" s="49" t="n">
        <v>46177</v>
      </c>
      <c r="B2027" s="1" t="n">
        <v>2026</v>
      </c>
      <c r="C2027" s="8" t="inlineStr">
        <is>
          <t>Ayana</t>
        </is>
      </c>
      <c r="D2027" s="11" t="inlineStr">
        <is>
          <t>Utility and C&amp;I</t>
        </is>
      </c>
      <c r="E2027" s="1" t="n"/>
      <c r="F2027" s="1" t="inlineStr">
        <is>
          <t>Closed</t>
        </is>
      </c>
      <c r="G2027" s="11" t="inlineStr">
        <is>
          <t>Vasu.N</t>
        </is>
      </c>
      <c r="H2027" s="8" t="n">
        <v>9578099893</v>
      </c>
      <c r="I2027" s="10" t="inlineStr">
        <is>
          <t>PE04062601</t>
        </is>
      </c>
      <c r="J2027" s="28" t="inlineStr">
        <is>
          <t>Module burnt</t>
        </is>
      </c>
      <c r="K2027" s="8" t="inlineStr">
        <is>
          <t>Zura</t>
        </is>
      </c>
      <c r="L2027" s="39" t="inlineStr">
        <is>
          <t>Gujarat</t>
        </is>
      </c>
      <c r="M2027" s="2" t="inlineStr">
        <is>
          <t xml:space="preserve">damage </t>
        </is>
      </c>
      <c r="N2027" s="6" t="inlineStr">
        <is>
          <t>Module Breakage</t>
        </is>
      </c>
      <c r="O2027" s="32" t="n">
        <v>590</v>
      </c>
      <c r="P2027" s="2" t="inlineStr">
        <is>
          <t>NSMI24100686792</t>
        </is>
      </c>
      <c r="Q2027" s="29">
        <f>MID(P2027,5,2)</f>
        <v/>
      </c>
      <c r="R2027" s="14">
        <f>MID(P2027,7,2)</f>
        <v/>
      </c>
      <c r="S2027" s="6" t="inlineStr">
        <is>
          <t>G2G</t>
        </is>
      </c>
      <c r="T2027" s="1" t="inlineStr">
        <is>
          <t>P4 - PEIPL</t>
        </is>
      </c>
      <c r="U2027" s="2" t="inlineStr">
        <is>
          <t xml:space="preserve">physically damaged </t>
        </is>
      </c>
      <c r="V2027" s="1" t="inlineStr">
        <is>
          <t>Inspection</t>
        </is>
      </c>
      <c r="W2027" s="1" t="inlineStr">
        <is>
          <t>Rejected</t>
        </is>
      </c>
      <c r="X2027" s="5">
        <f>Z2027</f>
        <v/>
      </c>
      <c r="Y2027" s="1">
        <f>X2027-A2027</f>
        <v/>
      </c>
      <c r="Z2027" s="5" t="n">
        <v>46198</v>
      </c>
      <c r="AA2027" s="3" t="n"/>
      <c r="AB2027" s="3" t="n"/>
      <c r="AE2027" s="146">
        <f>IF(AND(F2027="Closed",X2027&gt;=DATE(2026,6,1),X2027&lt;=DATE(2026,6,30)),"Closed in June","other")</f>
        <v/>
      </c>
    </row>
    <row r="2028" hidden="1">
      <c r="A2028" s="49" t="n">
        <v>46177</v>
      </c>
      <c r="B2028" s="1" t="n">
        <v>2026</v>
      </c>
      <c r="C2028" s="8" t="inlineStr">
        <is>
          <t>Ayana</t>
        </is>
      </c>
      <c r="D2028" s="11" t="inlineStr">
        <is>
          <t>Utility and C&amp;I</t>
        </is>
      </c>
      <c r="E2028" s="1" t="n"/>
      <c r="F2028" s="1" t="inlineStr">
        <is>
          <t>Closed</t>
        </is>
      </c>
      <c r="G2028" s="11" t="inlineStr">
        <is>
          <t>Vasu.N</t>
        </is>
      </c>
      <c r="H2028" s="8" t="n">
        <v>9578099893</v>
      </c>
      <c r="I2028" s="10" t="inlineStr">
        <is>
          <t>PE04062601</t>
        </is>
      </c>
      <c r="J2028" s="28" t="inlineStr">
        <is>
          <t>Module burnt</t>
        </is>
      </c>
      <c r="K2028" s="8" t="inlineStr">
        <is>
          <t>Zura</t>
        </is>
      </c>
      <c r="L2028" s="39" t="inlineStr">
        <is>
          <t>Gujarat</t>
        </is>
      </c>
      <c r="M2028" s="2" t="inlineStr">
        <is>
          <t xml:space="preserve">damage </t>
        </is>
      </c>
      <c r="N2028" s="6" t="inlineStr">
        <is>
          <t>Module Breakage</t>
        </is>
      </c>
      <c r="O2028" s="32" t="n">
        <v>590</v>
      </c>
      <c r="P2028" s="2" t="inlineStr">
        <is>
          <t>NSMI24100687651</t>
        </is>
      </c>
      <c r="Q2028" s="29">
        <f>MID(P2028,5,2)</f>
        <v/>
      </c>
      <c r="R2028" s="14">
        <f>MID(P2028,7,2)</f>
        <v/>
      </c>
      <c r="S2028" s="6" t="inlineStr">
        <is>
          <t>G2G</t>
        </is>
      </c>
      <c r="T2028" s="1" t="inlineStr">
        <is>
          <t>P4 - PEIPL</t>
        </is>
      </c>
      <c r="U2028" s="2" t="inlineStr">
        <is>
          <t xml:space="preserve">physically damaged </t>
        </is>
      </c>
      <c r="V2028" s="1" t="inlineStr">
        <is>
          <t>Inspection</t>
        </is>
      </c>
      <c r="W2028" s="1" t="inlineStr">
        <is>
          <t>Rejected</t>
        </is>
      </c>
      <c r="X2028" s="5">
        <f>Z2028</f>
        <v/>
      </c>
      <c r="Y2028" s="1">
        <f>X2028-A2028</f>
        <v/>
      </c>
      <c r="Z2028" s="5" t="n">
        <v>46198</v>
      </c>
      <c r="AA2028" s="3" t="n"/>
      <c r="AB2028" s="3" t="n"/>
      <c r="AE2028" s="146">
        <f>IF(AND(F2028="Closed",X2028&gt;=DATE(2026,6,1),X2028&lt;=DATE(2026,6,30)),"Closed in June","other")</f>
        <v/>
      </c>
    </row>
    <row r="2029" hidden="1">
      <c r="A2029" s="49" t="n">
        <v>46177</v>
      </c>
      <c r="B2029" s="1" t="n">
        <v>2026</v>
      </c>
      <c r="C2029" s="8" t="inlineStr">
        <is>
          <t>Ayana</t>
        </is>
      </c>
      <c r="D2029" s="11" t="inlineStr">
        <is>
          <t>Utility and C&amp;I</t>
        </is>
      </c>
      <c r="E2029" s="1" t="n"/>
      <c r="F2029" s="1" t="inlineStr">
        <is>
          <t>Closed</t>
        </is>
      </c>
      <c r="G2029" s="11" t="inlineStr">
        <is>
          <t>Vasu.N</t>
        </is>
      </c>
      <c r="H2029" s="8" t="n">
        <v>9578099893</v>
      </c>
      <c r="I2029" s="10" t="inlineStr">
        <is>
          <t>PE04062601</t>
        </is>
      </c>
      <c r="J2029" s="28" t="inlineStr">
        <is>
          <t>Module burnt</t>
        </is>
      </c>
      <c r="K2029" s="8" t="inlineStr">
        <is>
          <t>Zura</t>
        </is>
      </c>
      <c r="L2029" s="39" t="inlineStr">
        <is>
          <t>Gujarat</t>
        </is>
      </c>
      <c r="M2029" s="2" t="inlineStr">
        <is>
          <t xml:space="preserve">damage </t>
        </is>
      </c>
      <c r="N2029" s="6" t="inlineStr">
        <is>
          <t>Module Breakage</t>
        </is>
      </c>
      <c r="O2029" s="32" t="n">
        <v>590</v>
      </c>
      <c r="P2029" s="2" t="inlineStr">
        <is>
          <t>NSMI24110854381</t>
        </is>
      </c>
      <c r="Q2029" s="29">
        <f>MID(P2029,5,2)</f>
        <v/>
      </c>
      <c r="R2029" s="14">
        <f>MID(P2029,7,2)</f>
        <v/>
      </c>
      <c r="S2029" s="6" t="inlineStr">
        <is>
          <t>G2G</t>
        </is>
      </c>
      <c r="T2029" s="1" t="inlineStr">
        <is>
          <t>P4 - PEIPL</t>
        </is>
      </c>
      <c r="U2029" s="2" t="inlineStr">
        <is>
          <t xml:space="preserve">physically damaged </t>
        </is>
      </c>
      <c r="V2029" s="1" t="inlineStr">
        <is>
          <t>Inspection</t>
        </is>
      </c>
      <c r="W2029" s="1" t="inlineStr">
        <is>
          <t>Rejected</t>
        </is>
      </c>
      <c r="X2029" s="5">
        <f>Z2029</f>
        <v/>
      </c>
      <c r="Y2029" s="1">
        <f>X2029-A2029</f>
        <v/>
      </c>
      <c r="Z2029" s="5" t="n">
        <v>46198</v>
      </c>
      <c r="AA2029" s="3" t="n"/>
      <c r="AB2029" s="3" t="n"/>
      <c r="AE2029" s="146">
        <f>IF(AND(F2029="Closed",X2029&gt;=DATE(2026,6,1),X2029&lt;=DATE(2026,6,30)),"Closed in June","other")</f>
        <v/>
      </c>
    </row>
    <row r="2030" hidden="1">
      <c r="A2030" s="49" t="n">
        <v>46177</v>
      </c>
      <c r="B2030" s="1" t="n">
        <v>2026</v>
      </c>
      <c r="C2030" s="8" t="inlineStr">
        <is>
          <t>Ayana</t>
        </is>
      </c>
      <c r="D2030" s="11" t="inlineStr">
        <is>
          <t>Utility and C&amp;I</t>
        </is>
      </c>
      <c r="E2030" s="1" t="n"/>
      <c r="F2030" s="1" t="inlineStr">
        <is>
          <t>Closed</t>
        </is>
      </c>
      <c r="G2030" s="11" t="inlineStr">
        <is>
          <t>Vasu.N</t>
        </is>
      </c>
      <c r="H2030" s="8" t="n">
        <v>9578099893</v>
      </c>
      <c r="I2030" s="10" t="inlineStr">
        <is>
          <t>PE04062601</t>
        </is>
      </c>
      <c r="J2030" s="28" t="inlineStr">
        <is>
          <t>Module burnt</t>
        </is>
      </c>
      <c r="K2030" s="8" t="inlineStr">
        <is>
          <t>Zura</t>
        </is>
      </c>
      <c r="L2030" s="39" t="inlineStr">
        <is>
          <t>Gujarat</t>
        </is>
      </c>
      <c r="M2030" s="2" t="inlineStr">
        <is>
          <t xml:space="preserve">damage </t>
        </is>
      </c>
      <c r="N2030" s="6" t="inlineStr">
        <is>
          <t>Module Breakage</t>
        </is>
      </c>
      <c r="O2030" s="32" t="n">
        <v>590</v>
      </c>
      <c r="P2030" s="2" t="inlineStr">
        <is>
          <t>NSMI24100598962</t>
        </is>
      </c>
      <c r="Q2030" s="29">
        <f>MID(P2030,5,2)</f>
        <v/>
      </c>
      <c r="R2030" s="14">
        <f>MID(P2030,7,2)</f>
        <v/>
      </c>
      <c r="S2030" s="6" t="inlineStr">
        <is>
          <t>G2G</t>
        </is>
      </c>
      <c r="T2030" s="1" t="inlineStr">
        <is>
          <t>P4 - PEIPL</t>
        </is>
      </c>
      <c r="U2030" s="2" t="inlineStr">
        <is>
          <t xml:space="preserve">physically damaged </t>
        </is>
      </c>
      <c r="V2030" s="1" t="inlineStr">
        <is>
          <t>Inspection</t>
        </is>
      </c>
      <c r="W2030" s="1" t="inlineStr">
        <is>
          <t>Rejected</t>
        </is>
      </c>
      <c r="X2030" s="5">
        <f>Z2030</f>
        <v/>
      </c>
      <c r="Y2030" s="1">
        <f>X2030-A2030</f>
        <v/>
      </c>
      <c r="Z2030" s="5" t="n">
        <v>46198</v>
      </c>
      <c r="AA2030" s="3" t="n"/>
      <c r="AB2030" s="3" t="n"/>
      <c r="AE2030" s="146">
        <f>IF(AND(F2030="Closed",X2030&gt;=DATE(2026,6,1),X2030&lt;=DATE(2026,6,30)),"Closed in June","other")</f>
        <v/>
      </c>
    </row>
    <row r="2031" hidden="1">
      <c r="A2031" s="49" t="n">
        <v>46177</v>
      </c>
      <c r="B2031" s="1" t="n">
        <v>2026</v>
      </c>
      <c r="C2031" s="8" t="inlineStr">
        <is>
          <t>Ayana</t>
        </is>
      </c>
      <c r="D2031" s="11" t="inlineStr">
        <is>
          <t>Utility and C&amp;I</t>
        </is>
      </c>
      <c r="E2031" s="1" t="n"/>
      <c r="F2031" s="1" t="inlineStr">
        <is>
          <t>Closed</t>
        </is>
      </c>
      <c r="G2031" s="11" t="inlineStr">
        <is>
          <t>Vasu.N</t>
        </is>
      </c>
      <c r="H2031" s="8" t="n">
        <v>9578099893</v>
      </c>
      <c r="I2031" s="10" t="inlineStr">
        <is>
          <t>PE04062601</t>
        </is>
      </c>
      <c r="J2031" s="28" t="inlineStr">
        <is>
          <t>Module burnt</t>
        </is>
      </c>
      <c r="K2031" s="8" t="inlineStr">
        <is>
          <t>Zura</t>
        </is>
      </c>
      <c r="L2031" s="39" t="inlineStr">
        <is>
          <t>Gujarat</t>
        </is>
      </c>
      <c r="M2031" s="2" t="inlineStr">
        <is>
          <t xml:space="preserve">damage </t>
        </is>
      </c>
      <c r="N2031" s="6" t="inlineStr">
        <is>
          <t>Module Breakage</t>
        </is>
      </c>
      <c r="O2031" s="32" t="n">
        <v>590</v>
      </c>
      <c r="P2031" s="2" t="inlineStr">
        <is>
          <t>NSMI24100554586</t>
        </is>
      </c>
      <c r="Q2031" s="29">
        <f>MID(P2031,5,2)</f>
        <v/>
      </c>
      <c r="R2031" s="14">
        <f>MID(P2031,7,2)</f>
        <v/>
      </c>
      <c r="S2031" s="6" t="inlineStr">
        <is>
          <t>G2G</t>
        </is>
      </c>
      <c r="T2031" s="1" t="inlineStr">
        <is>
          <t>P4 - PEIPL</t>
        </is>
      </c>
      <c r="U2031" s="2" t="inlineStr">
        <is>
          <t xml:space="preserve">physically damaged </t>
        </is>
      </c>
      <c r="V2031" s="1" t="inlineStr">
        <is>
          <t>Inspection</t>
        </is>
      </c>
      <c r="W2031" s="1" t="inlineStr">
        <is>
          <t>Rejected</t>
        </is>
      </c>
      <c r="X2031" s="5">
        <f>Z2031</f>
        <v/>
      </c>
      <c r="Y2031" s="1">
        <f>X2031-A2031</f>
        <v/>
      </c>
      <c r="Z2031" s="5" t="n">
        <v>46198</v>
      </c>
      <c r="AA2031" s="3" t="n"/>
      <c r="AB2031" s="3" t="n"/>
      <c r="AE2031" s="146">
        <f>IF(AND(F2031="Closed",X2031&gt;=DATE(2026,6,1),X2031&lt;=DATE(2026,6,30)),"Closed in June","other")</f>
        <v/>
      </c>
    </row>
    <row r="2032" hidden="1">
      <c r="A2032" s="49" t="n">
        <v>46177</v>
      </c>
      <c r="B2032" s="1" t="n">
        <v>2026</v>
      </c>
      <c r="C2032" s="8" t="inlineStr">
        <is>
          <t>Ayana</t>
        </is>
      </c>
      <c r="D2032" s="11" t="inlineStr">
        <is>
          <t>Utility and C&amp;I</t>
        </is>
      </c>
      <c r="E2032" s="1" t="n"/>
      <c r="F2032" s="1" t="inlineStr">
        <is>
          <t>Closed</t>
        </is>
      </c>
      <c r="G2032" s="11" t="inlineStr">
        <is>
          <t>Vasu.N</t>
        </is>
      </c>
      <c r="H2032" s="8" t="n">
        <v>9578099893</v>
      </c>
      <c r="I2032" s="10" t="inlineStr">
        <is>
          <t>PE04062601</t>
        </is>
      </c>
      <c r="J2032" s="28" t="inlineStr">
        <is>
          <t>Module burnt</t>
        </is>
      </c>
      <c r="K2032" s="8" t="inlineStr">
        <is>
          <t>Zura</t>
        </is>
      </c>
      <c r="L2032" s="39" t="inlineStr">
        <is>
          <t>Gujarat</t>
        </is>
      </c>
      <c r="M2032" s="2" t="inlineStr">
        <is>
          <t xml:space="preserve">damage </t>
        </is>
      </c>
      <c r="N2032" s="6" t="inlineStr">
        <is>
          <t>Module Breakage</t>
        </is>
      </c>
      <c r="O2032" s="32" t="n">
        <v>590</v>
      </c>
      <c r="P2032" s="2" t="inlineStr">
        <is>
          <t>NSMI24090539537</t>
        </is>
      </c>
      <c r="Q2032" s="29">
        <f>MID(P2032,5,2)</f>
        <v/>
      </c>
      <c r="R2032" s="14">
        <f>MID(P2032,7,2)</f>
        <v/>
      </c>
      <c r="S2032" s="6" t="inlineStr">
        <is>
          <t>G2G</t>
        </is>
      </c>
      <c r="T2032" s="1" t="inlineStr">
        <is>
          <t>P4 - PEIPL</t>
        </is>
      </c>
      <c r="U2032" s="2" t="inlineStr">
        <is>
          <t xml:space="preserve">physically damaged </t>
        </is>
      </c>
      <c r="V2032" s="1" t="inlineStr">
        <is>
          <t>Inspection</t>
        </is>
      </c>
      <c r="W2032" s="1" t="inlineStr">
        <is>
          <t>Rejected</t>
        </is>
      </c>
      <c r="X2032" s="5">
        <f>Z2032</f>
        <v/>
      </c>
      <c r="Y2032" s="1">
        <f>X2032-A2032</f>
        <v/>
      </c>
      <c r="Z2032" s="5" t="n">
        <v>46198</v>
      </c>
      <c r="AA2032" s="3" t="n"/>
      <c r="AB2032" s="3" t="n"/>
      <c r="AE2032" s="146">
        <f>IF(AND(F2032="Closed",X2032&gt;=DATE(2026,6,1),X2032&lt;=DATE(2026,6,30)),"Closed in June","other")</f>
        <v/>
      </c>
    </row>
    <row r="2033" hidden="1">
      <c r="A2033" s="49" t="n">
        <v>46177</v>
      </c>
      <c r="B2033" s="1" t="n">
        <v>2026</v>
      </c>
      <c r="C2033" s="8" t="inlineStr">
        <is>
          <t>Ayana</t>
        </is>
      </c>
      <c r="D2033" s="11" t="inlineStr">
        <is>
          <t>Utility and C&amp;I</t>
        </is>
      </c>
      <c r="E2033" s="1" t="n"/>
      <c r="F2033" s="1" t="inlineStr">
        <is>
          <t>Closed</t>
        </is>
      </c>
      <c r="G2033" s="11" t="inlineStr">
        <is>
          <t>Vasu.N</t>
        </is>
      </c>
      <c r="H2033" s="8" t="n">
        <v>9578099893</v>
      </c>
      <c r="I2033" s="10" t="inlineStr">
        <is>
          <t>PE04062601</t>
        </is>
      </c>
      <c r="J2033" s="28" t="inlineStr">
        <is>
          <t>Module burnt</t>
        </is>
      </c>
      <c r="K2033" s="8" t="inlineStr">
        <is>
          <t>Zura</t>
        </is>
      </c>
      <c r="L2033" s="39" t="inlineStr">
        <is>
          <t>Gujarat</t>
        </is>
      </c>
      <c r="M2033" s="2" t="inlineStr">
        <is>
          <t xml:space="preserve">damage </t>
        </is>
      </c>
      <c r="N2033" s="6" t="inlineStr">
        <is>
          <t>Module Breakage</t>
        </is>
      </c>
      <c r="O2033" s="32" t="n">
        <v>590</v>
      </c>
      <c r="P2033" s="2" t="inlineStr">
        <is>
          <t>NSMI24090539538</t>
        </is>
      </c>
      <c r="Q2033" s="29">
        <f>MID(P2033,5,2)</f>
        <v/>
      </c>
      <c r="R2033" s="14">
        <f>MID(P2033,7,2)</f>
        <v/>
      </c>
      <c r="S2033" s="6" t="inlineStr">
        <is>
          <t>G2G</t>
        </is>
      </c>
      <c r="T2033" s="1" t="inlineStr">
        <is>
          <t>P4 - PEIPL</t>
        </is>
      </c>
      <c r="U2033" s="2" t="inlineStr">
        <is>
          <t xml:space="preserve">physically damaged </t>
        </is>
      </c>
      <c r="V2033" s="1" t="inlineStr">
        <is>
          <t>Inspection</t>
        </is>
      </c>
      <c r="W2033" s="1" t="inlineStr">
        <is>
          <t>Rejected</t>
        </is>
      </c>
      <c r="X2033" s="5">
        <f>Z2033</f>
        <v/>
      </c>
      <c r="Y2033" s="1">
        <f>X2033-A2033</f>
        <v/>
      </c>
      <c r="Z2033" s="5" t="n">
        <v>46198</v>
      </c>
      <c r="AA2033" s="3" t="n"/>
      <c r="AB2033" s="3" t="n"/>
      <c r="AE2033" s="146">
        <f>IF(AND(F2033="Closed",X2033&gt;=DATE(2026,6,1),X2033&lt;=DATE(2026,6,30)),"Closed in June","other")</f>
        <v/>
      </c>
    </row>
    <row r="2034" hidden="1">
      <c r="A2034" s="49" t="n">
        <v>46177</v>
      </c>
      <c r="B2034" s="1" t="n">
        <v>2026</v>
      </c>
      <c r="C2034" s="8" t="inlineStr">
        <is>
          <t>Ayana</t>
        </is>
      </c>
      <c r="D2034" s="11" t="inlineStr">
        <is>
          <t>Utility and C&amp;I</t>
        </is>
      </c>
      <c r="E2034" s="1" t="n"/>
      <c r="F2034" s="1" t="inlineStr">
        <is>
          <t>Closed</t>
        </is>
      </c>
      <c r="G2034" s="11" t="inlineStr">
        <is>
          <t>Vasu.N</t>
        </is>
      </c>
      <c r="H2034" s="8" t="n">
        <v>9578099893</v>
      </c>
      <c r="I2034" s="10" t="inlineStr">
        <is>
          <t>PE04062601</t>
        </is>
      </c>
      <c r="J2034" s="28" t="inlineStr">
        <is>
          <t>Module burnt</t>
        </is>
      </c>
      <c r="K2034" s="8" t="inlineStr">
        <is>
          <t>Zura</t>
        </is>
      </c>
      <c r="L2034" s="39" t="inlineStr">
        <is>
          <t>Gujarat</t>
        </is>
      </c>
      <c r="M2034" s="2" t="inlineStr">
        <is>
          <t xml:space="preserve">damage </t>
        </is>
      </c>
      <c r="N2034" s="6" t="inlineStr">
        <is>
          <t>Module Breakage</t>
        </is>
      </c>
      <c r="O2034" s="32" t="n">
        <v>590</v>
      </c>
      <c r="P2034" s="2" t="inlineStr">
        <is>
          <t>NSMI24110825543</t>
        </is>
      </c>
      <c r="Q2034" s="29">
        <f>MID(P2034,5,2)</f>
        <v/>
      </c>
      <c r="R2034" s="14">
        <f>MID(P2034,7,2)</f>
        <v/>
      </c>
      <c r="S2034" s="6" t="inlineStr">
        <is>
          <t>G2G</t>
        </is>
      </c>
      <c r="T2034" s="1" t="inlineStr">
        <is>
          <t>P4 - PEIPL</t>
        </is>
      </c>
      <c r="U2034" s="2" t="inlineStr">
        <is>
          <t xml:space="preserve">physically damaged </t>
        </is>
      </c>
      <c r="V2034" s="1" t="inlineStr">
        <is>
          <t>Inspection</t>
        </is>
      </c>
      <c r="W2034" s="1" t="inlineStr">
        <is>
          <t>Rejected</t>
        </is>
      </c>
      <c r="X2034" s="5">
        <f>Z2034</f>
        <v/>
      </c>
      <c r="Y2034" s="1">
        <f>X2034-A2034</f>
        <v/>
      </c>
      <c r="Z2034" s="5" t="n">
        <v>46198</v>
      </c>
      <c r="AA2034" s="3" t="n"/>
      <c r="AB2034" s="3" t="n"/>
      <c r="AE2034" s="146">
        <f>IF(AND(F2034="Closed",X2034&gt;=DATE(2026,6,1),X2034&lt;=DATE(2026,6,30)),"Closed in June","other")</f>
        <v/>
      </c>
    </row>
    <row r="2035" hidden="1">
      <c r="A2035" s="49" t="n">
        <v>46177</v>
      </c>
      <c r="B2035" s="1" t="n">
        <v>2026</v>
      </c>
      <c r="C2035" s="8" t="inlineStr">
        <is>
          <t>Ayana</t>
        </is>
      </c>
      <c r="D2035" s="11" t="inlineStr">
        <is>
          <t>Utility and C&amp;I</t>
        </is>
      </c>
      <c r="E2035" s="1" t="n"/>
      <c r="F2035" s="1" t="inlineStr">
        <is>
          <t>Closed</t>
        </is>
      </c>
      <c r="G2035" s="11" t="inlineStr">
        <is>
          <t>Vasu.N</t>
        </is>
      </c>
      <c r="H2035" s="8" t="n">
        <v>9578099893</v>
      </c>
      <c r="I2035" s="10" t="inlineStr">
        <is>
          <t>PE04062601</t>
        </is>
      </c>
      <c r="J2035" s="28" t="inlineStr">
        <is>
          <t>Module burnt</t>
        </is>
      </c>
      <c r="K2035" s="8" t="inlineStr">
        <is>
          <t>Zura</t>
        </is>
      </c>
      <c r="L2035" s="39" t="inlineStr">
        <is>
          <t>Gujarat</t>
        </is>
      </c>
      <c r="M2035" s="2" t="inlineStr">
        <is>
          <t xml:space="preserve">damage </t>
        </is>
      </c>
      <c r="N2035" s="6" t="inlineStr">
        <is>
          <t>Module Breakage</t>
        </is>
      </c>
      <c r="O2035" s="32" t="n">
        <v>590</v>
      </c>
      <c r="P2035" s="2" t="inlineStr">
        <is>
          <t>NSMI24090432067</t>
        </is>
      </c>
      <c r="Q2035" s="29">
        <f>MID(P2035,5,2)</f>
        <v/>
      </c>
      <c r="R2035" s="14">
        <f>MID(P2035,7,2)</f>
        <v/>
      </c>
      <c r="S2035" s="6" t="inlineStr">
        <is>
          <t>G2G</t>
        </is>
      </c>
      <c r="T2035" s="1" t="inlineStr">
        <is>
          <t>P4 - PEIPL</t>
        </is>
      </c>
      <c r="U2035" s="2" t="inlineStr">
        <is>
          <t xml:space="preserve">physically damaged </t>
        </is>
      </c>
      <c r="V2035" s="1" t="inlineStr">
        <is>
          <t>Inspection</t>
        </is>
      </c>
      <c r="W2035" s="1" t="inlineStr">
        <is>
          <t>Rejected</t>
        </is>
      </c>
      <c r="X2035" s="5">
        <f>Z2035</f>
        <v/>
      </c>
      <c r="Y2035" s="1">
        <f>X2035-A2035</f>
        <v/>
      </c>
      <c r="Z2035" s="5" t="n">
        <v>46198</v>
      </c>
      <c r="AA2035" s="3" t="n"/>
      <c r="AB2035" s="3" t="n"/>
      <c r="AE2035" s="146">
        <f>IF(AND(F2035="Closed",X2035&gt;=DATE(2026,6,1),X2035&lt;=DATE(2026,6,30)),"Closed in June","other")</f>
        <v/>
      </c>
    </row>
    <row r="2036" hidden="1">
      <c r="A2036" s="49" t="n">
        <v>46177</v>
      </c>
      <c r="B2036" s="1" t="n">
        <v>2026</v>
      </c>
      <c r="C2036" s="8" t="inlineStr">
        <is>
          <t>Ayana</t>
        </is>
      </c>
      <c r="D2036" s="11" t="inlineStr">
        <is>
          <t>Utility and C&amp;I</t>
        </is>
      </c>
      <c r="E2036" s="1" t="n"/>
      <c r="F2036" s="1" t="inlineStr">
        <is>
          <t>Closed</t>
        </is>
      </c>
      <c r="G2036" s="11" t="inlineStr">
        <is>
          <t>Vasu.N</t>
        </is>
      </c>
      <c r="H2036" s="8" t="n">
        <v>9578099893</v>
      </c>
      <c r="I2036" s="10" t="inlineStr">
        <is>
          <t>PE04062601</t>
        </is>
      </c>
      <c r="J2036" s="28" t="inlineStr">
        <is>
          <t>Module burnt</t>
        </is>
      </c>
      <c r="K2036" s="8" t="inlineStr">
        <is>
          <t>Zura</t>
        </is>
      </c>
      <c r="L2036" s="39" t="inlineStr">
        <is>
          <t>Gujarat</t>
        </is>
      </c>
      <c r="M2036" s="2" t="inlineStr">
        <is>
          <t xml:space="preserve">damage </t>
        </is>
      </c>
      <c r="N2036" s="6" t="inlineStr">
        <is>
          <t>Module Breakage</t>
        </is>
      </c>
      <c r="O2036" s="32" t="n">
        <v>590</v>
      </c>
      <c r="P2036" s="2" t="inlineStr">
        <is>
          <t>NSMI24090432070</t>
        </is>
      </c>
      <c r="Q2036" s="29">
        <f>MID(P2036,5,2)</f>
        <v/>
      </c>
      <c r="R2036" s="14">
        <f>MID(P2036,7,2)</f>
        <v/>
      </c>
      <c r="S2036" s="6" t="inlineStr">
        <is>
          <t>G2G</t>
        </is>
      </c>
      <c r="T2036" s="1" t="inlineStr">
        <is>
          <t>P4 - PEIPL</t>
        </is>
      </c>
      <c r="U2036" s="2" t="inlineStr">
        <is>
          <t xml:space="preserve">physically damaged </t>
        </is>
      </c>
      <c r="V2036" s="1" t="inlineStr">
        <is>
          <t>Inspection</t>
        </is>
      </c>
      <c r="W2036" s="1" t="inlineStr">
        <is>
          <t>Rejected</t>
        </is>
      </c>
      <c r="X2036" s="5">
        <f>Z2036</f>
        <v/>
      </c>
      <c r="Y2036" s="1">
        <f>X2036-A2036</f>
        <v/>
      </c>
      <c r="Z2036" s="5" t="n">
        <v>46198</v>
      </c>
      <c r="AA2036" s="3" t="n"/>
      <c r="AB2036" s="3" t="n"/>
      <c r="AE2036" s="146">
        <f>IF(AND(F2036="Closed",X2036&gt;=DATE(2026,6,1),X2036&lt;=DATE(2026,6,30)),"Closed in June","other")</f>
        <v/>
      </c>
    </row>
    <row r="2037" hidden="1">
      <c r="A2037" s="49" t="n">
        <v>46177</v>
      </c>
      <c r="B2037" s="1" t="n">
        <v>2026</v>
      </c>
      <c r="C2037" s="8" t="inlineStr">
        <is>
          <t>Ayana</t>
        </is>
      </c>
      <c r="D2037" s="11" t="inlineStr">
        <is>
          <t>Utility and C&amp;I</t>
        </is>
      </c>
      <c r="E2037" s="1" t="n"/>
      <c r="F2037" s="1" t="inlineStr">
        <is>
          <t>Closed</t>
        </is>
      </c>
      <c r="G2037" s="11" t="inlineStr">
        <is>
          <t>Vasu.N</t>
        </is>
      </c>
      <c r="H2037" s="8" t="n">
        <v>9578099893</v>
      </c>
      <c r="I2037" s="10" t="inlineStr">
        <is>
          <t>PE04062601</t>
        </is>
      </c>
      <c r="J2037" s="28" t="inlineStr">
        <is>
          <t>Module burnt</t>
        </is>
      </c>
      <c r="K2037" s="8" t="inlineStr">
        <is>
          <t>Zura</t>
        </is>
      </c>
      <c r="L2037" s="39" t="inlineStr">
        <is>
          <t>Gujarat</t>
        </is>
      </c>
      <c r="M2037" s="2" t="inlineStr">
        <is>
          <t xml:space="preserve">damage </t>
        </is>
      </c>
      <c r="N2037" s="6" t="inlineStr">
        <is>
          <t>Module Breakage</t>
        </is>
      </c>
      <c r="O2037" s="32" t="n">
        <v>590</v>
      </c>
      <c r="P2037" s="2" t="inlineStr">
        <is>
          <t>NSMI24110831650</t>
        </is>
      </c>
      <c r="Q2037" s="29">
        <f>MID(P2037,5,2)</f>
        <v/>
      </c>
      <c r="R2037" s="14">
        <f>MID(P2037,7,2)</f>
        <v/>
      </c>
      <c r="S2037" s="6" t="inlineStr">
        <is>
          <t>G2G</t>
        </is>
      </c>
      <c r="T2037" s="1" t="inlineStr">
        <is>
          <t>P4 - PEIPL</t>
        </is>
      </c>
      <c r="U2037" s="2" t="inlineStr">
        <is>
          <t xml:space="preserve">physically damaged </t>
        </is>
      </c>
      <c r="V2037" s="1" t="inlineStr">
        <is>
          <t>Inspection</t>
        </is>
      </c>
      <c r="W2037" s="1" t="inlineStr">
        <is>
          <t>Rejected</t>
        </is>
      </c>
      <c r="X2037" s="5">
        <f>Z2037</f>
        <v/>
      </c>
      <c r="Y2037" s="1">
        <f>X2037-A2037</f>
        <v/>
      </c>
      <c r="Z2037" s="5" t="n">
        <v>46198</v>
      </c>
      <c r="AA2037" s="3" t="n"/>
      <c r="AB2037" s="3" t="n"/>
      <c r="AE2037" s="146">
        <f>IF(AND(F2037="Closed",X2037&gt;=DATE(2026,6,1),X2037&lt;=DATE(2026,6,30)),"Closed in June","other")</f>
        <v/>
      </c>
    </row>
    <row r="2038" hidden="1">
      <c r="A2038" s="49" t="n">
        <v>46177</v>
      </c>
      <c r="B2038" s="1" t="n">
        <v>2026</v>
      </c>
      <c r="C2038" s="8" t="inlineStr">
        <is>
          <t>Ayana</t>
        </is>
      </c>
      <c r="D2038" s="11" t="inlineStr">
        <is>
          <t>Utility and C&amp;I</t>
        </is>
      </c>
      <c r="E2038" s="1" t="n"/>
      <c r="F2038" s="1" t="inlineStr">
        <is>
          <t>WIP</t>
        </is>
      </c>
      <c r="G2038" s="11" t="inlineStr">
        <is>
          <t>Vasu.N</t>
        </is>
      </c>
      <c r="H2038" s="8" t="n">
        <v>9578099893</v>
      </c>
      <c r="I2038" s="10" t="inlineStr">
        <is>
          <t>PE04062601</t>
        </is>
      </c>
      <c r="J2038" s="28" t="inlineStr">
        <is>
          <t>Module burnt</t>
        </is>
      </c>
      <c r="K2038" s="8" t="inlineStr">
        <is>
          <t>Zura</t>
        </is>
      </c>
      <c r="L2038" s="39" t="inlineStr">
        <is>
          <t>Gujarat</t>
        </is>
      </c>
      <c r="M2038" s="2" t="inlineStr">
        <is>
          <t xml:space="preserve">damage </t>
        </is>
      </c>
      <c r="N2038" s="6" t="inlineStr">
        <is>
          <t>Module Breakage</t>
        </is>
      </c>
      <c r="O2038" s="32" t="n">
        <v>590</v>
      </c>
      <c r="P2038" s="2" t="inlineStr">
        <is>
          <t>NSMI24100593235</t>
        </is>
      </c>
      <c r="Q2038" s="29">
        <f>MID(P2038,5,2)</f>
        <v/>
      </c>
      <c r="R2038" s="14">
        <f>MID(P2038,7,2)</f>
        <v/>
      </c>
      <c r="S2038" s="6" t="inlineStr">
        <is>
          <t>G2G</t>
        </is>
      </c>
      <c r="T2038" s="1" t="inlineStr">
        <is>
          <t>P4 - PEIPL</t>
        </is>
      </c>
      <c r="U2038" s="2" t="inlineStr">
        <is>
          <t>Frame Damaged</t>
        </is>
      </c>
      <c r="V2038" s="1" t="inlineStr">
        <is>
          <t>Inspection</t>
        </is>
      </c>
      <c r="W2038" s="1" t="inlineStr">
        <is>
          <t>WIP</t>
        </is>
      </c>
      <c r="X2038" s="12" t="n"/>
      <c r="Y2038" s="1">
        <f>IF(X2038="","",X2038-A2038)</f>
        <v/>
      </c>
      <c r="Z2038" s="5" t="n">
        <v>46198</v>
      </c>
      <c r="AA2038" s="3" t="n"/>
      <c r="AB2038" s="3" t="n"/>
      <c r="AE2038" s="146">
        <f>IF(AND(F2038="Closed",X2038&gt;=DATE(2026,6,1),X2038&lt;=DATE(2026,6,30)),"Closed in June","other")</f>
        <v/>
      </c>
    </row>
    <row r="2039" hidden="1">
      <c r="A2039" s="49" t="n">
        <v>46177</v>
      </c>
      <c r="B2039" s="1" t="n">
        <v>2026</v>
      </c>
      <c r="C2039" s="8" t="inlineStr">
        <is>
          <t>Ayana</t>
        </is>
      </c>
      <c r="D2039" s="11" t="inlineStr">
        <is>
          <t>Utility and C&amp;I</t>
        </is>
      </c>
      <c r="E2039" s="1" t="n"/>
      <c r="F2039" s="1" t="inlineStr">
        <is>
          <t>WIP</t>
        </is>
      </c>
      <c r="G2039" s="11" t="inlineStr">
        <is>
          <t>Vasu.N</t>
        </is>
      </c>
      <c r="H2039" s="8" t="n">
        <v>9578099893</v>
      </c>
      <c r="I2039" s="10" t="inlineStr">
        <is>
          <t>PE04062601</t>
        </is>
      </c>
      <c r="J2039" s="28" t="inlineStr">
        <is>
          <t>Module burnt</t>
        </is>
      </c>
      <c r="K2039" s="8" t="inlineStr">
        <is>
          <t>Zura</t>
        </is>
      </c>
      <c r="L2039" s="39" t="inlineStr">
        <is>
          <t>Gujarat</t>
        </is>
      </c>
      <c r="M2039" s="2" t="inlineStr">
        <is>
          <t xml:space="preserve">damage </t>
        </is>
      </c>
      <c r="N2039" s="6" t="inlineStr">
        <is>
          <t>Module Breakage</t>
        </is>
      </c>
      <c r="O2039" s="32" t="n">
        <v>590</v>
      </c>
      <c r="P2039" s="2" t="inlineStr">
        <is>
          <t>NSMI24090432062</t>
        </is>
      </c>
      <c r="Q2039" s="29">
        <f>MID(P2039,5,2)</f>
        <v/>
      </c>
      <c r="R2039" s="14">
        <f>MID(P2039,7,2)</f>
        <v/>
      </c>
      <c r="S2039" s="6" t="inlineStr">
        <is>
          <t>G2G</t>
        </is>
      </c>
      <c r="T2039" s="1" t="inlineStr">
        <is>
          <t>P4 - PEIPL</t>
        </is>
      </c>
      <c r="U2039" s="2" t="inlineStr">
        <is>
          <t>Frame Damaged</t>
        </is>
      </c>
      <c r="V2039" s="1" t="inlineStr">
        <is>
          <t>Inspection</t>
        </is>
      </c>
      <c r="W2039" s="1" t="inlineStr">
        <is>
          <t>WIP</t>
        </is>
      </c>
      <c r="X2039" s="12" t="n"/>
      <c r="Y2039" s="1">
        <f>IF(X2039="","",X2039-A2039)</f>
        <v/>
      </c>
      <c r="Z2039" s="5" t="n">
        <v>46198</v>
      </c>
      <c r="AA2039" s="3" t="n"/>
      <c r="AB2039" s="3" t="n"/>
      <c r="AE2039" s="146">
        <f>IF(AND(F2039="Closed",X2039&gt;=DATE(2026,6,1),X2039&lt;=DATE(2026,6,30)),"Closed in June","other")</f>
        <v/>
      </c>
    </row>
    <row r="2040" hidden="1">
      <c r="A2040" s="49" t="n">
        <v>46177</v>
      </c>
      <c r="B2040" s="1" t="n">
        <v>2026</v>
      </c>
      <c r="C2040" s="8" t="inlineStr">
        <is>
          <t>Ayana</t>
        </is>
      </c>
      <c r="D2040" s="11" t="inlineStr">
        <is>
          <t>Utility and C&amp;I</t>
        </is>
      </c>
      <c r="E2040" s="1" t="n"/>
      <c r="F2040" s="1" t="inlineStr">
        <is>
          <t>Closed</t>
        </is>
      </c>
      <c r="G2040" s="11" t="inlineStr">
        <is>
          <t>Vasu.N</t>
        </is>
      </c>
      <c r="H2040" s="8" t="n">
        <v>9578099893</v>
      </c>
      <c r="I2040" s="10" t="inlineStr">
        <is>
          <t>PE04062601</t>
        </is>
      </c>
      <c r="J2040" s="28" t="inlineStr">
        <is>
          <t>Module burnt</t>
        </is>
      </c>
      <c r="K2040" s="8" t="inlineStr">
        <is>
          <t>Zura</t>
        </is>
      </c>
      <c r="L2040" s="39" t="inlineStr">
        <is>
          <t>Gujarat</t>
        </is>
      </c>
      <c r="M2040" s="2" t="inlineStr">
        <is>
          <t xml:space="preserve">damage </t>
        </is>
      </c>
      <c r="N2040" s="6" t="inlineStr">
        <is>
          <t>Module Breakage</t>
        </is>
      </c>
      <c r="O2040" s="32" t="n">
        <v>590</v>
      </c>
      <c r="P2040" s="2" t="inlineStr">
        <is>
          <t>NSMI24110823642</t>
        </is>
      </c>
      <c r="Q2040" s="29">
        <f>MID(P2040,5,2)</f>
        <v/>
      </c>
      <c r="R2040" s="14">
        <f>MID(P2040,7,2)</f>
        <v/>
      </c>
      <c r="S2040" s="6" t="inlineStr">
        <is>
          <t>G2G</t>
        </is>
      </c>
      <c r="T2040" s="1" t="inlineStr">
        <is>
          <t>P4 - PEIPL</t>
        </is>
      </c>
      <c r="U2040" s="2" t="inlineStr">
        <is>
          <t xml:space="preserve">physically damaged </t>
        </is>
      </c>
      <c r="V2040" s="1" t="inlineStr">
        <is>
          <t>Inspection</t>
        </is>
      </c>
      <c r="W2040" s="1" t="inlineStr">
        <is>
          <t>Rejected</t>
        </is>
      </c>
      <c r="X2040" s="5">
        <f>Z2040</f>
        <v/>
      </c>
      <c r="Y2040" s="1">
        <f>X2040-A2040</f>
        <v/>
      </c>
      <c r="Z2040" s="5" t="n">
        <v>46198</v>
      </c>
      <c r="AA2040" s="3" t="n"/>
      <c r="AB2040" s="3" t="n"/>
      <c r="AE2040" s="146">
        <f>IF(AND(F2040="Closed",X2040&gt;=DATE(2026,6,1),X2040&lt;=DATE(2026,6,30)),"Closed in June","other")</f>
        <v/>
      </c>
    </row>
    <row r="2041" hidden="1">
      <c r="A2041" s="49" t="n">
        <v>46177</v>
      </c>
      <c r="B2041" s="1" t="n">
        <v>2026</v>
      </c>
      <c r="C2041" s="8" t="inlineStr">
        <is>
          <t>Ayana</t>
        </is>
      </c>
      <c r="D2041" s="11" t="inlineStr">
        <is>
          <t>Utility and C&amp;I</t>
        </is>
      </c>
      <c r="E2041" s="1" t="n"/>
      <c r="F2041" s="1" t="inlineStr">
        <is>
          <t>Closed</t>
        </is>
      </c>
      <c r="G2041" s="11" t="inlineStr">
        <is>
          <t>Vasu.N</t>
        </is>
      </c>
      <c r="H2041" s="8" t="n">
        <v>9578099893</v>
      </c>
      <c r="I2041" s="10" t="inlineStr">
        <is>
          <t>PE04062601</t>
        </is>
      </c>
      <c r="J2041" s="28" t="inlineStr">
        <is>
          <t>Module burnt</t>
        </is>
      </c>
      <c r="K2041" s="8" t="inlineStr">
        <is>
          <t>Zura</t>
        </is>
      </c>
      <c r="L2041" s="39" t="inlineStr">
        <is>
          <t>Gujarat</t>
        </is>
      </c>
      <c r="M2041" s="2" t="inlineStr">
        <is>
          <t xml:space="preserve">damage </t>
        </is>
      </c>
      <c r="N2041" s="6" t="inlineStr">
        <is>
          <t>Module Breakage</t>
        </is>
      </c>
      <c r="O2041" s="32" t="n">
        <v>590</v>
      </c>
      <c r="P2041" s="2" t="inlineStr">
        <is>
          <t>NSMI24110814537</t>
        </is>
      </c>
      <c r="Q2041" s="29">
        <f>MID(P2041,5,2)</f>
        <v/>
      </c>
      <c r="R2041" s="14">
        <f>MID(P2041,7,2)</f>
        <v/>
      </c>
      <c r="S2041" s="6" t="inlineStr">
        <is>
          <t>G2G</t>
        </is>
      </c>
      <c r="T2041" s="1" t="inlineStr">
        <is>
          <t>P4 - PEIPL</t>
        </is>
      </c>
      <c r="U2041" s="2" t="inlineStr">
        <is>
          <t xml:space="preserve">physically damaged </t>
        </is>
      </c>
      <c r="V2041" s="1" t="inlineStr">
        <is>
          <t>Inspection</t>
        </is>
      </c>
      <c r="W2041" s="1" t="inlineStr">
        <is>
          <t>Rejected</t>
        </is>
      </c>
      <c r="X2041" s="5">
        <f>Z2041</f>
        <v/>
      </c>
      <c r="Y2041" s="1">
        <f>X2041-A2041</f>
        <v/>
      </c>
      <c r="Z2041" s="5" t="n">
        <v>46198</v>
      </c>
      <c r="AA2041" s="3" t="n"/>
      <c r="AB2041" s="3" t="n"/>
      <c r="AE2041" s="146">
        <f>IF(AND(F2041="Closed",X2041&gt;=DATE(2026,6,1),X2041&lt;=DATE(2026,6,30)),"Closed in June","other")</f>
        <v/>
      </c>
    </row>
    <row r="2042" hidden="1">
      <c r="A2042" s="49" t="n">
        <v>46177</v>
      </c>
      <c r="B2042" s="1" t="n">
        <v>2026</v>
      </c>
      <c r="C2042" s="8" t="inlineStr">
        <is>
          <t>Ayana</t>
        </is>
      </c>
      <c r="D2042" s="11" t="inlineStr">
        <is>
          <t>Utility and C&amp;I</t>
        </is>
      </c>
      <c r="E2042" s="1" t="n"/>
      <c r="F2042" s="1" t="inlineStr">
        <is>
          <t>Closed</t>
        </is>
      </c>
      <c r="G2042" s="11" t="inlineStr">
        <is>
          <t>Vasu.N</t>
        </is>
      </c>
      <c r="H2042" s="8" t="n">
        <v>9578099893</v>
      </c>
      <c r="I2042" s="10" t="inlineStr">
        <is>
          <t>PE04062601</t>
        </is>
      </c>
      <c r="J2042" s="28" t="inlineStr">
        <is>
          <t>Module burnt</t>
        </is>
      </c>
      <c r="K2042" s="8" t="inlineStr">
        <is>
          <t>Zura</t>
        </is>
      </c>
      <c r="L2042" s="39" t="inlineStr">
        <is>
          <t>Gujarat</t>
        </is>
      </c>
      <c r="M2042" s="2" t="inlineStr">
        <is>
          <t xml:space="preserve">damage </t>
        </is>
      </c>
      <c r="N2042" s="6" t="inlineStr">
        <is>
          <t>Module Breakage</t>
        </is>
      </c>
      <c r="O2042" s="32" t="n">
        <v>590</v>
      </c>
      <c r="P2042" s="2" t="inlineStr">
        <is>
          <t>NSMI24110814608</t>
        </is>
      </c>
      <c r="Q2042" s="29">
        <f>MID(P2042,5,2)</f>
        <v/>
      </c>
      <c r="R2042" s="14">
        <f>MID(P2042,7,2)</f>
        <v/>
      </c>
      <c r="S2042" s="6" t="inlineStr">
        <is>
          <t>G2G</t>
        </is>
      </c>
      <c r="T2042" s="1" t="inlineStr">
        <is>
          <t>P4 - PEIPL</t>
        </is>
      </c>
      <c r="U2042" s="2" t="inlineStr">
        <is>
          <t xml:space="preserve">physically damaged </t>
        </is>
      </c>
      <c r="V2042" s="1" t="inlineStr">
        <is>
          <t>Inspection</t>
        </is>
      </c>
      <c r="W2042" s="1" t="inlineStr">
        <is>
          <t>Rejected</t>
        </is>
      </c>
      <c r="X2042" s="5">
        <f>Z2042</f>
        <v/>
      </c>
      <c r="Y2042" s="1">
        <f>X2042-A2042</f>
        <v/>
      </c>
      <c r="Z2042" s="5" t="n">
        <v>46198</v>
      </c>
      <c r="AA2042" s="3" t="n"/>
      <c r="AB2042" s="3" t="n"/>
      <c r="AE2042" s="146">
        <f>IF(AND(F2042="Closed",X2042&gt;=DATE(2026,6,1),X2042&lt;=DATE(2026,6,30)),"Closed in June","other")</f>
        <v/>
      </c>
    </row>
    <row r="2043" hidden="1">
      <c r="A2043" s="49" t="n">
        <v>46177</v>
      </c>
      <c r="B2043" s="1" t="n">
        <v>2026</v>
      </c>
      <c r="C2043" s="8" t="inlineStr">
        <is>
          <t>Ayana</t>
        </is>
      </c>
      <c r="D2043" s="11" t="inlineStr">
        <is>
          <t>Utility and C&amp;I</t>
        </is>
      </c>
      <c r="E2043" s="1" t="n"/>
      <c r="F2043" s="1" t="inlineStr">
        <is>
          <t>Closed</t>
        </is>
      </c>
      <c r="G2043" s="11" t="inlineStr">
        <is>
          <t>Vasu.N</t>
        </is>
      </c>
      <c r="H2043" s="8" t="n">
        <v>9578099893</v>
      </c>
      <c r="I2043" s="10" t="inlineStr">
        <is>
          <t>PE04062601</t>
        </is>
      </c>
      <c r="J2043" s="28" t="inlineStr">
        <is>
          <t>Module burnt</t>
        </is>
      </c>
      <c r="K2043" s="8" t="inlineStr">
        <is>
          <t>Zura</t>
        </is>
      </c>
      <c r="L2043" s="39" t="inlineStr">
        <is>
          <t>Gujarat</t>
        </is>
      </c>
      <c r="M2043" s="2" t="inlineStr">
        <is>
          <t xml:space="preserve">damage </t>
        </is>
      </c>
      <c r="N2043" s="6" t="inlineStr">
        <is>
          <t>Module Breakage</t>
        </is>
      </c>
      <c r="O2043" s="32" t="n">
        <v>590</v>
      </c>
      <c r="P2043" s="2" t="inlineStr">
        <is>
          <t>NSMI24110814512</t>
        </is>
      </c>
      <c r="Q2043" s="29">
        <f>MID(P2043,5,2)</f>
        <v/>
      </c>
      <c r="R2043" s="14">
        <f>MID(P2043,7,2)</f>
        <v/>
      </c>
      <c r="S2043" s="6" t="inlineStr">
        <is>
          <t>G2G</t>
        </is>
      </c>
      <c r="T2043" s="1" t="inlineStr">
        <is>
          <t>P4 - PEIPL</t>
        </is>
      </c>
      <c r="U2043" s="2" t="inlineStr">
        <is>
          <t xml:space="preserve">physically damaged </t>
        </is>
      </c>
      <c r="V2043" s="1" t="inlineStr">
        <is>
          <t>Inspection</t>
        </is>
      </c>
      <c r="W2043" s="1" t="inlineStr">
        <is>
          <t>Rejected</t>
        </is>
      </c>
      <c r="X2043" s="5">
        <f>Z2043</f>
        <v/>
      </c>
      <c r="Y2043" s="1">
        <f>X2043-A2043</f>
        <v/>
      </c>
      <c r="Z2043" s="5" t="n">
        <v>46198</v>
      </c>
      <c r="AA2043" s="3" t="n"/>
      <c r="AB2043" s="3" t="n"/>
      <c r="AE2043" s="146">
        <f>IF(AND(F2043="Closed",X2043&gt;=DATE(2026,6,1),X2043&lt;=DATE(2026,6,30)),"Closed in June","other")</f>
        <v/>
      </c>
    </row>
    <row r="2044" hidden="1">
      <c r="A2044" s="49" t="n">
        <v>46177</v>
      </c>
      <c r="B2044" s="1" t="n">
        <v>2026</v>
      </c>
      <c r="C2044" s="8" t="inlineStr">
        <is>
          <t>Ayana</t>
        </is>
      </c>
      <c r="D2044" s="11" t="inlineStr">
        <is>
          <t>Utility and C&amp;I</t>
        </is>
      </c>
      <c r="E2044" s="1" t="n"/>
      <c r="F2044" s="1" t="inlineStr">
        <is>
          <t>Closed</t>
        </is>
      </c>
      <c r="G2044" s="11" t="inlineStr">
        <is>
          <t>Vasu.N</t>
        </is>
      </c>
      <c r="H2044" s="8" t="n">
        <v>9578099893</v>
      </c>
      <c r="I2044" s="10" t="inlineStr">
        <is>
          <t>PE04062601</t>
        </is>
      </c>
      <c r="J2044" s="28" t="inlineStr">
        <is>
          <t>Module burnt</t>
        </is>
      </c>
      <c r="K2044" s="8" t="inlineStr">
        <is>
          <t>Zura</t>
        </is>
      </c>
      <c r="L2044" s="39" t="inlineStr">
        <is>
          <t>Gujarat</t>
        </is>
      </c>
      <c r="M2044" s="2" t="inlineStr">
        <is>
          <t xml:space="preserve">damage </t>
        </is>
      </c>
      <c r="N2044" s="6" t="inlineStr">
        <is>
          <t>Module Breakage</t>
        </is>
      </c>
      <c r="O2044" s="32" t="n">
        <v>590</v>
      </c>
      <c r="P2044" s="2" t="inlineStr">
        <is>
          <t>NSMI24100688917</t>
        </is>
      </c>
      <c r="Q2044" s="29">
        <f>MID(P2044,5,2)</f>
        <v/>
      </c>
      <c r="R2044" s="14">
        <f>MID(P2044,7,2)</f>
        <v/>
      </c>
      <c r="S2044" s="6" t="inlineStr">
        <is>
          <t>G2G</t>
        </is>
      </c>
      <c r="T2044" s="1" t="inlineStr">
        <is>
          <t>P4 - PEIPL</t>
        </is>
      </c>
      <c r="U2044" s="2" t="inlineStr">
        <is>
          <t xml:space="preserve">physically damaged </t>
        </is>
      </c>
      <c r="V2044" s="1" t="inlineStr">
        <is>
          <t>Inspection</t>
        </is>
      </c>
      <c r="W2044" s="1" t="inlineStr">
        <is>
          <t>Rejected</t>
        </is>
      </c>
      <c r="X2044" s="5">
        <f>Z2044</f>
        <v/>
      </c>
      <c r="Y2044" s="1">
        <f>X2044-A2044</f>
        <v/>
      </c>
      <c r="Z2044" s="5" t="n">
        <v>46198</v>
      </c>
      <c r="AA2044" s="3" t="n"/>
      <c r="AB2044" s="3" t="n"/>
      <c r="AE2044" s="146">
        <f>IF(AND(F2044="Closed",X2044&gt;=DATE(2026,6,1),X2044&lt;=DATE(2026,6,30)),"Closed in June","other")</f>
        <v/>
      </c>
    </row>
    <row r="2045" hidden="1">
      <c r="A2045" s="49" t="n">
        <v>46177</v>
      </c>
      <c r="B2045" s="1" t="n">
        <v>2026</v>
      </c>
      <c r="C2045" s="8" t="inlineStr">
        <is>
          <t>Ayana</t>
        </is>
      </c>
      <c r="D2045" s="11" t="inlineStr">
        <is>
          <t>Utility and C&amp;I</t>
        </is>
      </c>
      <c r="E2045" s="1" t="n"/>
      <c r="F2045" s="1" t="inlineStr">
        <is>
          <t>Closed</t>
        </is>
      </c>
      <c r="G2045" s="11" t="inlineStr">
        <is>
          <t>Vasu.N</t>
        </is>
      </c>
      <c r="H2045" s="8" t="n">
        <v>9578099893</v>
      </c>
      <c r="I2045" s="10" t="inlineStr">
        <is>
          <t>PE04062601</t>
        </is>
      </c>
      <c r="J2045" s="28" t="inlineStr">
        <is>
          <t>Module burnt</t>
        </is>
      </c>
      <c r="K2045" s="8" t="inlineStr">
        <is>
          <t>Zura</t>
        </is>
      </c>
      <c r="L2045" s="39" t="inlineStr">
        <is>
          <t>Gujarat</t>
        </is>
      </c>
      <c r="M2045" s="2" t="inlineStr">
        <is>
          <t xml:space="preserve">damage </t>
        </is>
      </c>
      <c r="N2045" s="6" t="inlineStr">
        <is>
          <t>Module Breakage</t>
        </is>
      </c>
      <c r="O2045" s="32" t="n">
        <v>590</v>
      </c>
      <c r="P2045" s="2" t="inlineStr">
        <is>
          <t>NSMI24100639018</t>
        </is>
      </c>
      <c r="Q2045" s="29">
        <f>MID(P2045,5,2)</f>
        <v/>
      </c>
      <c r="R2045" s="14">
        <f>MID(P2045,7,2)</f>
        <v/>
      </c>
      <c r="S2045" s="6" t="inlineStr">
        <is>
          <t>G2G</t>
        </is>
      </c>
      <c r="T2045" s="1" t="inlineStr">
        <is>
          <t>P4 - PEIPL</t>
        </is>
      </c>
      <c r="U2045" s="2" t="inlineStr">
        <is>
          <t xml:space="preserve">physically damaged </t>
        </is>
      </c>
      <c r="V2045" s="1" t="inlineStr">
        <is>
          <t>Inspection</t>
        </is>
      </c>
      <c r="W2045" s="1" t="inlineStr">
        <is>
          <t>Rejected</t>
        </is>
      </c>
      <c r="X2045" s="5">
        <f>Z2045</f>
        <v/>
      </c>
      <c r="Y2045" s="1">
        <f>X2045-A2045</f>
        <v/>
      </c>
      <c r="Z2045" s="5" t="n">
        <v>46198</v>
      </c>
      <c r="AA2045" s="3" t="n"/>
      <c r="AB2045" s="3" t="n"/>
      <c r="AE2045" s="146">
        <f>IF(AND(F2045="Closed",X2045&gt;=DATE(2026,6,1),X2045&lt;=DATE(2026,6,30)),"Closed in June","other")</f>
        <v/>
      </c>
    </row>
    <row r="2046" hidden="1">
      <c r="A2046" s="49" t="n">
        <v>46177</v>
      </c>
      <c r="B2046" s="1" t="n">
        <v>2026</v>
      </c>
      <c r="C2046" s="8" t="inlineStr">
        <is>
          <t>Ayana</t>
        </is>
      </c>
      <c r="D2046" s="11" t="inlineStr">
        <is>
          <t>Utility and C&amp;I</t>
        </is>
      </c>
      <c r="E2046" s="1" t="n"/>
      <c r="F2046" s="1" t="inlineStr">
        <is>
          <t>Closed</t>
        </is>
      </c>
      <c r="G2046" s="11" t="inlineStr">
        <is>
          <t>Vasu.N</t>
        </is>
      </c>
      <c r="H2046" s="8" t="n">
        <v>9578099893</v>
      </c>
      <c r="I2046" s="10" t="inlineStr">
        <is>
          <t>PE04062601</t>
        </is>
      </c>
      <c r="J2046" s="28" t="inlineStr">
        <is>
          <t>Module burnt</t>
        </is>
      </c>
      <c r="K2046" s="8" t="inlineStr">
        <is>
          <t>Zura</t>
        </is>
      </c>
      <c r="L2046" s="39" t="inlineStr">
        <is>
          <t>Gujarat</t>
        </is>
      </c>
      <c r="M2046" s="2" t="inlineStr">
        <is>
          <t xml:space="preserve">damage </t>
        </is>
      </c>
      <c r="N2046" s="6" t="inlineStr">
        <is>
          <t>Module Breakage</t>
        </is>
      </c>
      <c r="O2046" s="32" t="n">
        <v>590</v>
      </c>
      <c r="P2046" s="2" t="inlineStr">
        <is>
          <t>NSMI24100661625</t>
        </is>
      </c>
      <c r="Q2046" s="29">
        <f>MID(P2046,5,2)</f>
        <v/>
      </c>
      <c r="R2046" s="14">
        <f>MID(P2046,7,2)</f>
        <v/>
      </c>
      <c r="S2046" s="6" t="inlineStr">
        <is>
          <t>G2G</t>
        </is>
      </c>
      <c r="T2046" s="1" t="inlineStr">
        <is>
          <t>P4 - PEIPL</t>
        </is>
      </c>
      <c r="U2046" s="2" t="inlineStr">
        <is>
          <t xml:space="preserve">physically damaged </t>
        </is>
      </c>
      <c r="V2046" s="1" t="inlineStr">
        <is>
          <t>Inspection</t>
        </is>
      </c>
      <c r="W2046" s="1" t="inlineStr">
        <is>
          <t>Rejected</t>
        </is>
      </c>
      <c r="X2046" s="5">
        <f>Z2046</f>
        <v/>
      </c>
      <c r="Y2046" s="1">
        <f>X2046-A2046</f>
        <v/>
      </c>
      <c r="Z2046" s="5" t="n">
        <v>46198</v>
      </c>
      <c r="AA2046" s="3" t="n"/>
      <c r="AB2046" s="3" t="n"/>
      <c r="AE2046" s="146">
        <f>IF(AND(F2046="Closed",X2046&gt;=DATE(2026,6,1),X2046&lt;=DATE(2026,6,30)),"Closed in June","other")</f>
        <v/>
      </c>
    </row>
    <row r="2047" hidden="1">
      <c r="A2047" s="49" t="n">
        <v>46177</v>
      </c>
      <c r="B2047" s="1" t="n">
        <v>2026</v>
      </c>
      <c r="C2047" s="8" t="inlineStr">
        <is>
          <t>Ayana</t>
        </is>
      </c>
      <c r="D2047" s="11" t="inlineStr">
        <is>
          <t>Utility and C&amp;I</t>
        </is>
      </c>
      <c r="E2047" s="1" t="n"/>
      <c r="F2047" s="1" t="inlineStr">
        <is>
          <t>Closed</t>
        </is>
      </c>
      <c r="G2047" s="11" t="inlineStr">
        <is>
          <t>Vasu.N</t>
        </is>
      </c>
      <c r="H2047" s="8" t="n">
        <v>9578099893</v>
      </c>
      <c r="I2047" s="10" t="inlineStr">
        <is>
          <t>PE04062601</t>
        </is>
      </c>
      <c r="J2047" s="28" t="inlineStr">
        <is>
          <t>Module burnt</t>
        </is>
      </c>
      <c r="K2047" s="8" t="inlineStr">
        <is>
          <t>Zura</t>
        </is>
      </c>
      <c r="L2047" s="39" t="inlineStr">
        <is>
          <t>Gujarat</t>
        </is>
      </c>
      <c r="M2047" s="2" t="inlineStr">
        <is>
          <t xml:space="preserve">damage </t>
        </is>
      </c>
      <c r="N2047" s="6" t="inlineStr">
        <is>
          <t>Module Breakage</t>
        </is>
      </c>
      <c r="O2047" s="32" t="n">
        <v>590</v>
      </c>
      <c r="P2047" s="2" t="inlineStr">
        <is>
          <t>NSMI24100661636</t>
        </is>
      </c>
      <c r="Q2047" s="29">
        <f>MID(P2047,5,2)</f>
        <v/>
      </c>
      <c r="R2047" s="14">
        <f>MID(P2047,7,2)</f>
        <v/>
      </c>
      <c r="S2047" s="6" t="inlineStr">
        <is>
          <t>G2G</t>
        </is>
      </c>
      <c r="T2047" s="1" t="inlineStr">
        <is>
          <t>P4 - PEIPL</t>
        </is>
      </c>
      <c r="U2047" s="2" t="inlineStr">
        <is>
          <t xml:space="preserve">physically damaged </t>
        </is>
      </c>
      <c r="V2047" s="1" t="inlineStr">
        <is>
          <t>Inspection</t>
        </is>
      </c>
      <c r="W2047" s="1" t="inlineStr">
        <is>
          <t>Rejected</t>
        </is>
      </c>
      <c r="X2047" s="5">
        <f>Z2047</f>
        <v/>
      </c>
      <c r="Y2047" s="1">
        <f>X2047-A2047</f>
        <v/>
      </c>
      <c r="Z2047" s="5" t="n">
        <v>46198</v>
      </c>
      <c r="AA2047" s="3" t="n"/>
      <c r="AB2047" s="3" t="n"/>
      <c r="AE2047" s="146">
        <f>IF(AND(F2047="Closed",X2047&gt;=DATE(2026,6,1),X2047&lt;=DATE(2026,6,30)),"Closed in June","other")</f>
        <v/>
      </c>
    </row>
    <row r="2048" hidden="1">
      <c r="A2048" s="49" t="n">
        <v>46177</v>
      </c>
      <c r="B2048" s="1" t="n">
        <v>2026</v>
      </c>
      <c r="C2048" s="8" t="inlineStr">
        <is>
          <t>Ayana</t>
        </is>
      </c>
      <c r="D2048" s="11" t="inlineStr">
        <is>
          <t>Utility and C&amp;I</t>
        </is>
      </c>
      <c r="E2048" s="1" t="n"/>
      <c r="F2048" s="1" t="inlineStr">
        <is>
          <t>Closed</t>
        </is>
      </c>
      <c r="G2048" s="11" t="inlineStr">
        <is>
          <t>Vasu.N</t>
        </is>
      </c>
      <c r="H2048" s="8" t="n">
        <v>9578099893</v>
      </c>
      <c r="I2048" s="10" t="inlineStr">
        <is>
          <t>PE04062601</t>
        </is>
      </c>
      <c r="J2048" s="28" t="inlineStr">
        <is>
          <t>Module burnt</t>
        </is>
      </c>
      <c r="K2048" s="8" t="inlineStr">
        <is>
          <t>Zura</t>
        </is>
      </c>
      <c r="L2048" s="39" t="inlineStr">
        <is>
          <t>Gujarat</t>
        </is>
      </c>
      <c r="M2048" s="2" t="inlineStr">
        <is>
          <t xml:space="preserve">damage </t>
        </is>
      </c>
      <c r="N2048" s="6" t="inlineStr">
        <is>
          <t>Module Breakage</t>
        </is>
      </c>
      <c r="O2048" s="32" t="n">
        <v>590</v>
      </c>
      <c r="P2048" s="2" t="inlineStr">
        <is>
          <t>NSMI24100646792</t>
        </is>
      </c>
      <c r="Q2048" s="29">
        <f>MID(P2048,5,2)</f>
        <v/>
      </c>
      <c r="R2048" s="14">
        <f>MID(P2048,7,2)</f>
        <v/>
      </c>
      <c r="S2048" s="6" t="inlineStr">
        <is>
          <t>G2G</t>
        </is>
      </c>
      <c r="T2048" s="1" t="inlineStr">
        <is>
          <t>P4 - PEIPL</t>
        </is>
      </c>
      <c r="U2048" s="2" t="inlineStr">
        <is>
          <t xml:space="preserve">physically damaged </t>
        </is>
      </c>
      <c r="V2048" s="1" t="inlineStr">
        <is>
          <t>Inspection</t>
        </is>
      </c>
      <c r="W2048" s="1" t="inlineStr">
        <is>
          <t>Rejected</t>
        </is>
      </c>
      <c r="X2048" s="5">
        <f>Z2048</f>
        <v/>
      </c>
      <c r="Y2048" s="1">
        <f>X2048-A2048</f>
        <v/>
      </c>
      <c r="Z2048" s="5" t="n">
        <v>46198</v>
      </c>
      <c r="AA2048" s="3" t="n"/>
      <c r="AB2048" s="3" t="n"/>
      <c r="AE2048" s="146">
        <f>IF(AND(F2048="Closed",X2048&gt;=DATE(2026,6,1),X2048&lt;=DATE(2026,6,30)),"Closed in June","other")</f>
        <v/>
      </c>
    </row>
    <row r="2049" hidden="1">
      <c r="A2049" s="49" t="n">
        <v>46177</v>
      </c>
      <c r="B2049" s="1" t="n">
        <v>2026</v>
      </c>
      <c r="C2049" s="8" t="inlineStr">
        <is>
          <t>Ayana</t>
        </is>
      </c>
      <c r="D2049" s="11" t="inlineStr">
        <is>
          <t>Utility and C&amp;I</t>
        </is>
      </c>
      <c r="E2049" s="1" t="n"/>
      <c r="F2049" s="1" t="inlineStr">
        <is>
          <t>Closed</t>
        </is>
      </c>
      <c r="G2049" s="11" t="inlineStr">
        <is>
          <t>Vasu.N</t>
        </is>
      </c>
      <c r="H2049" s="8" t="n">
        <v>9578099893</v>
      </c>
      <c r="I2049" s="10" t="inlineStr">
        <is>
          <t>PE04062601</t>
        </is>
      </c>
      <c r="J2049" s="28" t="inlineStr">
        <is>
          <t>Module burnt</t>
        </is>
      </c>
      <c r="K2049" s="8" t="inlineStr">
        <is>
          <t>Zura</t>
        </is>
      </c>
      <c r="L2049" s="39" t="inlineStr">
        <is>
          <t>Gujarat</t>
        </is>
      </c>
      <c r="M2049" s="2" t="inlineStr">
        <is>
          <t xml:space="preserve">damage </t>
        </is>
      </c>
      <c r="N2049" s="6" t="inlineStr">
        <is>
          <t>Module Breakage</t>
        </is>
      </c>
      <c r="O2049" s="32" t="n">
        <v>590</v>
      </c>
      <c r="P2049" s="2" t="inlineStr">
        <is>
          <t>NSMI24110793929</t>
        </is>
      </c>
      <c r="Q2049" s="29">
        <f>MID(P2049,5,2)</f>
        <v/>
      </c>
      <c r="R2049" s="14">
        <f>MID(P2049,7,2)</f>
        <v/>
      </c>
      <c r="S2049" s="6" t="inlineStr">
        <is>
          <t>G2G</t>
        </is>
      </c>
      <c r="T2049" s="1" t="inlineStr">
        <is>
          <t>P4 - PEIPL</t>
        </is>
      </c>
      <c r="U2049" s="2" t="inlineStr">
        <is>
          <t xml:space="preserve">physically damaged </t>
        </is>
      </c>
      <c r="V2049" s="1" t="inlineStr">
        <is>
          <t>Inspection</t>
        </is>
      </c>
      <c r="W2049" s="1" t="inlineStr">
        <is>
          <t>Rejected</t>
        </is>
      </c>
      <c r="X2049" s="5">
        <f>Z2049</f>
        <v/>
      </c>
      <c r="Y2049" s="1">
        <f>X2049-A2049</f>
        <v/>
      </c>
      <c r="Z2049" s="5" t="n">
        <v>46198</v>
      </c>
      <c r="AA2049" s="3" t="n"/>
      <c r="AB2049" s="3" t="n"/>
      <c r="AE2049" s="146">
        <f>IF(AND(F2049="Closed",X2049&gt;=DATE(2026,6,1),X2049&lt;=DATE(2026,6,30)),"Closed in June","other")</f>
        <v/>
      </c>
    </row>
    <row r="2050" hidden="1">
      <c r="A2050" s="49" t="n">
        <v>46177</v>
      </c>
      <c r="B2050" s="1" t="n">
        <v>2026</v>
      </c>
      <c r="C2050" s="8" t="inlineStr">
        <is>
          <t>Ayana</t>
        </is>
      </c>
      <c r="D2050" s="11" t="inlineStr">
        <is>
          <t>Utility and C&amp;I</t>
        </is>
      </c>
      <c r="E2050" s="1" t="n"/>
      <c r="F2050" s="1" t="inlineStr">
        <is>
          <t>Closed</t>
        </is>
      </c>
      <c r="G2050" s="11" t="inlineStr">
        <is>
          <t>Vasu.N</t>
        </is>
      </c>
      <c r="H2050" s="8" t="n">
        <v>9578099893</v>
      </c>
      <c r="I2050" s="10" t="inlineStr">
        <is>
          <t>PE04062601</t>
        </is>
      </c>
      <c r="J2050" s="28" t="inlineStr">
        <is>
          <t>Module burnt</t>
        </is>
      </c>
      <c r="K2050" s="8" t="inlineStr">
        <is>
          <t>Zura</t>
        </is>
      </c>
      <c r="L2050" s="39" t="inlineStr">
        <is>
          <t>Gujarat</t>
        </is>
      </c>
      <c r="M2050" s="2" t="inlineStr">
        <is>
          <t xml:space="preserve">damage </t>
        </is>
      </c>
      <c r="N2050" s="6" t="inlineStr">
        <is>
          <t>Module Breakage</t>
        </is>
      </c>
      <c r="O2050" s="32" t="n">
        <v>590</v>
      </c>
      <c r="P2050" s="2" t="inlineStr">
        <is>
          <t>NSMI24110832101</t>
        </is>
      </c>
      <c r="Q2050" s="29">
        <f>MID(P2050,5,2)</f>
        <v/>
      </c>
      <c r="R2050" s="14">
        <f>MID(P2050,7,2)</f>
        <v/>
      </c>
      <c r="S2050" s="6" t="inlineStr">
        <is>
          <t>G2G</t>
        </is>
      </c>
      <c r="T2050" s="1" t="inlineStr">
        <is>
          <t>P4 - PEIPL</t>
        </is>
      </c>
      <c r="U2050" s="2" t="inlineStr">
        <is>
          <t xml:space="preserve">physically damaged </t>
        </is>
      </c>
      <c r="V2050" s="1" t="inlineStr">
        <is>
          <t>Inspection</t>
        </is>
      </c>
      <c r="W2050" s="1" t="inlineStr">
        <is>
          <t>Rejected</t>
        </is>
      </c>
      <c r="X2050" s="5">
        <f>Z2050</f>
        <v/>
      </c>
      <c r="Y2050" s="1">
        <f>X2050-A2050</f>
        <v/>
      </c>
      <c r="Z2050" s="5" t="n">
        <v>46198</v>
      </c>
      <c r="AA2050" s="3" t="n"/>
      <c r="AB2050" s="3" t="n"/>
      <c r="AE2050" s="146">
        <f>IF(AND(F2050="Closed",X2050&gt;=DATE(2026,6,1),X2050&lt;=DATE(2026,6,30)),"Closed in June","other")</f>
        <v/>
      </c>
    </row>
    <row r="2051" hidden="1">
      <c r="A2051" s="49" t="n">
        <v>46177</v>
      </c>
      <c r="B2051" s="1" t="n">
        <v>2026</v>
      </c>
      <c r="C2051" s="8" t="inlineStr">
        <is>
          <t>Ayana</t>
        </is>
      </c>
      <c r="D2051" s="11" t="inlineStr">
        <is>
          <t>Utility and C&amp;I</t>
        </is>
      </c>
      <c r="E2051" s="1" t="n"/>
      <c r="F2051" s="1" t="inlineStr">
        <is>
          <t>Closed</t>
        </is>
      </c>
      <c r="G2051" s="11" t="inlineStr">
        <is>
          <t>Vasu.N</t>
        </is>
      </c>
      <c r="H2051" s="8" t="n">
        <v>9578099893</v>
      </c>
      <c r="I2051" s="10" t="inlineStr">
        <is>
          <t>PE04062601</t>
        </is>
      </c>
      <c r="J2051" s="28" t="inlineStr">
        <is>
          <t>Module burnt</t>
        </is>
      </c>
      <c r="K2051" s="8" t="inlineStr">
        <is>
          <t>Zura</t>
        </is>
      </c>
      <c r="L2051" s="39" t="inlineStr">
        <is>
          <t>Gujarat</t>
        </is>
      </c>
      <c r="M2051" s="2" t="inlineStr">
        <is>
          <t xml:space="preserve">damage </t>
        </is>
      </c>
      <c r="N2051" s="6" t="inlineStr">
        <is>
          <t>Module Breakage</t>
        </is>
      </c>
      <c r="O2051" s="32" t="n">
        <v>590</v>
      </c>
      <c r="P2051" s="2" t="inlineStr">
        <is>
          <t>NSMI24110819089</t>
        </is>
      </c>
      <c r="Q2051" s="29">
        <f>MID(P2051,5,2)</f>
        <v/>
      </c>
      <c r="R2051" s="14">
        <f>MID(P2051,7,2)</f>
        <v/>
      </c>
      <c r="S2051" s="6" t="inlineStr">
        <is>
          <t>G2G</t>
        </is>
      </c>
      <c r="T2051" s="1" t="inlineStr">
        <is>
          <t>P4 - PEIPL</t>
        </is>
      </c>
      <c r="U2051" s="2" t="inlineStr">
        <is>
          <t xml:space="preserve">physically damaged </t>
        </is>
      </c>
      <c r="V2051" s="1" t="inlineStr">
        <is>
          <t>Inspection</t>
        </is>
      </c>
      <c r="W2051" s="1" t="inlineStr">
        <is>
          <t>Rejected</t>
        </is>
      </c>
      <c r="X2051" s="5">
        <f>Z2051</f>
        <v/>
      </c>
      <c r="Y2051" s="1">
        <f>X2051-A2051</f>
        <v/>
      </c>
      <c r="Z2051" s="5" t="n">
        <v>46198</v>
      </c>
      <c r="AA2051" s="3" t="n"/>
      <c r="AB2051" s="3" t="n"/>
      <c r="AE2051" s="146">
        <f>IF(AND(F2051="Closed",X2051&gt;=DATE(2026,6,1),X2051&lt;=DATE(2026,6,30)),"Closed in June","other")</f>
        <v/>
      </c>
    </row>
    <row r="2052" hidden="1">
      <c r="A2052" s="49" t="n">
        <v>46177</v>
      </c>
      <c r="B2052" s="1" t="n">
        <v>2026</v>
      </c>
      <c r="C2052" s="8" t="inlineStr">
        <is>
          <t>Ayana</t>
        </is>
      </c>
      <c r="D2052" s="11" t="inlineStr">
        <is>
          <t>Utility and C&amp;I</t>
        </is>
      </c>
      <c r="E2052" s="1" t="n"/>
      <c r="F2052" s="1" t="inlineStr">
        <is>
          <t>Closed</t>
        </is>
      </c>
      <c r="G2052" s="11" t="inlineStr">
        <is>
          <t>Vasu.N</t>
        </is>
      </c>
      <c r="H2052" s="8" t="n">
        <v>9578099893</v>
      </c>
      <c r="I2052" s="10" t="inlineStr">
        <is>
          <t>PE04062601</t>
        </is>
      </c>
      <c r="J2052" s="28" t="inlineStr">
        <is>
          <t>Module burnt</t>
        </is>
      </c>
      <c r="K2052" s="8" t="inlineStr">
        <is>
          <t>Zura</t>
        </is>
      </c>
      <c r="L2052" s="39" t="inlineStr">
        <is>
          <t>Gujarat</t>
        </is>
      </c>
      <c r="M2052" s="2" t="inlineStr">
        <is>
          <t xml:space="preserve">damage </t>
        </is>
      </c>
      <c r="N2052" s="6" t="inlineStr">
        <is>
          <t>Module Breakage</t>
        </is>
      </c>
      <c r="O2052" s="32" t="n">
        <v>590</v>
      </c>
      <c r="P2052" s="2" t="inlineStr">
        <is>
          <t>NSMI24100633326</t>
        </is>
      </c>
      <c r="Q2052" s="29">
        <f>MID(P2052,5,2)</f>
        <v/>
      </c>
      <c r="R2052" s="14">
        <f>MID(P2052,7,2)</f>
        <v/>
      </c>
      <c r="S2052" s="6" t="inlineStr">
        <is>
          <t>G2G</t>
        </is>
      </c>
      <c r="T2052" s="1" t="inlineStr">
        <is>
          <t>P4 - PEIPL</t>
        </is>
      </c>
      <c r="U2052" s="2" t="inlineStr">
        <is>
          <t xml:space="preserve">physically damaged </t>
        </is>
      </c>
      <c r="V2052" s="1" t="inlineStr">
        <is>
          <t>Inspection</t>
        </is>
      </c>
      <c r="W2052" s="1" t="inlineStr">
        <is>
          <t>Rejected</t>
        </is>
      </c>
      <c r="X2052" s="5">
        <f>Z2052</f>
        <v/>
      </c>
      <c r="Y2052" s="1">
        <f>X2052-A2052</f>
        <v/>
      </c>
      <c r="Z2052" s="5" t="n">
        <v>46198</v>
      </c>
      <c r="AA2052" s="3" t="n"/>
      <c r="AB2052" s="3" t="n"/>
      <c r="AE2052" s="146">
        <f>IF(AND(F2052="Closed",X2052&gt;=DATE(2026,6,1),X2052&lt;=DATE(2026,6,30)),"Closed in June","other")</f>
        <v/>
      </c>
    </row>
    <row r="2053" hidden="1">
      <c r="A2053" s="49" t="n">
        <v>46177</v>
      </c>
      <c r="B2053" s="1" t="n">
        <v>2026</v>
      </c>
      <c r="C2053" s="8" t="inlineStr">
        <is>
          <t>Ayana</t>
        </is>
      </c>
      <c r="D2053" s="11" t="inlineStr">
        <is>
          <t>Utility and C&amp;I</t>
        </is>
      </c>
      <c r="E2053" s="1" t="n"/>
      <c r="F2053" s="1" t="inlineStr">
        <is>
          <t>Closed</t>
        </is>
      </c>
      <c r="G2053" s="11" t="inlineStr">
        <is>
          <t>Vasu.N</t>
        </is>
      </c>
      <c r="H2053" s="8" t="n">
        <v>9578099893</v>
      </c>
      <c r="I2053" s="10" t="inlineStr">
        <is>
          <t>PE04062601</t>
        </is>
      </c>
      <c r="J2053" s="28" t="inlineStr">
        <is>
          <t>Module burnt</t>
        </is>
      </c>
      <c r="K2053" s="8" t="inlineStr">
        <is>
          <t>Zura</t>
        </is>
      </c>
      <c r="L2053" s="39" t="inlineStr">
        <is>
          <t>Gujarat</t>
        </is>
      </c>
      <c r="M2053" s="2" t="inlineStr">
        <is>
          <t xml:space="preserve">damage </t>
        </is>
      </c>
      <c r="N2053" s="6" t="inlineStr">
        <is>
          <t>Module Breakage</t>
        </is>
      </c>
      <c r="O2053" s="32" t="n">
        <v>590</v>
      </c>
      <c r="P2053" s="2" t="inlineStr">
        <is>
          <t>NSMI24100608645</t>
        </is>
      </c>
      <c r="Q2053" s="29">
        <f>MID(P2053,5,2)</f>
        <v/>
      </c>
      <c r="R2053" s="14">
        <f>MID(P2053,7,2)</f>
        <v/>
      </c>
      <c r="S2053" s="6" t="inlineStr">
        <is>
          <t>G2G</t>
        </is>
      </c>
      <c r="T2053" s="1" t="inlineStr">
        <is>
          <t>P4 - PEIPL</t>
        </is>
      </c>
      <c r="U2053" s="2" t="inlineStr">
        <is>
          <t xml:space="preserve">physically damaged </t>
        </is>
      </c>
      <c r="V2053" s="1" t="inlineStr">
        <is>
          <t>Inspection</t>
        </is>
      </c>
      <c r="W2053" s="1" t="inlineStr">
        <is>
          <t>Rejected</t>
        </is>
      </c>
      <c r="X2053" s="5">
        <f>Z2053</f>
        <v/>
      </c>
      <c r="Y2053" s="1">
        <f>X2053-A2053</f>
        <v/>
      </c>
      <c r="Z2053" s="5" t="n">
        <v>46198</v>
      </c>
      <c r="AA2053" s="3" t="n"/>
      <c r="AB2053" s="3" t="n"/>
      <c r="AE2053" s="146">
        <f>IF(AND(F2053="Closed",X2053&gt;=DATE(2026,6,1),X2053&lt;=DATE(2026,6,30)),"Closed in June","other")</f>
        <v/>
      </c>
    </row>
    <row r="2054" hidden="1">
      <c r="A2054" s="49" t="n">
        <v>46177</v>
      </c>
      <c r="B2054" s="1" t="n">
        <v>2026</v>
      </c>
      <c r="C2054" s="8" t="inlineStr">
        <is>
          <t>Ayana</t>
        </is>
      </c>
      <c r="D2054" s="11" t="inlineStr">
        <is>
          <t>Utility and C&amp;I</t>
        </is>
      </c>
      <c r="E2054" s="1" t="n"/>
      <c r="F2054" s="1" t="inlineStr">
        <is>
          <t>Closed</t>
        </is>
      </c>
      <c r="G2054" s="11" t="inlineStr">
        <is>
          <t>Vasu.N</t>
        </is>
      </c>
      <c r="H2054" s="8" t="n">
        <v>9578099893</v>
      </c>
      <c r="I2054" s="10" t="inlineStr">
        <is>
          <t>PE04062601</t>
        </is>
      </c>
      <c r="J2054" s="28" t="inlineStr">
        <is>
          <t>Module burnt</t>
        </is>
      </c>
      <c r="K2054" s="8" t="inlineStr">
        <is>
          <t>Zura</t>
        </is>
      </c>
      <c r="L2054" s="39" t="inlineStr">
        <is>
          <t>Gujarat</t>
        </is>
      </c>
      <c r="M2054" s="2" t="inlineStr">
        <is>
          <t xml:space="preserve">damage </t>
        </is>
      </c>
      <c r="N2054" s="6" t="inlineStr">
        <is>
          <t>Module Breakage</t>
        </is>
      </c>
      <c r="O2054" s="32" t="n">
        <v>590</v>
      </c>
      <c r="P2054" s="2" t="inlineStr">
        <is>
          <t>NSMI24100612983</t>
        </is>
      </c>
      <c r="Q2054" s="29">
        <f>MID(P2054,5,2)</f>
        <v/>
      </c>
      <c r="R2054" s="14">
        <f>MID(P2054,7,2)</f>
        <v/>
      </c>
      <c r="S2054" s="6" t="inlineStr">
        <is>
          <t>G2G</t>
        </is>
      </c>
      <c r="T2054" s="1" t="inlineStr">
        <is>
          <t>P4 - PEIPL</t>
        </is>
      </c>
      <c r="U2054" s="2" t="inlineStr">
        <is>
          <t xml:space="preserve">physically damaged </t>
        </is>
      </c>
      <c r="V2054" s="1" t="inlineStr">
        <is>
          <t>Inspection</t>
        </is>
      </c>
      <c r="W2054" s="1" t="inlineStr">
        <is>
          <t>Rejected</t>
        </is>
      </c>
      <c r="X2054" s="5">
        <f>Z2054</f>
        <v/>
      </c>
      <c r="Y2054" s="1">
        <f>X2054-A2054</f>
        <v/>
      </c>
      <c r="Z2054" s="5" t="n">
        <v>46198</v>
      </c>
      <c r="AA2054" s="3" t="n"/>
      <c r="AB2054" s="3" t="n"/>
      <c r="AE2054" s="146">
        <f>IF(AND(F2054="Closed",X2054&gt;=DATE(2026,6,1),X2054&lt;=DATE(2026,6,30)),"Closed in June","other")</f>
        <v/>
      </c>
    </row>
    <row r="2055" hidden="1">
      <c r="A2055" s="49" t="n">
        <v>46177</v>
      </c>
      <c r="B2055" s="1" t="n">
        <v>2026</v>
      </c>
      <c r="C2055" s="8" t="inlineStr">
        <is>
          <t>Ayana</t>
        </is>
      </c>
      <c r="D2055" s="11" t="inlineStr">
        <is>
          <t>Utility and C&amp;I</t>
        </is>
      </c>
      <c r="E2055" s="1" t="n"/>
      <c r="F2055" s="1" t="inlineStr">
        <is>
          <t>Closed</t>
        </is>
      </c>
      <c r="G2055" s="11" t="inlineStr">
        <is>
          <t>Vasu.N</t>
        </is>
      </c>
      <c r="H2055" s="8" t="n">
        <v>9578099893</v>
      </c>
      <c r="I2055" s="10" t="inlineStr">
        <is>
          <t>PE04062601</t>
        </is>
      </c>
      <c r="J2055" s="28" t="inlineStr">
        <is>
          <t>Module burnt</t>
        </is>
      </c>
      <c r="K2055" s="8" t="inlineStr">
        <is>
          <t>Zura</t>
        </is>
      </c>
      <c r="L2055" s="39" t="inlineStr">
        <is>
          <t>Gujarat</t>
        </is>
      </c>
      <c r="M2055" s="2" t="inlineStr">
        <is>
          <t xml:space="preserve">damage </t>
        </is>
      </c>
      <c r="N2055" s="6" t="inlineStr">
        <is>
          <t>Module Breakage</t>
        </is>
      </c>
      <c r="O2055" s="32" t="n">
        <v>590</v>
      </c>
      <c r="P2055" s="2" t="inlineStr">
        <is>
          <t>NSMI24100612993</t>
        </is>
      </c>
      <c r="Q2055" s="29">
        <f>MID(P2055,5,2)</f>
        <v/>
      </c>
      <c r="R2055" s="14">
        <f>MID(P2055,7,2)</f>
        <v/>
      </c>
      <c r="S2055" s="6" t="inlineStr">
        <is>
          <t>G2G</t>
        </is>
      </c>
      <c r="T2055" s="1" t="inlineStr">
        <is>
          <t>P4 - PEIPL</t>
        </is>
      </c>
      <c r="U2055" s="2" t="inlineStr">
        <is>
          <t xml:space="preserve">physically damaged </t>
        </is>
      </c>
      <c r="V2055" s="1" t="inlineStr">
        <is>
          <t>Inspection</t>
        </is>
      </c>
      <c r="W2055" s="1" t="inlineStr">
        <is>
          <t>Rejected</t>
        </is>
      </c>
      <c r="X2055" s="5">
        <f>Z2055</f>
        <v/>
      </c>
      <c r="Y2055" s="1">
        <f>X2055-A2055</f>
        <v/>
      </c>
      <c r="Z2055" s="5" t="n">
        <v>46198</v>
      </c>
      <c r="AA2055" s="3" t="n"/>
      <c r="AB2055" s="3" t="n"/>
      <c r="AE2055" s="146">
        <f>IF(AND(F2055="Closed",X2055&gt;=DATE(2026,6,1),X2055&lt;=DATE(2026,6,30)),"Closed in June","other")</f>
        <v/>
      </c>
    </row>
    <row r="2056" hidden="1">
      <c r="A2056" s="49" t="n">
        <v>46177</v>
      </c>
      <c r="B2056" s="1" t="n">
        <v>2026</v>
      </c>
      <c r="C2056" s="8" t="inlineStr">
        <is>
          <t>Ayana</t>
        </is>
      </c>
      <c r="D2056" s="11" t="inlineStr">
        <is>
          <t>Utility and C&amp;I</t>
        </is>
      </c>
      <c r="E2056" s="1" t="n"/>
      <c r="F2056" s="1" t="inlineStr">
        <is>
          <t>Closed</t>
        </is>
      </c>
      <c r="G2056" s="11" t="inlineStr">
        <is>
          <t>Vasu.N</t>
        </is>
      </c>
      <c r="H2056" s="8" t="n">
        <v>9578099893</v>
      </c>
      <c r="I2056" s="10" t="inlineStr">
        <is>
          <t>PE04062601</t>
        </is>
      </c>
      <c r="J2056" s="28" t="inlineStr">
        <is>
          <t>Module burnt</t>
        </is>
      </c>
      <c r="K2056" s="8" t="inlineStr">
        <is>
          <t>Zura</t>
        </is>
      </c>
      <c r="L2056" s="39" t="inlineStr">
        <is>
          <t>Gujarat</t>
        </is>
      </c>
      <c r="M2056" s="2" t="inlineStr">
        <is>
          <t xml:space="preserve">damage </t>
        </is>
      </c>
      <c r="N2056" s="6" t="inlineStr">
        <is>
          <t>Module Breakage</t>
        </is>
      </c>
      <c r="O2056" s="32" t="n">
        <v>590</v>
      </c>
      <c r="P2056" s="2" t="inlineStr">
        <is>
          <t>NSMI24100612590</t>
        </is>
      </c>
      <c r="Q2056" s="29">
        <f>MID(P2056,5,2)</f>
        <v/>
      </c>
      <c r="R2056" s="14">
        <f>MID(P2056,7,2)</f>
        <v/>
      </c>
      <c r="S2056" s="6" t="inlineStr">
        <is>
          <t>G2G</t>
        </is>
      </c>
      <c r="T2056" s="1" t="inlineStr">
        <is>
          <t>P4 - PEIPL</t>
        </is>
      </c>
      <c r="U2056" s="2" t="inlineStr">
        <is>
          <t xml:space="preserve">physically damaged </t>
        </is>
      </c>
      <c r="V2056" s="1" t="inlineStr">
        <is>
          <t>Inspection</t>
        </is>
      </c>
      <c r="W2056" s="1" t="inlineStr">
        <is>
          <t>Rejected</t>
        </is>
      </c>
      <c r="X2056" s="5">
        <f>Z2056</f>
        <v/>
      </c>
      <c r="Y2056" s="1">
        <f>X2056-A2056</f>
        <v/>
      </c>
      <c r="Z2056" s="5" t="n">
        <v>46198</v>
      </c>
      <c r="AA2056" s="3" t="n"/>
      <c r="AB2056" s="3" t="n"/>
      <c r="AE2056" s="146">
        <f>IF(AND(F2056="Closed",X2056&gt;=DATE(2026,6,1),X2056&lt;=DATE(2026,6,30)),"Closed in June","other")</f>
        <v/>
      </c>
    </row>
    <row r="2057" hidden="1">
      <c r="A2057" s="49" t="n">
        <v>46177</v>
      </c>
      <c r="B2057" s="1" t="n">
        <v>2026</v>
      </c>
      <c r="C2057" s="8" t="inlineStr">
        <is>
          <t>Ayana</t>
        </is>
      </c>
      <c r="D2057" s="11" t="inlineStr">
        <is>
          <t>Utility and C&amp;I</t>
        </is>
      </c>
      <c r="E2057" s="1" t="n"/>
      <c r="F2057" s="1" t="inlineStr">
        <is>
          <t>Closed</t>
        </is>
      </c>
      <c r="G2057" s="11" t="inlineStr">
        <is>
          <t>Vasu.N</t>
        </is>
      </c>
      <c r="H2057" s="8" t="n">
        <v>9578099893</v>
      </c>
      <c r="I2057" s="10" t="inlineStr">
        <is>
          <t>PE04062601</t>
        </is>
      </c>
      <c r="J2057" s="28" t="inlineStr">
        <is>
          <t>Module burnt</t>
        </is>
      </c>
      <c r="K2057" s="8" t="inlineStr">
        <is>
          <t>Zura</t>
        </is>
      </c>
      <c r="L2057" s="39" t="inlineStr">
        <is>
          <t>Gujarat</t>
        </is>
      </c>
      <c r="M2057" s="2" t="inlineStr">
        <is>
          <t xml:space="preserve">damage </t>
        </is>
      </c>
      <c r="N2057" s="6" t="inlineStr">
        <is>
          <t>Module Breakage</t>
        </is>
      </c>
      <c r="O2057" s="32" t="n">
        <v>590</v>
      </c>
      <c r="P2057" s="2" t="inlineStr">
        <is>
          <t>NSMI24100612867</t>
        </is>
      </c>
      <c r="Q2057" s="29">
        <f>MID(P2057,5,2)</f>
        <v/>
      </c>
      <c r="R2057" s="14">
        <f>MID(P2057,7,2)</f>
        <v/>
      </c>
      <c r="S2057" s="6" t="inlineStr">
        <is>
          <t>G2G</t>
        </is>
      </c>
      <c r="T2057" s="1" t="inlineStr">
        <is>
          <t>P4 - PEIPL</t>
        </is>
      </c>
      <c r="U2057" s="2" t="inlineStr">
        <is>
          <t xml:space="preserve">physically damaged </t>
        </is>
      </c>
      <c r="V2057" s="1" t="inlineStr">
        <is>
          <t>Inspection</t>
        </is>
      </c>
      <c r="W2057" s="1" t="inlineStr">
        <is>
          <t>Rejected</t>
        </is>
      </c>
      <c r="X2057" s="5">
        <f>Z2057</f>
        <v/>
      </c>
      <c r="Y2057" s="1">
        <f>X2057-A2057</f>
        <v/>
      </c>
      <c r="Z2057" s="5" t="n">
        <v>46198</v>
      </c>
      <c r="AA2057" s="3" t="n"/>
      <c r="AB2057" s="3" t="n"/>
      <c r="AE2057" s="146">
        <f>IF(AND(F2057="Closed",X2057&gt;=DATE(2026,6,1),X2057&lt;=DATE(2026,6,30)),"Closed in June","other")</f>
        <v/>
      </c>
    </row>
    <row r="2058" hidden="1">
      <c r="A2058" s="49" t="n">
        <v>46177</v>
      </c>
      <c r="B2058" s="1" t="n">
        <v>2026</v>
      </c>
      <c r="C2058" s="8" t="inlineStr">
        <is>
          <t>Ayana</t>
        </is>
      </c>
      <c r="D2058" s="11" t="inlineStr">
        <is>
          <t>Utility and C&amp;I</t>
        </is>
      </c>
      <c r="E2058" s="1" t="n"/>
      <c r="F2058" s="1" t="inlineStr">
        <is>
          <t>Closed</t>
        </is>
      </c>
      <c r="G2058" s="11" t="inlineStr">
        <is>
          <t>Vasu.N</t>
        </is>
      </c>
      <c r="H2058" s="8" t="n">
        <v>9578099893</v>
      </c>
      <c r="I2058" s="10" t="inlineStr">
        <is>
          <t>PE04062601</t>
        </is>
      </c>
      <c r="J2058" s="28" t="inlineStr">
        <is>
          <t>Module burnt</t>
        </is>
      </c>
      <c r="K2058" s="8" t="inlineStr">
        <is>
          <t>Zura</t>
        </is>
      </c>
      <c r="L2058" s="39" t="inlineStr">
        <is>
          <t>Gujarat</t>
        </is>
      </c>
      <c r="M2058" s="2" t="inlineStr">
        <is>
          <t xml:space="preserve">damage </t>
        </is>
      </c>
      <c r="N2058" s="6" t="inlineStr">
        <is>
          <t>Module Breakage</t>
        </is>
      </c>
      <c r="O2058" s="32" t="n">
        <v>590</v>
      </c>
      <c r="P2058" s="2" t="inlineStr">
        <is>
          <t>NSMI24100614112</t>
        </is>
      </c>
      <c r="Q2058" s="29">
        <f>MID(P2058,5,2)</f>
        <v/>
      </c>
      <c r="R2058" s="14">
        <f>MID(P2058,7,2)</f>
        <v/>
      </c>
      <c r="S2058" s="6" t="inlineStr">
        <is>
          <t>G2G</t>
        </is>
      </c>
      <c r="T2058" s="1" t="inlineStr">
        <is>
          <t>P4 - PEIPL</t>
        </is>
      </c>
      <c r="U2058" s="2" t="inlineStr">
        <is>
          <t xml:space="preserve">physically damaged </t>
        </is>
      </c>
      <c r="V2058" s="1" t="inlineStr">
        <is>
          <t>Inspection</t>
        </is>
      </c>
      <c r="W2058" s="1" t="inlineStr">
        <is>
          <t>Rejected</t>
        </is>
      </c>
      <c r="X2058" s="5">
        <f>Z2058</f>
        <v/>
      </c>
      <c r="Y2058" s="1">
        <f>X2058-A2058</f>
        <v/>
      </c>
      <c r="Z2058" s="5" t="n">
        <v>46198</v>
      </c>
      <c r="AA2058" s="3" t="n"/>
      <c r="AB2058" s="3" t="n"/>
      <c r="AE2058" s="146">
        <f>IF(AND(F2058="Closed",X2058&gt;=DATE(2026,6,1),X2058&lt;=DATE(2026,6,30)),"Closed in June","other")</f>
        <v/>
      </c>
    </row>
    <row r="2059" hidden="1">
      <c r="A2059" s="49" t="n">
        <v>46177</v>
      </c>
      <c r="B2059" s="1" t="n">
        <v>2026</v>
      </c>
      <c r="C2059" s="8" t="inlineStr">
        <is>
          <t>Ayana</t>
        </is>
      </c>
      <c r="D2059" s="11" t="inlineStr">
        <is>
          <t>Utility and C&amp;I</t>
        </is>
      </c>
      <c r="E2059" s="1" t="n"/>
      <c r="F2059" s="1" t="inlineStr">
        <is>
          <t>Closed</t>
        </is>
      </c>
      <c r="G2059" s="11" t="inlineStr">
        <is>
          <t>Vasu.N</t>
        </is>
      </c>
      <c r="H2059" s="8" t="n">
        <v>9578099893</v>
      </c>
      <c r="I2059" s="10" t="inlineStr">
        <is>
          <t>PE04062601</t>
        </is>
      </c>
      <c r="J2059" s="28" t="inlineStr">
        <is>
          <t>Module burnt</t>
        </is>
      </c>
      <c r="K2059" s="8" t="inlineStr">
        <is>
          <t>Zura</t>
        </is>
      </c>
      <c r="L2059" s="39" t="inlineStr">
        <is>
          <t>Gujarat</t>
        </is>
      </c>
      <c r="M2059" s="2" t="inlineStr">
        <is>
          <t xml:space="preserve">damage </t>
        </is>
      </c>
      <c r="N2059" s="6" t="inlineStr">
        <is>
          <t>Module Breakage</t>
        </is>
      </c>
      <c r="O2059" s="32" t="n">
        <v>590</v>
      </c>
      <c r="P2059" s="2" t="inlineStr">
        <is>
          <t>NSMI24100612981</t>
        </is>
      </c>
      <c r="Q2059" s="29">
        <f>MID(P2059,5,2)</f>
        <v/>
      </c>
      <c r="R2059" s="14">
        <f>MID(P2059,7,2)</f>
        <v/>
      </c>
      <c r="S2059" s="6" t="inlineStr">
        <is>
          <t>G2G</t>
        </is>
      </c>
      <c r="T2059" s="1" t="inlineStr">
        <is>
          <t>P4 - PEIPL</t>
        </is>
      </c>
      <c r="U2059" s="2" t="inlineStr">
        <is>
          <t xml:space="preserve">physically damaged </t>
        </is>
      </c>
      <c r="V2059" s="1" t="inlineStr">
        <is>
          <t>Inspection</t>
        </is>
      </c>
      <c r="W2059" s="1" t="inlineStr">
        <is>
          <t>Rejected</t>
        </is>
      </c>
      <c r="X2059" s="5">
        <f>Z2059</f>
        <v/>
      </c>
      <c r="Y2059" s="1">
        <f>X2059-A2059</f>
        <v/>
      </c>
      <c r="Z2059" s="5" t="n">
        <v>46198</v>
      </c>
      <c r="AA2059" s="3" t="n"/>
      <c r="AB2059" s="3" t="n"/>
      <c r="AE2059" s="146">
        <f>IF(AND(F2059="Closed",X2059&gt;=DATE(2026,6,1),X2059&lt;=DATE(2026,6,30)),"Closed in June","other")</f>
        <v/>
      </c>
    </row>
    <row r="2060" hidden="1">
      <c r="A2060" s="49" t="n">
        <v>46177</v>
      </c>
      <c r="B2060" s="1" t="n">
        <v>2026</v>
      </c>
      <c r="C2060" s="8" t="inlineStr">
        <is>
          <t>Ayana</t>
        </is>
      </c>
      <c r="D2060" s="11" t="inlineStr">
        <is>
          <t>Utility and C&amp;I</t>
        </is>
      </c>
      <c r="E2060" s="1" t="n"/>
      <c r="F2060" s="1" t="inlineStr">
        <is>
          <t>Closed</t>
        </is>
      </c>
      <c r="G2060" s="11" t="inlineStr">
        <is>
          <t>Vasu.N</t>
        </is>
      </c>
      <c r="H2060" s="8" t="n">
        <v>9578099893</v>
      </c>
      <c r="I2060" s="10" t="inlineStr">
        <is>
          <t>PE04062601</t>
        </is>
      </c>
      <c r="J2060" s="28" t="inlineStr">
        <is>
          <t>Module burnt</t>
        </is>
      </c>
      <c r="K2060" s="8" t="inlineStr">
        <is>
          <t>Zura</t>
        </is>
      </c>
      <c r="L2060" s="39" t="inlineStr">
        <is>
          <t>Gujarat</t>
        </is>
      </c>
      <c r="M2060" s="2" t="inlineStr">
        <is>
          <t xml:space="preserve">damage </t>
        </is>
      </c>
      <c r="N2060" s="6" t="inlineStr">
        <is>
          <t>Module Breakage</t>
        </is>
      </c>
      <c r="O2060" s="32" t="n">
        <v>590</v>
      </c>
      <c r="P2060" s="2" t="inlineStr">
        <is>
          <t>NSMI24110821377</t>
        </is>
      </c>
      <c r="Q2060" s="29">
        <f>MID(P2060,5,2)</f>
        <v/>
      </c>
      <c r="R2060" s="14">
        <f>MID(P2060,7,2)</f>
        <v/>
      </c>
      <c r="S2060" s="6" t="inlineStr">
        <is>
          <t>G2G</t>
        </is>
      </c>
      <c r="T2060" s="1" t="inlineStr">
        <is>
          <t>P4 - PEIPL</t>
        </is>
      </c>
      <c r="U2060" s="2" t="inlineStr">
        <is>
          <t xml:space="preserve">physically damaged </t>
        </is>
      </c>
      <c r="V2060" s="1" t="inlineStr">
        <is>
          <t>Inspection</t>
        </is>
      </c>
      <c r="W2060" s="1" t="inlineStr">
        <is>
          <t>Rejected</t>
        </is>
      </c>
      <c r="X2060" s="5">
        <f>Z2060</f>
        <v/>
      </c>
      <c r="Y2060" s="1">
        <f>X2060-A2060</f>
        <v/>
      </c>
      <c r="Z2060" s="5" t="n">
        <v>46198</v>
      </c>
      <c r="AA2060" s="3" t="n"/>
      <c r="AB2060" s="3" t="n"/>
      <c r="AE2060" s="146">
        <f>IF(AND(F2060="Closed",X2060&gt;=DATE(2026,6,1),X2060&lt;=DATE(2026,6,30)),"Closed in June","other")</f>
        <v/>
      </c>
    </row>
    <row r="2061" hidden="1">
      <c r="A2061" s="49" t="n">
        <v>46177</v>
      </c>
      <c r="B2061" s="1" t="n">
        <v>2026</v>
      </c>
      <c r="C2061" s="8" t="inlineStr">
        <is>
          <t>Ayana</t>
        </is>
      </c>
      <c r="D2061" s="11" t="inlineStr">
        <is>
          <t>Utility and C&amp;I</t>
        </is>
      </c>
      <c r="E2061" s="1" t="n"/>
      <c r="F2061" s="1" t="inlineStr">
        <is>
          <t>Closed</t>
        </is>
      </c>
      <c r="G2061" s="11" t="inlineStr">
        <is>
          <t>Vasu.N</t>
        </is>
      </c>
      <c r="H2061" s="8" t="n">
        <v>9578099893</v>
      </c>
      <c r="I2061" s="10" t="inlineStr">
        <is>
          <t>PE04062601</t>
        </is>
      </c>
      <c r="J2061" s="28" t="inlineStr">
        <is>
          <t>Module burnt</t>
        </is>
      </c>
      <c r="K2061" s="8" t="inlineStr">
        <is>
          <t>Zura</t>
        </is>
      </c>
      <c r="L2061" s="39" t="inlineStr">
        <is>
          <t>Gujarat</t>
        </is>
      </c>
      <c r="M2061" s="2" t="inlineStr">
        <is>
          <t xml:space="preserve">damage </t>
        </is>
      </c>
      <c r="N2061" s="6" t="inlineStr">
        <is>
          <t>Module Breakage</t>
        </is>
      </c>
      <c r="O2061" s="32" t="n">
        <v>590</v>
      </c>
      <c r="P2061" s="2" t="inlineStr">
        <is>
          <t>NSMI24110823797</t>
        </is>
      </c>
      <c r="Q2061" s="29">
        <f>MID(P2061,5,2)</f>
        <v/>
      </c>
      <c r="R2061" s="14">
        <f>MID(P2061,7,2)</f>
        <v/>
      </c>
      <c r="S2061" s="6" t="inlineStr">
        <is>
          <t>G2G</t>
        </is>
      </c>
      <c r="T2061" s="1" t="inlineStr">
        <is>
          <t>P4 - PEIPL</t>
        </is>
      </c>
      <c r="U2061" s="2" t="inlineStr">
        <is>
          <t xml:space="preserve">physically damaged </t>
        </is>
      </c>
      <c r="V2061" s="1" t="inlineStr">
        <is>
          <t>Inspection</t>
        </is>
      </c>
      <c r="W2061" s="1" t="inlineStr">
        <is>
          <t>Rejected</t>
        </is>
      </c>
      <c r="X2061" s="5">
        <f>Z2061</f>
        <v/>
      </c>
      <c r="Y2061" s="1">
        <f>X2061-A2061</f>
        <v/>
      </c>
      <c r="Z2061" s="5" t="n">
        <v>46198</v>
      </c>
      <c r="AA2061" s="3" t="n"/>
      <c r="AB2061" s="3" t="n"/>
      <c r="AE2061" s="146">
        <f>IF(AND(F2061="Closed",X2061&gt;=DATE(2026,6,1),X2061&lt;=DATE(2026,6,30)),"Closed in June","other")</f>
        <v/>
      </c>
    </row>
    <row r="2062" hidden="1">
      <c r="A2062" s="49" t="n">
        <v>46177</v>
      </c>
      <c r="B2062" s="1" t="n">
        <v>2026</v>
      </c>
      <c r="C2062" s="8" t="inlineStr">
        <is>
          <t>Ayana</t>
        </is>
      </c>
      <c r="D2062" s="11" t="inlineStr">
        <is>
          <t>Utility and C&amp;I</t>
        </is>
      </c>
      <c r="E2062" s="1" t="n"/>
      <c r="F2062" s="1" t="inlineStr">
        <is>
          <t>Closed</t>
        </is>
      </c>
      <c r="G2062" s="11" t="inlineStr">
        <is>
          <t>Vasu.N</t>
        </is>
      </c>
      <c r="H2062" s="8" t="n">
        <v>9578099893</v>
      </c>
      <c r="I2062" s="10" t="inlineStr">
        <is>
          <t>PE04062601</t>
        </is>
      </c>
      <c r="J2062" s="28" t="inlineStr">
        <is>
          <t>Module burnt</t>
        </is>
      </c>
      <c r="K2062" s="8" t="inlineStr">
        <is>
          <t>Zura</t>
        </is>
      </c>
      <c r="L2062" s="39" t="inlineStr">
        <is>
          <t>Gujarat</t>
        </is>
      </c>
      <c r="M2062" s="2" t="inlineStr">
        <is>
          <t xml:space="preserve">damage </t>
        </is>
      </c>
      <c r="N2062" s="6" t="inlineStr">
        <is>
          <t>Module Breakage</t>
        </is>
      </c>
      <c r="O2062" s="32" t="n">
        <v>590</v>
      </c>
      <c r="P2062" s="2" t="inlineStr">
        <is>
          <t>NSMI24110823807</t>
        </is>
      </c>
      <c r="Q2062" s="29">
        <f>MID(P2062,5,2)</f>
        <v/>
      </c>
      <c r="R2062" s="14">
        <f>MID(P2062,7,2)</f>
        <v/>
      </c>
      <c r="S2062" s="6" t="inlineStr">
        <is>
          <t>G2G</t>
        </is>
      </c>
      <c r="T2062" s="1" t="inlineStr">
        <is>
          <t>P4 - PEIPL</t>
        </is>
      </c>
      <c r="U2062" s="2" t="inlineStr">
        <is>
          <t xml:space="preserve">physically damaged </t>
        </is>
      </c>
      <c r="V2062" s="1" t="inlineStr">
        <is>
          <t>Inspection</t>
        </is>
      </c>
      <c r="W2062" s="1" t="inlineStr">
        <is>
          <t>Rejected</t>
        </is>
      </c>
      <c r="X2062" s="5">
        <f>Z2062</f>
        <v/>
      </c>
      <c r="Y2062" s="1">
        <f>X2062-A2062</f>
        <v/>
      </c>
      <c r="Z2062" s="5" t="n">
        <v>46198</v>
      </c>
      <c r="AA2062" s="3" t="n"/>
      <c r="AB2062" s="3" t="n"/>
      <c r="AE2062" s="146">
        <f>IF(AND(F2062="Closed",X2062&gt;=DATE(2026,6,1),X2062&lt;=DATE(2026,6,30)),"Closed in June","other")</f>
        <v/>
      </c>
    </row>
    <row r="2063" hidden="1">
      <c r="A2063" s="49" t="n">
        <v>46177</v>
      </c>
      <c r="B2063" s="1" t="n">
        <v>2026</v>
      </c>
      <c r="C2063" s="8" t="inlineStr">
        <is>
          <t>Ayana</t>
        </is>
      </c>
      <c r="D2063" s="11" t="inlineStr">
        <is>
          <t>Utility and C&amp;I</t>
        </is>
      </c>
      <c r="E2063" s="1" t="n"/>
      <c r="F2063" s="1" t="inlineStr">
        <is>
          <t>Closed</t>
        </is>
      </c>
      <c r="G2063" s="11" t="inlineStr">
        <is>
          <t>Vasu.N</t>
        </is>
      </c>
      <c r="H2063" s="8" t="n">
        <v>9578099893</v>
      </c>
      <c r="I2063" s="10" t="inlineStr">
        <is>
          <t>PE04062601</t>
        </is>
      </c>
      <c r="J2063" s="28" t="inlineStr">
        <is>
          <t>Module burnt</t>
        </is>
      </c>
      <c r="K2063" s="8" t="inlineStr">
        <is>
          <t>Zura</t>
        </is>
      </c>
      <c r="L2063" s="39" t="inlineStr">
        <is>
          <t>Gujarat</t>
        </is>
      </c>
      <c r="M2063" s="2" t="inlineStr">
        <is>
          <t xml:space="preserve">damage </t>
        </is>
      </c>
      <c r="N2063" s="6" t="inlineStr">
        <is>
          <t>Module Breakage</t>
        </is>
      </c>
      <c r="O2063" s="32" t="n">
        <v>590</v>
      </c>
      <c r="P2063" s="2" t="inlineStr">
        <is>
          <t>NSMI24110823799</t>
        </is>
      </c>
      <c r="Q2063" s="29">
        <f>MID(P2063,5,2)</f>
        <v/>
      </c>
      <c r="R2063" s="14">
        <f>MID(P2063,7,2)</f>
        <v/>
      </c>
      <c r="S2063" s="6" t="inlineStr">
        <is>
          <t>G2G</t>
        </is>
      </c>
      <c r="T2063" s="1" t="inlineStr">
        <is>
          <t>P4 - PEIPL</t>
        </is>
      </c>
      <c r="U2063" s="2" t="inlineStr">
        <is>
          <t xml:space="preserve">physically damaged </t>
        </is>
      </c>
      <c r="V2063" s="1" t="inlineStr">
        <is>
          <t>Inspection</t>
        </is>
      </c>
      <c r="W2063" s="1" t="inlineStr">
        <is>
          <t>Rejected</t>
        </is>
      </c>
      <c r="X2063" s="5">
        <f>Z2063</f>
        <v/>
      </c>
      <c r="Y2063" s="1">
        <f>X2063-A2063</f>
        <v/>
      </c>
      <c r="Z2063" s="5" t="n">
        <v>46198</v>
      </c>
      <c r="AA2063" s="3" t="n"/>
      <c r="AB2063" s="3" t="n"/>
      <c r="AE2063" s="146">
        <f>IF(AND(F2063="Closed",X2063&gt;=DATE(2026,6,1),X2063&lt;=DATE(2026,6,30)),"Closed in June","other")</f>
        <v/>
      </c>
    </row>
    <row r="2064" hidden="1">
      <c r="A2064" s="49" t="n">
        <v>46177</v>
      </c>
      <c r="B2064" s="1" t="n">
        <v>2026</v>
      </c>
      <c r="C2064" s="8" t="inlineStr">
        <is>
          <t>Ayana</t>
        </is>
      </c>
      <c r="D2064" s="11" t="inlineStr">
        <is>
          <t>Utility and C&amp;I</t>
        </is>
      </c>
      <c r="E2064" s="1" t="n"/>
      <c r="F2064" s="1" t="inlineStr">
        <is>
          <t>Closed</t>
        </is>
      </c>
      <c r="G2064" s="11" t="inlineStr">
        <is>
          <t>Vasu.N</t>
        </is>
      </c>
      <c r="H2064" s="8" t="n">
        <v>9578099893</v>
      </c>
      <c r="I2064" s="10" t="inlineStr">
        <is>
          <t>PE04062601</t>
        </is>
      </c>
      <c r="J2064" s="28" t="inlineStr">
        <is>
          <t>Module burnt</t>
        </is>
      </c>
      <c r="K2064" s="8" t="inlineStr">
        <is>
          <t>Zura</t>
        </is>
      </c>
      <c r="L2064" s="39" t="inlineStr">
        <is>
          <t>Gujarat</t>
        </is>
      </c>
      <c r="M2064" s="2" t="inlineStr">
        <is>
          <t xml:space="preserve">damage </t>
        </is>
      </c>
      <c r="N2064" s="6" t="inlineStr">
        <is>
          <t>Module Breakage</t>
        </is>
      </c>
      <c r="O2064" s="32" t="n">
        <v>590</v>
      </c>
      <c r="P2064" s="2" t="inlineStr">
        <is>
          <t>NSMI24110823805</t>
        </is>
      </c>
      <c r="Q2064" s="29">
        <f>MID(P2064,5,2)</f>
        <v/>
      </c>
      <c r="R2064" s="14">
        <f>MID(P2064,7,2)</f>
        <v/>
      </c>
      <c r="S2064" s="6" t="inlineStr">
        <is>
          <t>G2G</t>
        </is>
      </c>
      <c r="T2064" s="1" t="inlineStr">
        <is>
          <t>P4 - PEIPL</t>
        </is>
      </c>
      <c r="U2064" s="2" t="inlineStr">
        <is>
          <t xml:space="preserve">physically damaged </t>
        </is>
      </c>
      <c r="V2064" s="1" t="inlineStr">
        <is>
          <t>Inspection</t>
        </is>
      </c>
      <c r="W2064" s="1" t="inlineStr">
        <is>
          <t>Rejected</t>
        </is>
      </c>
      <c r="X2064" s="5">
        <f>Z2064</f>
        <v/>
      </c>
      <c r="Y2064" s="1">
        <f>X2064-A2064</f>
        <v/>
      </c>
      <c r="Z2064" s="5" t="n">
        <v>46198</v>
      </c>
      <c r="AA2064" s="3" t="n"/>
      <c r="AB2064" s="3" t="n"/>
      <c r="AE2064" s="146">
        <f>IF(AND(F2064="Closed",X2064&gt;=DATE(2026,6,1),X2064&lt;=DATE(2026,6,30)),"Closed in June","other")</f>
        <v/>
      </c>
    </row>
    <row r="2065" hidden="1">
      <c r="A2065" s="49" t="n">
        <v>46177</v>
      </c>
      <c r="B2065" s="1" t="n">
        <v>2026</v>
      </c>
      <c r="C2065" s="8" t="inlineStr">
        <is>
          <t>Ayana</t>
        </is>
      </c>
      <c r="D2065" s="11" t="inlineStr">
        <is>
          <t>Utility and C&amp;I</t>
        </is>
      </c>
      <c r="E2065" s="1" t="n"/>
      <c r="F2065" s="1" t="inlineStr">
        <is>
          <t>Closed</t>
        </is>
      </c>
      <c r="G2065" s="11" t="inlineStr">
        <is>
          <t>Vasu.N</t>
        </is>
      </c>
      <c r="H2065" s="8" t="n">
        <v>9578099893</v>
      </c>
      <c r="I2065" s="10" t="inlineStr">
        <is>
          <t>PE04062601</t>
        </is>
      </c>
      <c r="J2065" s="28" t="inlineStr">
        <is>
          <t>Module burnt</t>
        </is>
      </c>
      <c r="K2065" s="8" t="inlineStr">
        <is>
          <t>Zura</t>
        </is>
      </c>
      <c r="L2065" s="39" t="inlineStr">
        <is>
          <t>Gujarat</t>
        </is>
      </c>
      <c r="M2065" s="2" t="inlineStr">
        <is>
          <t xml:space="preserve">damage </t>
        </is>
      </c>
      <c r="N2065" s="6" t="inlineStr">
        <is>
          <t>Module Breakage</t>
        </is>
      </c>
      <c r="O2065" s="32" t="n">
        <v>590</v>
      </c>
      <c r="P2065" s="2" t="inlineStr">
        <is>
          <t>NSMI24110823812</t>
        </is>
      </c>
      <c r="Q2065" s="29">
        <f>MID(P2065,5,2)</f>
        <v/>
      </c>
      <c r="R2065" s="14">
        <f>MID(P2065,7,2)</f>
        <v/>
      </c>
      <c r="S2065" s="6" t="inlineStr">
        <is>
          <t>G2G</t>
        </is>
      </c>
      <c r="T2065" s="1" t="inlineStr">
        <is>
          <t>P4 - PEIPL</t>
        </is>
      </c>
      <c r="U2065" s="2" t="inlineStr">
        <is>
          <t xml:space="preserve">physically damaged </t>
        </is>
      </c>
      <c r="V2065" s="1" t="inlineStr">
        <is>
          <t>Inspection</t>
        </is>
      </c>
      <c r="W2065" s="1" t="inlineStr">
        <is>
          <t>Rejected</t>
        </is>
      </c>
      <c r="X2065" s="5">
        <f>Z2065</f>
        <v/>
      </c>
      <c r="Y2065" s="1">
        <f>X2065-A2065</f>
        <v/>
      </c>
      <c r="Z2065" s="5" t="n">
        <v>46198</v>
      </c>
      <c r="AA2065" s="3" t="n"/>
      <c r="AB2065" s="3" t="n"/>
      <c r="AE2065" s="146">
        <f>IF(AND(F2065="Closed",X2065&gt;=DATE(2026,6,1),X2065&lt;=DATE(2026,6,30)),"Closed in June","other")</f>
        <v/>
      </c>
    </row>
    <row r="2066" hidden="1">
      <c r="A2066" s="49" t="n">
        <v>46177</v>
      </c>
      <c r="B2066" s="1" t="n">
        <v>2026</v>
      </c>
      <c r="C2066" s="8" t="inlineStr">
        <is>
          <t>Ayana</t>
        </is>
      </c>
      <c r="D2066" s="11" t="inlineStr">
        <is>
          <t>Utility and C&amp;I</t>
        </is>
      </c>
      <c r="E2066" s="1" t="n"/>
      <c r="F2066" s="1" t="inlineStr">
        <is>
          <t>Closed</t>
        </is>
      </c>
      <c r="G2066" s="11" t="inlineStr">
        <is>
          <t>Vasu.N</t>
        </is>
      </c>
      <c r="H2066" s="8" t="n">
        <v>9578099893</v>
      </c>
      <c r="I2066" s="10" t="inlineStr">
        <is>
          <t>PE04062601</t>
        </is>
      </c>
      <c r="J2066" s="28" t="inlineStr">
        <is>
          <t>Module burnt</t>
        </is>
      </c>
      <c r="K2066" s="8" t="inlineStr">
        <is>
          <t>Zura</t>
        </is>
      </c>
      <c r="L2066" s="39" t="inlineStr">
        <is>
          <t>Gujarat</t>
        </is>
      </c>
      <c r="M2066" s="2" t="inlineStr">
        <is>
          <t xml:space="preserve">damage </t>
        </is>
      </c>
      <c r="N2066" s="6" t="inlineStr">
        <is>
          <t>Module Breakage</t>
        </is>
      </c>
      <c r="O2066" s="32" t="n">
        <v>590</v>
      </c>
      <c r="P2066" s="2" t="inlineStr">
        <is>
          <t>NSMI24110823806</t>
        </is>
      </c>
      <c r="Q2066" s="29">
        <f>MID(P2066,5,2)</f>
        <v/>
      </c>
      <c r="R2066" s="14">
        <f>MID(P2066,7,2)</f>
        <v/>
      </c>
      <c r="S2066" s="6" t="inlineStr">
        <is>
          <t>G2G</t>
        </is>
      </c>
      <c r="T2066" s="1" t="inlineStr">
        <is>
          <t>P4 - PEIPL</t>
        </is>
      </c>
      <c r="U2066" s="2" t="inlineStr">
        <is>
          <t xml:space="preserve">physically damaged </t>
        </is>
      </c>
      <c r="V2066" s="1" t="inlineStr">
        <is>
          <t>Inspection</t>
        </is>
      </c>
      <c r="W2066" s="1" t="inlineStr">
        <is>
          <t>Rejected</t>
        </is>
      </c>
      <c r="X2066" s="5">
        <f>Z2066</f>
        <v/>
      </c>
      <c r="Y2066" s="1">
        <f>X2066-A2066</f>
        <v/>
      </c>
      <c r="Z2066" s="5" t="n">
        <v>46198</v>
      </c>
      <c r="AA2066" s="3" t="n"/>
      <c r="AB2066" s="3" t="n"/>
      <c r="AE2066" s="146">
        <f>IF(AND(F2066="Closed",X2066&gt;=DATE(2026,6,1),X2066&lt;=DATE(2026,6,30)),"Closed in June","other")</f>
        <v/>
      </c>
    </row>
    <row r="2067" hidden="1">
      <c r="A2067" s="49" t="n">
        <v>46177</v>
      </c>
      <c r="B2067" s="1" t="n">
        <v>2026</v>
      </c>
      <c r="C2067" s="8" t="inlineStr">
        <is>
          <t>Ayana</t>
        </is>
      </c>
      <c r="D2067" s="11" t="inlineStr">
        <is>
          <t>Utility and C&amp;I</t>
        </is>
      </c>
      <c r="E2067" s="1" t="n"/>
      <c r="F2067" s="1" t="inlineStr">
        <is>
          <t>Closed</t>
        </is>
      </c>
      <c r="G2067" s="11" t="inlineStr">
        <is>
          <t>Vasu.N</t>
        </is>
      </c>
      <c r="H2067" s="8" t="n">
        <v>9578099893</v>
      </c>
      <c r="I2067" s="10" t="inlineStr">
        <is>
          <t>PE04062601</t>
        </is>
      </c>
      <c r="J2067" s="28" t="inlineStr">
        <is>
          <t>Module burnt</t>
        </is>
      </c>
      <c r="K2067" s="8" t="inlineStr">
        <is>
          <t>Zura</t>
        </is>
      </c>
      <c r="L2067" s="39" t="inlineStr">
        <is>
          <t>Gujarat</t>
        </is>
      </c>
      <c r="M2067" s="2" t="inlineStr">
        <is>
          <t xml:space="preserve">damage </t>
        </is>
      </c>
      <c r="N2067" s="6" t="inlineStr">
        <is>
          <t>Module Breakage</t>
        </is>
      </c>
      <c r="O2067" s="32" t="n">
        <v>590</v>
      </c>
      <c r="P2067" s="2" t="inlineStr">
        <is>
          <t>NSMI24100642886</t>
        </is>
      </c>
      <c r="Q2067" s="29">
        <f>MID(P2067,5,2)</f>
        <v/>
      </c>
      <c r="R2067" s="14">
        <f>MID(P2067,7,2)</f>
        <v/>
      </c>
      <c r="S2067" s="6" t="inlineStr">
        <is>
          <t>G2G</t>
        </is>
      </c>
      <c r="T2067" s="1" t="inlineStr">
        <is>
          <t>P4 - PEIPL</t>
        </is>
      </c>
      <c r="U2067" s="2" t="inlineStr">
        <is>
          <t xml:space="preserve">physically damaged </t>
        </is>
      </c>
      <c r="V2067" s="1" t="inlineStr">
        <is>
          <t>Inspection</t>
        </is>
      </c>
      <c r="W2067" s="1" t="inlineStr">
        <is>
          <t>Rejected</t>
        </is>
      </c>
      <c r="X2067" s="5">
        <f>Z2067</f>
        <v/>
      </c>
      <c r="Y2067" s="1">
        <f>X2067-A2067</f>
        <v/>
      </c>
      <c r="Z2067" s="5" t="n">
        <v>46198</v>
      </c>
      <c r="AA2067" s="3" t="n"/>
      <c r="AB2067" s="3" t="n"/>
      <c r="AE2067" s="146">
        <f>IF(AND(F2067="Closed",X2067&gt;=DATE(2026,6,1),X2067&lt;=DATE(2026,6,30)),"Closed in June","other")</f>
        <v/>
      </c>
    </row>
    <row r="2068" hidden="1">
      <c r="A2068" s="49" t="n">
        <v>46177</v>
      </c>
      <c r="B2068" s="1" t="n">
        <v>2026</v>
      </c>
      <c r="C2068" s="8" t="inlineStr">
        <is>
          <t>Ayana</t>
        </is>
      </c>
      <c r="D2068" s="11" t="inlineStr">
        <is>
          <t>Utility and C&amp;I</t>
        </is>
      </c>
      <c r="E2068" s="1" t="n"/>
      <c r="F2068" s="1" t="inlineStr">
        <is>
          <t>Closed</t>
        </is>
      </c>
      <c r="G2068" s="11" t="inlineStr">
        <is>
          <t>Vasu.N</t>
        </is>
      </c>
      <c r="H2068" s="8" t="n">
        <v>9578099893</v>
      </c>
      <c r="I2068" s="10" t="inlineStr">
        <is>
          <t>PE04062601</t>
        </is>
      </c>
      <c r="J2068" s="28" t="inlineStr">
        <is>
          <t>Module burnt</t>
        </is>
      </c>
      <c r="K2068" s="8" t="inlineStr">
        <is>
          <t>Zura</t>
        </is>
      </c>
      <c r="L2068" s="39" t="inlineStr">
        <is>
          <t>Gujarat</t>
        </is>
      </c>
      <c r="M2068" s="2" t="inlineStr">
        <is>
          <t xml:space="preserve">damage </t>
        </is>
      </c>
      <c r="N2068" s="6" t="inlineStr">
        <is>
          <t>Module Breakage</t>
        </is>
      </c>
      <c r="O2068" s="32" t="n">
        <v>590</v>
      </c>
      <c r="P2068" s="2" t="inlineStr">
        <is>
          <t>NSMI24100660991</t>
        </is>
      </c>
      <c r="Q2068" s="29">
        <f>MID(P2068,5,2)</f>
        <v/>
      </c>
      <c r="R2068" s="14">
        <f>MID(P2068,7,2)</f>
        <v/>
      </c>
      <c r="S2068" s="6" t="inlineStr">
        <is>
          <t>G2G</t>
        </is>
      </c>
      <c r="T2068" s="1" t="inlineStr">
        <is>
          <t>P4 - PEIPL</t>
        </is>
      </c>
      <c r="U2068" s="2" t="inlineStr">
        <is>
          <t xml:space="preserve">physically damaged </t>
        </is>
      </c>
      <c r="V2068" s="1" t="inlineStr">
        <is>
          <t>Inspection</t>
        </is>
      </c>
      <c r="W2068" s="1" t="inlineStr">
        <is>
          <t>Rejected</t>
        </is>
      </c>
      <c r="X2068" s="5">
        <f>Z2068</f>
        <v/>
      </c>
      <c r="Y2068" s="1">
        <f>X2068-A2068</f>
        <v/>
      </c>
      <c r="Z2068" s="5" t="n">
        <v>46198</v>
      </c>
      <c r="AA2068" s="3" t="n"/>
      <c r="AB2068" s="3" t="n"/>
      <c r="AE2068" s="146">
        <f>IF(AND(F2068="Closed",X2068&gt;=DATE(2026,6,1),X2068&lt;=DATE(2026,6,30)),"Closed in June","other")</f>
        <v/>
      </c>
    </row>
    <row r="2069" hidden="1">
      <c r="A2069" s="49" t="n">
        <v>46177</v>
      </c>
      <c r="B2069" s="1" t="n">
        <v>2026</v>
      </c>
      <c r="C2069" s="8" t="inlineStr">
        <is>
          <t>Ayana</t>
        </is>
      </c>
      <c r="D2069" s="11" t="inlineStr">
        <is>
          <t>Utility and C&amp;I</t>
        </is>
      </c>
      <c r="E2069" s="1" t="n"/>
      <c r="F2069" s="1" t="inlineStr">
        <is>
          <t>Closed</t>
        </is>
      </c>
      <c r="G2069" s="11" t="inlineStr">
        <is>
          <t>Vasu.N</t>
        </is>
      </c>
      <c r="H2069" s="8" t="n">
        <v>9578099893</v>
      </c>
      <c r="I2069" s="10" t="inlineStr">
        <is>
          <t>PE04062601</t>
        </is>
      </c>
      <c r="J2069" s="28" t="inlineStr">
        <is>
          <t>Module burnt</t>
        </is>
      </c>
      <c r="K2069" s="8" t="inlineStr">
        <is>
          <t>Zura</t>
        </is>
      </c>
      <c r="L2069" s="39" t="inlineStr">
        <is>
          <t>Gujarat</t>
        </is>
      </c>
      <c r="M2069" s="2" t="inlineStr">
        <is>
          <t xml:space="preserve">damage </t>
        </is>
      </c>
      <c r="N2069" s="6" t="inlineStr">
        <is>
          <t>Module Breakage</t>
        </is>
      </c>
      <c r="O2069" s="32" t="n">
        <v>590</v>
      </c>
      <c r="P2069" s="2" t="inlineStr">
        <is>
          <t>NSMI24110814568</t>
        </is>
      </c>
      <c r="Q2069" s="29">
        <f>MID(P2069,5,2)</f>
        <v/>
      </c>
      <c r="R2069" s="14">
        <f>MID(P2069,7,2)</f>
        <v/>
      </c>
      <c r="S2069" s="6" t="inlineStr">
        <is>
          <t>G2G</t>
        </is>
      </c>
      <c r="T2069" s="1" t="inlineStr">
        <is>
          <t>P4 - PEIPL</t>
        </is>
      </c>
      <c r="U2069" s="2" t="inlineStr">
        <is>
          <t xml:space="preserve">physically damaged </t>
        </is>
      </c>
      <c r="V2069" s="1" t="inlineStr">
        <is>
          <t>Inspection</t>
        </is>
      </c>
      <c r="W2069" s="1" t="inlineStr">
        <is>
          <t>Rejected</t>
        </is>
      </c>
      <c r="X2069" s="5">
        <f>Z2069</f>
        <v/>
      </c>
      <c r="Y2069" s="1">
        <f>X2069-A2069</f>
        <v/>
      </c>
      <c r="Z2069" s="5" t="n">
        <v>46198</v>
      </c>
      <c r="AA2069" s="3" t="n"/>
      <c r="AB2069" s="3" t="n"/>
      <c r="AE2069" s="146">
        <f>IF(AND(F2069="Closed",X2069&gt;=DATE(2026,6,1),X2069&lt;=DATE(2026,6,30)),"Closed in June","other")</f>
        <v/>
      </c>
    </row>
    <row r="2070" hidden="1">
      <c r="A2070" s="49" t="n">
        <v>46177</v>
      </c>
      <c r="B2070" s="1" t="n">
        <v>2026</v>
      </c>
      <c r="C2070" s="8" t="inlineStr">
        <is>
          <t>Ayana</t>
        </is>
      </c>
      <c r="D2070" s="11" t="inlineStr">
        <is>
          <t>Utility and C&amp;I</t>
        </is>
      </c>
      <c r="E2070" s="1" t="n"/>
      <c r="F2070" s="1" t="inlineStr">
        <is>
          <t>Closed</t>
        </is>
      </c>
      <c r="G2070" s="11" t="inlineStr">
        <is>
          <t>Vasu.N</t>
        </is>
      </c>
      <c r="H2070" s="8" t="n">
        <v>9578099893</v>
      </c>
      <c r="I2070" s="10" t="inlineStr">
        <is>
          <t>PE04062601</t>
        </is>
      </c>
      <c r="J2070" s="28" t="inlineStr">
        <is>
          <t>Module burnt</t>
        </is>
      </c>
      <c r="K2070" s="8" t="inlineStr">
        <is>
          <t>Zura</t>
        </is>
      </c>
      <c r="L2070" s="39" t="inlineStr">
        <is>
          <t>Gujarat</t>
        </is>
      </c>
      <c r="M2070" s="2" t="inlineStr">
        <is>
          <t xml:space="preserve">damage </t>
        </is>
      </c>
      <c r="N2070" s="6" t="inlineStr">
        <is>
          <t>Module Breakage</t>
        </is>
      </c>
      <c r="O2070" s="32" t="n">
        <v>590</v>
      </c>
      <c r="P2070" s="2" t="inlineStr">
        <is>
          <t>NSMI24110814546</t>
        </is>
      </c>
      <c r="Q2070" s="29">
        <f>MID(P2070,5,2)</f>
        <v/>
      </c>
      <c r="R2070" s="14">
        <f>MID(P2070,7,2)</f>
        <v/>
      </c>
      <c r="S2070" s="6" t="inlineStr">
        <is>
          <t>G2G</t>
        </is>
      </c>
      <c r="T2070" s="1" t="inlineStr">
        <is>
          <t>P4 - PEIPL</t>
        </is>
      </c>
      <c r="U2070" s="2" t="inlineStr">
        <is>
          <t xml:space="preserve">physically damaged </t>
        </is>
      </c>
      <c r="V2070" s="1" t="inlineStr">
        <is>
          <t>Inspection</t>
        </is>
      </c>
      <c r="W2070" s="1" t="inlineStr">
        <is>
          <t>Rejected</t>
        </is>
      </c>
      <c r="X2070" s="5">
        <f>Z2070</f>
        <v/>
      </c>
      <c r="Y2070" s="1">
        <f>X2070-A2070</f>
        <v/>
      </c>
      <c r="Z2070" s="5" t="n">
        <v>46198</v>
      </c>
      <c r="AA2070" s="3" t="n"/>
      <c r="AB2070" s="3" t="n"/>
      <c r="AE2070" s="146">
        <f>IF(AND(F2070="Closed",X2070&gt;=DATE(2026,6,1),X2070&lt;=DATE(2026,6,30)),"Closed in June","other")</f>
        <v/>
      </c>
    </row>
    <row r="2071" hidden="1">
      <c r="A2071" s="49" t="n">
        <v>46177</v>
      </c>
      <c r="B2071" s="1" t="n">
        <v>2026</v>
      </c>
      <c r="C2071" s="8" t="inlineStr">
        <is>
          <t>Ayana</t>
        </is>
      </c>
      <c r="D2071" s="11" t="inlineStr">
        <is>
          <t>Utility and C&amp;I</t>
        </is>
      </c>
      <c r="E2071" s="1" t="n"/>
      <c r="F2071" s="1" t="inlineStr">
        <is>
          <t>Closed</t>
        </is>
      </c>
      <c r="G2071" s="11" t="inlineStr">
        <is>
          <t>Vasu.N</t>
        </is>
      </c>
      <c r="H2071" s="8" t="n">
        <v>9578099893</v>
      </c>
      <c r="I2071" s="10" t="inlineStr">
        <is>
          <t>PE04062601</t>
        </is>
      </c>
      <c r="J2071" s="28" t="inlineStr">
        <is>
          <t>Module burnt</t>
        </is>
      </c>
      <c r="K2071" s="8" t="inlineStr">
        <is>
          <t>Zura</t>
        </is>
      </c>
      <c r="L2071" s="39" t="inlineStr">
        <is>
          <t>Gujarat</t>
        </is>
      </c>
      <c r="M2071" s="2" t="inlineStr">
        <is>
          <t xml:space="preserve">damage </t>
        </is>
      </c>
      <c r="N2071" s="6" t="inlineStr">
        <is>
          <t>Module Breakage</t>
        </is>
      </c>
      <c r="O2071" s="32" t="n">
        <v>590</v>
      </c>
      <c r="P2071" s="2" t="inlineStr">
        <is>
          <t>NSMI24110814566</t>
        </is>
      </c>
      <c r="Q2071" s="29">
        <f>MID(P2071,5,2)</f>
        <v/>
      </c>
      <c r="R2071" s="14">
        <f>MID(P2071,7,2)</f>
        <v/>
      </c>
      <c r="S2071" s="6" t="inlineStr">
        <is>
          <t>G2G</t>
        </is>
      </c>
      <c r="T2071" s="1" t="inlineStr">
        <is>
          <t>P4 - PEIPL</t>
        </is>
      </c>
      <c r="U2071" s="2" t="inlineStr">
        <is>
          <t xml:space="preserve">physically damaged </t>
        </is>
      </c>
      <c r="V2071" s="1" t="inlineStr">
        <is>
          <t>Inspection</t>
        </is>
      </c>
      <c r="W2071" s="1" t="inlineStr">
        <is>
          <t>Rejected</t>
        </is>
      </c>
      <c r="X2071" s="5">
        <f>Z2071</f>
        <v/>
      </c>
      <c r="Y2071" s="1">
        <f>X2071-A2071</f>
        <v/>
      </c>
      <c r="Z2071" s="5" t="n">
        <v>46198</v>
      </c>
      <c r="AA2071" s="3" t="n"/>
      <c r="AB2071" s="3" t="n"/>
      <c r="AE2071" s="146">
        <f>IF(AND(F2071="Closed",X2071&gt;=DATE(2026,6,1),X2071&lt;=DATE(2026,6,30)),"Closed in June","other")</f>
        <v/>
      </c>
    </row>
    <row r="2072" hidden="1">
      <c r="A2072" s="49" t="n">
        <v>46177</v>
      </c>
      <c r="B2072" s="1" t="n">
        <v>2026</v>
      </c>
      <c r="C2072" s="8" t="inlineStr">
        <is>
          <t>Ayana</t>
        </is>
      </c>
      <c r="D2072" s="11" t="inlineStr">
        <is>
          <t>Utility and C&amp;I</t>
        </is>
      </c>
      <c r="E2072" s="1" t="n"/>
      <c r="F2072" s="1" t="inlineStr">
        <is>
          <t>Closed</t>
        </is>
      </c>
      <c r="G2072" s="11" t="inlineStr">
        <is>
          <t>Vasu.N</t>
        </is>
      </c>
      <c r="H2072" s="8" t="n">
        <v>9578099893</v>
      </c>
      <c r="I2072" s="10" t="inlineStr">
        <is>
          <t>PE04062601</t>
        </is>
      </c>
      <c r="J2072" s="28" t="inlineStr">
        <is>
          <t>Module burnt</t>
        </is>
      </c>
      <c r="K2072" s="8" t="inlineStr">
        <is>
          <t>Zura</t>
        </is>
      </c>
      <c r="L2072" s="39" t="inlineStr">
        <is>
          <t>Gujarat</t>
        </is>
      </c>
      <c r="M2072" s="2" t="inlineStr">
        <is>
          <t xml:space="preserve">damage </t>
        </is>
      </c>
      <c r="N2072" s="6" t="inlineStr">
        <is>
          <t>Module Breakage</t>
        </is>
      </c>
      <c r="O2072" s="32" t="n">
        <v>590</v>
      </c>
      <c r="P2072" s="2" t="inlineStr">
        <is>
          <t>NSMI24100573349</t>
        </is>
      </c>
      <c r="Q2072" s="29">
        <f>MID(P2072,5,2)</f>
        <v/>
      </c>
      <c r="R2072" s="14">
        <f>MID(P2072,7,2)</f>
        <v/>
      </c>
      <c r="S2072" s="6" t="inlineStr">
        <is>
          <t>G2G</t>
        </is>
      </c>
      <c r="T2072" s="1" t="inlineStr">
        <is>
          <t>P4 - PEIPL</t>
        </is>
      </c>
      <c r="U2072" s="2" t="inlineStr">
        <is>
          <t xml:space="preserve">physically damaged </t>
        </is>
      </c>
      <c r="V2072" s="1" t="inlineStr">
        <is>
          <t>Inspection</t>
        </is>
      </c>
      <c r="W2072" s="1" t="inlineStr">
        <is>
          <t>Rejected</t>
        </is>
      </c>
      <c r="X2072" s="5">
        <f>Z2072</f>
        <v/>
      </c>
      <c r="Y2072" s="1">
        <f>X2072-A2072</f>
        <v/>
      </c>
      <c r="Z2072" s="5" t="n">
        <v>46198</v>
      </c>
      <c r="AA2072" s="3" t="n"/>
      <c r="AB2072" s="3" t="n"/>
      <c r="AE2072" s="146">
        <f>IF(AND(F2072="Closed",X2072&gt;=DATE(2026,6,1),X2072&lt;=DATE(2026,6,30)),"Closed in June","other")</f>
        <v/>
      </c>
    </row>
    <row r="2073" hidden="1">
      <c r="A2073" s="49" t="n">
        <v>46177</v>
      </c>
      <c r="B2073" s="1" t="n">
        <v>2026</v>
      </c>
      <c r="C2073" s="8" t="inlineStr">
        <is>
          <t>Ayana</t>
        </is>
      </c>
      <c r="D2073" s="11" t="inlineStr">
        <is>
          <t>Utility and C&amp;I</t>
        </is>
      </c>
      <c r="E2073" s="1" t="n"/>
      <c r="F2073" s="1" t="inlineStr">
        <is>
          <t>Closed</t>
        </is>
      </c>
      <c r="G2073" s="11" t="inlineStr">
        <is>
          <t>Vasu.N</t>
        </is>
      </c>
      <c r="H2073" s="8" t="n">
        <v>9578099893</v>
      </c>
      <c r="I2073" s="10" t="inlineStr">
        <is>
          <t>PE04062601</t>
        </is>
      </c>
      <c r="J2073" s="28" t="inlineStr">
        <is>
          <t>Module burnt</t>
        </is>
      </c>
      <c r="K2073" s="8" t="inlineStr">
        <is>
          <t>Zura</t>
        </is>
      </c>
      <c r="L2073" s="39" t="inlineStr">
        <is>
          <t>Gujarat</t>
        </is>
      </c>
      <c r="M2073" s="2" t="inlineStr">
        <is>
          <t xml:space="preserve">damage </t>
        </is>
      </c>
      <c r="N2073" s="6" t="inlineStr">
        <is>
          <t>Module Breakage</t>
        </is>
      </c>
      <c r="O2073" s="32" t="n">
        <v>590</v>
      </c>
      <c r="P2073" s="2" t="inlineStr">
        <is>
          <t>NSMI24100596828</t>
        </is>
      </c>
      <c r="Q2073" s="29">
        <f>MID(P2073,5,2)</f>
        <v/>
      </c>
      <c r="R2073" s="14">
        <f>MID(P2073,7,2)</f>
        <v/>
      </c>
      <c r="S2073" s="6" t="inlineStr">
        <is>
          <t>G2G</t>
        </is>
      </c>
      <c r="T2073" s="1" t="inlineStr">
        <is>
          <t>P4 - PEIPL</t>
        </is>
      </c>
      <c r="U2073" s="2" t="inlineStr">
        <is>
          <t xml:space="preserve">physically damaged </t>
        </is>
      </c>
      <c r="V2073" s="1" t="inlineStr">
        <is>
          <t>Inspection</t>
        </is>
      </c>
      <c r="W2073" s="1" t="inlineStr">
        <is>
          <t>Rejected</t>
        </is>
      </c>
      <c r="X2073" s="5">
        <f>Z2073</f>
        <v/>
      </c>
      <c r="Y2073" s="1">
        <f>X2073-A2073</f>
        <v/>
      </c>
      <c r="Z2073" s="5" t="n">
        <v>46198</v>
      </c>
      <c r="AA2073" s="3" t="n"/>
      <c r="AB2073" s="3" t="n"/>
      <c r="AE2073" s="146">
        <f>IF(AND(F2073="Closed",X2073&gt;=DATE(2026,6,1),X2073&lt;=DATE(2026,6,30)),"Closed in June","other")</f>
        <v/>
      </c>
    </row>
    <row r="2074" hidden="1">
      <c r="A2074" s="49" t="n">
        <v>46177</v>
      </c>
      <c r="B2074" s="1" t="n">
        <v>2026</v>
      </c>
      <c r="C2074" s="8" t="inlineStr">
        <is>
          <t>Ayana</t>
        </is>
      </c>
      <c r="D2074" s="11" t="inlineStr">
        <is>
          <t>Utility and C&amp;I</t>
        </is>
      </c>
      <c r="E2074" s="1" t="n"/>
      <c r="F2074" s="1" t="inlineStr">
        <is>
          <t>Closed</t>
        </is>
      </c>
      <c r="G2074" s="11" t="inlineStr">
        <is>
          <t>Vasu.N</t>
        </is>
      </c>
      <c r="H2074" s="8" t="n">
        <v>9578099893</v>
      </c>
      <c r="I2074" s="10" t="inlineStr">
        <is>
          <t>PE04062601</t>
        </is>
      </c>
      <c r="J2074" s="28" t="inlineStr">
        <is>
          <t>Module burnt</t>
        </is>
      </c>
      <c r="K2074" s="8" t="inlineStr">
        <is>
          <t>Zura</t>
        </is>
      </c>
      <c r="L2074" s="39" t="inlineStr">
        <is>
          <t>Gujarat</t>
        </is>
      </c>
      <c r="M2074" s="2" t="inlineStr">
        <is>
          <t xml:space="preserve">damage </t>
        </is>
      </c>
      <c r="N2074" s="6" t="inlineStr">
        <is>
          <t>Module Breakage</t>
        </is>
      </c>
      <c r="O2074" s="32" t="n">
        <v>590</v>
      </c>
      <c r="P2074" s="2" t="inlineStr">
        <is>
          <t>NSMI24100592631</t>
        </is>
      </c>
      <c r="Q2074" s="29">
        <f>MID(P2074,5,2)</f>
        <v/>
      </c>
      <c r="R2074" s="14">
        <f>MID(P2074,7,2)</f>
        <v/>
      </c>
      <c r="S2074" s="6" t="inlineStr">
        <is>
          <t>G2G</t>
        </is>
      </c>
      <c r="T2074" s="1" t="inlineStr">
        <is>
          <t>P4 - PEIPL</t>
        </is>
      </c>
      <c r="U2074" s="2" t="inlineStr">
        <is>
          <t xml:space="preserve">physically damaged </t>
        </is>
      </c>
      <c r="V2074" s="1" t="inlineStr">
        <is>
          <t>Inspection</t>
        </is>
      </c>
      <c r="W2074" s="1" t="inlineStr">
        <is>
          <t>Rejected</t>
        </is>
      </c>
      <c r="X2074" s="5">
        <f>Z2074</f>
        <v/>
      </c>
      <c r="Y2074" s="1">
        <f>X2074-A2074</f>
        <v/>
      </c>
      <c r="Z2074" s="5" t="n">
        <v>46198</v>
      </c>
      <c r="AA2074" s="3" t="n"/>
      <c r="AB2074" s="3" t="n"/>
      <c r="AE2074" s="146">
        <f>IF(AND(F2074="Closed",X2074&gt;=DATE(2026,6,1),X2074&lt;=DATE(2026,6,30)),"Closed in June","other")</f>
        <v/>
      </c>
    </row>
    <row r="2075" hidden="1">
      <c r="A2075" s="49" t="n">
        <v>46177</v>
      </c>
      <c r="B2075" s="1" t="n">
        <v>2026</v>
      </c>
      <c r="C2075" s="8" t="inlineStr">
        <is>
          <t>Ayana</t>
        </is>
      </c>
      <c r="D2075" s="11" t="inlineStr">
        <is>
          <t>Utility and C&amp;I</t>
        </is>
      </c>
      <c r="E2075" s="1" t="n"/>
      <c r="F2075" s="1" t="inlineStr">
        <is>
          <t>Closed</t>
        </is>
      </c>
      <c r="G2075" s="11" t="inlineStr">
        <is>
          <t>Vasu.N</t>
        </is>
      </c>
      <c r="H2075" s="8" t="n">
        <v>9578099893</v>
      </c>
      <c r="I2075" s="10" t="inlineStr">
        <is>
          <t>PE04062601</t>
        </is>
      </c>
      <c r="J2075" s="28" t="inlineStr">
        <is>
          <t>Module burnt</t>
        </is>
      </c>
      <c r="K2075" s="8" t="inlineStr">
        <is>
          <t>Zura</t>
        </is>
      </c>
      <c r="L2075" s="39" t="inlineStr">
        <is>
          <t>Gujarat</t>
        </is>
      </c>
      <c r="M2075" s="2" t="inlineStr">
        <is>
          <t xml:space="preserve">damage </t>
        </is>
      </c>
      <c r="N2075" s="6" t="inlineStr">
        <is>
          <t>Module Breakage</t>
        </is>
      </c>
      <c r="O2075" s="32" t="n">
        <v>590</v>
      </c>
      <c r="P2075" s="2" t="inlineStr">
        <is>
          <t>NSMI24100592862</t>
        </is>
      </c>
      <c r="Q2075" s="29">
        <f>MID(P2075,5,2)</f>
        <v/>
      </c>
      <c r="R2075" s="14">
        <f>MID(P2075,7,2)</f>
        <v/>
      </c>
      <c r="S2075" s="6" t="inlineStr">
        <is>
          <t>G2G</t>
        </is>
      </c>
      <c r="T2075" s="1" t="inlineStr">
        <is>
          <t>P4 - PEIPL</t>
        </is>
      </c>
      <c r="U2075" s="2" t="inlineStr">
        <is>
          <t xml:space="preserve">physically damaged </t>
        </is>
      </c>
      <c r="V2075" s="1" t="inlineStr">
        <is>
          <t>Inspection</t>
        </is>
      </c>
      <c r="W2075" s="1" t="inlineStr">
        <is>
          <t>Rejected</t>
        </is>
      </c>
      <c r="X2075" s="5">
        <f>Z2075</f>
        <v/>
      </c>
      <c r="Y2075" s="1">
        <f>X2075-A2075</f>
        <v/>
      </c>
      <c r="Z2075" s="5" t="n">
        <v>46198</v>
      </c>
      <c r="AA2075" s="3" t="n"/>
      <c r="AB2075" s="3" t="n"/>
      <c r="AE2075" s="146">
        <f>IF(AND(F2075="Closed",X2075&gt;=DATE(2026,6,1),X2075&lt;=DATE(2026,6,30)),"Closed in June","other")</f>
        <v/>
      </c>
    </row>
    <row r="2076" hidden="1">
      <c r="A2076" s="49" t="n">
        <v>46177</v>
      </c>
      <c r="B2076" s="1" t="n">
        <v>2026</v>
      </c>
      <c r="C2076" s="8" t="inlineStr">
        <is>
          <t>Ayana</t>
        </is>
      </c>
      <c r="D2076" s="11" t="inlineStr">
        <is>
          <t>Utility and C&amp;I</t>
        </is>
      </c>
      <c r="E2076" s="1" t="n"/>
      <c r="F2076" s="1" t="inlineStr">
        <is>
          <t>Closed</t>
        </is>
      </c>
      <c r="G2076" s="11" t="inlineStr">
        <is>
          <t>Vasu.N</t>
        </is>
      </c>
      <c r="H2076" s="8" t="n">
        <v>9578099893</v>
      </c>
      <c r="I2076" s="10" t="inlineStr">
        <is>
          <t>PE04062601</t>
        </is>
      </c>
      <c r="J2076" s="28" t="inlineStr">
        <is>
          <t>Module burnt</t>
        </is>
      </c>
      <c r="K2076" s="8" t="inlineStr">
        <is>
          <t>Zura</t>
        </is>
      </c>
      <c r="L2076" s="39" t="inlineStr">
        <is>
          <t>Gujarat</t>
        </is>
      </c>
      <c r="M2076" s="2" t="inlineStr">
        <is>
          <t xml:space="preserve">damage </t>
        </is>
      </c>
      <c r="N2076" s="6" t="inlineStr">
        <is>
          <t>Module Breakage</t>
        </is>
      </c>
      <c r="O2076" s="32" t="n">
        <v>590</v>
      </c>
      <c r="P2076" s="2" t="inlineStr">
        <is>
          <t>NSMI24100592785</t>
        </is>
      </c>
      <c r="Q2076" s="29">
        <f>MID(P2076,5,2)</f>
        <v/>
      </c>
      <c r="R2076" s="14">
        <f>MID(P2076,7,2)</f>
        <v/>
      </c>
      <c r="S2076" s="6" t="inlineStr">
        <is>
          <t>G2G</t>
        </is>
      </c>
      <c r="T2076" s="1" t="inlineStr">
        <is>
          <t>P4 - PEIPL</t>
        </is>
      </c>
      <c r="U2076" s="2" t="inlineStr">
        <is>
          <t xml:space="preserve">physically damaged </t>
        </is>
      </c>
      <c r="V2076" s="1" t="inlineStr">
        <is>
          <t>Inspection</t>
        </is>
      </c>
      <c r="W2076" s="1" t="inlineStr">
        <is>
          <t>Rejected</t>
        </is>
      </c>
      <c r="X2076" s="5">
        <f>Z2076</f>
        <v/>
      </c>
      <c r="Y2076" s="1">
        <f>X2076-A2076</f>
        <v/>
      </c>
      <c r="Z2076" s="5" t="n">
        <v>46198</v>
      </c>
      <c r="AA2076" s="3" t="n"/>
      <c r="AB2076" s="3" t="n"/>
      <c r="AE2076" s="146">
        <f>IF(AND(F2076="Closed",X2076&gt;=DATE(2026,6,1),X2076&lt;=DATE(2026,6,30)),"Closed in June","other")</f>
        <v/>
      </c>
    </row>
    <row r="2077" hidden="1">
      <c r="A2077" s="49" t="n">
        <v>46177</v>
      </c>
      <c r="B2077" s="1" t="n">
        <v>2026</v>
      </c>
      <c r="C2077" s="8" t="inlineStr">
        <is>
          <t>Ayana</t>
        </is>
      </c>
      <c r="D2077" s="11" t="inlineStr">
        <is>
          <t>Utility and C&amp;I</t>
        </is>
      </c>
      <c r="E2077" s="1" t="n"/>
      <c r="F2077" s="1" t="inlineStr">
        <is>
          <t>Closed</t>
        </is>
      </c>
      <c r="G2077" s="11" t="inlineStr">
        <is>
          <t>Vasu.N</t>
        </is>
      </c>
      <c r="H2077" s="8" t="n">
        <v>9578099893</v>
      </c>
      <c r="I2077" s="10" t="inlineStr">
        <is>
          <t>PE04062601</t>
        </is>
      </c>
      <c r="J2077" s="28" t="inlineStr">
        <is>
          <t>Module burnt</t>
        </is>
      </c>
      <c r="K2077" s="8" t="inlineStr">
        <is>
          <t>Zura</t>
        </is>
      </c>
      <c r="L2077" s="39" t="inlineStr">
        <is>
          <t>Gujarat</t>
        </is>
      </c>
      <c r="M2077" s="2" t="inlineStr">
        <is>
          <t xml:space="preserve">damage </t>
        </is>
      </c>
      <c r="N2077" s="6" t="inlineStr">
        <is>
          <t>Module Breakage</t>
        </is>
      </c>
      <c r="O2077" s="32" t="n">
        <v>590</v>
      </c>
      <c r="P2077" s="2" t="inlineStr">
        <is>
          <t>NSMI24100595165</t>
        </is>
      </c>
      <c r="Q2077" s="29">
        <f>MID(P2077,5,2)</f>
        <v/>
      </c>
      <c r="R2077" s="14">
        <f>MID(P2077,7,2)</f>
        <v/>
      </c>
      <c r="S2077" s="6" t="inlineStr">
        <is>
          <t>G2G</t>
        </is>
      </c>
      <c r="T2077" s="1" t="inlineStr">
        <is>
          <t>P4 - PEIPL</t>
        </is>
      </c>
      <c r="U2077" s="2" t="inlineStr">
        <is>
          <t xml:space="preserve">physically damaged </t>
        </is>
      </c>
      <c r="V2077" s="1" t="inlineStr">
        <is>
          <t>Inspection</t>
        </is>
      </c>
      <c r="W2077" s="1" t="inlineStr">
        <is>
          <t>Rejected</t>
        </is>
      </c>
      <c r="X2077" s="5">
        <f>Z2077</f>
        <v/>
      </c>
      <c r="Y2077" s="1">
        <f>X2077-A2077</f>
        <v/>
      </c>
      <c r="Z2077" s="5" t="n">
        <v>46198</v>
      </c>
      <c r="AA2077" s="3" t="n"/>
      <c r="AB2077" s="3" t="n"/>
      <c r="AE2077" s="146">
        <f>IF(AND(F2077="Closed",X2077&gt;=DATE(2026,6,1),X2077&lt;=DATE(2026,6,30)),"Closed in June","other")</f>
        <v/>
      </c>
    </row>
    <row r="2078" hidden="1">
      <c r="A2078" s="49" t="n">
        <v>46177</v>
      </c>
      <c r="B2078" s="1" t="n">
        <v>2026</v>
      </c>
      <c r="C2078" s="8" t="inlineStr">
        <is>
          <t>Ayana</t>
        </is>
      </c>
      <c r="D2078" s="11" t="inlineStr">
        <is>
          <t>Utility and C&amp;I</t>
        </is>
      </c>
      <c r="E2078" s="1" t="n"/>
      <c r="F2078" s="1" t="inlineStr">
        <is>
          <t>Closed</t>
        </is>
      </c>
      <c r="G2078" s="11" t="inlineStr">
        <is>
          <t>Vasu.N</t>
        </is>
      </c>
      <c r="H2078" s="8" t="n">
        <v>9578099893</v>
      </c>
      <c r="I2078" s="10" t="inlineStr">
        <is>
          <t>PE04062601</t>
        </is>
      </c>
      <c r="J2078" s="28" t="inlineStr">
        <is>
          <t>Module burnt</t>
        </is>
      </c>
      <c r="K2078" s="8" t="inlineStr">
        <is>
          <t>Zura</t>
        </is>
      </c>
      <c r="L2078" s="39" t="inlineStr">
        <is>
          <t>Gujarat</t>
        </is>
      </c>
      <c r="M2078" s="2" t="inlineStr">
        <is>
          <t xml:space="preserve">damage </t>
        </is>
      </c>
      <c r="N2078" s="6" t="inlineStr">
        <is>
          <t>Module Breakage</t>
        </is>
      </c>
      <c r="O2078" s="32" t="n">
        <v>590</v>
      </c>
      <c r="P2078" s="2" t="inlineStr">
        <is>
          <t>NSMI24100595169</t>
        </is>
      </c>
      <c r="Q2078" s="29">
        <f>MID(P2078,5,2)</f>
        <v/>
      </c>
      <c r="R2078" s="14">
        <f>MID(P2078,7,2)</f>
        <v/>
      </c>
      <c r="S2078" s="6" t="inlineStr">
        <is>
          <t>G2G</t>
        </is>
      </c>
      <c r="T2078" s="1" t="inlineStr">
        <is>
          <t>P4 - PEIPL</t>
        </is>
      </c>
      <c r="U2078" s="2" t="inlineStr">
        <is>
          <t xml:space="preserve">physically damaged </t>
        </is>
      </c>
      <c r="V2078" s="1" t="inlineStr">
        <is>
          <t>Inspection</t>
        </is>
      </c>
      <c r="W2078" s="1" t="inlineStr">
        <is>
          <t>Rejected</t>
        </is>
      </c>
      <c r="X2078" s="5">
        <f>Z2078</f>
        <v/>
      </c>
      <c r="Y2078" s="1">
        <f>X2078-A2078</f>
        <v/>
      </c>
      <c r="Z2078" s="5" t="n">
        <v>46198</v>
      </c>
      <c r="AA2078" s="3" t="n"/>
      <c r="AB2078" s="3" t="n"/>
      <c r="AE2078" s="146">
        <f>IF(AND(F2078="Closed",X2078&gt;=DATE(2026,6,1),X2078&lt;=DATE(2026,6,30)),"Closed in June","other")</f>
        <v/>
      </c>
    </row>
    <row r="2079" hidden="1">
      <c r="A2079" s="49" t="n">
        <v>46177</v>
      </c>
      <c r="B2079" s="1" t="n">
        <v>2026</v>
      </c>
      <c r="C2079" s="8" t="inlineStr">
        <is>
          <t>Ayana</t>
        </is>
      </c>
      <c r="D2079" s="11" t="inlineStr">
        <is>
          <t>Utility and C&amp;I</t>
        </is>
      </c>
      <c r="E2079" s="1" t="n"/>
      <c r="F2079" s="1" t="inlineStr">
        <is>
          <t>Closed</t>
        </is>
      </c>
      <c r="G2079" s="11" t="inlineStr">
        <is>
          <t>Vasu.N</t>
        </is>
      </c>
      <c r="H2079" s="8" t="n">
        <v>9578099893</v>
      </c>
      <c r="I2079" s="10" t="inlineStr">
        <is>
          <t>PE04062601</t>
        </is>
      </c>
      <c r="J2079" s="28" t="inlineStr">
        <is>
          <t>Module burnt</t>
        </is>
      </c>
      <c r="K2079" s="8" t="inlineStr">
        <is>
          <t>Zura</t>
        </is>
      </c>
      <c r="L2079" s="39" t="inlineStr">
        <is>
          <t>Gujarat</t>
        </is>
      </c>
      <c r="M2079" s="2" t="inlineStr">
        <is>
          <t xml:space="preserve">damage </t>
        </is>
      </c>
      <c r="N2079" s="6" t="inlineStr">
        <is>
          <t>Module Breakage</t>
        </is>
      </c>
      <c r="O2079" s="32" t="n">
        <v>590</v>
      </c>
      <c r="P2079" s="2" t="inlineStr">
        <is>
          <t>NSMI24100595199</t>
        </is>
      </c>
      <c r="Q2079" s="29">
        <f>MID(P2079,5,2)</f>
        <v/>
      </c>
      <c r="R2079" s="14">
        <f>MID(P2079,7,2)</f>
        <v/>
      </c>
      <c r="S2079" s="6" t="inlineStr">
        <is>
          <t>G2G</t>
        </is>
      </c>
      <c r="T2079" s="1" t="inlineStr">
        <is>
          <t>P4 - PEIPL</t>
        </is>
      </c>
      <c r="U2079" s="2" t="inlineStr">
        <is>
          <t xml:space="preserve">physically damaged </t>
        </is>
      </c>
      <c r="V2079" s="1" t="inlineStr">
        <is>
          <t>Inspection</t>
        </is>
      </c>
      <c r="W2079" s="1" t="inlineStr">
        <is>
          <t>Rejected</t>
        </is>
      </c>
      <c r="X2079" s="5">
        <f>Z2079</f>
        <v/>
      </c>
      <c r="Y2079" s="1">
        <f>X2079-A2079</f>
        <v/>
      </c>
      <c r="Z2079" s="5" t="n">
        <v>46198</v>
      </c>
      <c r="AA2079" s="3" t="n"/>
      <c r="AB2079" s="3" t="n"/>
      <c r="AE2079" s="146">
        <f>IF(AND(F2079="Closed",X2079&gt;=DATE(2026,6,1),X2079&lt;=DATE(2026,6,30)),"Closed in June","other")</f>
        <v/>
      </c>
    </row>
    <row r="2080" hidden="1">
      <c r="A2080" s="49" t="n">
        <v>46177</v>
      </c>
      <c r="B2080" s="1" t="n">
        <v>2026</v>
      </c>
      <c r="C2080" s="8" t="inlineStr">
        <is>
          <t>Ayana</t>
        </is>
      </c>
      <c r="D2080" s="11" t="inlineStr">
        <is>
          <t>Utility and C&amp;I</t>
        </is>
      </c>
      <c r="E2080" s="1" t="n"/>
      <c r="F2080" s="1" t="inlineStr">
        <is>
          <t>Closed</t>
        </is>
      </c>
      <c r="G2080" s="11" t="inlineStr">
        <is>
          <t>Vasu.N</t>
        </is>
      </c>
      <c r="H2080" s="8" t="n">
        <v>9578099893</v>
      </c>
      <c r="I2080" s="10" t="inlineStr">
        <is>
          <t>PE04062601</t>
        </is>
      </c>
      <c r="J2080" s="28" t="inlineStr">
        <is>
          <t>Module burnt</t>
        </is>
      </c>
      <c r="K2080" s="8" t="inlineStr">
        <is>
          <t>Zura</t>
        </is>
      </c>
      <c r="L2080" s="39" t="inlineStr">
        <is>
          <t>Gujarat</t>
        </is>
      </c>
      <c r="M2080" s="2" t="inlineStr">
        <is>
          <t xml:space="preserve">damage </t>
        </is>
      </c>
      <c r="N2080" s="6" t="inlineStr">
        <is>
          <t>Module Breakage</t>
        </is>
      </c>
      <c r="O2080" s="32" t="n">
        <v>590</v>
      </c>
      <c r="P2080" s="2" t="inlineStr">
        <is>
          <t>NSMI24100595198</t>
        </is>
      </c>
      <c r="Q2080" s="29">
        <f>MID(P2080,5,2)</f>
        <v/>
      </c>
      <c r="R2080" s="14">
        <f>MID(P2080,7,2)</f>
        <v/>
      </c>
      <c r="S2080" s="6" t="inlineStr">
        <is>
          <t>G2G</t>
        </is>
      </c>
      <c r="T2080" s="1" t="inlineStr">
        <is>
          <t>P4 - PEIPL</t>
        </is>
      </c>
      <c r="U2080" s="2" t="inlineStr">
        <is>
          <t xml:space="preserve">physically damaged </t>
        </is>
      </c>
      <c r="V2080" s="1" t="inlineStr">
        <is>
          <t>Inspection</t>
        </is>
      </c>
      <c r="W2080" s="1" t="inlineStr">
        <is>
          <t>Rejected</t>
        </is>
      </c>
      <c r="X2080" s="5">
        <f>Z2080</f>
        <v/>
      </c>
      <c r="Y2080" s="1">
        <f>X2080-A2080</f>
        <v/>
      </c>
      <c r="Z2080" s="5" t="n">
        <v>46198</v>
      </c>
      <c r="AA2080" s="3" t="n"/>
      <c r="AB2080" s="3" t="n"/>
      <c r="AE2080" s="146">
        <f>IF(AND(F2080="Closed",X2080&gt;=DATE(2026,6,1),X2080&lt;=DATE(2026,6,30)),"Closed in June","other")</f>
        <v/>
      </c>
    </row>
    <row r="2081" hidden="1">
      <c r="A2081" s="49" t="n">
        <v>46177</v>
      </c>
      <c r="B2081" s="1" t="n">
        <v>2026</v>
      </c>
      <c r="C2081" s="8" t="inlineStr">
        <is>
          <t>Ayana</t>
        </is>
      </c>
      <c r="D2081" s="11" t="inlineStr">
        <is>
          <t>Utility and C&amp;I</t>
        </is>
      </c>
      <c r="E2081" s="1" t="n"/>
      <c r="F2081" s="1" t="inlineStr">
        <is>
          <t>Closed</t>
        </is>
      </c>
      <c r="G2081" s="11" t="inlineStr">
        <is>
          <t>Vasu.N</t>
        </is>
      </c>
      <c r="H2081" s="8" t="n">
        <v>9578099893</v>
      </c>
      <c r="I2081" s="10" t="inlineStr">
        <is>
          <t>PE04062601</t>
        </is>
      </c>
      <c r="J2081" s="28" t="inlineStr">
        <is>
          <t>Module burnt</t>
        </is>
      </c>
      <c r="K2081" s="8" t="inlineStr">
        <is>
          <t>Zura</t>
        </is>
      </c>
      <c r="L2081" s="39" t="inlineStr">
        <is>
          <t>Gujarat</t>
        </is>
      </c>
      <c r="M2081" s="2" t="inlineStr">
        <is>
          <t xml:space="preserve">damage </t>
        </is>
      </c>
      <c r="N2081" s="6" t="inlineStr">
        <is>
          <t>Module Breakage</t>
        </is>
      </c>
      <c r="O2081" s="32" t="n">
        <v>590</v>
      </c>
      <c r="P2081" s="2" t="inlineStr">
        <is>
          <t>NSMI24100592913</t>
        </is>
      </c>
      <c r="Q2081" s="29">
        <f>MID(P2081,5,2)</f>
        <v/>
      </c>
      <c r="R2081" s="14">
        <f>MID(P2081,7,2)</f>
        <v/>
      </c>
      <c r="S2081" s="6" t="inlineStr">
        <is>
          <t>G2G</t>
        </is>
      </c>
      <c r="T2081" s="1" t="inlineStr">
        <is>
          <t>P4 - PEIPL</t>
        </is>
      </c>
      <c r="U2081" s="2" t="inlineStr">
        <is>
          <t xml:space="preserve">physically damaged </t>
        </is>
      </c>
      <c r="V2081" s="1" t="inlineStr">
        <is>
          <t>Inspection</t>
        </is>
      </c>
      <c r="W2081" s="1" t="inlineStr">
        <is>
          <t>Rejected</t>
        </is>
      </c>
      <c r="X2081" s="5">
        <f>Z2081</f>
        <v/>
      </c>
      <c r="Y2081" s="1">
        <f>X2081-A2081</f>
        <v/>
      </c>
      <c r="Z2081" s="5" t="n">
        <v>46198</v>
      </c>
      <c r="AA2081" s="3" t="n"/>
      <c r="AB2081" s="3" t="n"/>
      <c r="AE2081" s="146">
        <f>IF(AND(F2081="Closed",X2081&gt;=DATE(2026,6,1),X2081&lt;=DATE(2026,6,30)),"Closed in June","other")</f>
        <v/>
      </c>
    </row>
    <row r="2082" hidden="1">
      <c r="A2082" s="49" t="n">
        <v>46177</v>
      </c>
      <c r="B2082" s="1" t="n">
        <v>2026</v>
      </c>
      <c r="C2082" s="8" t="inlineStr">
        <is>
          <t>Ayana</t>
        </is>
      </c>
      <c r="D2082" s="11" t="inlineStr">
        <is>
          <t>Utility and C&amp;I</t>
        </is>
      </c>
      <c r="E2082" s="1" t="n"/>
      <c r="F2082" s="1" t="inlineStr">
        <is>
          <t>Closed</t>
        </is>
      </c>
      <c r="G2082" s="11" t="inlineStr">
        <is>
          <t>Vasu.N</t>
        </is>
      </c>
      <c r="H2082" s="8" t="n">
        <v>9578099893</v>
      </c>
      <c r="I2082" s="10" t="inlineStr">
        <is>
          <t>PE04062601</t>
        </is>
      </c>
      <c r="J2082" s="28" t="inlineStr">
        <is>
          <t>Module burnt</t>
        </is>
      </c>
      <c r="K2082" s="8" t="inlineStr">
        <is>
          <t>Zura</t>
        </is>
      </c>
      <c r="L2082" s="39" t="inlineStr">
        <is>
          <t>Gujarat</t>
        </is>
      </c>
      <c r="M2082" s="2" t="inlineStr">
        <is>
          <t xml:space="preserve">damage </t>
        </is>
      </c>
      <c r="N2082" s="6" t="inlineStr">
        <is>
          <t>Module Breakage</t>
        </is>
      </c>
      <c r="O2082" s="32" t="n">
        <v>590</v>
      </c>
      <c r="P2082" s="2" t="inlineStr">
        <is>
          <t>NSMI24090539620</t>
        </is>
      </c>
      <c r="Q2082" s="29">
        <f>MID(P2082,5,2)</f>
        <v/>
      </c>
      <c r="R2082" s="14">
        <f>MID(P2082,7,2)</f>
        <v/>
      </c>
      <c r="S2082" s="6" t="inlineStr">
        <is>
          <t>G2G</t>
        </is>
      </c>
      <c r="T2082" s="1" t="inlineStr">
        <is>
          <t>P4 - PEIPL</t>
        </is>
      </c>
      <c r="U2082" s="2" t="inlineStr">
        <is>
          <t xml:space="preserve">physically damaged </t>
        </is>
      </c>
      <c r="V2082" s="1" t="inlineStr">
        <is>
          <t>Inspection</t>
        </is>
      </c>
      <c r="W2082" s="1" t="inlineStr">
        <is>
          <t>Rejected</t>
        </is>
      </c>
      <c r="X2082" s="5">
        <f>Z2082</f>
        <v/>
      </c>
      <c r="Y2082" s="1">
        <f>X2082-A2082</f>
        <v/>
      </c>
      <c r="Z2082" s="5" t="n">
        <v>46198</v>
      </c>
      <c r="AA2082" s="3" t="n"/>
      <c r="AB2082" s="3" t="n"/>
      <c r="AE2082" s="146">
        <f>IF(AND(F2082="Closed",X2082&gt;=DATE(2026,6,1),X2082&lt;=DATE(2026,6,30)),"Closed in June","other")</f>
        <v/>
      </c>
    </row>
    <row r="2083" hidden="1">
      <c r="A2083" s="49" t="n">
        <v>46177</v>
      </c>
      <c r="B2083" s="1" t="n">
        <v>2026</v>
      </c>
      <c r="C2083" s="8" t="inlineStr">
        <is>
          <t>Ayana</t>
        </is>
      </c>
      <c r="D2083" s="11" t="inlineStr">
        <is>
          <t>Utility and C&amp;I</t>
        </is>
      </c>
      <c r="E2083" s="1" t="n"/>
      <c r="F2083" s="1" t="inlineStr">
        <is>
          <t>Closed</t>
        </is>
      </c>
      <c r="G2083" s="11" t="inlineStr">
        <is>
          <t>Vasu.N</t>
        </is>
      </c>
      <c r="H2083" s="8" t="n">
        <v>9578099893</v>
      </c>
      <c r="I2083" s="10" t="inlineStr">
        <is>
          <t>PE04062601</t>
        </is>
      </c>
      <c r="J2083" s="28" t="inlineStr">
        <is>
          <t>Module burnt</t>
        </is>
      </c>
      <c r="K2083" s="8" t="inlineStr">
        <is>
          <t>Zura</t>
        </is>
      </c>
      <c r="L2083" s="39" t="inlineStr">
        <is>
          <t>Gujarat</t>
        </is>
      </c>
      <c r="M2083" s="2" t="inlineStr">
        <is>
          <t xml:space="preserve">damage </t>
        </is>
      </c>
      <c r="N2083" s="6" t="inlineStr">
        <is>
          <t>Module Breakage</t>
        </is>
      </c>
      <c r="O2083" s="32" t="n">
        <v>590</v>
      </c>
      <c r="P2083" s="2" t="inlineStr">
        <is>
          <t>NSMI24090539628</t>
        </is>
      </c>
      <c r="Q2083" s="29">
        <f>MID(P2083,5,2)</f>
        <v/>
      </c>
      <c r="R2083" s="14">
        <f>MID(P2083,7,2)</f>
        <v/>
      </c>
      <c r="S2083" s="6" t="inlineStr">
        <is>
          <t>G2G</t>
        </is>
      </c>
      <c r="T2083" s="1" t="inlineStr">
        <is>
          <t>P4 - PEIPL</t>
        </is>
      </c>
      <c r="U2083" s="2" t="inlineStr">
        <is>
          <t xml:space="preserve">physically damaged </t>
        </is>
      </c>
      <c r="V2083" s="1" t="inlineStr">
        <is>
          <t>Inspection</t>
        </is>
      </c>
      <c r="W2083" s="1" t="inlineStr">
        <is>
          <t>Rejected</t>
        </is>
      </c>
      <c r="X2083" s="5">
        <f>Z2083</f>
        <v/>
      </c>
      <c r="Y2083" s="1">
        <f>X2083-A2083</f>
        <v/>
      </c>
      <c r="Z2083" s="5" t="n">
        <v>46198</v>
      </c>
      <c r="AA2083" s="3" t="n"/>
      <c r="AB2083" s="3" t="n"/>
      <c r="AE2083" s="146">
        <f>IF(AND(F2083="Closed",X2083&gt;=DATE(2026,6,1),X2083&lt;=DATE(2026,6,30)),"Closed in June","other")</f>
        <v/>
      </c>
    </row>
    <row r="2084" hidden="1">
      <c r="A2084" s="49" t="n">
        <v>46177</v>
      </c>
      <c r="B2084" s="1" t="n">
        <v>2026</v>
      </c>
      <c r="C2084" s="8" t="inlineStr">
        <is>
          <t>Ayana</t>
        </is>
      </c>
      <c r="D2084" s="11" t="inlineStr">
        <is>
          <t>Utility and C&amp;I</t>
        </is>
      </c>
      <c r="E2084" s="1" t="n"/>
      <c r="F2084" s="1" t="inlineStr">
        <is>
          <t>Closed</t>
        </is>
      </c>
      <c r="G2084" s="11" t="inlineStr">
        <is>
          <t>Vasu.N</t>
        </is>
      </c>
      <c r="H2084" s="8" t="n">
        <v>9578099893</v>
      </c>
      <c r="I2084" s="10" t="inlineStr">
        <is>
          <t>PE04062601</t>
        </is>
      </c>
      <c r="J2084" s="28" t="inlineStr">
        <is>
          <t>Module burnt</t>
        </is>
      </c>
      <c r="K2084" s="8" t="inlineStr">
        <is>
          <t>Zura</t>
        </is>
      </c>
      <c r="L2084" s="39" t="inlineStr">
        <is>
          <t>Gujarat</t>
        </is>
      </c>
      <c r="M2084" s="2" t="inlineStr">
        <is>
          <t xml:space="preserve">damage </t>
        </is>
      </c>
      <c r="N2084" s="6" t="inlineStr">
        <is>
          <t>Module Breakage</t>
        </is>
      </c>
      <c r="O2084" s="32" t="n">
        <v>590</v>
      </c>
      <c r="P2084" s="2" t="inlineStr">
        <is>
          <t>NSMI24090429653</t>
        </is>
      </c>
      <c r="Q2084" s="29">
        <f>MID(P2084,5,2)</f>
        <v/>
      </c>
      <c r="R2084" s="14">
        <f>MID(P2084,7,2)</f>
        <v/>
      </c>
      <c r="S2084" s="6" t="inlineStr">
        <is>
          <t>G2G</t>
        </is>
      </c>
      <c r="T2084" s="1" t="inlineStr">
        <is>
          <t>P4 - PEIPL</t>
        </is>
      </c>
      <c r="U2084" s="2" t="inlineStr">
        <is>
          <t xml:space="preserve">physically damaged </t>
        </is>
      </c>
      <c r="V2084" s="1" t="inlineStr">
        <is>
          <t>Inspection</t>
        </is>
      </c>
      <c r="W2084" s="1" t="inlineStr">
        <is>
          <t>Rejected</t>
        </is>
      </c>
      <c r="X2084" s="5">
        <f>Z2084</f>
        <v/>
      </c>
      <c r="Y2084" s="1">
        <f>X2084-A2084</f>
        <v/>
      </c>
      <c r="Z2084" s="5" t="n">
        <v>46198</v>
      </c>
      <c r="AA2084" s="3" t="n"/>
      <c r="AB2084" s="3" t="n"/>
      <c r="AE2084" s="146">
        <f>IF(AND(F2084="Closed",X2084&gt;=DATE(2026,6,1),X2084&lt;=DATE(2026,6,30)),"Closed in June","other")</f>
        <v/>
      </c>
    </row>
    <row r="2085" hidden="1">
      <c r="A2085" s="49" t="n">
        <v>46177</v>
      </c>
      <c r="B2085" s="1" t="n">
        <v>2026</v>
      </c>
      <c r="C2085" s="8" t="inlineStr">
        <is>
          <t>Ayana</t>
        </is>
      </c>
      <c r="D2085" s="11" t="inlineStr">
        <is>
          <t>Utility and C&amp;I</t>
        </is>
      </c>
      <c r="E2085" s="1" t="n"/>
      <c r="F2085" s="1" t="inlineStr">
        <is>
          <t>Closed</t>
        </is>
      </c>
      <c r="G2085" s="11" t="inlineStr">
        <is>
          <t>Vasu.N</t>
        </is>
      </c>
      <c r="H2085" s="8" t="n">
        <v>9578099893</v>
      </c>
      <c r="I2085" s="10" t="inlineStr">
        <is>
          <t>PE04062601</t>
        </is>
      </c>
      <c r="J2085" s="28" t="inlineStr">
        <is>
          <t>Module burnt</t>
        </is>
      </c>
      <c r="K2085" s="8" t="inlineStr">
        <is>
          <t>Zura</t>
        </is>
      </c>
      <c r="L2085" s="39" t="inlineStr">
        <is>
          <t>Gujarat</t>
        </is>
      </c>
      <c r="M2085" s="2" t="inlineStr">
        <is>
          <t xml:space="preserve">damage </t>
        </is>
      </c>
      <c r="N2085" s="6" t="inlineStr">
        <is>
          <t>Module Breakage</t>
        </is>
      </c>
      <c r="O2085" s="32" t="n">
        <v>590</v>
      </c>
      <c r="P2085" s="2" t="inlineStr">
        <is>
          <t>NSMI24090429646</t>
        </is>
      </c>
      <c r="Q2085" s="29">
        <f>MID(P2085,5,2)</f>
        <v/>
      </c>
      <c r="R2085" s="14">
        <f>MID(P2085,7,2)</f>
        <v/>
      </c>
      <c r="S2085" s="6" t="inlineStr">
        <is>
          <t>G2G</t>
        </is>
      </c>
      <c r="T2085" s="1" t="inlineStr">
        <is>
          <t>P4 - PEIPL</t>
        </is>
      </c>
      <c r="U2085" s="2" t="inlineStr">
        <is>
          <t xml:space="preserve">physically damaged </t>
        </is>
      </c>
      <c r="V2085" s="1" t="inlineStr">
        <is>
          <t>Inspection</t>
        </is>
      </c>
      <c r="W2085" s="1" t="inlineStr">
        <is>
          <t>Rejected</t>
        </is>
      </c>
      <c r="X2085" s="5">
        <f>Z2085</f>
        <v/>
      </c>
      <c r="Y2085" s="1">
        <f>X2085-A2085</f>
        <v/>
      </c>
      <c r="Z2085" s="5" t="n">
        <v>46198</v>
      </c>
      <c r="AA2085" s="3" t="n"/>
      <c r="AB2085" s="3" t="n"/>
      <c r="AE2085" s="146">
        <f>IF(AND(F2085="Closed",X2085&gt;=DATE(2026,6,1),X2085&lt;=DATE(2026,6,30)),"Closed in June","other")</f>
        <v/>
      </c>
    </row>
    <row r="2086" hidden="1">
      <c r="A2086" s="49" t="n">
        <v>46177</v>
      </c>
      <c r="B2086" s="1" t="n">
        <v>2026</v>
      </c>
      <c r="C2086" s="8" t="inlineStr">
        <is>
          <t>Ayana</t>
        </is>
      </c>
      <c r="D2086" s="11" t="inlineStr">
        <is>
          <t>Utility and C&amp;I</t>
        </is>
      </c>
      <c r="E2086" s="1" t="n"/>
      <c r="F2086" s="1" t="inlineStr">
        <is>
          <t>Closed</t>
        </is>
      </c>
      <c r="G2086" s="11" t="inlineStr">
        <is>
          <t>Vasu.N</t>
        </is>
      </c>
      <c r="H2086" s="8" t="n">
        <v>9578099893</v>
      </c>
      <c r="I2086" s="10" t="inlineStr">
        <is>
          <t>PE04062601</t>
        </is>
      </c>
      <c r="J2086" s="28" t="inlineStr">
        <is>
          <t>Module burnt</t>
        </is>
      </c>
      <c r="K2086" s="8" t="inlineStr">
        <is>
          <t>Zura</t>
        </is>
      </c>
      <c r="L2086" s="39" t="inlineStr">
        <is>
          <t>Gujarat</t>
        </is>
      </c>
      <c r="M2086" s="2" t="inlineStr">
        <is>
          <t xml:space="preserve">damage </t>
        </is>
      </c>
      <c r="N2086" s="6" t="inlineStr">
        <is>
          <t>Module Breakage</t>
        </is>
      </c>
      <c r="O2086" s="32" t="n">
        <v>590</v>
      </c>
      <c r="P2086" s="2" t="inlineStr">
        <is>
          <t>NSMI24100598114</t>
        </is>
      </c>
      <c r="Q2086" s="29">
        <f>MID(P2086,5,2)</f>
        <v/>
      </c>
      <c r="R2086" s="14">
        <f>MID(P2086,7,2)</f>
        <v/>
      </c>
      <c r="S2086" s="6" t="inlineStr">
        <is>
          <t>G2G</t>
        </is>
      </c>
      <c r="T2086" s="1" t="inlineStr">
        <is>
          <t>P4 - PEIPL</t>
        </is>
      </c>
      <c r="U2086" s="2" t="inlineStr">
        <is>
          <t xml:space="preserve">physically damaged </t>
        </is>
      </c>
      <c r="V2086" s="1" t="inlineStr">
        <is>
          <t>Inspection</t>
        </is>
      </c>
      <c r="W2086" s="1" t="inlineStr">
        <is>
          <t>Rejected</t>
        </is>
      </c>
      <c r="X2086" s="5">
        <f>Z2086</f>
        <v/>
      </c>
      <c r="Y2086" s="1">
        <f>X2086-A2086</f>
        <v/>
      </c>
      <c r="Z2086" s="5" t="n">
        <v>46198</v>
      </c>
      <c r="AA2086" s="3" t="n"/>
      <c r="AB2086" s="3" t="n"/>
      <c r="AE2086" s="146">
        <f>IF(AND(F2086="Closed",X2086&gt;=DATE(2026,6,1),X2086&lt;=DATE(2026,6,30)),"Closed in June","other")</f>
        <v/>
      </c>
    </row>
    <row r="2087" hidden="1">
      <c r="A2087" s="49" t="n">
        <v>46177</v>
      </c>
      <c r="B2087" s="1" t="n">
        <v>2026</v>
      </c>
      <c r="C2087" s="8" t="inlineStr">
        <is>
          <t>Ayana</t>
        </is>
      </c>
      <c r="D2087" s="11" t="inlineStr">
        <is>
          <t>Utility and C&amp;I</t>
        </is>
      </c>
      <c r="E2087" s="1" t="n"/>
      <c r="F2087" s="1" t="inlineStr">
        <is>
          <t>Closed</t>
        </is>
      </c>
      <c r="G2087" s="11" t="inlineStr">
        <is>
          <t>Vasu.N</t>
        </is>
      </c>
      <c r="H2087" s="8" t="n">
        <v>9578099893</v>
      </c>
      <c r="I2087" s="10" t="inlineStr">
        <is>
          <t>PE04062601</t>
        </is>
      </c>
      <c r="J2087" s="28" t="inlineStr">
        <is>
          <t>Module burnt</t>
        </is>
      </c>
      <c r="K2087" s="8" t="inlineStr">
        <is>
          <t>Zura</t>
        </is>
      </c>
      <c r="L2087" s="39" t="inlineStr">
        <is>
          <t>Gujarat</t>
        </is>
      </c>
      <c r="M2087" s="2" t="inlineStr">
        <is>
          <t xml:space="preserve">damage </t>
        </is>
      </c>
      <c r="N2087" s="6" t="inlineStr">
        <is>
          <t>Module Breakage</t>
        </is>
      </c>
      <c r="O2087" s="32" t="n">
        <v>590</v>
      </c>
      <c r="P2087" s="2" t="inlineStr">
        <is>
          <t>NSMI24100664002</t>
        </is>
      </c>
      <c r="Q2087" s="29">
        <f>MID(P2087,5,2)</f>
        <v/>
      </c>
      <c r="R2087" s="14">
        <f>MID(P2087,7,2)</f>
        <v/>
      </c>
      <c r="S2087" s="6" t="inlineStr">
        <is>
          <t>G2G</t>
        </is>
      </c>
      <c r="T2087" s="1" t="inlineStr">
        <is>
          <t>P4 - PEIPL</t>
        </is>
      </c>
      <c r="U2087" s="2" t="inlineStr">
        <is>
          <t xml:space="preserve">physically damaged </t>
        </is>
      </c>
      <c r="V2087" s="1" t="inlineStr">
        <is>
          <t>Inspection</t>
        </is>
      </c>
      <c r="W2087" s="1" t="inlineStr">
        <is>
          <t>Rejected</t>
        </is>
      </c>
      <c r="X2087" s="5">
        <f>Z2087</f>
        <v/>
      </c>
      <c r="Y2087" s="1">
        <f>X2087-A2087</f>
        <v/>
      </c>
      <c r="Z2087" s="5" t="n">
        <v>46198</v>
      </c>
      <c r="AA2087" s="3" t="n"/>
      <c r="AB2087" s="3" t="n"/>
      <c r="AE2087" s="146">
        <f>IF(AND(F2087="Closed",X2087&gt;=DATE(2026,6,1),X2087&lt;=DATE(2026,6,30)),"Closed in June","other")</f>
        <v/>
      </c>
    </row>
    <row r="2088" hidden="1">
      <c r="A2088" s="49" t="n">
        <v>46177</v>
      </c>
      <c r="B2088" s="1" t="n">
        <v>2026</v>
      </c>
      <c r="C2088" s="8" t="inlineStr">
        <is>
          <t>Ayana</t>
        </is>
      </c>
      <c r="D2088" s="11" t="inlineStr">
        <is>
          <t>Utility and C&amp;I</t>
        </is>
      </c>
      <c r="E2088" s="1" t="n"/>
      <c r="F2088" s="1" t="inlineStr">
        <is>
          <t>Closed</t>
        </is>
      </c>
      <c r="G2088" s="11" t="inlineStr">
        <is>
          <t>Vasu.N</t>
        </is>
      </c>
      <c r="H2088" s="8" t="n">
        <v>9578099893</v>
      </c>
      <c r="I2088" s="10" t="inlineStr">
        <is>
          <t>PE04062601</t>
        </is>
      </c>
      <c r="J2088" s="28" t="inlineStr">
        <is>
          <t>Module burnt</t>
        </is>
      </c>
      <c r="K2088" s="8" t="inlineStr">
        <is>
          <t>Zura</t>
        </is>
      </c>
      <c r="L2088" s="39" t="inlineStr">
        <is>
          <t>Gujarat</t>
        </is>
      </c>
      <c r="M2088" s="2" t="inlineStr">
        <is>
          <t xml:space="preserve">damage </t>
        </is>
      </c>
      <c r="N2088" s="6" t="inlineStr">
        <is>
          <t>Module Breakage</t>
        </is>
      </c>
      <c r="O2088" s="32" t="n">
        <v>590</v>
      </c>
      <c r="P2088" s="2" t="inlineStr">
        <is>
          <t>NSMI24100685103</t>
        </is>
      </c>
      <c r="Q2088" s="29">
        <f>MID(P2088,5,2)</f>
        <v/>
      </c>
      <c r="R2088" s="14">
        <f>MID(P2088,7,2)</f>
        <v/>
      </c>
      <c r="S2088" s="6" t="inlineStr">
        <is>
          <t>G2G</t>
        </is>
      </c>
      <c r="T2088" s="1" t="inlineStr">
        <is>
          <t>P4 - PEIPL</t>
        </is>
      </c>
      <c r="U2088" s="2" t="inlineStr">
        <is>
          <t xml:space="preserve">physically damaged </t>
        </is>
      </c>
      <c r="V2088" s="1" t="inlineStr">
        <is>
          <t>Inspection</t>
        </is>
      </c>
      <c r="W2088" s="1" t="inlineStr">
        <is>
          <t>Rejected</t>
        </is>
      </c>
      <c r="X2088" s="5">
        <f>Z2088</f>
        <v/>
      </c>
      <c r="Y2088" s="1">
        <f>X2088-A2088</f>
        <v/>
      </c>
      <c r="Z2088" s="5" t="n">
        <v>46198</v>
      </c>
      <c r="AA2088" s="3" t="n"/>
      <c r="AB2088" s="3" t="n"/>
      <c r="AE2088" s="146">
        <f>IF(AND(F2088="Closed",X2088&gt;=DATE(2026,6,1),X2088&lt;=DATE(2026,6,30)),"Closed in June","other")</f>
        <v/>
      </c>
    </row>
    <row r="2089" hidden="1">
      <c r="A2089" s="49" t="n">
        <v>46177</v>
      </c>
      <c r="B2089" s="1" t="n">
        <v>2026</v>
      </c>
      <c r="C2089" s="8" t="inlineStr">
        <is>
          <t>Ayana</t>
        </is>
      </c>
      <c r="D2089" s="11" t="inlineStr">
        <is>
          <t>Utility and C&amp;I</t>
        </is>
      </c>
      <c r="E2089" s="1" t="n"/>
      <c r="F2089" s="1" t="inlineStr">
        <is>
          <t>Closed</t>
        </is>
      </c>
      <c r="G2089" s="11" t="inlineStr">
        <is>
          <t>Vasu.N</t>
        </is>
      </c>
      <c r="H2089" s="8" t="n">
        <v>9578099893</v>
      </c>
      <c r="I2089" s="10" t="inlineStr">
        <is>
          <t>PE04062601</t>
        </is>
      </c>
      <c r="J2089" s="28" t="inlineStr">
        <is>
          <t>Module burnt</t>
        </is>
      </c>
      <c r="K2089" s="8" t="inlineStr">
        <is>
          <t>Zura</t>
        </is>
      </c>
      <c r="L2089" s="39" t="inlineStr">
        <is>
          <t>Gujarat</t>
        </is>
      </c>
      <c r="M2089" s="2" t="inlineStr">
        <is>
          <t xml:space="preserve">damage </t>
        </is>
      </c>
      <c r="N2089" s="6" t="inlineStr">
        <is>
          <t>Module Breakage</t>
        </is>
      </c>
      <c r="O2089" s="32" t="n">
        <v>590</v>
      </c>
      <c r="P2089" s="2" t="inlineStr">
        <is>
          <t>NSMI24100692180</t>
        </is>
      </c>
      <c r="Q2089" s="29">
        <f>MID(P2089,5,2)</f>
        <v/>
      </c>
      <c r="R2089" s="14">
        <f>MID(P2089,7,2)</f>
        <v/>
      </c>
      <c r="S2089" s="6" t="inlineStr">
        <is>
          <t>G2G</t>
        </is>
      </c>
      <c r="T2089" s="1" t="inlineStr">
        <is>
          <t>P4 - PEIPL</t>
        </is>
      </c>
      <c r="U2089" s="2" t="inlineStr">
        <is>
          <t xml:space="preserve">physically damaged </t>
        </is>
      </c>
      <c r="V2089" s="1" t="inlineStr">
        <is>
          <t>Inspection</t>
        </is>
      </c>
      <c r="W2089" s="1" t="inlineStr">
        <is>
          <t>Rejected</t>
        </is>
      </c>
      <c r="X2089" s="5">
        <f>Z2089</f>
        <v/>
      </c>
      <c r="Y2089" s="1">
        <f>X2089-A2089</f>
        <v/>
      </c>
      <c r="Z2089" s="5" t="n">
        <v>46198</v>
      </c>
      <c r="AA2089" s="3" t="n"/>
      <c r="AB2089" s="3" t="n"/>
      <c r="AE2089" s="146">
        <f>IF(AND(F2089="Closed",X2089&gt;=DATE(2026,6,1),X2089&lt;=DATE(2026,6,30)),"Closed in June","other")</f>
        <v/>
      </c>
    </row>
    <row r="2090" hidden="1">
      <c r="A2090" s="49" t="n">
        <v>46177</v>
      </c>
      <c r="B2090" s="1" t="n">
        <v>2026</v>
      </c>
      <c r="C2090" s="8" t="inlineStr">
        <is>
          <t>Ayana</t>
        </is>
      </c>
      <c r="D2090" s="11" t="inlineStr">
        <is>
          <t>Utility and C&amp;I</t>
        </is>
      </c>
      <c r="E2090" s="1" t="n"/>
      <c r="F2090" s="1" t="inlineStr">
        <is>
          <t>Closed</t>
        </is>
      </c>
      <c r="G2090" s="11" t="inlineStr">
        <is>
          <t>Vasu.N</t>
        </is>
      </c>
      <c r="H2090" s="8" t="n">
        <v>9578099893</v>
      </c>
      <c r="I2090" s="10" t="inlineStr">
        <is>
          <t>PE04062601</t>
        </is>
      </c>
      <c r="J2090" s="28" t="inlineStr">
        <is>
          <t>Module burnt</t>
        </is>
      </c>
      <c r="K2090" s="8" t="inlineStr">
        <is>
          <t>Zura</t>
        </is>
      </c>
      <c r="L2090" s="39" t="inlineStr">
        <is>
          <t>Gujarat</t>
        </is>
      </c>
      <c r="M2090" s="2" t="inlineStr">
        <is>
          <t xml:space="preserve">damage </t>
        </is>
      </c>
      <c r="N2090" s="6" t="inlineStr">
        <is>
          <t>Module Breakage</t>
        </is>
      </c>
      <c r="O2090" s="32" t="n">
        <v>590</v>
      </c>
      <c r="P2090" s="2" t="inlineStr">
        <is>
          <t>NSMI24100597204</t>
        </is>
      </c>
      <c r="Q2090" s="29">
        <f>MID(P2090,5,2)</f>
        <v/>
      </c>
      <c r="R2090" s="14">
        <f>MID(P2090,7,2)</f>
        <v/>
      </c>
      <c r="S2090" s="6" t="inlineStr">
        <is>
          <t>G2G</t>
        </is>
      </c>
      <c r="T2090" s="1" t="inlineStr">
        <is>
          <t>P4 - PEIPL</t>
        </is>
      </c>
      <c r="U2090" s="2" t="inlineStr">
        <is>
          <t xml:space="preserve">physically damaged </t>
        </is>
      </c>
      <c r="V2090" s="1" t="inlineStr">
        <is>
          <t>Inspection</t>
        </is>
      </c>
      <c r="W2090" s="1" t="inlineStr">
        <is>
          <t>Rejected</t>
        </is>
      </c>
      <c r="X2090" s="5">
        <f>Z2090</f>
        <v/>
      </c>
      <c r="Y2090" s="1">
        <f>X2090-A2090</f>
        <v/>
      </c>
      <c r="Z2090" s="5" t="n">
        <v>46198</v>
      </c>
      <c r="AA2090" s="3" t="n"/>
      <c r="AB2090" s="3" t="n"/>
      <c r="AE2090" s="146">
        <f>IF(AND(F2090="Closed",X2090&gt;=DATE(2026,6,1),X2090&lt;=DATE(2026,6,30)),"Closed in June","other")</f>
        <v/>
      </c>
    </row>
    <row r="2091" hidden="1">
      <c r="A2091" s="49" t="n">
        <v>46177</v>
      </c>
      <c r="B2091" s="1" t="n">
        <v>2026</v>
      </c>
      <c r="C2091" s="8" t="inlineStr">
        <is>
          <t>Ayana</t>
        </is>
      </c>
      <c r="D2091" s="11" t="inlineStr">
        <is>
          <t>Utility and C&amp;I</t>
        </is>
      </c>
      <c r="E2091" s="1" t="n"/>
      <c r="F2091" s="1" t="inlineStr">
        <is>
          <t>Closed</t>
        </is>
      </c>
      <c r="G2091" s="11" t="inlineStr">
        <is>
          <t>Vasu.N</t>
        </is>
      </c>
      <c r="H2091" s="8" t="n">
        <v>9578099893</v>
      </c>
      <c r="I2091" s="10" t="inlineStr">
        <is>
          <t>PE04062601</t>
        </is>
      </c>
      <c r="J2091" s="28" t="inlineStr">
        <is>
          <t>Module burnt</t>
        </is>
      </c>
      <c r="K2091" s="8" t="inlineStr">
        <is>
          <t>Zura</t>
        </is>
      </c>
      <c r="L2091" s="39" t="inlineStr">
        <is>
          <t>Gujarat</t>
        </is>
      </c>
      <c r="M2091" s="2" t="inlineStr">
        <is>
          <t xml:space="preserve">damage </t>
        </is>
      </c>
      <c r="N2091" s="6" t="inlineStr">
        <is>
          <t>Module Breakage</t>
        </is>
      </c>
      <c r="O2091" s="32" t="n">
        <v>590</v>
      </c>
      <c r="P2091" s="2" t="inlineStr">
        <is>
          <t>NSMI24100546193</t>
        </is>
      </c>
      <c r="Q2091" s="29">
        <f>MID(P2091,5,2)</f>
        <v/>
      </c>
      <c r="R2091" s="14">
        <f>MID(P2091,7,2)</f>
        <v/>
      </c>
      <c r="S2091" s="6" t="inlineStr">
        <is>
          <t>G2G</t>
        </is>
      </c>
      <c r="T2091" s="1" t="inlineStr">
        <is>
          <t>P4 - PEIPL</t>
        </is>
      </c>
      <c r="U2091" s="2" t="inlineStr">
        <is>
          <t xml:space="preserve">physically damaged </t>
        </is>
      </c>
      <c r="V2091" s="1" t="inlineStr">
        <is>
          <t>Inspection</t>
        </is>
      </c>
      <c r="W2091" s="1" t="inlineStr">
        <is>
          <t>Rejected</t>
        </is>
      </c>
      <c r="X2091" s="5">
        <f>Z2091</f>
        <v/>
      </c>
      <c r="Y2091" s="1">
        <f>X2091-A2091</f>
        <v/>
      </c>
      <c r="Z2091" s="5" t="n">
        <v>46198</v>
      </c>
      <c r="AA2091" s="3" t="n"/>
      <c r="AB2091" s="3" t="n"/>
      <c r="AE2091" s="146">
        <f>IF(AND(F2091="Closed",X2091&gt;=DATE(2026,6,1),X2091&lt;=DATE(2026,6,30)),"Closed in June","other")</f>
        <v/>
      </c>
    </row>
    <row r="2092" hidden="1">
      <c r="A2092" s="49" t="n">
        <v>46177</v>
      </c>
      <c r="B2092" s="1" t="n">
        <v>2026</v>
      </c>
      <c r="C2092" s="8" t="inlineStr">
        <is>
          <t>Ayana</t>
        </is>
      </c>
      <c r="D2092" s="11" t="inlineStr">
        <is>
          <t>Utility and C&amp;I</t>
        </is>
      </c>
      <c r="E2092" s="1" t="n"/>
      <c r="F2092" s="1" t="inlineStr">
        <is>
          <t>Closed</t>
        </is>
      </c>
      <c r="G2092" s="11" t="inlineStr">
        <is>
          <t>Vasu.N</t>
        </is>
      </c>
      <c r="H2092" s="8" t="n">
        <v>9578099893</v>
      </c>
      <c r="I2092" s="10" t="inlineStr">
        <is>
          <t>PE04062601</t>
        </is>
      </c>
      <c r="J2092" s="28" t="inlineStr">
        <is>
          <t>Module burnt</t>
        </is>
      </c>
      <c r="K2092" s="8" t="inlineStr">
        <is>
          <t>Zura</t>
        </is>
      </c>
      <c r="L2092" s="39" t="inlineStr">
        <is>
          <t>Gujarat</t>
        </is>
      </c>
      <c r="M2092" s="2" t="inlineStr">
        <is>
          <t xml:space="preserve">damage </t>
        </is>
      </c>
      <c r="N2092" s="6" t="inlineStr">
        <is>
          <t>Module Breakage</t>
        </is>
      </c>
      <c r="O2092" s="32" t="n">
        <v>590</v>
      </c>
      <c r="P2092" s="2" t="inlineStr">
        <is>
          <t>NSMI24100546200</t>
        </is>
      </c>
      <c r="Q2092" s="29">
        <f>MID(P2092,5,2)</f>
        <v/>
      </c>
      <c r="R2092" s="14">
        <f>MID(P2092,7,2)</f>
        <v/>
      </c>
      <c r="S2092" s="6" t="inlineStr">
        <is>
          <t>G2G</t>
        </is>
      </c>
      <c r="T2092" s="1" t="inlineStr">
        <is>
          <t>P4 - PEIPL</t>
        </is>
      </c>
      <c r="U2092" s="2" t="inlineStr">
        <is>
          <t xml:space="preserve">physically damaged </t>
        </is>
      </c>
      <c r="V2092" s="1" t="inlineStr">
        <is>
          <t>Inspection</t>
        </is>
      </c>
      <c r="W2092" s="1" t="inlineStr">
        <is>
          <t>Rejected</t>
        </is>
      </c>
      <c r="X2092" s="5">
        <f>Z2092</f>
        <v/>
      </c>
      <c r="Y2092" s="1">
        <f>X2092-A2092</f>
        <v/>
      </c>
      <c r="Z2092" s="5" t="n">
        <v>46198</v>
      </c>
      <c r="AA2092" s="3" t="n"/>
      <c r="AB2092" s="3" t="n"/>
      <c r="AE2092" s="146">
        <f>IF(AND(F2092="Closed",X2092&gt;=DATE(2026,6,1),X2092&lt;=DATE(2026,6,30)),"Closed in June","other")</f>
        <v/>
      </c>
    </row>
    <row r="2093" hidden="1">
      <c r="A2093" s="49" t="n">
        <v>46177</v>
      </c>
      <c r="B2093" s="1" t="n">
        <v>2026</v>
      </c>
      <c r="C2093" s="8" t="inlineStr">
        <is>
          <t>Ayana</t>
        </is>
      </c>
      <c r="D2093" s="11" t="inlineStr">
        <is>
          <t>Utility and C&amp;I</t>
        </is>
      </c>
      <c r="E2093" s="1" t="n"/>
      <c r="F2093" s="1" t="inlineStr">
        <is>
          <t>Closed</t>
        </is>
      </c>
      <c r="G2093" s="11" t="inlineStr">
        <is>
          <t>Vasu.N</t>
        </is>
      </c>
      <c r="H2093" s="8" t="n">
        <v>9578099893</v>
      </c>
      <c r="I2093" s="10" t="inlineStr">
        <is>
          <t>PE04062601</t>
        </is>
      </c>
      <c r="J2093" s="28" t="inlineStr">
        <is>
          <t>Module burnt</t>
        </is>
      </c>
      <c r="K2093" s="8" t="inlineStr">
        <is>
          <t>Zura</t>
        </is>
      </c>
      <c r="L2093" s="39" t="inlineStr">
        <is>
          <t>Gujarat</t>
        </is>
      </c>
      <c r="M2093" s="2" t="inlineStr">
        <is>
          <t xml:space="preserve">damage </t>
        </is>
      </c>
      <c r="N2093" s="6" t="inlineStr">
        <is>
          <t>Module Breakage</t>
        </is>
      </c>
      <c r="O2093" s="32" t="n">
        <v>590</v>
      </c>
      <c r="P2093" s="2" t="inlineStr">
        <is>
          <t>NSMI24100554594</t>
        </is>
      </c>
      <c r="Q2093" s="29">
        <f>MID(P2093,5,2)</f>
        <v/>
      </c>
      <c r="R2093" s="14">
        <f>MID(P2093,7,2)</f>
        <v/>
      </c>
      <c r="S2093" s="6" t="inlineStr">
        <is>
          <t>G2G</t>
        </is>
      </c>
      <c r="T2093" s="1" t="inlineStr">
        <is>
          <t>P4 - PEIPL</t>
        </is>
      </c>
      <c r="U2093" s="2" t="inlineStr">
        <is>
          <t xml:space="preserve">physically damaged </t>
        </is>
      </c>
      <c r="V2093" s="1" t="inlineStr">
        <is>
          <t>Inspection</t>
        </is>
      </c>
      <c r="W2093" s="1" t="inlineStr">
        <is>
          <t>Rejected</t>
        </is>
      </c>
      <c r="X2093" s="5">
        <f>Z2093</f>
        <v/>
      </c>
      <c r="Y2093" s="1">
        <f>X2093-A2093</f>
        <v/>
      </c>
      <c r="Z2093" s="5" t="n">
        <v>46198</v>
      </c>
      <c r="AA2093" s="3" t="n"/>
      <c r="AB2093" s="3" t="n"/>
      <c r="AE2093" s="146">
        <f>IF(AND(F2093="Closed",X2093&gt;=DATE(2026,6,1),X2093&lt;=DATE(2026,6,30)),"Closed in June","other")</f>
        <v/>
      </c>
    </row>
    <row r="2094" hidden="1">
      <c r="A2094" s="49" t="n">
        <v>46177</v>
      </c>
      <c r="B2094" s="1" t="n">
        <v>2026</v>
      </c>
      <c r="C2094" s="8" t="inlineStr">
        <is>
          <t>Ayana</t>
        </is>
      </c>
      <c r="D2094" s="11" t="inlineStr">
        <is>
          <t>Utility and C&amp;I</t>
        </is>
      </c>
      <c r="E2094" s="1" t="n"/>
      <c r="F2094" s="1" t="inlineStr">
        <is>
          <t>Closed</t>
        </is>
      </c>
      <c r="G2094" s="11" t="inlineStr">
        <is>
          <t>Vasu.N</t>
        </is>
      </c>
      <c r="H2094" s="8" t="n">
        <v>9578099893</v>
      </c>
      <c r="I2094" s="10" t="inlineStr">
        <is>
          <t>PE04062601</t>
        </is>
      </c>
      <c r="J2094" s="28" t="inlineStr">
        <is>
          <t>Module burnt</t>
        </is>
      </c>
      <c r="K2094" s="8" t="inlineStr">
        <is>
          <t>Zura</t>
        </is>
      </c>
      <c r="L2094" s="39" t="inlineStr">
        <is>
          <t>Gujarat</t>
        </is>
      </c>
      <c r="M2094" s="2" t="inlineStr">
        <is>
          <t xml:space="preserve">damage </t>
        </is>
      </c>
      <c r="N2094" s="6" t="inlineStr">
        <is>
          <t>Module Breakage</t>
        </is>
      </c>
      <c r="O2094" s="32" t="n">
        <v>590</v>
      </c>
      <c r="P2094" s="2" t="inlineStr">
        <is>
          <t>NSMI24100575139</t>
        </is>
      </c>
      <c r="Q2094" s="29">
        <f>MID(P2094,5,2)</f>
        <v/>
      </c>
      <c r="R2094" s="14">
        <f>MID(P2094,7,2)</f>
        <v/>
      </c>
      <c r="S2094" s="6" t="inlineStr">
        <is>
          <t>G2G</t>
        </is>
      </c>
      <c r="T2094" s="1" t="inlineStr">
        <is>
          <t>P4 - PEIPL</t>
        </is>
      </c>
      <c r="U2094" s="2" t="inlineStr">
        <is>
          <t xml:space="preserve">physically damaged </t>
        </is>
      </c>
      <c r="V2094" s="1" t="inlineStr">
        <is>
          <t>Inspection</t>
        </is>
      </c>
      <c r="W2094" s="1" t="inlineStr">
        <is>
          <t>Rejected</t>
        </is>
      </c>
      <c r="X2094" s="5">
        <f>Z2094</f>
        <v/>
      </c>
      <c r="Y2094" s="1">
        <f>X2094-A2094</f>
        <v/>
      </c>
      <c r="Z2094" s="5" t="n">
        <v>46198</v>
      </c>
      <c r="AA2094" s="3" t="n"/>
      <c r="AB2094" s="3" t="n"/>
      <c r="AE2094" s="146">
        <f>IF(AND(F2094="Closed",X2094&gt;=DATE(2026,6,1),X2094&lt;=DATE(2026,6,30)),"Closed in June","other")</f>
        <v/>
      </c>
    </row>
    <row r="2095" hidden="1">
      <c r="A2095" s="49" t="n">
        <v>46177</v>
      </c>
      <c r="B2095" s="1" t="n">
        <v>2026</v>
      </c>
      <c r="C2095" s="8" t="inlineStr">
        <is>
          <t>Ayana</t>
        </is>
      </c>
      <c r="D2095" s="11" t="inlineStr">
        <is>
          <t>Utility and C&amp;I</t>
        </is>
      </c>
      <c r="E2095" s="1" t="n"/>
      <c r="F2095" s="1" t="inlineStr">
        <is>
          <t>Closed</t>
        </is>
      </c>
      <c r="G2095" s="11" t="inlineStr">
        <is>
          <t>Vasu.N</t>
        </is>
      </c>
      <c r="H2095" s="8" t="n">
        <v>9578099893</v>
      </c>
      <c r="I2095" s="10" t="inlineStr">
        <is>
          <t>PE04062601</t>
        </is>
      </c>
      <c r="J2095" s="28" t="inlineStr">
        <is>
          <t>Module burnt</t>
        </is>
      </c>
      <c r="K2095" s="8" t="inlineStr">
        <is>
          <t>Zura</t>
        </is>
      </c>
      <c r="L2095" s="39" t="inlineStr">
        <is>
          <t>Gujarat</t>
        </is>
      </c>
      <c r="M2095" s="2" t="inlineStr">
        <is>
          <t xml:space="preserve">damage </t>
        </is>
      </c>
      <c r="N2095" s="6" t="inlineStr">
        <is>
          <t>Module Breakage</t>
        </is>
      </c>
      <c r="O2095" s="32" t="n">
        <v>590</v>
      </c>
      <c r="P2095" s="2" t="inlineStr">
        <is>
          <t>NSMI24110806695</t>
        </is>
      </c>
      <c r="Q2095" s="29">
        <f>MID(P2095,5,2)</f>
        <v/>
      </c>
      <c r="R2095" s="14">
        <f>MID(P2095,7,2)</f>
        <v/>
      </c>
      <c r="S2095" s="6" t="inlineStr">
        <is>
          <t>G2G</t>
        </is>
      </c>
      <c r="T2095" s="1" t="inlineStr">
        <is>
          <t>P4 - PEIPL</t>
        </is>
      </c>
      <c r="U2095" s="2" t="inlineStr">
        <is>
          <t xml:space="preserve">physically damaged </t>
        </is>
      </c>
      <c r="V2095" s="1" t="inlineStr">
        <is>
          <t>Inspection</t>
        </is>
      </c>
      <c r="W2095" s="1" t="inlineStr">
        <is>
          <t>Rejected</t>
        </is>
      </c>
      <c r="X2095" s="5">
        <f>Z2095</f>
        <v/>
      </c>
      <c r="Y2095" s="1">
        <f>X2095-A2095</f>
        <v/>
      </c>
      <c r="Z2095" s="5" t="n">
        <v>46198</v>
      </c>
      <c r="AA2095" s="3" t="n"/>
      <c r="AB2095" s="3" t="n"/>
      <c r="AE2095" s="146">
        <f>IF(AND(F2095="Closed",X2095&gt;=DATE(2026,6,1),X2095&lt;=DATE(2026,6,30)),"Closed in June","other")</f>
        <v/>
      </c>
    </row>
    <row r="2096" hidden="1">
      <c r="A2096" s="49" t="n">
        <v>46177</v>
      </c>
      <c r="B2096" s="1" t="n">
        <v>2026</v>
      </c>
      <c r="C2096" s="8" t="inlineStr">
        <is>
          <t>Ayana</t>
        </is>
      </c>
      <c r="D2096" s="11" t="inlineStr">
        <is>
          <t>Utility and C&amp;I</t>
        </is>
      </c>
      <c r="E2096" s="1" t="n"/>
      <c r="F2096" s="1" t="inlineStr">
        <is>
          <t>Closed</t>
        </is>
      </c>
      <c r="G2096" s="11" t="inlineStr">
        <is>
          <t>Vasu.N</t>
        </is>
      </c>
      <c r="H2096" s="8" t="n">
        <v>9578099893</v>
      </c>
      <c r="I2096" s="10" t="inlineStr">
        <is>
          <t>PE04062601</t>
        </is>
      </c>
      <c r="J2096" s="28" t="inlineStr">
        <is>
          <t>Module burnt</t>
        </is>
      </c>
      <c r="K2096" s="8" t="inlineStr">
        <is>
          <t>Zura</t>
        </is>
      </c>
      <c r="L2096" s="39" t="inlineStr">
        <is>
          <t>Gujarat</t>
        </is>
      </c>
      <c r="M2096" s="2" t="inlineStr">
        <is>
          <t xml:space="preserve">damage </t>
        </is>
      </c>
      <c r="N2096" s="6" t="inlineStr">
        <is>
          <t>Module Breakage</t>
        </is>
      </c>
      <c r="O2096" s="32" t="n">
        <v>590</v>
      </c>
      <c r="P2096" s="2" t="inlineStr">
        <is>
          <t>NSMI24100597183</t>
        </is>
      </c>
      <c r="Q2096" s="29">
        <f>MID(P2096,5,2)</f>
        <v/>
      </c>
      <c r="R2096" s="14">
        <f>MID(P2096,7,2)</f>
        <v/>
      </c>
      <c r="S2096" s="6" t="inlineStr">
        <is>
          <t>G2G</t>
        </is>
      </c>
      <c r="T2096" s="1" t="inlineStr">
        <is>
          <t>P4 - PEIPL</t>
        </is>
      </c>
      <c r="U2096" s="2" t="inlineStr">
        <is>
          <t xml:space="preserve">physically damaged </t>
        </is>
      </c>
      <c r="V2096" s="1" t="inlineStr">
        <is>
          <t>Inspection</t>
        </is>
      </c>
      <c r="W2096" s="1" t="inlineStr">
        <is>
          <t>Rejected</t>
        </is>
      </c>
      <c r="X2096" s="5">
        <f>Z2096</f>
        <v/>
      </c>
      <c r="Y2096" s="1">
        <f>X2096-A2096</f>
        <v/>
      </c>
      <c r="Z2096" s="5" t="n">
        <v>46198</v>
      </c>
      <c r="AA2096" s="3" t="n"/>
      <c r="AB2096" s="3" t="n"/>
      <c r="AE2096" s="146">
        <f>IF(AND(F2096="Closed",X2096&gt;=DATE(2026,6,1),X2096&lt;=DATE(2026,6,30)),"Closed in June","other")</f>
        <v/>
      </c>
    </row>
    <row r="2097" hidden="1">
      <c r="A2097" s="49" t="n">
        <v>46177</v>
      </c>
      <c r="B2097" s="1" t="n">
        <v>2026</v>
      </c>
      <c r="C2097" s="8" t="inlineStr">
        <is>
          <t>Ayana</t>
        </is>
      </c>
      <c r="D2097" s="11" t="inlineStr">
        <is>
          <t>Utility and C&amp;I</t>
        </is>
      </c>
      <c r="E2097" s="1" t="n"/>
      <c r="F2097" s="1" t="inlineStr">
        <is>
          <t>Closed</t>
        </is>
      </c>
      <c r="G2097" s="11" t="inlineStr">
        <is>
          <t>Vasu.N</t>
        </is>
      </c>
      <c r="H2097" s="8" t="n">
        <v>9578099893</v>
      </c>
      <c r="I2097" s="10" t="inlineStr">
        <is>
          <t>PE04062601</t>
        </is>
      </c>
      <c r="J2097" s="28" t="inlineStr">
        <is>
          <t>Module burnt</t>
        </is>
      </c>
      <c r="K2097" s="8" t="inlineStr">
        <is>
          <t>Zura</t>
        </is>
      </c>
      <c r="L2097" s="39" t="inlineStr">
        <is>
          <t>Gujarat</t>
        </is>
      </c>
      <c r="M2097" s="2" t="inlineStr">
        <is>
          <t xml:space="preserve">damage </t>
        </is>
      </c>
      <c r="N2097" s="6" t="inlineStr">
        <is>
          <t>Module Breakage</t>
        </is>
      </c>
      <c r="O2097" s="32" t="n">
        <v>590</v>
      </c>
      <c r="P2097" s="2" t="inlineStr">
        <is>
          <t>NSMI24100555159</t>
        </is>
      </c>
      <c r="Q2097" s="29">
        <f>MID(P2097,5,2)</f>
        <v/>
      </c>
      <c r="R2097" s="14">
        <f>MID(P2097,7,2)</f>
        <v/>
      </c>
      <c r="S2097" s="6" t="inlineStr">
        <is>
          <t>G2G</t>
        </is>
      </c>
      <c r="T2097" s="1" t="inlineStr">
        <is>
          <t>P4 - PEIPL</t>
        </is>
      </c>
      <c r="U2097" s="2" t="inlineStr">
        <is>
          <t xml:space="preserve">physically damaged </t>
        </is>
      </c>
      <c r="V2097" s="1" t="inlineStr">
        <is>
          <t>Inspection</t>
        </is>
      </c>
      <c r="W2097" s="1" t="inlineStr">
        <is>
          <t>Rejected</t>
        </is>
      </c>
      <c r="X2097" s="5">
        <f>Z2097</f>
        <v/>
      </c>
      <c r="Y2097" s="1">
        <f>X2097-A2097</f>
        <v/>
      </c>
      <c r="Z2097" s="5" t="n">
        <v>46198</v>
      </c>
      <c r="AA2097" s="3" t="n"/>
      <c r="AB2097" s="3" t="n"/>
      <c r="AE2097" s="146">
        <f>IF(AND(F2097="Closed",X2097&gt;=DATE(2026,6,1),X2097&lt;=DATE(2026,6,30)),"Closed in June","other")</f>
        <v/>
      </c>
    </row>
    <row r="2098" hidden="1">
      <c r="A2098" s="49" t="n">
        <v>46177</v>
      </c>
      <c r="B2098" s="1" t="n">
        <v>2026</v>
      </c>
      <c r="C2098" s="8" t="inlineStr">
        <is>
          <t>Ayana</t>
        </is>
      </c>
      <c r="D2098" s="11" t="inlineStr">
        <is>
          <t>Utility and C&amp;I</t>
        </is>
      </c>
      <c r="E2098" s="1" t="n"/>
      <c r="F2098" s="1" t="inlineStr">
        <is>
          <t>Closed</t>
        </is>
      </c>
      <c r="G2098" s="11" t="inlineStr">
        <is>
          <t>Vasu.N</t>
        </is>
      </c>
      <c r="H2098" s="8" t="n">
        <v>9578099893</v>
      </c>
      <c r="I2098" s="10" t="inlineStr">
        <is>
          <t>PE04062601</t>
        </is>
      </c>
      <c r="J2098" s="28" t="inlineStr">
        <is>
          <t>Module burnt</t>
        </is>
      </c>
      <c r="K2098" s="8" t="inlineStr">
        <is>
          <t>Zura</t>
        </is>
      </c>
      <c r="L2098" s="39" t="inlineStr">
        <is>
          <t>Gujarat</t>
        </is>
      </c>
      <c r="M2098" s="2" t="inlineStr">
        <is>
          <t xml:space="preserve">damage </t>
        </is>
      </c>
      <c r="N2098" s="6" t="inlineStr">
        <is>
          <t>Module Breakage</t>
        </is>
      </c>
      <c r="O2098" s="32" t="n">
        <v>590</v>
      </c>
      <c r="P2098" s="2" t="inlineStr">
        <is>
          <t>NSMI24100627984</t>
        </is>
      </c>
      <c r="Q2098" s="29">
        <f>MID(P2098,5,2)</f>
        <v/>
      </c>
      <c r="R2098" s="14">
        <f>MID(P2098,7,2)</f>
        <v/>
      </c>
      <c r="S2098" s="6" t="inlineStr">
        <is>
          <t>G2G</t>
        </is>
      </c>
      <c r="T2098" s="1" t="inlineStr">
        <is>
          <t>P4 - PEIPL</t>
        </is>
      </c>
      <c r="U2098" s="2" t="inlineStr">
        <is>
          <t xml:space="preserve">physically damaged </t>
        </is>
      </c>
      <c r="V2098" s="1" t="inlineStr">
        <is>
          <t>Inspection</t>
        </is>
      </c>
      <c r="W2098" s="1" t="inlineStr">
        <is>
          <t>Rejected</t>
        </is>
      </c>
      <c r="X2098" s="5">
        <f>Z2098</f>
        <v/>
      </c>
      <c r="Y2098" s="1">
        <f>X2098-A2098</f>
        <v/>
      </c>
      <c r="Z2098" s="5" t="n">
        <v>46198</v>
      </c>
      <c r="AA2098" s="3" t="n"/>
      <c r="AB2098" s="3" t="n"/>
      <c r="AE2098" s="146">
        <f>IF(AND(F2098="Closed",X2098&gt;=DATE(2026,6,1),X2098&lt;=DATE(2026,6,30)),"Closed in June","other")</f>
        <v/>
      </c>
    </row>
    <row r="2099" hidden="1">
      <c r="A2099" s="49" t="n">
        <v>46177</v>
      </c>
      <c r="B2099" s="1" t="n">
        <v>2026</v>
      </c>
      <c r="C2099" s="8" t="inlineStr">
        <is>
          <t>Ayana</t>
        </is>
      </c>
      <c r="D2099" s="11" t="inlineStr">
        <is>
          <t>Utility and C&amp;I</t>
        </is>
      </c>
      <c r="E2099" s="1" t="n"/>
      <c r="F2099" s="1" t="inlineStr">
        <is>
          <t>Closed</t>
        </is>
      </c>
      <c r="G2099" s="11" t="inlineStr">
        <is>
          <t>Vasu.N</t>
        </is>
      </c>
      <c r="H2099" s="8" t="n">
        <v>9578099893</v>
      </c>
      <c r="I2099" s="10" t="inlineStr">
        <is>
          <t>PE04062601</t>
        </is>
      </c>
      <c r="J2099" s="28" t="inlineStr">
        <is>
          <t>Module burnt</t>
        </is>
      </c>
      <c r="K2099" s="8" t="inlineStr">
        <is>
          <t>Zura</t>
        </is>
      </c>
      <c r="L2099" s="39" t="inlineStr">
        <is>
          <t>Gujarat</t>
        </is>
      </c>
      <c r="M2099" s="2" t="inlineStr">
        <is>
          <t xml:space="preserve">damage </t>
        </is>
      </c>
      <c r="N2099" s="6" t="inlineStr">
        <is>
          <t>Module Breakage</t>
        </is>
      </c>
      <c r="O2099" s="32" t="n">
        <v>590</v>
      </c>
      <c r="P2099" s="2" t="inlineStr">
        <is>
          <t>NSMI24100546197</t>
        </is>
      </c>
      <c r="Q2099" s="29">
        <f>MID(P2099,5,2)</f>
        <v/>
      </c>
      <c r="R2099" s="14">
        <f>MID(P2099,7,2)</f>
        <v/>
      </c>
      <c r="S2099" s="6" t="inlineStr">
        <is>
          <t>G2G</t>
        </is>
      </c>
      <c r="T2099" s="1" t="inlineStr">
        <is>
          <t>P4 - PEIPL</t>
        </is>
      </c>
      <c r="U2099" s="2" t="inlineStr">
        <is>
          <t xml:space="preserve">physically damaged </t>
        </is>
      </c>
      <c r="V2099" s="1" t="inlineStr">
        <is>
          <t>Inspection</t>
        </is>
      </c>
      <c r="W2099" s="1" t="inlineStr">
        <is>
          <t>Rejected</t>
        </is>
      </c>
      <c r="X2099" s="5">
        <f>Z2099</f>
        <v/>
      </c>
      <c r="Y2099" s="1">
        <f>X2099-A2099</f>
        <v/>
      </c>
      <c r="Z2099" s="5" t="n">
        <v>46198</v>
      </c>
      <c r="AA2099" s="3" t="n"/>
      <c r="AB2099" s="3" t="n"/>
      <c r="AE2099" s="146">
        <f>IF(AND(F2099="Closed",X2099&gt;=DATE(2026,6,1),X2099&lt;=DATE(2026,6,30)),"Closed in June","other")</f>
        <v/>
      </c>
    </row>
    <row r="2100" hidden="1">
      <c r="A2100" s="49" t="n">
        <v>46177</v>
      </c>
      <c r="B2100" s="1" t="n">
        <v>2026</v>
      </c>
      <c r="C2100" s="8" t="inlineStr">
        <is>
          <t>Ayana</t>
        </is>
      </c>
      <c r="D2100" s="11" t="inlineStr">
        <is>
          <t>Utility and C&amp;I</t>
        </is>
      </c>
      <c r="E2100" s="1" t="n"/>
      <c r="F2100" s="1" t="inlineStr">
        <is>
          <t>Closed</t>
        </is>
      </c>
      <c r="G2100" s="11" t="inlineStr">
        <is>
          <t>Vasu.N</t>
        </is>
      </c>
      <c r="H2100" s="8" t="n">
        <v>9578099893</v>
      </c>
      <c r="I2100" s="10" t="inlineStr">
        <is>
          <t>PE04062601</t>
        </is>
      </c>
      <c r="J2100" s="28" t="inlineStr">
        <is>
          <t>Module burnt</t>
        </is>
      </c>
      <c r="K2100" s="8" t="inlineStr">
        <is>
          <t>Zura</t>
        </is>
      </c>
      <c r="L2100" s="39" t="inlineStr">
        <is>
          <t>Gujarat</t>
        </is>
      </c>
      <c r="M2100" s="2" t="inlineStr">
        <is>
          <t xml:space="preserve">damage </t>
        </is>
      </c>
      <c r="N2100" s="6" t="inlineStr">
        <is>
          <t>Module Breakage</t>
        </is>
      </c>
      <c r="O2100" s="32" t="n">
        <v>590</v>
      </c>
      <c r="P2100" s="2" t="inlineStr">
        <is>
          <t>NSMI24100597199</t>
        </is>
      </c>
      <c r="Q2100" s="29">
        <f>MID(P2100,5,2)</f>
        <v/>
      </c>
      <c r="R2100" s="14">
        <f>MID(P2100,7,2)</f>
        <v/>
      </c>
      <c r="S2100" s="6" t="inlineStr">
        <is>
          <t>G2G</t>
        </is>
      </c>
      <c r="T2100" s="1" t="inlineStr">
        <is>
          <t>P4 - PEIPL</t>
        </is>
      </c>
      <c r="U2100" s="2" t="inlineStr">
        <is>
          <t xml:space="preserve">physically damaged </t>
        </is>
      </c>
      <c r="V2100" s="1" t="inlineStr">
        <is>
          <t>Inspection</t>
        </is>
      </c>
      <c r="W2100" s="1" t="inlineStr">
        <is>
          <t>Rejected</t>
        </is>
      </c>
      <c r="X2100" s="5">
        <f>Z2100</f>
        <v/>
      </c>
      <c r="Y2100" s="1">
        <f>X2100-A2100</f>
        <v/>
      </c>
      <c r="Z2100" s="5" t="n">
        <v>46198</v>
      </c>
      <c r="AA2100" s="3" t="n"/>
      <c r="AB2100" s="3" t="n"/>
      <c r="AE2100" s="146">
        <f>IF(AND(F2100="Closed",X2100&gt;=DATE(2026,6,1),X2100&lt;=DATE(2026,6,30)),"Closed in June","other")</f>
        <v/>
      </c>
    </row>
    <row r="2101" hidden="1">
      <c r="A2101" s="49" t="n">
        <v>46177</v>
      </c>
      <c r="B2101" s="1" t="n">
        <v>2026</v>
      </c>
      <c r="C2101" s="8" t="inlineStr">
        <is>
          <t>Ayana</t>
        </is>
      </c>
      <c r="D2101" s="11" t="inlineStr">
        <is>
          <t>Utility and C&amp;I</t>
        </is>
      </c>
      <c r="E2101" s="1" t="n"/>
      <c r="F2101" s="1" t="inlineStr">
        <is>
          <t>Closed</t>
        </is>
      </c>
      <c r="G2101" s="11" t="inlineStr">
        <is>
          <t>Vasu.N</t>
        </is>
      </c>
      <c r="H2101" s="8" t="n">
        <v>9578099893</v>
      </c>
      <c r="I2101" s="10" t="inlineStr">
        <is>
          <t>PE04062601</t>
        </is>
      </c>
      <c r="J2101" s="28" t="inlineStr">
        <is>
          <t>Module burnt</t>
        </is>
      </c>
      <c r="K2101" s="8" t="inlineStr">
        <is>
          <t>Zura</t>
        </is>
      </c>
      <c r="L2101" s="39" t="inlineStr">
        <is>
          <t>Gujarat</t>
        </is>
      </c>
      <c r="M2101" s="2" t="inlineStr">
        <is>
          <t xml:space="preserve">damage </t>
        </is>
      </c>
      <c r="N2101" s="6" t="inlineStr">
        <is>
          <t>Module Breakage</t>
        </is>
      </c>
      <c r="O2101" s="32" t="n">
        <v>590</v>
      </c>
      <c r="P2101" s="2" t="inlineStr">
        <is>
          <t>NSMI24100555142</t>
        </is>
      </c>
      <c r="Q2101" s="29">
        <f>MID(P2101,5,2)</f>
        <v/>
      </c>
      <c r="R2101" s="14">
        <f>MID(P2101,7,2)</f>
        <v/>
      </c>
      <c r="S2101" s="6" t="inlineStr">
        <is>
          <t>G2G</t>
        </is>
      </c>
      <c r="T2101" s="1" t="inlineStr">
        <is>
          <t>P4 - PEIPL</t>
        </is>
      </c>
      <c r="U2101" s="2" t="inlineStr">
        <is>
          <t xml:space="preserve">physically damaged </t>
        </is>
      </c>
      <c r="V2101" s="1" t="inlineStr">
        <is>
          <t>Inspection</t>
        </is>
      </c>
      <c r="W2101" s="1" t="inlineStr">
        <is>
          <t>Rejected</t>
        </is>
      </c>
      <c r="X2101" s="5">
        <f>Z2101</f>
        <v/>
      </c>
      <c r="Y2101" s="1">
        <f>X2101-A2101</f>
        <v/>
      </c>
      <c r="Z2101" s="5" t="n">
        <v>46198</v>
      </c>
      <c r="AA2101" s="3" t="n"/>
      <c r="AB2101" s="3" t="n"/>
      <c r="AE2101" s="146">
        <f>IF(AND(F2101="Closed",X2101&gt;=DATE(2026,6,1),X2101&lt;=DATE(2026,6,30)),"Closed in June","other")</f>
        <v/>
      </c>
    </row>
    <row r="2102" hidden="1">
      <c r="A2102" s="49" t="n">
        <v>46177</v>
      </c>
      <c r="B2102" s="1" t="n">
        <v>2026</v>
      </c>
      <c r="C2102" s="8" t="inlineStr">
        <is>
          <t>Ayana</t>
        </is>
      </c>
      <c r="D2102" s="11" t="inlineStr">
        <is>
          <t>Utility and C&amp;I</t>
        </is>
      </c>
      <c r="E2102" s="1" t="n"/>
      <c r="F2102" s="1" t="inlineStr">
        <is>
          <t>Closed</t>
        </is>
      </c>
      <c r="G2102" s="11" t="inlineStr">
        <is>
          <t>Vasu.N</t>
        </is>
      </c>
      <c r="H2102" s="8" t="n">
        <v>9578099893</v>
      </c>
      <c r="I2102" s="10" t="inlineStr">
        <is>
          <t>PE04062601</t>
        </is>
      </c>
      <c r="J2102" s="28" t="inlineStr">
        <is>
          <t>Module burnt</t>
        </is>
      </c>
      <c r="K2102" s="8" t="inlineStr">
        <is>
          <t>Zura</t>
        </is>
      </c>
      <c r="L2102" s="39" t="inlineStr">
        <is>
          <t>Gujarat</t>
        </is>
      </c>
      <c r="M2102" s="2" t="inlineStr">
        <is>
          <t xml:space="preserve">damage </t>
        </is>
      </c>
      <c r="N2102" s="6" t="inlineStr">
        <is>
          <t>Module Breakage</t>
        </is>
      </c>
      <c r="O2102" s="32" t="n">
        <v>590</v>
      </c>
      <c r="P2102" s="2" t="inlineStr">
        <is>
          <t>NSMI24100555117</t>
        </is>
      </c>
      <c r="Q2102" s="29">
        <f>MID(P2102,5,2)</f>
        <v/>
      </c>
      <c r="R2102" s="14">
        <f>MID(P2102,7,2)</f>
        <v/>
      </c>
      <c r="S2102" s="6" t="inlineStr">
        <is>
          <t>G2G</t>
        </is>
      </c>
      <c r="T2102" s="1" t="inlineStr">
        <is>
          <t>P4 - PEIPL</t>
        </is>
      </c>
      <c r="U2102" s="2" t="inlineStr">
        <is>
          <t xml:space="preserve">physically damaged </t>
        </is>
      </c>
      <c r="V2102" s="1" t="inlineStr">
        <is>
          <t>Inspection</t>
        </is>
      </c>
      <c r="W2102" s="1" t="inlineStr">
        <is>
          <t>Rejected</t>
        </is>
      </c>
      <c r="X2102" s="5">
        <f>Z2102</f>
        <v/>
      </c>
      <c r="Y2102" s="1">
        <f>X2102-A2102</f>
        <v/>
      </c>
      <c r="Z2102" s="5" t="n">
        <v>46198</v>
      </c>
      <c r="AA2102" s="3" t="n"/>
      <c r="AB2102" s="3" t="n"/>
      <c r="AE2102" s="146">
        <f>IF(AND(F2102="Closed",X2102&gt;=DATE(2026,6,1),X2102&lt;=DATE(2026,6,30)),"Closed in June","other")</f>
        <v/>
      </c>
    </row>
    <row r="2103" hidden="1">
      <c r="A2103" s="49" t="n">
        <v>46177</v>
      </c>
      <c r="B2103" s="1" t="n">
        <v>2026</v>
      </c>
      <c r="C2103" s="8" t="inlineStr">
        <is>
          <t>Ayana</t>
        </is>
      </c>
      <c r="D2103" s="11" t="inlineStr">
        <is>
          <t>Utility and C&amp;I</t>
        </is>
      </c>
      <c r="E2103" s="1" t="n"/>
      <c r="F2103" s="1" t="inlineStr">
        <is>
          <t>Closed</t>
        </is>
      </c>
      <c r="G2103" s="11" t="inlineStr">
        <is>
          <t>Vasu.N</t>
        </is>
      </c>
      <c r="H2103" s="8" t="n">
        <v>9578099893</v>
      </c>
      <c r="I2103" s="10" t="inlineStr">
        <is>
          <t>PE04062601</t>
        </is>
      </c>
      <c r="J2103" s="28" t="inlineStr">
        <is>
          <t>Module burnt</t>
        </is>
      </c>
      <c r="K2103" s="8" t="inlineStr">
        <is>
          <t>Zura</t>
        </is>
      </c>
      <c r="L2103" s="39" t="inlineStr">
        <is>
          <t>Gujarat</t>
        </is>
      </c>
      <c r="M2103" s="2" t="inlineStr">
        <is>
          <t xml:space="preserve">damage </t>
        </is>
      </c>
      <c r="N2103" s="6" t="inlineStr">
        <is>
          <t>Module Breakage</t>
        </is>
      </c>
      <c r="O2103" s="32" t="n">
        <v>590</v>
      </c>
      <c r="P2103" s="2" t="inlineStr">
        <is>
          <t>NSMI24100598115</t>
        </is>
      </c>
      <c r="Q2103" s="29">
        <f>MID(P2103,5,2)</f>
        <v/>
      </c>
      <c r="R2103" s="14">
        <f>MID(P2103,7,2)</f>
        <v/>
      </c>
      <c r="S2103" s="6" t="inlineStr">
        <is>
          <t>G2G</t>
        </is>
      </c>
      <c r="T2103" s="1" t="inlineStr">
        <is>
          <t>P4 - PEIPL</t>
        </is>
      </c>
      <c r="U2103" s="2" t="inlineStr">
        <is>
          <t xml:space="preserve">physically damaged </t>
        </is>
      </c>
      <c r="V2103" s="1" t="inlineStr">
        <is>
          <t>Inspection</t>
        </is>
      </c>
      <c r="W2103" s="1" t="inlineStr">
        <is>
          <t>Rejected</t>
        </is>
      </c>
      <c r="X2103" s="5">
        <f>Z2103</f>
        <v/>
      </c>
      <c r="Y2103" s="1">
        <f>X2103-A2103</f>
        <v/>
      </c>
      <c r="Z2103" s="5" t="n">
        <v>46198</v>
      </c>
      <c r="AA2103" s="3" t="n"/>
      <c r="AB2103" s="3" t="n"/>
      <c r="AE2103" s="146">
        <f>IF(AND(F2103="Closed",X2103&gt;=DATE(2026,6,1),X2103&lt;=DATE(2026,6,30)),"Closed in June","other")</f>
        <v/>
      </c>
    </row>
    <row r="2104" hidden="1">
      <c r="A2104" s="49" t="n">
        <v>46177</v>
      </c>
      <c r="B2104" s="1" t="n">
        <v>2026</v>
      </c>
      <c r="C2104" s="8" t="inlineStr">
        <is>
          <t>Ayana</t>
        </is>
      </c>
      <c r="D2104" s="11" t="inlineStr">
        <is>
          <t>Utility and C&amp;I</t>
        </is>
      </c>
      <c r="E2104" s="1" t="n"/>
      <c r="F2104" s="1" t="inlineStr">
        <is>
          <t>Closed</t>
        </is>
      </c>
      <c r="G2104" s="11" t="inlineStr">
        <is>
          <t>Vasu.N</t>
        </is>
      </c>
      <c r="H2104" s="8" t="n">
        <v>9578099893</v>
      </c>
      <c r="I2104" s="10" t="inlineStr">
        <is>
          <t>PE04062601</t>
        </is>
      </c>
      <c r="J2104" s="28" t="inlineStr">
        <is>
          <t>Module burnt</t>
        </is>
      </c>
      <c r="K2104" s="8" t="inlineStr">
        <is>
          <t>Zura</t>
        </is>
      </c>
      <c r="L2104" s="39" t="inlineStr">
        <is>
          <t>Gujarat</t>
        </is>
      </c>
      <c r="M2104" s="2" t="inlineStr">
        <is>
          <t xml:space="preserve">damage </t>
        </is>
      </c>
      <c r="N2104" s="6" t="inlineStr">
        <is>
          <t>Module Breakage</t>
        </is>
      </c>
      <c r="O2104" s="32" t="n">
        <v>590</v>
      </c>
      <c r="P2104" s="2" t="inlineStr">
        <is>
          <t>NSMI24100598098</t>
        </is>
      </c>
      <c r="Q2104" s="29">
        <f>MID(P2104,5,2)</f>
        <v/>
      </c>
      <c r="R2104" s="14">
        <f>MID(P2104,7,2)</f>
        <v/>
      </c>
      <c r="S2104" s="6" t="inlineStr">
        <is>
          <t>G2G</t>
        </is>
      </c>
      <c r="T2104" s="1" t="inlineStr">
        <is>
          <t>P4 - PEIPL</t>
        </is>
      </c>
      <c r="U2104" s="2" t="inlineStr">
        <is>
          <t xml:space="preserve">physically damaged </t>
        </is>
      </c>
      <c r="V2104" s="1" t="inlineStr">
        <is>
          <t>Inspection</t>
        </is>
      </c>
      <c r="W2104" s="1" t="inlineStr">
        <is>
          <t>Rejected</t>
        </is>
      </c>
      <c r="X2104" s="5">
        <f>Z2104</f>
        <v/>
      </c>
      <c r="Y2104" s="1">
        <f>X2104-A2104</f>
        <v/>
      </c>
      <c r="Z2104" s="5" t="n">
        <v>46198</v>
      </c>
      <c r="AA2104" s="3" t="n"/>
      <c r="AB2104" s="3" t="n"/>
      <c r="AE2104" s="146">
        <f>IF(AND(F2104="Closed",X2104&gt;=DATE(2026,6,1),X2104&lt;=DATE(2026,6,30)),"Closed in June","other")</f>
        <v/>
      </c>
    </row>
    <row r="2105" hidden="1">
      <c r="A2105" s="49" t="n">
        <v>46177</v>
      </c>
      <c r="B2105" s="1" t="n">
        <v>2026</v>
      </c>
      <c r="C2105" s="8" t="inlineStr">
        <is>
          <t>Ayana</t>
        </is>
      </c>
      <c r="D2105" s="11" t="inlineStr">
        <is>
          <t>Utility and C&amp;I</t>
        </is>
      </c>
      <c r="E2105" s="1" t="n"/>
      <c r="F2105" s="1" t="inlineStr">
        <is>
          <t>Closed</t>
        </is>
      </c>
      <c r="G2105" s="11" t="inlineStr">
        <is>
          <t>Vasu.N</t>
        </is>
      </c>
      <c r="H2105" s="8" t="n">
        <v>9578099893</v>
      </c>
      <c r="I2105" s="10" t="inlineStr">
        <is>
          <t>PE04062601</t>
        </is>
      </c>
      <c r="J2105" s="28" t="inlineStr">
        <is>
          <t>Module burnt</t>
        </is>
      </c>
      <c r="K2105" s="8" t="inlineStr">
        <is>
          <t>Zura</t>
        </is>
      </c>
      <c r="L2105" s="39" t="inlineStr">
        <is>
          <t>Gujarat</t>
        </is>
      </c>
      <c r="M2105" s="2" t="inlineStr">
        <is>
          <t xml:space="preserve">damage </t>
        </is>
      </c>
      <c r="N2105" s="6" t="inlineStr">
        <is>
          <t>Module Breakage</t>
        </is>
      </c>
      <c r="O2105" s="32" t="n">
        <v>590</v>
      </c>
      <c r="P2105" s="2" t="inlineStr">
        <is>
          <t>NSMI24100605079</t>
        </is>
      </c>
      <c r="Q2105" s="29">
        <f>MID(P2105,5,2)</f>
        <v/>
      </c>
      <c r="R2105" s="14">
        <f>MID(P2105,7,2)</f>
        <v/>
      </c>
      <c r="S2105" s="6" t="inlineStr">
        <is>
          <t>G2G</t>
        </is>
      </c>
      <c r="T2105" s="1" t="inlineStr">
        <is>
          <t>P4 - PEIPL</t>
        </is>
      </c>
      <c r="U2105" s="2" t="inlineStr">
        <is>
          <t xml:space="preserve">physically damaged </t>
        </is>
      </c>
      <c r="V2105" s="1" t="inlineStr">
        <is>
          <t>Inspection</t>
        </is>
      </c>
      <c r="W2105" s="1" t="inlineStr">
        <is>
          <t>Rejected</t>
        </is>
      </c>
      <c r="X2105" s="5">
        <f>Z2105</f>
        <v/>
      </c>
      <c r="Y2105" s="1">
        <f>X2105-A2105</f>
        <v/>
      </c>
      <c r="Z2105" s="5" t="n">
        <v>46198</v>
      </c>
      <c r="AA2105" s="3" t="n"/>
      <c r="AB2105" s="3" t="n"/>
      <c r="AE2105" s="146">
        <f>IF(AND(F2105="Closed",X2105&gt;=DATE(2026,6,1),X2105&lt;=DATE(2026,6,30)),"Closed in June","other")</f>
        <v/>
      </c>
    </row>
    <row r="2106" hidden="1">
      <c r="A2106" s="49" t="n">
        <v>46177</v>
      </c>
      <c r="B2106" s="1" t="n">
        <v>2026</v>
      </c>
      <c r="C2106" s="8" t="inlineStr">
        <is>
          <t>Ayana</t>
        </is>
      </c>
      <c r="D2106" s="11" t="inlineStr">
        <is>
          <t>Utility and C&amp;I</t>
        </is>
      </c>
      <c r="E2106" s="1" t="n"/>
      <c r="F2106" s="1" t="inlineStr">
        <is>
          <t>Closed</t>
        </is>
      </c>
      <c r="G2106" s="11" t="inlineStr">
        <is>
          <t>Vasu.N</t>
        </is>
      </c>
      <c r="H2106" s="8" t="n">
        <v>9578099893</v>
      </c>
      <c r="I2106" s="10" t="inlineStr">
        <is>
          <t>PE04062601</t>
        </is>
      </c>
      <c r="J2106" s="28" t="inlineStr">
        <is>
          <t>Module burnt</t>
        </is>
      </c>
      <c r="K2106" s="8" t="inlineStr">
        <is>
          <t>Zura</t>
        </is>
      </c>
      <c r="L2106" s="39" t="inlineStr">
        <is>
          <t>Gujarat</t>
        </is>
      </c>
      <c r="M2106" s="2" t="inlineStr">
        <is>
          <t xml:space="preserve">damage </t>
        </is>
      </c>
      <c r="N2106" s="6" t="inlineStr">
        <is>
          <t>Module Breakage</t>
        </is>
      </c>
      <c r="O2106" s="32" t="n">
        <v>590</v>
      </c>
      <c r="P2106" s="2" t="inlineStr">
        <is>
          <t>NSMI24100598116</t>
        </is>
      </c>
      <c r="Q2106" s="29">
        <f>MID(P2106,5,2)</f>
        <v/>
      </c>
      <c r="R2106" s="14">
        <f>MID(P2106,7,2)</f>
        <v/>
      </c>
      <c r="S2106" s="6" t="inlineStr">
        <is>
          <t>G2G</t>
        </is>
      </c>
      <c r="T2106" s="1" t="inlineStr">
        <is>
          <t>P4 - PEIPL</t>
        </is>
      </c>
      <c r="U2106" s="2" t="inlineStr">
        <is>
          <t xml:space="preserve">physically damaged </t>
        </is>
      </c>
      <c r="V2106" s="1" t="inlineStr">
        <is>
          <t>Inspection</t>
        </is>
      </c>
      <c r="W2106" s="1" t="inlineStr">
        <is>
          <t>Rejected</t>
        </is>
      </c>
      <c r="X2106" s="5">
        <f>Z2106</f>
        <v/>
      </c>
      <c r="Y2106" s="1">
        <f>X2106-A2106</f>
        <v/>
      </c>
      <c r="Z2106" s="5" t="n">
        <v>46198</v>
      </c>
      <c r="AA2106" s="3" t="n"/>
      <c r="AB2106" s="3" t="n"/>
      <c r="AE2106" s="146">
        <f>IF(AND(F2106="Closed",X2106&gt;=DATE(2026,6,1),X2106&lt;=DATE(2026,6,30)),"Closed in June","other")</f>
        <v/>
      </c>
    </row>
    <row r="2107" hidden="1">
      <c r="A2107" s="49" t="n">
        <v>46177</v>
      </c>
      <c r="B2107" s="1" t="n">
        <v>2026</v>
      </c>
      <c r="C2107" s="8" t="inlineStr">
        <is>
          <t>Ayana</t>
        </is>
      </c>
      <c r="D2107" s="11" t="inlineStr">
        <is>
          <t>Utility and C&amp;I</t>
        </is>
      </c>
      <c r="E2107" s="1" t="n"/>
      <c r="F2107" s="1" t="inlineStr">
        <is>
          <t>Closed</t>
        </is>
      </c>
      <c r="G2107" s="11" t="inlineStr">
        <is>
          <t>Vasu.N</t>
        </is>
      </c>
      <c r="H2107" s="8" t="n">
        <v>9578099893</v>
      </c>
      <c r="I2107" s="10" t="inlineStr">
        <is>
          <t>PE04062601</t>
        </is>
      </c>
      <c r="J2107" s="28" t="inlineStr">
        <is>
          <t>Module burnt</t>
        </is>
      </c>
      <c r="K2107" s="8" t="inlineStr">
        <is>
          <t>Zura</t>
        </is>
      </c>
      <c r="L2107" s="39" t="inlineStr">
        <is>
          <t>Gujarat</t>
        </is>
      </c>
      <c r="M2107" s="2" t="inlineStr">
        <is>
          <t xml:space="preserve">damage </t>
        </is>
      </c>
      <c r="N2107" s="6" t="inlineStr">
        <is>
          <t>Module Breakage</t>
        </is>
      </c>
      <c r="O2107" s="32" t="n">
        <v>590</v>
      </c>
      <c r="P2107" s="2" t="inlineStr">
        <is>
          <t>NSMI24100597902</t>
        </is>
      </c>
      <c r="Q2107" s="29">
        <f>MID(P2107,5,2)</f>
        <v/>
      </c>
      <c r="R2107" s="14">
        <f>MID(P2107,7,2)</f>
        <v/>
      </c>
      <c r="S2107" s="6" t="inlineStr">
        <is>
          <t>G2G</t>
        </is>
      </c>
      <c r="T2107" s="1" t="inlineStr">
        <is>
          <t>P4 - PEIPL</t>
        </is>
      </c>
      <c r="U2107" s="2" t="inlineStr">
        <is>
          <t xml:space="preserve">physically damaged </t>
        </is>
      </c>
      <c r="V2107" s="1" t="inlineStr">
        <is>
          <t>Inspection</t>
        </is>
      </c>
      <c r="W2107" s="1" t="inlineStr">
        <is>
          <t>Rejected</t>
        </is>
      </c>
      <c r="X2107" s="5">
        <f>Z2107</f>
        <v/>
      </c>
      <c r="Y2107" s="1">
        <f>X2107-A2107</f>
        <v/>
      </c>
      <c r="Z2107" s="5" t="n">
        <v>46198</v>
      </c>
      <c r="AA2107" s="3" t="n"/>
      <c r="AB2107" s="3" t="n"/>
      <c r="AE2107" s="146">
        <f>IF(AND(F2107="Closed",X2107&gt;=DATE(2026,6,1),X2107&lt;=DATE(2026,6,30)),"Closed in June","other")</f>
        <v/>
      </c>
    </row>
    <row r="2108" hidden="1">
      <c r="A2108" s="49" t="n">
        <v>46177</v>
      </c>
      <c r="B2108" s="1" t="n">
        <v>2026</v>
      </c>
      <c r="C2108" s="8" t="inlineStr">
        <is>
          <t>Ayana</t>
        </is>
      </c>
      <c r="D2108" s="11" t="inlineStr">
        <is>
          <t>Utility and C&amp;I</t>
        </is>
      </c>
      <c r="E2108" s="1" t="n"/>
      <c r="F2108" s="1" t="inlineStr">
        <is>
          <t>Closed</t>
        </is>
      </c>
      <c r="G2108" s="11" t="inlineStr">
        <is>
          <t>Vasu.N</t>
        </is>
      </c>
      <c r="H2108" s="8" t="n">
        <v>9578099893</v>
      </c>
      <c r="I2108" s="10" t="inlineStr">
        <is>
          <t>PE04062601</t>
        </is>
      </c>
      <c r="J2108" s="28" t="inlineStr">
        <is>
          <t>Module burnt</t>
        </is>
      </c>
      <c r="K2108" s="8" t="inlineStr">
        <is>
          <t>Zura</t>
        </is>
      </c>
      <c r="L2108" s="39" t="inlineStr">
        <is>
          <t>Gujarat</t>
        </is>
      </c>
      <c r="M2108" s="2" t="inlineStr">
        <is>
          <t xml:space="preserve">damage </t>
        </is>
      </c>
      <c r="N2108" s="6" t="inlineStr">
        <is>
          <t>Module Breakage</t>
        </is>
      </c>
      <c r="O2108" s="32" t="n">
        <v>590</v>
      </c>
      <c r="P2108" s="2" t="inlineStr">
        <is>
          <t>NSMI24100594944</t>
        </is>
      </c>
      <c r="Q2108" s="29">
        <f>MID(P2108,5,2)</f>
        <v/>
      </c>
      <c r="R2108" s="14">
        <f>MID(P2108,7,2)</f>
        <v/>
      </c>
      <c r="S2108" s="6" t="inlineStr">
        <is>
          <t>G2G</t>
        </is>
      </c>
      <c r="T2108" s="1" t="inlineStr">
        <is>
          <t>P4 - PEIPL</t>
        </is>
      </c>
      <c r="U2108" s="2" t="inlineStr">
        <is>
          <t xml:space="preserve">physically damaged </t>
        </is>
      </c>
      <c r="V2108" s="1" t="inlineStr">
        <is>
          <t>Inspection</t>
        </is>
      </c>
      <c r="W2108" s="1" t="inlineStr">
        <is>
          <t>Rejected</t>
        </is>
      </c>
      <c r="X2108" s="5">
        <f>Z2108</f>
        <v/>
      </c>
      <c r="Y2108" s="1">
        <f>X2108-A2108</f>
        <v/>
      </c>
      <c r="Z2108" s="5" t="n">
        <v>46198</v>
      </c>
      <c r="AA2108" s="3" t="n"/>
      <c r="AB2108" s="3" t="n"/>
      <c r="AE2108" s="146">
        <f>IF(AND(F2108="Closed",X2108&gt;=DATE(2026,6,1),X2108&lt;=DATE(2026,6,30)),"Closed in June","other")</f>
        <v/>
      </c>
    </row>
    <row r="2109" hidden="1">
      <c r="A2109" s="49" t="n">
        <v>46177</v>
      </c>
      <c r="B2109" s="1" t="n">
        <v>2026</v>
      </c>
      <c r="C2109" s="8" t="inlineStr">
        <is>
          <t>Ayana</t>
        </is>
      </c>
      <c r="D2109" s="11" t="inlineStr">
        <is>
          <t>Utility and C&amp;I</t>
        </is>
      </c>
      <c r="E2109" s="1" t="n"/>
      <c r="F2109" s="1" t="inlineStr">
        <is>
          <t>Closed</t>
        </is>
      </c>
      <c r="G2109" s="11" t="inlineStr">
        <is>
          <t>Vasu.N</t>
        </is>
      </c>
      <c r="H2109" s="8" t="n">
        <v>9578099893</v>
      </c>
      <c r="I2109" s="10" t="inlineStr">
        <is>
          <t>PE04062601</t>
        </is>
      </c>
      <c r="J2109" s="28" t="inlineStr">
        <is>
          <t>Module burnt</t>
        </is>
      </c>
      <c r="K2109" s="8" t="inlineStr">
        <is>
          <t>Zura</t>
        </is>
      </c>
      <c r="L2109" s="39" t="inlineStr">
        <is>
          <t>Gujarat</t>
        </is>
      </c>
      <c r="M2109" s="2" t="inlineStr">
        <is>
          <t xml:space="preserve">damage </t>
        </is>
      </c>
      <c r="N2109" s="6" t="inlineStr">
        <is>
          <t>Module Breakage</t>
        </is>
      </c>
      <c r="O2109" s="32" t="n">
        <v>590</v>
      </c>
      <c r="P2109" s="2" t="inlineStr">
        <is>
          <t>NSMI24110838891</t>
        </is>
      </c>
      <c r="Q2109" s="29">
        <f>MID(P2109,5,2)</f>
        <v/>
      </c>
      <c r="R2109" s="14">
        <f>MID(P2109,7,2)</f>
        <v/>
      </c>
      <c r="S2109" s="6" t="inlineStr">
        <is>
          <t>G2G</t>
        </is>
      </c>
      <c r="T2109" s="1" t="inlineStr">
        <is>
          <t>P4 - PEIPL</t>
        </is>
      </c>
      <c r="U2109" s="2" t="inlineStr">
        <is>
          <t xml:space="preserve">physically damaged </t>
        </is>
      </c>
      <c r="V2109" s="1" t="inlineStr">
        <is>
          <t>Inspection</t>
        </is>
      </c>
      <c r="W2109" s="1" t="inlineStr">
        <is>
          <t>Rejected</t>
        </is>
      </c>
      <c r="X2109" s="5">
        <f>Z2109</f>
        <v/>
      </c>
      <c r="Y2109" s="1">
        <f>X2109-A2109</f>
        <v/>
      </c>
      <c r="Z2109" s="5" t="n">
        <v>46198</v>
      </c>
      <c r="AA2109" s="3" t="n"/>
      <c r="AB2109" s="3" t="n"/>
      <c r="AE2109" s="146">
        <f>IF(AND(F2109="Closed",X2109&gt;=DATE(2026,6,1),X2109&lt;=DATE(2026,6,30)),"Closed in June","other")</f>
        <v/>
      </c>
    </row>
    <row r="2110" hidden="1">
      <c r="A2110" s="49" t="n">
        <v>46177</v>
      </c>
      <c r="B2110" s="1" t="n">
        <v>2026</v>
      </c>
      <c r="C2110" s="8" t="inlineStr">
        <is>
          <t>Ayana</t>
        </is>
      </c>
      <c r="D2110" s="11" t="inlineStr">
        <is>
          <t>Utility and C&amp;I</t>
        </is>
      </c>
      <c r="E2110" s="1" t="n"/>
      <c r="F2110" s="1" t="inlineStr">
        <is>
          <t>Closed</t>
        </is>
      </c>
      <c r="G2110" s="11" t="inlineStr">
        <is>
          <t>Vasu.N</t>
        </is>
      </c>
      <c r="H2110" s="8" t="n">
        <v>9578099893</v>
      </c>
      <c r="I2110" s="10" t="inlineStr">
        <is>
          <t>PE04062601</t>
        </is>
      </c>
      <c r="J2110" s="28" t="inlineStr">
        <is>
          <t>Module burnt</t>
        </is>
      </c>
      <c r="K2110" s="8" t="inlineStr">
        <is>
          <t>Zura</t>
        </is>
      </c>
      <c r="L2110" s="39" t="inlineStr">
        <is>
          <t>Gujarat</t>
        </is>
      </c>
      <c r="M2110" s="2" t="inlineStr">
        <is>
          <t xml:space="preserve">damage </t>
        </is>
      </c>
      <c r="N2110" s="6" t="inlineStr">
        <is>
          <t>Module Breakage</t>
        </is>
      </c>
      <c r="O2110" s="32" t="n">
        <v>590</v>
      </c>
      <c r="P2110" s="2" t="inlineStr">
        <is>
          <t>NSMI24110838903</t>
        </is>
      </c>
      <c r="Q2110" s="29">
        <f>MID(P2110,5,2)</f>
        <v/>
      </c>
      <c r="R2110" s="14">
        <f>MID(P2110,7,2)</f>
        <v/>
      </c>
      <c r="S2110" s="6" t="inlineStr">
        <is>
          <t>G2G</t>
        </is>
      </c>
      <c r="T2110" s="1" t="inlineStr">
        <is>
          <t>P4 - PEIPL</t>
        </is>
      </c>
      <c r="U2110" s="2" t="inlineStr">
        <is>
          <t xml:space="preserve">physically damaged </t>
        </is>
      </c>
      <c r="V2110" s="1" t="inlineStr">
        <is>
          <t>Inspection</t>
        </is>
      </c>
      <c r="W2110" s="1" t="inlineStr">
        <is>
          <t>Rejected</t>
        </is>
      </c>
      <c r="X2110" s="5">
        <f>Z2110</f>
        <v/>
      </c>
      <c r="Y2110" s="1">
        <f>X2110-A2110</f>
        <v/>
      </c>
      <c r="Z2110" s="5" t="n">
        <v>46198</v>
      </c>
      <c r="AA2110" s="3" t="n"/>
      <c r="AB2110" s="3" t="n"/>
      <c r="AE2110" s="146">
        <f>IF(AND(F2110="Closed",X2110&gt;=DATE(2026,6,1),X2110&lt;=DATE(2026,6,30)),"Closed in June","other")</f>
        <v/>
      </c>
    </row>
    <row r="2111" hidden="1">
      <c r="A2111" s="49" t="n">
        <v>46177</v>
      </c>
      <c r="B2111" s="1" t="n">
        <v>2026</v>
      </c>
      <c r="C2111" s="8" t="inlineStr">
        <is>
          <t>Ayana</t>
        </is>
      </c>
      <c r="D2111" s="11" t="inlineStr">
        <is>
          <t>Utility and C&amp;I</t>
        </is>
      </c>
      <c r="E2111" s="1" t="n"/>
      <c r="F2111" s="1" t="inlineStr">
        <is>
          <t>Closed</t>
        </is>
      </c>
      <c r="G2111" s="11" t="inlineStr">
        <is>
          <t>Vasu.N</t>
        </is>
      </c>
      <c r="H2111" s="8" t="n">
        <v>9578099893</v>
      </c>
      <c r="I2111" s="10" t="inlineStr">
        <is>
          <t>PE04062601</t>
        </is>
      </c>
      <c r="J2111" s="28" t="inlineStr">
        <is>
          <t>Module burnt</t>
        </is>
      </c>
      <c r="K2111" s="8" t="inlineStr">
        <is>
          <t>Zura</t>
        </is>
      </c>
      <c r="L2111" s="39" t="inlineStr">
        <is>
          <t>Gujarat</t>
        </is>
      </c>
      <c r="M2111" s="2" t="inlineStr">
        <is>
          <t xml:space="preserve">damage </t>
        </is>
      </c>
      <c r="N2111" s="6" t="inlineStr">
        <is>
          <t>Module Breakage</t>
        </is>
      </c>
      <c r="O2111" s="32" t="n">
        <v>590</v>
      </c>
      <c r="P2111" s="2" t="inlineStr">
        <is>
          <t>NSMI24100632239</t>
        </is>
      </c>
      <c r="Q2111" s="29">
        <f>MID(P2111,5,2)</f>
        <v/>
      </c>
      <c r="R2111" s="14">
        <f>MID(P2111,7,2)</f>
        <v/>
      </c>
      <c r="S2111" s="6" t="inlineStr">
        <is>
          <t>G2G</t>
        </is>
      </c>
      <c r="T2111" s="1" t="inlineStr">
        <is>
          <t>P4 - PEIPL</t>
        </is>
      </c>
      <c r="U2111" s="2" t="inlineStr">
        <is>
          <t xml:space="preserve">physically damaged </t>
        </is>
      </c>
      <c r="V2111" s="1" t="inlineStr">
        <is>
          <t>Inspection</t>
        </is>
      </c>
      <c r="W2111" s="1" t="inlineStr">
        <is>
          <t>Rejected</t>
        </is>
      </c>
      <c r="X2111" s="5">
        <f>Z2111</f>
        <v/>
      </c>
      <c r="Y2111" s="1">
        <f>X2111-A2111</f>
        <v/>
      </c>
      <c r="Z2111" s="5" t="n">
        <v>46198</v>
      </c>
      <c r="AA2111" s="3" t="n"/>
      <c r="AB2111" s="3" t="n"/>
      <c r="AE2111" s="146">
        <f>IF(AND(F2111="Closed",X2111&gt;=DATE(2026,6,1),X2111&lt;=DATE(2026,6,30)),"Closed in June","other")</f>
        <v/>
      </c>
    </row>
    <row r="2112" hidden="1">
      <c r="A2112" s="49" t="n">
        <v>46177</v>
      </c>
      <c r="B2112" s="1" t="n">
        <v>2026</v>
      </c>
      <c r="C2112" s="8" t="inlineStr">
        <is>
          <t>Ayana</t>
        </is>
      </c>
      <c r="D2112" s="11" t="inlineStr">
        <is>
          <t>Utility and C&amp;I</t>
        </is>
      </c>
      <c r="E2112" s="1" t="n"/>
      <c r="F2112" s="1" t="inlineStr">
        <is>
          <t>Closed</t>
        </is>
      </c>
      <c r="G2112" s="11" t="inlineStr">
        <is>
          <t>Vasu.N</t>
        </is>
      </c>
      <c r="H2112" s="8" t="n">
        <v>9578099893</v>
      </c>
      <c r="I2112" s="10" t="inlineStr">
        <is>
          <t>PE04062601</t>
        </is>
      </c>
      <c r="J2112" s="28" t="inlineStr">
        <is>
          <t>Module burnt</t>
        </is>
      </c>
      <c r="K2112" s="8" t="inlineStr">
        <is>
          <t>Zura</t>
        </is>
      </c>
      <c r="L2112" s="39" t="inlineStr">
        <is>
          <t>Gujarat</t>
        </is>
      </c>
      <c r="M2112" s="2" t="inlineStr">
        <is>
          <t xml:space="preserve">damage </t>
        </is>
      </c>
      <c r="N2112" s="6" t="inlineStr">
        <is>
          <t>Module Breakage</t>
        </is>
      </c>
      <c r="O2112" s="32" t="n">
        <v>590</v>
      </c>
      <c r="P2112" s="2" t="inlineStr">
        <is>
          <t>NSMI24110794605</t>
        </is>
      </c>
      <c r="Q2112" s="29">
        <f>MID(P2112,5,2)</f>
        <v/>
      </c>
      <c r="R2112" s="14">
        <f>MID(P2112,7,2)</f>
        <v/>
      </c>
      <c r="S2112" s="6" t="inlineStr">
        <is>
          <t>G2G</t>
        </is>
      </c>
      <c r="T2112" s="1" t="inlineStr">
        <is>
          <t>P4 - PEIPL</t>
        </is>
      </c>
      <c r="U2112" s="2" t="inlineStr">
        <is>
          <t xml:space="preserve">physically damaged </t>
        </is>
      </c>
      <c r="V2112" s="1" t="inlineStr">
        <is>
          <t>Inspection</t>
        </is>
      </c>
      <c r="W2112" s="1" t="inlineStr">
        <is>
          <t>Rejected</t>
        </is>
      </c>
      <c r="X2112" s="5">
        <f>Z2112</f>
        <v/>
      </c>
      <c r="Y2112" s="1">
        <f>X2112-A2112</f>
        <v/>
      </c>
      <c r="Z2112" s="5" t="n">
        <v>46198</v>
      </c>
      <c r="AA2112" s="3" t="n"/>
      <c r="AB2112" s="3" t="n"/>
      <c r="AE2112" s="146">
        <f>IF(AND(F2112="Closed",X2112&gt;=DATE(2026,6,1),X2112&lt;=DATE(2026,6,30)),"Closed in June","other")</f>
        <v/>
      </c>
    </row>
    <row r="2113" hidden="1">
      <c r="A2113" s="49" t="n">
        <v>46177</v>
      </c>
      <c r="B2113" s="1" t="n">
        <v>2026</v>
      </c>
      <c r="C2113" s="8" t="inlineStr">
        <is>
          <t>Ayana</t>
        </is>
      </c>
      <c r="D2113" s="11" t="inlineStr">
        <is>
          <t>Utility and C&amp;I</t>
        </is>
      </c>
      <c r="E2113" s="1" t="n"/>
      <c r="F2113" s="1" t="inlineStr">
        <is>
          <t>Closed</t>
        </is>
      </c>
      <c r="G2113" s="11" t="inlineStr">
        <is>
          <t>Vasu.N</t>
        </is>
      </c>
      <c r="H2113" s="8" t="n">
        <v>9578099893</v>
      </c>
      <c r="I2113" s="10" t="inlineStr">
        <is>
          <t>PE04062601</t>
        </is>
      </c>
      <c r="J2113" s="28" t="inlineStr">
        <is>
          <t>Module burnt</t>
        </is>
      </c>
      <c r="K2113" s="8" t="inlineStr">
        <is>
          <t>Zura</t>
        </is>
      </c>
      <c r="L2113" s="39" t="inlineStr">
        <is>
          <t>Gujarat</t>
        </is>
      </c>
      <c r="M2113" s="2" t="inlineStr">
        <is>
          <t xml:space="preserve">damage </t>
        </is>
      </c>
      <c r="N2113" s="6" t="inlineStr">
        <is>
          <t>Module Breakage</t>
        </is>
      </c>
      <c r="O2113" s="32" t="n">
        <v>590</v>
      </c>
      <c r="P2113" s="2" t="inlineStr">
        <is>
          <t>NSMI24110797855</t>
        </is>
      </c>
      <c r="Q2113" s="29">
        <f>MID(P2113,5,2)</f>
        <v/>
      </c>
      <c r="R2113" s="14">
        <f>MID(P2113,7,2)</f>
        <v/>
      </c>
      <c r="S2113" s="6" t="inlineStr">
        <is>
          <t>G2G</t>
        </is>
      </c>
      <c r="T2113" s="1" t="inlineStr">
        <is>
          <t>P4 - PEIPL</t>
        </is>
      </c>
      <c r="U2113" s="2" t="inlineStr">
        <is>
          <t xml:space="preserve">physically damaged </t>
        </is>
      </c>
      <c r="V2113" s="1" t="inlineStr">
        <is>
          <t>Inspection</t>
        </is>
      </c>
      <c r="W2113" s="1" t="inlineStr">
        <is>
          <t>Rejected</t>
        </is>
      </c>
      <c r="X2113" s="5">
        <f>Z2113</f>
        <v/>
      </c>
      <c r="Y2113" s="1">
        <f>X2113-A2113</f>
        <v/>
      </c>
      <c r="Z2113" s="5" t="n">
        <v>46198</v>
      </c>
      <c r="AA2113" s="3" t="n"/>
      <c r="AB2113" s="3" t="n"/>
      <c r="AE2113" s="146">
        <f>IF(AND(F2113="Closed",X2113&gt;=DATE(2026,6,1),X2113&lt;=DATE(2026,6,30)),"Closed in June","other")</f>
        <v/>
      </c>
    </row>
    <row r="2114" hidden="1">
      <c r="A2114" s="49" t="n">
        <v>46177</v>
      </c>
      <c r="B2114" s="1" t="n">
        <v>2026</v>
      </c>
      <c r="C2114" s="8" t="inlineStr">
        <is>
          <t>Ayana</t>
        </is>
      </c>
      <c r="D2114" s="11" t="inlineStr">
        <is>
          <t>Utility and C&amp;I</t>
        </is>
      </c>
      <c r="E2114" s="1" t="n"/>
      <c r="F2114" s="1" t="inlineStr">
        <is>
          <t>Closed</t>
        </is>
      </c>
      <c r="G2114" s="11" t="inlineStr">
        <is>
          <t>Vasu.N</t>
        </is>
      </c>
      <c r="H2114" s="8" t="n">
        <v>9578099893</v>
      </c>
      <c r="I2114" s="10" t="inlineStr">
        <is>
          <t>PE04062601</t>
        </is>
      </c>
      <c r="J2114" s="28" t="inlineStr">
        <is>
          <t>Module burnt</t>
        </is>
      </c>
      <c r="K2114" s="8" t="inlineStr">
        <is>
          <t>Zura</t>
        </is>
      </c>
      <c r="L2114" s="39" t="inlineStr">
        <is>
          <t>Gujarat</t>
        </is>
      </c>
      <c r="M2114" s="2" t="inlineStr">
        <is>
          <t xml:space="preserve">damage </t>
        </is>
      </c>
      <c r="N2114" s="6" t="inlineStr">
        <is>
          <t>Module Breakage</t>
        </is>
      </c>
      <c r="O2114" s="32" t="n">
        <v>590</v>
      </c>
      <c r="P2114" s="2" t="inlineStr">
        <is>
          <t>NSMI24110797845</t>
        </is>
      </c>
      <c r="Q2114" s="29">
        <f>MID(P2114,5,2)</f>
        <v/>
      </c>
      <c r="R2114" s="14">
        <f>MID(P2114,7,2)</f>
        <v/>
      </c>
      <c r="S2114" s="6" t="inlineStr">
        <is>
          <t>G2G</t>
        </is>
      </c>
      <c r="T2114" s="1" t="inlineStr">
        <is>
          <t>P4 - PEIPL</t>
        </is>
      </c>
      <c r="U2114" s="2" t="inlineStr">
        <is>
          <t xml:space="preserve">physically damaged </t>
        </is>
      </c>
      <c r="V2114" s="1" t="inlineStr">
        <is>
          <t>Inspection</t>
        </is>
      </c>
      <c r="W2114" s="1" t="inlineStr">
        <is>
          <t>Rejected</t>
        </is>
      </c>
      <c r="X2114" s="5">
        <f>Z2114</f>
        <v/>
      </c>
      <c r="Y2114" s="1">
        <f>X2114-A2114</f>
        <v/>
      </c>
      <c r="Z2114" s="5" t="n">
        <v>46198</v>
      </c>
      <c r="AA2114" s="3" t="n"/>
      <c r="AB2114" s="3" t="n"/>
      <c r="AE2114" s="146">
        <f>IF(AND(F2114="Closed",X2114&gt;=DATE(2026,6,1),X2114&lt;=DATE(2026,6,30)),"Closed in June","other")</f>
        <v/>
      </c>
    </row>
    <row r="2115" hidden="1">
      <c r="A2115" s="49" t="n">
        <v>46177</v>
      </c>
      <c r="B2115" s="1" t="n">
        <v>2026</v>
      </c>
      <c r="C2115" s="8" t="inlineStr">
        <is>
          <t>Ayana</t>
        </is>
      </c>
      <c r="D2115" s="11" t="inlineStr">
        <is>
          <t>Utility and C&amp;I</t>
        </is>
      </c>
      <c r="E2115" s="1" t="n"/>
      <c r="F2115" s="1" t="inlineStr">
        <is>
          <t>Closed</t>
        </is>
      </c>
      <c r="G2115" s="11" t="inlineStr">
        <is>
          <t>Vasu.N</t>
        </is>
      </c>
      <c r="H2115" s="8" t="n">
        <v>9578099893</v>
      </c>
      <c r="I2115" s="10" t="inlineStr">
        <is>
          <t>PE04062601</t>
        </is>
      </c>
      <c r="J2115" s="28" t="inlineStr">
        <is>
          <t>Module burnt</t>
        </is>
      </c>
      <c r="K2115" s="8" t="inlineStr">
        <is>
          <t>Zura</t>
        </is>
      </c>
      <c r="L2115" s="39" t="inlineStr">
        <is>
          <t>Gujarat</t>
        </is>
      </c>
      <c r="M2115" s="2" t="inlineStr">
        <is>
          <t xml:space="preserve">damage </t>
        </is>
      </c>
      <c r="N2115" s="6" t="inlineStr">
        <is>
          <t>Module Breakage</t>
        </is>
      </c>
      <c r="O2115" s="32" t="n">
        <v>590</v>
      </c>
      <c r="P2115" s="2" t="inlineStr">
        <is>
          <t>NSMI24100659706</t>
        </is>
      </c>
      <c r="Q2115" s="29">
        <f>MID(P2115,5,2)</f>
        <v/>
      </c>
      <c r="R2115" s="14">
        <f>MID(P2115,7,2)</f>
        <v/>
      </c>
      <c r="S2115" s="6" t="inlineStr">
        <is>
          <t>G2G</t>
        </is>
      </c>
      <c r="T2115" s="1" t="inlineStr">
        <is>
          <t>P4 - PEIPL</t>
        </is>
      </c>
      <c r="U2115" s="2" t="inlineStr">
        <is>
          <t xml:space="preserve">physically damaged </t>
        </is>
      </c>
      <c r="V2115" s="1" t="inlineStr">
        <is>
          <t>Inspection</t>
        </is>
      </c>
      <c r="W2115" s="1" t="inlineStr">
        <is>
          <t>Rejected</t>
        </is>
      </c>
      <c r="X2115" s="5">
        <f>Z2115</f>
        <v/>
      </c>
      <c r="Y2115" s="1">
        <f>X2115-A2115</f>
        <v/>
      </c>
      <c r="Z2115" s="5" t="n">
        <v>46198</v>
      </c>
      <c r="AA2115" s="3" t="n"/>
      <c r="AB2115" s="3" t="n"/>
      <c r="AE2115" s="146">
        <f>IF(AND(F2115="Closed",X2115&gt;=DATE(2026,6,1),X2115&lt;=DATE(2026,6,30)),"Closed in June","other")</f>
        <v/>
      </c>
    </row>
    <row r="2116" hidden="1">
      <c r="A2116" s="49" t="n">
        <v>46177</v>
      </c>
      <c r="B2116" s="1" t="n">
        <v>2026</v>
      </c>
      <c r="C2116" s="8" t="inlineStr">
        <is>
          <t>Ayana</t>
        </is>
      </c>
      <c r="D2116" s="11" t="inlineStr">
        <is>
          <t>Utility and C&amp;I</t>
        </is>
      </c>
      <c r="E2116" s="1" t="n"/>
      <c r="F2116" s="1" t="inlineStr">
        <is>
          <t>Closed</t>
        </is>
      </c>
      <c r="G2116" s="11" t="inlineStr">
        <is>
          <t>Vasu.N</t>
        </is>
      </c>
      <c r="H2116" s="8" t="n">
        <v>9578099893</v>
      </c>
      <c r="I2116" s="10" t="inlineStr">
        <is>
          <t>PE04062601</t>
        </is>
      </c>
      <c r="J2116" s="28" t="inlineStr">
        <is>
          <t>Module burnt</t>
        </is>
      </c>
      <c r="K2116" s="8" t="inlineStr">
        <is>
          <t>Zura</t>
        </is>
      </c>
      <c r="L2116" s="39" t="inlineStr">
        <is>
          <t>Gujarat</t>
        </is>
      </c>
      <c r="M2116" s="2" t="inlineStr">
        <is>
          <t xml:space="preserve">damage </t>
        </is>
      </c>
      <c r="N2116" s="6" t="inlineStr">
        <is>
          <t>Module Breakage</t>
        </is>
      </c>
      <c r="O2116" s="32" t="n">
        <v>590</v>
      </c>
      <c r="P2116" s="2" t="inlineStr">
        <is>
          <t>NSMI24110799408</t>
        </is>
      </c>
      <c r="Q2116" s="29">
        <f>MID(P2116,5,2)</f>
        <v/>
      </c>
      <c r="R2116" s="14">
        <f>MID(P2116,7,2)</f>
        <v/>
      </c>
      <c r="S2116" s="6" t="inlineStr">
        <is>
          <t>G2G</t>
        </is>
      </c>
      <c r="T2116" s="1" t="inlineStr">
        <is>
          <t>P4 - PEIPL</t>
        </is>
      </c>
      <c r="U2116" s="2" t="inlineStr">
        <is>
          <t xml:space="preserve">physically damaged </t>
        </is>
      </c>
      <c r="V2116" s="1" t="inlineStr">
        <is>
          <t>Inspection</t>
        </is>
      </c>
      <c r="W2116" s="1" t="inlineStr">
        <is>
          <t>Rejected</t>
        </is>
      </c>
      <c r="X2116" s="5">
        <f>Z2116</f>
        <v/>
      </c>
      <c r="Y2116" s="1">
        <f>X2116-A2116</f>
        <v/>
      </c>
      <c r="Z2116" s="5" t="n">
        <v>46198</v>
      </c>
      <c r="AA2116" s="3" t="n"/>
      <c r="AB2116" s="3" t="n"/>
      <c r="AE2116" s="146">
        <f>IF(AND(F2116="Closed",X2116&gt;=DATE(2026,6,1),X2116&lt;=DATE(2026,6,30)),"Closed in June","other")</f>
        <v/>
      </c>
    </row>
    <row r="2117" hidden="1">
      <c r="A2117" s="49" t="n">
        <v>46177</v>
      </c>
      <c r="B2117" s="1" t="n">
        <v>2026</v>
      </c>
      <c r="C2117" s="8" t="inlineStr">
        <is>
          <t>Ayana</t>
        </is>
      </c>
      <c r="D2117" s="11" t="inlineStr">
        <is>
          <t>Utility and C&amp;I</t>
        </is>
      </c>
      <c r="E2117" s="1" t="n"/>
      <c r="F2117" s="1" t="inlineStr">
        <is>
          <t>Closed</t>
        </is>
      </c>
      <c r="G2117" s="11" t="inlineStr">
        <is>
          <t>Vasu.N</t>
        </is>
      </c>
      <c r="H2117" s="8" t="n">
        <v>9578099893</v>
      </c>
      <c r="I2117" s="10" t="inlineStr">
        <is>
          <t>PE04062601</t>
        </is>
      </c>
      <c r="J2117" s="28" t="inlineStr">
        <is>
          <t>Module burnt</t>
        </is>
      </c>
      <c r="K2117" s="8" t="inlineStr">
        <is>
          <t>Zura</t>
        </is>
      </c>
      <c r="L2117" s="39" t="inlineStr">
        <is>
          <t>Gujarat</t>
        </is>
      </c>
      <c r="M2117" s="2" t="inlineStr">
        <is>
          <t xml:space="preserve">broken &amp; burn </t>
        </is>
      </c>
      <c r="N2117" s="6" t="inlineStr">
        <is>
          <t>Module Breakage &amp; Burn</t>
        </is>
      </c>
      <c r="O2117" s="32" t="n">
        <v>590</v>
      </c>
      <c r="P2117" s="2" t="inlineStr">
        <is>
          <t>NSMI24100681622</t>
        </is>
      </c>
      <c r="Q2117" s="29">
        <f>MID(P2117,5,2)</f>
        <v/>
      </c>
      <c r="R2117" s="14">
        <f>MID(P2117,7,2)</f>
        <v/>
      </c>
      <c r="S2117" s="6" t="inlineStr">
        <is>
          <t>G2G</t>
        </is>
      </c>
      <c r="T2117" s="1" t="inlineStr">
        <is>
          <t>P4 - PEIPL</t>
        </is>
      </c>
      <c r="U2117" s="2" t="inlineStr">
        <is>
          <t xml:space="preserve">physically damaged </t>
        </is>
      </c>
      <c r="V2117" s="1" t="inlineStr">
        <is>
          <t>Inspection</t>
        </is>
      </c>
      <c r="W2117" s="1" t="inlineStr">
        <is>
          <t>Rejected</t>
        </is>
      </c>
      <c r="X2117" s="5">
        <f>Z2117</f>
        <v/>
      </c>
      <c r="Y2117" s="1">
        <f>X2117-A2117</f>
        <v/>
      </c>
      <c r="Z2117" s="5" t="n">
        <v>46198</v>
      </c>
      <c r="AA2117" s="3" t="n"/>
      <c r="AB2117" s="3" t="n"/>
      <c r="AE2117" s="146">
        <f>IF(AND(F2117="Closed",X2117&gt;=DATE(2026,6,1),X2117&lt;=DATE(2026,6,30)),"Closed in June","other")</f>
        <v/>
      </c>
    </row>
    <row r="2118" hidden="1">
      <c r="A2118" s="49" t="n">
        <v>46177</v>
      </c>
      <c r="B2118" s="1" t="n">
        <v>2026</v>
      </c>
      <c r="C2118" s="8" t="inlineStr">
        <is>
          <t>Ayana</t>
        </is>
      </c>
      <c r="D2118" s="11" t="inlineStr">
        <is>
          <t>Utility and C&amp;I</t>
        </is>
      </c>
      <c r="E2118" s="1" t="n"/>
      <c r="F2118" s="1" t="inlineStr">
        <is>
          <t>Closed</t>
        </is>
      </c>
      <c r="G2118" s="11" t="inlineStr">
        <is>
          <t>Vasu.N</t>
        </is>
      </c>
      <c r="H2118" s="8" t="n">
        <v>9578099893</v>
      </c>
      <c r="I2118" s="10" t="inlineStr">
        <is>
          <t>PE04062601</t>
        </is>
      </c>
      <c r="J2118" s="28" t="inlineStr">
        <is>
          <t>Module burnt</t>
        </is>
      </c>
      <c r="K2118" s="8" t="inlineStr">
        <is>
          <t>Zura</t>
        </is>
      </c>
      <c r="L2118" s="39" t="inlineStr">
        <is>
          <t>Gujarat</t>
        </is>
      </c>
      <c r="M2118" s="2" t="inlineStr">
        <is>
          <t xml:space="preserve">damage </t>
        </is>
      </c>
      <c r="N2118" s="6" t="inlineStr">
        <is>
          <t>Module Breakage</t>
        </is>
      </c>
      <c r="O2118" s="32" t="n">
        <v>590</v>
      </c>
      <c r="P2118" s="2" t="inlineStr">
        <is>
          <t>NSMI24090427845</t>
        </is>
      </c>
      <c r="Q2118" s="29">
        <f>MID(P2118,5,2)</f>
        <v/>
      </c>
      <c r="R2118" s="14">
        <f>MID(P2118,7,2)</f>
        <v/>
      </c>
      <c r="S2118" s="6" t="inlineStr">
        <is>
          <t>G2G</t>
        </is>
      </c>
      <c r="T2118" s="1" t="inlineStr">
        <is>
          <t>P4 - PEIPL</t>
        </is>
      </c>
      <c r="U2118" s="2" t="inlineStr">
        <is>
          <t xml:space="preserve">physically damaged </t>
        </is>
      </c>
      <c r="V2118" s="1" t="inlineStr">
        <is>
          <t>Inspection</t>
        </is>
      </c>
      <c r="W2118" s="1" t="inlineStr">
        <is>
          <t>Rejected</t>
        </is>
      </c>
      <c r="X2118" s="5">
        <f>Z2118</f>
        <v/>
      </c>
      <c r="Y2118" s="1">
        <f>X2118-A2118</f>
        <v/>
      </c>
      <c r="Z2118" s="5" t="n">
        <v>46198</v>
      </c>
      <c r="AA2118" s="3" t="n"/>
      <c r="AB2118" s="3" t="n"/>
      <c r="AE2118" s="146">
        <f>IF(AND(F2118="Closed",X2118&gt;=DATE(2026,6,1),X2118&lt;=DATE(2026,6,30)),"Closed in June","other")</f>
        <v/>
      </c>
    </row>
    <row r="2119" hidden="1">
      <c r="A2119" s="49" t="n">
        <v>46177</v>
      </c>
      <c r="B2119" s="1" t="n">
        <v>2026</v>
      </c>
      <c r="C2119" s="8" t="inlineStr">
        <is>
          <t>Ayana</t>
        </is>
      </c>
      <c r="D2119" s="11" t="inlineStr">
        <is>
          <t>Utility and C&amp;I</t>
        </is>
      </c>
      <c r="E2119" s="1" t="n"/>
      <c r="F2119" s="1" t="inlineStr">
        <is>
          <t>Closed</t>
        </is>
      </c>
      <c r="G2119" s="11" t="inlineStr">
        <is>
          <t>Vasu.N</t>
        </is>
      </c>
      <c r="H2119" s="8" t="n">
        <v>9578099893</v>
      </c>
      <c r="I2119" s="10" t="inlineStr">
        <is>
          <t>PE04062601</t>
        </is>
      </c>
      <c r="J2119" s="28" t="inlineStr">
        <is>
          <t>Module burnt</t>
        </is>
      </c>
      <c r="K2119" s="8" t="inlineStr">
        <is>
          <t>Zura</t>
        </is>
      </c>
      <c r="L2119" s="39" t="inlineStr">
        <is>
          <t>Gujarat</t>
        </is>
      </c>
      <c r="M2119" s="2" t="inlineStr">
        <is>
          <t xml:space="preserve">damage </t>
        </is>
      </c>
      <c r="N2119" s="6" t="inlineStr">
        <is>
          <t>Module Breakage</t>
        </is>
      </c>
      <c r="O2119" s="32" t="n">
        <v>590</v>
      </c>
      <c r="P2119" s="2" t="inlineStr">
        <is>
          <t>NSMI24100668739</t>
        </is>
      </c>
      <c r="Q2119" s="29">
        <f>MID(P2119,5,2)</f>
        <v/>
      </c>
      <c r="R2119" s="14">
        <f>MID(P2119,7,2)</f>
        <v/>
      </c>
      <c r="S2119" s="6" t="inlineStr">
        <is>
          <t>G2G</t>
        </is>
      </c>
      <c r="T2119" s="1" t="inlineStr">
        <is>
          <t>P4 - PEIPL</t>
        </is>
      </c>
      <c r="U2119" s="2" t="inlineStr">
        <is>
          <t xml:space="preserve">physically damaged </t>
        </is>
      </c>
      <c r="V2119" s="1" t="inlineStr">
        <is>
          <t>Inspection</t>
        </is>
      </c>
      <c r="W2119" s="1" t="inlineStr">
        <is>
          <t>Rejected</t>
        </is>
      </c>
      <c r="X2119" s="5">
        <f>Z2119</f>
        <v/>
      </c>
      <c r="Y2119" s="1">
        <f>X2119-A2119</f>
        <v/>
      </c>
      <c r="Z2119" s="5" t="n">
        <v>46198</v>
      </c>
      <c r="AA2119" s="3" t="n"/>
      <c r="AB2119" s="3" t="n"/>
      <c r="AE2119" s="146">
        <f>IF(AND(F2119="Closed",X2119&gt;=DATE(2026,6,1),X2119&lt;=DATE(2026,6,30)),"Closed in June","other")</f>
        <v/>
      </c>
    </row>
    <row r="2120" hidden="1">
      <c r="A2120" s="49" t="n">
        <v>46177</v>
      </c>
      <c r="B2120" s="1" t="n">
        <v>2026</v>
      </c>
      <c r="C2120" s="8" t="inlineStr">
        <is>
          <t>Ayana</t>
        </is>
      </c>
      <c r="D2120" s="11" t="inlineStr">
        <is>
          <t>Utility and C&amp;I</t>
        </is>
      </c>
      <c r="E2120" s="1" t="n"/>
      <c r="F2120" s="1" t="inlineStr">
        <is>
          <t>WIP</t>
        </is>
      </c>
      <c r="G2120" s="11" t="inlineStr">
        <is>
          <t>Vasu.N</t>
        </is>
      </c>
      <c r="H2120" s="8" t="n">
        <v>9578099893</v>
      </c>
      <c r="I2120" s="10" t="inlineStr">
        <is>
          <t>PE04062601</t>
        </is>
      </c>
      <c r="J2120" s="28" t="inlineStr">
        <is>
          <t>Module burnt</t>
        </is>
      </c>
      <c r="K2120" s="8" t="inlineStr">
        <is>
          <t>Zura</t>
        </is>
      </c>
      <c r="L2120" s="39" t="inlineStr">
        <is>
          <t>Gujarat</t>
        </is>
      </c>
      <c r="M2120" s="2" t="inlineStr">
        <is>
          <t xml:space="preserve">damage </t>
        </is>
      </c>
      <c r="N2120" s="6" t="inlineStr">
        <is>
          <t>Module Breakage</t>
        </is>
      </c>
      <c r="O2120" s="32" t="n">
        <v>590</v>
      </c>
      <c r="P2120" s="2" t="inlineStr">
        <is>
          <t>NSMI24100682397</t>
        </is>
      </c>
      <c r="Q2120" s="29">
        <f>MID(P2120,5,2)</f>
        <v/>
      </c>
      <c r="R2120" s="14">
        <f>MID(P2120,7,2)</f>
        <v/>
      </c>
      <c r="S2120" s="6" t="inlineStr">
        <is>
          <t>G2G</t>
        </is>
      </c>
      <c r="T2120" s="1" t="inlineStr">
        <is>
          <t>P4 - PEIPL</t>
        </is>
      </c>
      <c r="U2120" s="2" t="inlineStr">
        <is>
          <t>Frame Damaged</t>
        </is>
      </c>
      <c r="V2120" s="1" t="inlineStr">
        <is>
          <t>Inspection</t>
        </is>
      </c>
      <c r="W2120" s="1" t="inlineStr">
        <is>
          <t>WIP</t>
        </is>
      </c>
      <c r="X2120" s="12" t="n"/>
      <c r="Y2120" s="1">
        <f>IF(X2120="","",X2120-A2120)</f>
        <v/>
      </c>
      <c r="Z2120" s="5" t="n">
        <v>46198</v>
      </c>
      <c r="AA2120" s="3" t="n"/>
      <c r="AB2120" s="3" t="n"/>
      <c r="AE2120" s="146">
        <f>IF(AND(F2120="Closed",X2120&gt;=DATE(2026,6,1),X2120&lt;=DATE(2026,6,30)),"Closed in June","other")</f>
        <v/>
      </c>
    </row>
    <row r="2121" hidden="1">
      <c r="A2121" s="49" t="n">
        <v>46177</v>
      </c>
      <c r="B2121" s="1" t="n">
        <v>2026</v>
      </c>
      <c r="C2121" s="8" t="inlineStr">
        <is>
          <t>Ayana</t>
        </is>
      </c>
      <c r="D2121" s="11" t="inlineStr">
        <is>
          <t>Utility and C&amp;I</t>
        </is>
      </c>
      <c r="E2121" s="1" t="n"/>
      <c r="F2121" s="1" t="inlineStr">
        <is>
          <t>Closed</t>
        </is>
      </c>
      <c r="G2121" s="11" t="inlineStr">
        <is>
          <t>Vasu.N</t>
        </is>
      </c>
      <c r="H2121" s="8" t="n">
        <v>9578099893</v>
      </c>
      <c r="I2121" s="10" t="inlineStr">
        <is>
          <t>PE04062601</t>
        </is>
      </c>
      <c r="J2121" s="28" t="inlineStr">
        <is>
          <t>Module burnt</t>
        </is>
      </c>
      <c r="K2121" s="8" t="inlineStr">
        <is>
          <t>Zura</t>
        </is>
      </c>
      <c r="L2121" s="39" t="inlineStr">
        <is>
          <t>Gujarat</t>
        </is>
      </c>
      <c r="M2121" s="2" t="inlineStr">
        <is>
          <t xml:space="preserve">damage </t>
        </is>
      </c>
      <c r="N2121" s="6" t="inlineStr">
        <is>
          <t>Module Breakage</t>
        </is>
      </c>
      <c r="O2121" s="32" t="n">
        <v>590</v>
      </c>
      <c r="P2121" s="2" t="inlineStr">
        <is>
          <t>NSMI24110798942</t>
        </is>
      </c>
      <c r="Q2121" s="29">
        <f>MID(P2121,5,2)</f>
        <v/>
      </c>
      <c r="R2121" s="14">
        <f>MID(P2121,7,2)</f>
        <v/>
      </c>
      <c r="S2121" s="6" t="inlineStr">
        <is>
          <t>G2G</t>
        </is>
      </c>
      <c r="T2121" s="1" t="inlineStr">
        <is>
          <t>P4 - PEIPL</t>
        </is>
      </c>
      <c r="U2121" s="2" t="inlineStr">
        <is>
          <t xml:space="preserve">physically damaged </t>
        </is>
      </c>
      <c r="V2121" s="1" t="inlineStr">
        <is>
          <t>Inspection</t>
        </is>
      </c>
      <c r="W2121" s="1" t="inlineStr">
        <is>
          <t>Rejected</t>
        </is>
      </c>
      <c r="X2121" s="5">
        <f>Z2121</f>
        <v/>
      </c>
      <c r="Y2121" s="1">
        <f>X2121-A2121</f>
        <v/>
      </c>
      <c r="Z2121" s="5" t="n">
        <v>46198</v>
      </c>
      <c r="AA2121" s="3" t="n"/>
      <c r="AB2121" s="3" t="n"/>
      <c r="AE2121" s="146">
        <f>IF(AND(F2121="Closed",X2121&gt;=DATE(2026,6,1),X2121&lt;=DATE(2026,6,30)),"Closed in June","other")</f>
        <v/>
      </c>
    </row>
    <row r="2122" hidden="1">
      <c r="A2122" s="49" t="n">
        <v>46177</v>
      </c>
      <c r="B2122" s="1" t="n">
        <v>2026</v>
      </c>
      <c r="C2122" s="8" t="inlineStr">
        <is>
          <t>Ayana</t>
        </is>
      </c>
      <c r="D2122" s="11" t="inlineStr">
        <is>
          <t>Utility and C&amp;I</t>
        </is>
      </c>
      <c r="E2122" s="1" t="n"/>
      <c r="F2122" s="1" t="inlineStr">
        <is>
          <t>Closed</t>
        </is>
      </c>
      <c r="G2122" s="11" t="inlineStr">
        <is>
          <t>Vasu.N</t>
        </is>
      </c>
      <c r="H2122" s="8" t="n">
        <v>9578099893</v>
      </c>
      <c r="I2122" s="10" t="inlineStr">
        <is>
          <t>PE04062601</t>
        </is>
      </c>
      <c r="J2122" s="28" t="inlineStr">
        <is>
          <t>Module burnt</t>
        </is>
      </c>
      <c r="K2122" s="8" t="inlineStr">
        <is>
          <t>Zura</t>
        </is>
      </c>
      <c r="L2122" s="39" t="inlineStr">
        <is>
          <t>Gujarat</t>
        </is>
      </c>
      <c r="M2122" s="2" t="inlineStr">
        <is>
          <t xml:space="preserve">damage </t>
        </is>
      </c>
      <c r="N2122" s="6" t="inlineStr">
        <is>
          <t>Module Breakage</t>
        </is>
      </c>
      <c r="O2122" s="32" t="n">
        <v>590</v>
      </c>
      <c r="P2122" s="2" t="inlineStr">
        <is>
          <t>NSMI24110792464</t>
        </is>
      </c>
      <c r="Q2122" s="29">
        <f>MID(P2122,5,2)</f>
        <v/>
      </c>
      <c r="R2122" s="14">
        <f>MID(P2122,7,2)</f>
        <v/>
      </c>
      <c r="S2122" s="6" t="inlineStr">
        <is>
          <t>G2G</t>
        </is>
      </c>
      <c r="T2122" s="1" t="inlineStr">
        <is>
          <t>P4 - PEIPL</t>
        </is>
      </c>
      <c r="U2122" s="2" t="inlineStr">
        <is>
          <t xml:space="preserve">physically damaged </t>
        </is>
      </c>
      <c r="V2122" s="1" t="inlineStr">
        <is>
          <t>Inspection</t>
        </is>
      </c>
      <c r="W2122" s="1" t="inlineStr">
        <is>
          <t>Rejected</t>
        </is>
      </c>
      <c r="X2122" s="5">
        <f>Z2122</f>
        <v/>
      </c>
      <c r="Y2122" s="1">
        <f>X2122-A2122</f>
        <v/>
      </c>
      <c r="Z2122" s="5" t="n">
        <v>46198</v>
      </c>
      <c r="AA2122" s="3" t="n"/>
      <c r="AB2122" s="3" t="n"/>
      <c r="AE2122" s="146">
        <f>IF(AND(F2122="Closed",X2122&gt;=DATE(2026,6,1),X2122&lt;=DATE(2026,6,30)),"Closed in June","other")</f>
        <v/>
      </c>
    </row>
    <row r="2123" hidden="1">
      <c r="A2123" s="49" t="n">
        <v>46177</v>
      </c>
      <c r="B2123" s="1" t="n">
        <v>2026</v>
      </c>
      <c r="C2123" s="8" t="inlineStr">
        <is>
          <t>Ayana</t>
        </is>
      </c>
      <c r="D2123" s="11" t="inlineStr">
        <is>
          <t>Utility and C&amp;I</t>
        </is>
      </c>
      <c r="E2123" s="1" t="n"/>
      <c r="F2123" s="1" t="inlineStr">
        <is>
          <t>Closed</t>
        </is>
      </c>
      <c r="G2123" s="11" t="inlineStr">
        <is>
          <t>Vasu.N</t>
        </is>
      </c>
      <c r="H2123" s="8" t="n">
        <v>9578099893</v>
      </c>
      <c r="I2123" s="10" t="inlineStr">
        <is>
          <t>PE04062601</t>
        </is>
      </c>
      <c r="J2123" s="28" t="inlineStr">
        <is>
          <t>Module burnt</t>
        </is>
      </c>
      <c r="K2123" s="8" t="inlineStr">
        <is>
          <t>Zura</t>
        </is>
      </c>
      <c r="L2123" s="39" t="inlineStr">
        <is>
          <t>Gujarat</t>
        </is>
      </c>
      <c r="M2123" s="2" t="inlineStr">
        <is>
          <t xml:space="preserve">damage </t>
        </is>
      </c>
      <c r="N2123" s="6" t="inlineStr">
        <is>
          <t>Module Breakage</t>
        </is>
      </c>
      <c r="O2123" s="32" t="n">
        <v>590</v>
      </c>
      <c r="P2123" s="2" t="inlineStr">
        <is>
          <t>NSMI24110796885</t>
        </is>
      </c>
      <c r="Q2123" s="29">
        <f>MID(P2123,5,2)</f>
        <v/>
      </c>
      <c r="R2123" s="14">
        <f>MID(P2123,7,2)</f>
        <v/>
      </c>
      <c r="S2123" s="6" t="inlineStr">
        <is>
          <t>G2G</t>
        </is>
      </c>
      <c r="T2123" s="1" t="inlineStr">
        <is>
          <t>P4 - PEIPL</t>
        </is>
      </c>
      <c r="U2123" s="2" t="inlineStr">
        <is>
          <t xml:space="preserve">physically damaged </t>
        </is>
      </c>
      <c r="V2123" s="1" t="inlineStr">
        <is>
          <t>Inspection</t>
        </is>
      </c>
      <c r="W2123" s="1" t="inlineStr">
        <is>
          <t>Rejected</t>
        </is>
      </c>
      <c r="X2123" s="5">
        <f>Z2123</f>
        <v/>
      </c>
      <c r="Y2123" s="1">
        <f>X2123-A2123</f>
        <v/>
      </c>
      <c r="Z2123" s="5" t="n">
        <v>46198</v>
      </c>
      <c r="AA2123" s="3" t="n"/>
      <c r="AB2123" s="3" t="n"/>
      <c r="AE2123" s="146">
        <f>IF(AND(F2123="Closed",X2123&gt;=DATE(2026,6,1),X2123&lt;=DATE(2026,6,30)),"Closed in June","other")</f>
        <v/>
      </c>
    </row>
    <row r="2124" hidden="1">
      <c r="A2124" s="49" t="n">
        <v>46177</v>
      </c>
      <c r="B2124" s="1" t="n">
        <v>2026</v>
      </c>
      <c r="C2124" s="8" t="inlineStr">
        <is>
          <t>Ayana</t>
        </is>
      </c>
      <c r="D2124" s="11" t="inlineStr">
        <is>
          <t>Utility and C&amp;I</t>
        </is>
      </c>
      <c r="E2124" s="1" t="n"/>
      <c r="F2124" s="1" t="inlineStr">
        <is>
          <t>Closed</t>
        </is>
      </c>
      <c r="G2124" s="11" t="inlineStr">
        <is>
          <t>Vasu.N</t>
        </is>
      </c>
      <c r="H2124" s="8" t="n">
        <v>9578099893</v>
      </c>
      <c r="I2124" s="10" t="inlineStr">
        <is>
          <t>PE04062601</t>
        </is>
      </c>
      <c r="J2124" s="28" t="inlineStr">
        <is>
          <t>Module burnt</t>
        </is>
      </c>
      <c r="K2124" s="8" t="inlineStr">
        <is>
          <t>Zura</t>
        </is>
      </c>
      <c r="L2124" s="39" t="inlineStr">
        <is>
          <t>Gujarat</t>
        </is>
      </c>
      <c r="M2124" s="2" t="inlineStr">
        <is>
          <t xml:space="preserve">broken &amp; burn </t>
        </is>
      </c>
      <c r="N2124" s="6" t="inlineStr">
        <is>
          <t>Module Breakage &amp; Burn</t>
        </is>
      </c>
      <c r="O2124" s="32" t="n">
        <v>590</v>
      </c>
      <c r="P2124" s="2" t="inlineStr">
        <is>
          <t>NSMI24100643166</t>
        </is>
      </c>
      <c r="Q2124" s="29">
        <f>MID(P2124,5,2)</f>
        <v/>
      </c>
      <c r="R2124" s="14">
        <f>MID(P2124,7,2)</f>
        <v/>
      </c>
      <c r="S2124" s="6" t="inlineStr">
        <is>
          <t>G2G</t>
        </is>
      </c>
      <c r="T2124" s="1" t="inlineStr">
        <is>
          <t>P4 - PEIPL</t>
        </is>
      </c>
      <c r="U2124" s="2" t="inlineStr">
        <is>
          <t xml:space="preserve">physically damaged </t>
        </is>
      </c>
      <c r="V2124" s="1" t="inlineStr">
        <is>
          <t>Inspection</t>
        </is>
      </c>
      <c r="W2124" s="1" t="inlineStr">
        <is>
          <t>Rejected</t>
        </is>
      </c>
      <c r="X2124" s="5">
        <f>Z2124</f>
        <v/>
      </c>
      <c r="Y2124" s="1">
        <f>X2124-A2124</f>
        <v/>
      </c>
      <c r="Z2124" s="5" t="n">
        <v>46198</v>
      </c>
      <c r="AA2124" s="3" t="n"/>
      <c r="AB2124" s="3" t="n"/>
      <c r="AE2124" s="146">
        <f>IF(AND(F2124="Closed",X2124&gt;=DATE(2026,6,1),X2124&lt;=DATE(2026,6,30)),"Closed in June","other")</f>
        <v/>
      </c>
    </row>
    <row r="2125" hidden="1">
      <c r="A2125" s="49" t="n">
        <v>46177</v>
      </c>
      <c r="B2125" s="1" t="n">
        <v>2026</v>
      </c>
      <c r="C2125" s="8" t="inlineStr">
        <is>
          <t>Ayana</t>
        </is>
      </c>
      <c r="D2125" s="11" t="inlineStr">
        <is>
          <t>Utility and C&amp;I</t>
        </is>
      </c>
      <c r="E2125" s="1" t="n"/>
      <c r="F2125" s="1" t="inlineStr">
        <is>
          <t>Closed</t>
        </is>
      </c>
      <c r="G2125" s="11" t="inlineStr">
        <is>
          <t>Vasu.N</t>
        </is>
      </c>
      <c r="H2125" s="8" t="n">
        <v>9578099893</v>
      </c>
      <c r="I2125" s="10" t="inlineStr">
        <is>
          <t>PE04062601</t>
        </is>
      </c>
      <c r="J2125" s="28" t="inlineStr">
        <is>
          <t>Module burnt</t>
        </is>
      </c>
      <c r="K2125" s="8" t="inlineStr">
        <is>
          <t>Zura</t>
        </is>
      </c>
      <c r="L2125" s="39" t="inlineStr">
        <is>
          <t>Gujarat</t>
        </is>
      </c>
      <c r="M2125" s="2" t="inlineStr">
        <is>
          <t xml:space="preserve">broken &amp; burn </t>
        </is>
      </c>
      <c r="N2125" s="6" t="inlineStr">
        <is>
          <t>Module Breakage &amp; Burn</t>
        </is>
      </c>
      <c r="O2125" s="32" t="n">
        <v>590</v>
      </c>
      <c r="P2125" s="2" t="inlineStr">
        <is>
          <t>NSMI24110798914</t>
        </is>
      </c>
      <c r="Q2125" s="29">
        <f>MID(P2125,5,2)</f>
        <v/>
      </c>
      <c r="R2125" s="14">
        <f>MID(P2125,7,2)</f>
        <v/>
      </c>
      <c r="S2125" s="6" t="inlineStr">
        <is>
          <t>G2G</t>
        </is>
      </c>
      <c r="T2125" s="1" t="inlineStr">
        <is>
          <t>P4 - PEIPL</t>
        </is>
      </c>
      <c r="U2125" s="2" t="inlineStr">
        <is>
          <t xml:space="preserve">physically damaged </t>
        </is>
      </c>
      <c r="V2125" s="1" t="inlineStr">
        <is>
          <t>Inspection</t>
        </is>
      </c>
      <c r="W2125" s="1" t="inlineStr">
        <is>
          <t>Rejected</t>
        </is>
      </c>
      <c r="X2125" s="5">
        <f>Z2125</f>
        <v/>
      </c>
      <c r="Y2125" s="1">
        <f>X2125-A2125</f>
        <v/>
      </c>
      <c r="Z2125" s="5" t="n">
        <v>46198</v>
      </c>
      <c r="AA2125" s="3" t="n"/>
      <c r="AB2125" s="3" t="n"/>
      <c r="AE2125" s="146">
        <f>IF(AND(F2125="Closed",X2125&gt;=DATE(2026,6,1),X2125&lt;=DATE(2026,6,30)),"Closed in June","other")</f>
        <v/>
      </c>
    </row>
    <row r="2126" hidden="1">
      <c r="A2126" s="49" t="n">
        <v>46177</v>
      </c>
      <c r="B2126" s="1" t="n">
        <v>2026</v>
      </c>
      <c r="C2126" s="8" t="inlineStr">
        <is>
          <t>Ayana</t>
        </is>
      </c>
      <c r="D2126" s="11" t="inlineStr">
        <is>
          <t>Utility and C&amp;I</t>
        </is>
      </c>
      <c r="E2126" s="1" t="n"/>
      <c r="F2126" s="1" t="inlineStr">
        <is>
          <t>Closed</t>
        </is>
      </c>
      <c r="G2126" s="11" t="inlineStr">
        <is>
          <t>Vasu.N</t>
        </is>
      </c>
      <c r="H2126" s="8" t="n">
        <v>9578099893</v>
      </c>
      <c r="I2126" s="10" t="inlineStr">
        <is>
          <t>PE04062601</t>
        </is>
      </c>
      <c r="J2126" s="28" t="inlineStr">
        <is>
          <t>Module burnt</t>
        </is>
      </c>
      <c r="K2126" s="8" t="inlineStr">
        <is>
          <t>Zura</t>
        </is>
      </c>
      <c r="L2126" s="39" t="inlineStr">
        <is>
          <t>Gujarat</t>
        </is>
      </c>
      <c r="M2126" s="2" t="inlineStr">
        <is>
          <t xml:space="preserve">broken &amp; burn </t>
        </is>
      </c>
      <c r="N2126" s="6" t="inlineStr">
        <is>
          <t>Module Breakage &amp; Burn</t>
        </is>
      </c>
      <c r="O2126" s="32" t="n">
        <v>590</v>
      </c>
      <c r="P2126" s="2" t="inlineStr">
        <is>
          <t>NSMI24100683409</t>
        </is>
      </c>
      <c r="Q2126" s="29">
        <f>MID(P2126,5,2)</f>
        <v/>
      </c>
      <c r="R2126" s="14">
        <f>MID(P2126,7,2)</f>
        <v/>
      </c>
      <c r="S2126" s="6" t="inlineStr">
        <is>
          <t>G2G</t>
        </is>
      </c>
      <c r="T2126" s="1" t="inlineStr">
        <is>
          <t>P4 - PEIPL</t>
        </is>
      </c>
      <c r="U2126" s="2" t="inlineStr">
        <is>
          <t xml:space="preserve">physically damaged </t>
        </is>
      </c>
      <c r="V2126" s="1" t="inlineStr">
        <is>
          <t>Inspection</t>
        </is>
      </c>
      <c r="W2126" s="1" t="inlineStr">
        <is>
          <t>Rejected</t>
        </is>
      </c>
      <c r="X2126" s="5">
        <f>Z2126</f>
        <v/>
      </c>
      <c r="Y2126" s="1">
        <f>X2126-A2126</f>
        <v/>
      </c>
      <c r="Z2126" s="5" t="n">
        <v>46198</v>
      </c>
      <c r="AA2126" s="3" t="n"/>
      <c r="AB2126" s="3" t="n"/>
      <c r="AE2126" s="146">
        <f>IF(AND(F2126="Closed",X2126&gt;=DATE(2026,6,1),X2126&lt;=DATE(2026,6,30)),"Closed in June","other")</f>
        <v/>
      </c>
    </row>
    <row r="2127" hidden="1">
      <c r="A2127" s="49" t="n">
        <v>46177</v>
      </c>
      <c r="B2127" s="1" t="n">
        <v>2026</v>
      </c>
      <c r="C2127" s="8" t="inlineStr">
        <is>
          <t>Ayana</t>
        </is>
      </c>
      <c r="D2127" s="11" t="inlineStr">
        <is>
          <t>Utility and C&amp;I</t>
        </is>
      </c>
      <c r="E2127" s="1" t="n"/>
      <c r="F2127" s="1" t="inlineStr">
        <is>
          <t>Closed</t>
        </is>
      </c>
      <c r="G2127" s="11" t="inlineStr">
        <is>
          <t>Vasu.N</t>
        </is>
      </c>
      <c r="H2127" s="8" t="n">
        <v>9578099893</v>
      </c>
      <c r="I2127" s="10" t="inlineStr">
        <is>
          <t>PE04062601</t>
        </is>
      </c>
      <c r="J2127" s="28" t="inlineStr">
        <is>
          <t>Module burnt</t>
        </is>
      </c>
      <c r="K2127" s="8" t="inlineStr">
        <is>
          <t>Zura</t>
        </is>
      </c>
      <c r="L2127" s="39" t="inlineStr">
        <is>
          <t>Gujarat</t>
        </is>
      </c>
      <c r="M2127" s="2" t="inlineStr">
        <is>
          <t xml:space="preserve">broken &amp; burn </t>
        </is>
      </c>
      <c r="N2127" s="6" t="inlineStr">
        <is>
          <t>Module Breakage &amp; Burn</t>
        </is>
      </c>
      <c r="O2127" s="32" t="n">
        <v>590</v>
      </c>
      <c r="P2127" s="2" t="inlineStr">
        <is>
          <t>NSMI24100682497</t>
        </is>
      </c>
      <c r="Q2127" s="29">
        <f>MID(P2127,5,2)</f>
        <v/>
      </c>
      <c r="R2127" s="14">
        <f>MID(P2127,7,2)</f>
        <v/>
      </c>
      <c r="S2127" s="6" t="inlineStr">
        <is>
          <t>G2G</t>
        </is>
      </c>
      <c r="T2127" s="1" t="inlineStr">
        <is>
          <t>P4 - PEIPL</t>
        </is>
      </c>
      <c r="U2127" s="2" t="inlineStr">
        <is>
          <t xml:space="preserve">physically damaged </t>
        </is>
      </c>
      <c r="V2127" s="1" t="inlineStr">
        <is>
          <t>Inspection</t>
        </is>
      </c>
      <c r="W2127" s="1" t="inlineStr">
        <is>
          <t>Rejected</t>
        </is>
      </c>
      <c r="X2127" s="5">
        <f>Z2127</f>
        <v/>
      </c>
      <c r="Y2127" s="1">
        <f>X2127-A2127</f>
        <v/>
      </c>
      <c r="Z2127" s="5" t="n">
        <v>46198</v>
      </c>
      <c r="AA2127" s="3" t="n"/>
      <c r="AB2127" s="3" t="n"/>
      <c r="AE2127" s="146">
        <f>IF(AND(F2127="Closed",X2127&gt;=DATE(2026,6,1),X2127&lt;=DATE(2026,6,30)),"Closed in June","other")</f>
        <v/>
      </c>
    </row>
    <row r="2128" hidden="1">
      <c r="A2128" s="49" t="n">
        <v>46177</v>
      </c>
      <c r="B2128" s="1" t="n">
        <v>2026</v>
      </c>
      <c r="C2128" s="8" t="inlineStr">
        <is>
          <t>Ayana</t>
        </is>
      </c>
      <c r="D2128" s="11" t="inlineStr">
        <is>
          <t>Utility and C&amp;I</t>
        </is>
      </c>
      <c r="E2128" s="1" t="n"/>
      <c r="F2128" s="1" t="inlineStr">
        <is>
          <t>Closed</t>
        </is>
      </c>
      <c r="G2128" s="11" t="inlineStr">
        <is>
          <t>Vasu.N</t>
        </is>
      </c>
      <c r="H2128" s="8" t="n">
        <v>9578099893</v>
      </c>
      <c r="I2128" s="10" t="inlineStr">
        <is>
          <t>PE04062601</t>
        </is>
      </c>
      <c r="J2128" s="28" t="inlineStr">
        <is>
          <t>Module burnt</t>
        </is>
      </c>
      <c r="K2128" s="8" t="inlineStr">
        <is>
          <t>Zura</t>
        </is>
      </c>
      <c r="L2128" s="39" t="inlineStr">
        <is>
          <t>Gujarat</t>
        </is>
      </c>
      <c r="M2128" s="2" t="inlineStr">
        <is>
          <t xml:space="preserve">damage </t>
        </is>
      </c>
      <c r="N2128" s="6" t="inlineStr">
        <is>
          <t>Module Breakage</t>
        </is>
      </c>
      <c r="O2128" s="32" t="n">
        <v>590</v>
      </c>
      <c r="P2128" s="2" t="inlineStr">
        <is>
          <t>NSMI24100683414</t>
        </is>
      </c>
      <c r="Q2128" s="29">
        <f>MID(P2128,5,2)</f>
        <v/>
      </c>
      <c r="R2128" s="14">
        <f>MID(P2128,7,2)</f>
        <v/>
      </c>
      <c r="S2128" s="6" t="inlineStr">
        <is>
          <t>G2G</t>
        </is>
      </c>
      <c r="T2128" s="1" t="inlineStr">
        <is>
          <t>P4 - PEIPL</t>
        </is>
      </c>
      <c r="U2128" s="2" t="inlineStr">
        <is>
          <t xml:space="preserve">physically damaged </t>
        </is>
      </c>
      <c r="V2128" s="1" t="inlineStr">
        <is>
          <t>Inspection</t>
        </is>
      </c>
      <c r="W2128" s="1" t="inlineStr">
        <is>
          <t>Rejected</t>
        </is>
      </c>
      <c r="X2128" s="5">
        <f>Z2128</f>
        <v/>
      </c>
      <c r="Y2128" s="1">
        <f>X2128-A2128</f>
        <v/>
      </c>
      <c r="Z2128" s="5" t="n">
        <v>46198</v>
      </c>
      <c r="AA2128" s="3" t="n"/>
      <c r="AB2128" s="3" t="n"/>
      <c r="AE2128" s="146">
        <f>IF(AND(F2128="Closed",X2128&gt;=DATE(2026,6,1),X2128&lt;=DATE(2026,6,30)),"Closed in June","other")</f>
        <v/>
      </c>
    </row>
    <row r="2129" hidden="1">
      <c r="A2129" s="49" t="n">
        <v>46177</v>
      </c>
      <c r="B2129" s="1" t="n">
        <v>2026</v>
      </c>
      <c r="C2129" s="8" t="inlineStr">
        <is>
          <t>Ayana</t>
        </is>
      </c>
      <c r="D2129" s="11" t="inlineStr">
        <is>
          <t>Utility and C&amp;I</t>
        </is>
      </c>
      <c r="E2129" s="1" t="n"/>
      <c r="F2129" s="1" t="inlineStr">
        <is>
          <t>Closed</t>
        </is>
      </c>
      <c r="G2129" s="11" t="inlineStr">
        <is>
          <t>Vasu.N</t>
        </is>
      </c>
      <c r="H2129" s="8" t="n">
        <v>9578099893</v>
      </c>
      <c r="I2129" s="10" t="inlineStr">
        <is>
          <t>PE04062601</t>
        </is>
      </c>
      <c r="J2129" s="28" t="inlineStr">
        <is>
          <t>Module burnt</t>
        </is>
      </c>
      <c r="K2129" s="8" t="inlineStr">
        <is>
          <t>Zura</t>
        </is>
      </c>
      <c r="L2129" s="39" t="inlineStr">
        <is>
          <t>Gujarat</t>
        </is>
      </c>
      <c r="M2129" s="2" t="inlineStr">
        <is>
          <t xml:space="preserve">damage </t>
        </is>
      </c>
      <c r="N2129" s="6" t="inlineStr">
        <is>
          <t>Module Breakage</t>
        </is>
      </c>
      <c r="O2129" s="32" t="n">
        <v>590</v>
      </c>
      <c r="P2129" s="2" t="inlineStr">
        <is>
          <t>NSMI24100594927</t>
        </is>
      </c>
      <c r="Q2129" s="29">
        <f>MID(P2129,5,2)</f>
        <v/>
      </c>
      <c r="R2129" s="14">
        <f>MID(P2129,7,2)</f>
        <v/>
      </c>
      <c r="S2129" s="6" t="inlineStr">
        <is>
          <t>G2G</t>
        </is>
      </c>
      <c r="T2129" s="1" t="inlineStr">
        <is>
          <t>P4 - PEIPL</t>
        </is>
      </c>
      <c r="U2129" s="2" t="inlineStr">
        <is>
          <t xml:space="preserve">physically damaged </t>
        </is>
      </c>
      <c r="V2129" s="1" t="inlineStr">
        <is>
          <t>Inspection</t>
        </is>
      </c>
      <c r="W2129" s="1" t="inlineStr">
        <is>
          <t>Rejected</t>
        </is>
      </c>
      <c r="X2129" s="5">
        <f>Z2129</f>
        <v/>
      </c>
      <c r="Y2129" s="1">
        <f>X2129-A2129</f>
        <v/>
      </c>
      <c r="Z2129" s="5" t="n">
        <v>46198</v>
      </c>
      <c r="AA2129" s="3" t="n"/>
      <c r="AB2129" s="3" t="n"/>
      <c r="AE2129" s="146">
        <f>IF(AND(F2129="Closed",X2129&gt;=DATE(2026,6,1),X2129&lt;=DATE(2026,6,30)),"Closed in June","other")</f>
        <v/>
      </c>
    </row>
    <row r="2130" hidden="1">
      <c r="A2130" s="49" t="n">
        <v>46177</v>
      </c>
      <c r="B2130" s="1" t="n">
        <v>2026</v>
      </c>
      <c r="C2130" s="8" t="inlineStr">
        <is>
          <t>Ayana</t>
        </is>
      </c>
      <c r="D2130" s="11" t="inlineStr">
        <is>
          <t>Utility and C&amp;I</t>
        </is>
      </c>
      <c r="E2130" s="1" t="n"/>
      <c r="F2130" s="1" t="inlineStr">
        <is>
          <t>Closed</t>
        </is>
      </c>
      <c r="G2130" s="11" t="inlineStr">
        <is>
          <t>Vasu.N</t>
        </is>
      </c>
      <c r="H2130" s="8" t="n">
        <v>9578099893</v>
      </c>
      <c r="I2130" s="10" t="inlineStr">
        <is>
          <t>PE04062601</t>
        </is>
      </c>
      <c r="J2130" s="28" t="inlineStr">
        <is>
          <t>Module burnt</t>
        </is>
      </c>
      <c r="K2130" s="8" t="inlineStr">
        <is>
          <t>Zura</t>
        </is>
      </c>
      <c r="L2130" s="39" t="inlineStr">
        <is>
          <t>Gujarat</t>
        </is>
      </c>
      <c r="M2130" s="2" t="inlineStr">
        <is>
          <t xml:space="preserve">damage </t>
        </is>
      </c>
      <c r="N2130" s="6" t="inlineStr">
        <is>
          <t>Module Breakage</t>
        </is>
      </c>
      <c r="O2130" s="32" t="n">
        <v>590</v>
      </c>
      <c r="P2130" s="2" t="inlineStr">
        <is>
          <t>NSMI24110813731</t>
        </is>
      </c>
      <c r="Q2130" s="29">
        <f>MID(P2130,5,2)</f>
        <v/>
      </c>
      <c r="R2130" s="14">
        <f>MID(P2130,7,2)</f>
        <v/>
      </c>
      <c r="S2130" s="6" t="inlineStr">
        <is>
          <t>G2G</t>
        </is>
      </c>
      <c r="T2130" s="1" t="inlineStr">
        <is>
          <t>P4 - PEIPL</t>
        </is>
      </c>
      <c r="U2130" s="2" t="inlineStr">
        <is>
          <t xml:space="preserve">physically damaged </t>
        </is>
      </c>
      <c r="V2130" s="1" t="inlineStr">
        <is>
          <t>Inspection</t>
        </is>
      </c>
      <c r="W2130" s="1" t="inlineStr">
        <is>
          <t>Rejected</t>
        </is>
      </c>
      <c r="X2130" s="5">
        <f>Z2130</f>
        <v/>
      </c>
      <c r="Y2130" s="1">
        <f>X2130-A2130</f>
        <v/>
      </c>
      <c r="Z2130" s="5" t="n">
        <v>46198</v>
      </c>
      <c r="AA2130" s="3" t="n"/>
      <c r="AB2130" s="3" t="n"/>
      <c r="AE2130" s="146">
        <f>IF(AND(F2130="Closed",X2130&gt;=DATE(2026,6,1),X2130&lt;=DATE(2026,6,30)),"Closed in June","other")</f>
        <v/>
      </c>
    </row>
    <row r="2131" hidden="1">
      <c r="A2131" s="49" t="n">
        <v>46177</v>
      </c>
      <c r="B2131" s="1" t="n">
        <v>2026</v>
      </c>
      <c r="C2131" s="8" t="inlineStr">
        <is>
          <t>Ayana</t>
        </is>
      </c>
      <c r="D2131" s="11" t="inlineStr">
        <is>
          <t>Utility and C&amp;I</t>
        </is>
      </c>
      <c r="E2131" s="1" t="n"/>
      <c r="F2131" s="1" t="inlineStr">
        <is>
          <t>Closed</t>
        </is>
      </c>
      <c r="G2131" s="11" t="inlineStr">
        <is>
          <t>Vasu.N</t>
        </is>
      </c>
      <c r="H2131" s="8" t="n">
        <v>9578099893</v>
      </c>
      <c r="I2131" s="10" t="inlineStr">
        <is>
          <t>PE04062601</t>
        </is>
      </c>
      <c r="J2131" s="28" t="inlineStr">
        <is>
          <t>Module burnt</t>
        </is>
      </c>
      <c r="K2131" s="8" t="inlineStr">
        <is>
          <t>Zura</t>
        </is>
      </c>
      <c r="L2131" s="39" t="inlineStr">
        <is>
          <t>Gujarat</t>
        </is>
      </c>
      <c r="M2131" s="2" t="inlineStr">
        <is>
          <t xml:space="preserve">damage </t>
        </is>
      </c>
      <c r="N2131" s="6" t="inlineStr">
        <is>
          <t>Module Breakage</t>
        </is>
      </c>
      <c r="O2131" s="32" t="n">
        <v>590</v>
      </c>
      <c r="P2131" s="2" t="inlineStr">
        <is>
          <t>NSMI24110808207</t>
        </is>
      </c>
      <c r="Q2131" s="29">
        <f>MID(P2131,5,2)</f>
        <v/>
      </c>
      <c r="R2131" s="14">
        <f>MID(P2131,7,2)</f>
        <v/>
      </c>
      <c r="S2131" s="6" t="inlineStr">
        <is>
          <t>G2G</t>
        </is>
      </c>
      <c r="T2131" s="1" t="inlineStr">
        <is>
          <t>P4 - PEIPL</t>
        </is>
      </c>
      <c r="U2131" s="2" t="inlineStr">
        <is>
          <t xml:space="preserve">physically damaged </t>
        </is>
      </c>
      <c r="V2131" s="1" t="inlineStr">
        <is>
          <t>Inspection</t>
        </is>
      </c>
      <c r="W2131" s="1" t="inlineStr">
        <is>
          <t>Rejected</t>
        </is>
      </c>
      <c r="X2131" s="5">
        <f>Z2131</f>
        <v/>
      </c>
      <c r="Y2131" s="1">
        <f>X2131-A2131</f>
        <v/>
      </c>
      <c r="Z2131" s="5" t="n">
        <v>46198</v>
      </c>
      <c r="AA2131" s="3" t="n"/>
      <c r="AB2131" s="3" t="n"/>
      <c r="AE2131" s="146">
        <f>IF(AND(F2131="Closed",X2131&gt;=DATE(2026,6,1),X2131&lt;=DATE(2026,6,30)),"Closed in June","other")</f>
        <v/>
      </c>
    </row>
    <row r="2132" hidden="1">
      <c r="A2132" s="49" t="n">
        <v>46177</v>
      </c>
      <c r="B2132" s="1" t="n">
        <v>2026</v>
      </c>
      <c r="C2132" s="8" t="inlineStr">
        <is>
          <t>Ayana</t>
        </is>
      </c>
      <c r="D2132" s="11" t="inlineStr">
        <is>
          <t>Utility and C&amp;I</t>
        </is>
      </c>
      <c r="E2132" s="1" t="n"/>
      <c r="F2132" s="1" t="inlineStr">
        <is>
          <t>Closed</t>
        </is>
      </c>
      <c r="G2132" s="11" t="inlineStr">
        <is>
          <t>Vasu.N</t>
        </is>
      </c>
      <c r="H2132" s="8" t="n">
        <v>9578099893</v>
      </c>
      <c r="I2132" s="10" t="inlineStr">
        <is>
          <t>PE04062601</t>
        </is>
      </c>
      <c r="J2132" s="28" t="inlineStr">
        <is>
          <t>Module burnt</t>
        </is>
      </c>
      <c r="K2132" s="8" t="inlineStr">
        <is>
          <t>Zura</t>
        </is>
      </c>
      <c r="L2132" s="39" t="inlineStr">
        <is>
          <t>Gujarat</t>
        </is>
      </c>
      <c r="M2132" s="2" t="inlineStr">
        <is>
          <t xml:space="preserve">broken &amp; burn </t>
        </is>
      </c>
      <c r="N2132" s="6" t="inlineStr">
        <is>
          <t>Module Breakage &amp; Burn</t>
        </is>
      </c>
      <c r="O2132" s="32" t="n">
        <v>590</v>
      </c>
      <c r="P2132" s="2" t="inlineStr">
        <is>
          <t>NSMI24110794517</t>
        </is>
      </c>
      <c r="Q2132" s="29">
        <f>MID(P2132,5,2)</f>
        <v/>
      </c>
      <c r="R2132" s="14">
        <f>MID(P2132,7,2)</f>
        <v/>
      </c>
      <c r="S2132" s="6" t="inlineStr">
        <is>
          <t>G2G</t>
        </is>
      </c>
      <c r="T2132" s="1" t="inlineStr">
        <is>
          <t>P4 - PEIPL</t>
        </is>
      </c>
      <c r="U2132" s="2" t="inlineStr">
        <is>
          <t xml:space="preserve">physically damaged </t>
        </is>
      </c>
      <c r="V2132" s="1" t="inlineStr">
        <is>
          <t>Inspection</t>
        </is>
      </c>
      <c r="W2132" s="1" t="inlineStr">
        <is>
          <t>Rejected</t>
        </is>
      </c>
      <c r="X2132" s="5">
        <f>Z2132</f>
        <v/>
      </c>
      <c r="Y2132" s="1">
        <f>X2132-A2132</f>
        <v/>
      </c>
      <c r="Z2132" s="5" t="n">
        <v>46198</v>
      </c>
      <c r="AA2132" s="3" t="n"/>
      <c r="AB2132" s="3" t="n"/>
      <c r="AE2132" s="146">
        <f>IF(AND(F2132="Closed",X2132&gt;=DATE(2026,6,1),X2132&lt;=DATE(2026,6,30)),"Closed in June","other")</f>
        <v/>
      </c>
    </row>
    <row r="2133" hidden="1">
      <c r="A2133" s="49" t="n">
        <v>46177</v>
      </c>
      <c r="B2133" s="1" t="n">
        <v>2026</v>
      </c>
      <c r="C2133" s="8" t="inlineStr">
        <is>
          <t>Ayana</t>
        </is>
      </c>
      <c r="D2133" s="11" t="inlineStr">
        <is>
          <t>Utility and C&amp;I</t>
        </is>
      </c>
      <c r="E2133" s="1" t="n"/>
      <c r="F2133" s="1" t="inlineStr">
        <is>
          <t>Closed</t>
        </is>
      </c>
      <c r="G2133" s="11" t="inlineStr">
        <is>
          <t>Vasu.N</t>
        </is>
      </c>
      <c r="H2133" s="8" t="n">
        <v>9578099893</v>
      </c>
      <c r="I2133" s="10" t="inlineStr">
        <is>
          <t>PE04062601</t>
        </is>
      </c>
      <c r="J2133" s="28" t="inlineStr">
        <is>
          <t>Module burnt</t>
        </is>
      </c>
      <c r="K2133" s="8" t="inlineStr">
        <is>
          <t>Zura</t>
        </is>
      </c>
      <c r="L2133" s="39" t="inlineStr">
        <is>
          <t>Gujarat</t>
        </is>
      </c>
      <c r="M2133" s="2" t="inlineStr">
        <is>
          <t xml:space="preserve">damage </t>
        </is>
      </c>
      <c r="N2133" s="6" t="inlineStr">
        <is>
          <t>Module Breakage</t>
        </is>
      </c>
      <c r="O2133" s="32" t="n">
        <v>590</v>
      </c>
      <c r="P2133" s="2" t="inlineStr">
        <is>
          <t>NSMI24110795689</t>
        </is>
      </c>
      <c r="Q2133" s="29">
        <f>MID(P2133,5,2)</f>
        <v/>
      </c>
      <c r="R2133" s="14">
        <f>MID(P2133,7,2)</f>
        <v/>
      </c>
      <c r="S2133" s="6" t="inlineStr">
        <is>
          <t>G2G</t>
        </is>
      </c>
      <c r="T2133" s="1" t="inlineStr">
        <is>
          <t>P4 - PEIPL</t>
        </is>
      </c>
      <c r="U2133" s="2" t="inlineStr">
        <is>
          <t xml:space="preserve">physically damaged </t>
        </is>
      </c>
      <c r="V2133" s="1" t="inlineStr">
        <is>
          <t>Inspection</t>
        </is>
      </c>
      <c r="W2133" s="1" t="inlineStr">
        <is>
          <t>Rejected</t>
        </is>
      </c>
      <c r="X2133" s="5">
        <f>Z2133</f>
        <v/>
      </c>
      <c r="Y2133" s="1">
        <f>X2133-A2133</f>
        <v/>
      </c>
      <c r="Z2133" s="5" t="n">
        <v>46198</v>
      </c>
      <c r="AA2133" s="3" t="n"/>
      <c r="AB2133" s="3" t="n"/>
      <c r="AE2133" s="146">
        <f>IF(AND(F2133="Closed",X2133&gt;=DATE(2026,6,1),X2133&lt;=DATE(2026,6,30)),"Closed in June","other")</f>
        <v/>
      </c>
    </row>
    <row r="2134" hidden="1">
      <c r="A2134" s="49" t="n">
        <v>46177</v>
      </c>
      <c r="B2134" s="1" t="n">
        <v>2026</v>
      </c>
      <c r="C2134" s="8" t="inlineStr">
        <is>
          <t>Ayana</t>
        </is>
      </c>
      <c r="D2134" s="11" t="inlineStr">
        <is>
          <t>Utility and C&amp;I</t>
        </is>
      </c>
      <c r="E2134" s="1" t="n"/>
      <c r="F2134" s="1" t="inlineStr">
        <is>
          <t>Closed</t>
        </is>
      </c>
      <c r="G2134" s="11" t="inlineStr">
        <is>
          <t>Vasu.N</t>
        </is>
      </c>
      <c r="H2134" s="8" t="n">
        <v>9578099893</v>
      </c>
      <c r="I2134" s="10" t="inlineStr">
        <is>
          <t>PE04062601</t>
        </is>
      </c>
      <c r="J2134" s="28" t="inlineStr">
        <is>
          <t>Module burnt</t>
        </is>
      </c>
      <c r="K2134" s="8" t="inlineStr">
        <is>
          <t>Zura</t>
        </is>
      </c>
      <c r="L2134" s="39" t="inlineStr">
        <is>
          <t>Gujarat</t>
        </is>
      </c>
      <c r="M2134" s="2" t="inlineStr">
        <is>
          <t xml:space="preserve">damage </t>
        </is>
      </c>
      <c r="N2134" s="6" t="inlineStr">
        <is>
          <t>Module Breakage</t>
        </is>
      </c>
      <c r="O2134" s="32" t="n">
        <v>590</v>
      </c>
      <c r="P2134" s="2" t="inlineStr">
        <is>
          <t>NSMI24100606941</t>
        </is>
      </c>
      <c r="Q2134" s="29">
        <f>MID(P2134,5,2)</f>
        <v/>
      </c>
      <c r="R2134" s="14">
        <f>MID(P2134,7,2)</f>
        <v/>
      </c>
      <c r="S2134" s="6" t="inlineStr">
        <is>
          <t>G2G</t>
        </is>
      </c>
      <c r="T2134" s="1" t="inlineStr">
        <is>
          <t>P4 - PEIPL</t>
        </is>
      </c>
      <c r="U2134" s="2" t="inlineStr">
        <is>
          <t xml:space="preserve">physically damaged </t>
        </is>
      </c>
      <c r="V2134" s="1" t="inlineStr">
        <is>
          <t>Inspection</t>
        </is>
      </c>
      <c r="W2134" s="1" t="inlineStr">
        <is>
          <t>Rejected</t>
        </is>
      </c>
      <c r="X2134" s="5">
        <f>Z2134</f>
        <v/>
      </c>
      <c r="Y2134" s="1">
        <f>X2134-A2134</f>
        <v/>
      </c>
      <c r="Z2134" s="5" t="n">
        <v>46198</v>
      </c>
      <c r="AA2134" s="3" t="n"/>
      <c r="AB2134" s="3" t="n"/>
      <c r="AE2134" s="146">
        <f>IF(AND(F2134="Closed",X2134&gt;=DATE(2026,6,1),X2134&lt;=DATE(2026,6,30)),"Closed in June","other")</f>
        <v/>
      </c>
    </row>
    <row r="2135" hidden="1">
      <c r="A2135" s="49" t="n">
        <v>46177</v>
      </c>
      <c r="B2135" s="1" t="n">
        <v>2026</v>
      </c>
      <c r="C2135" s="8" t="inlineStr">
        <is>
          <t>Ayana</t>
        </is>
      </c>
      <c r="D2135" s="11" t="inlineStr">
        <is>
          <t>Utility and C&amp;I</t>
        </is>
      </c>
      <c r="E2135" s="1" t="n"/>
      <c r="F2135" s="1" t="inlineStr">
        <is>
          <t>Closed</t>
        </is>
      </c>
      <c r="G2135" s="11" t="inlineStr">
        <is>
          <t>Vasu.N</t>
        </is>
      </c>
      <c r="H2135" s="8" t="n">
        <v>9578099893</v>
      </c>
      <c r="I2135" s="10" t="inlineStr">
        <is>
          <t>PE04062601</t>
        </is>
      </c>
      <c r="J2135" s="28" t="inlineStr">
        <is>
          <t>Module burnt</t>
        </is>
      </c>
      <c r="K2135" s="8" t="inlineStr">
        <is>
          <t>Zura</t>
        </is>
      </c>
      <c r="L2135" s="39" t="inlineStr">
        <is>
          <t>Gujarat</t>
        </is>
      </c>
      <c r="M2135" s="2" t="inlineStr">
        <is>
          <t xml:space="preserve">damage </t>
        </is>
      </c>
      <c r="N2135" s="6" t="inlineStr">
        <is>
          <t>Module Breakage</t>
        </is>
      </c>
      <c r="O2135" s="32" t="n">
        <v>590</v>
      </c>
      <c r="P2135" s="2" t="inlineStr">
        <is>
          <t>NSMI24100607009</t>
        </is>
      </c>
      <c r="Q2135" s="29">
        <f>MID(P2135,5,2)</f>
        <v/>
      </c>
      <c r="R2135" s="14">
        <f>MID(P2135,7,2)</f>
        <v/>
      </c>
      <c r="S2135" s="6" t="inlineStr">
        <is>
          <t>G2G</t>
        </is>
      </c>
      <c r="T2135" s="1" t="inlineStr">
        <is>
          <t>P4 - PEIPL</t>
        </is>
      </c>
      <c r="U2135" s="2" t="inlineStr">
        <is>
          <t xml:space="preserve">physically damaged </t>
        </is>
      </c>
      <c r="V2135" s="1" t="inlineStr">
        <is>
          <t>Inspection</t>
        </is>
      </c>
      <c r="W2135" s="1" t="inlineStr">
        <is>
          <t>Rejected</t>
        </is>
      </c>
      <c r="X2135" s="5">
        <f>Z2135</f>
        <v/>
      </c>
      <c r="Y2135" s="1">
        <f>X2135-A2135</f>
        <v/>
      </c>
      <c r="Z2135" s="5" t="n">
        <v>46198</v>
      </c>
      <c r="AA2135" s="3" t="n"/>
      <c r="AB2135" s="3" t="n"/>
      <c r="AE2135" s="146">
        <f>IF(AND(F2135="Closed",X2135&gt;=DATE(2026,6,1),X2135&lt;=DATE(2026,6,30)),"Closed in June","other")</f>
        <v/>
      </c>
    </row>
    <row r="2136" hidden="1">
      <c r="A2136" s="49" t="n">
        <v>46177</v>
      </c>
      <c r="B2136" s="1" t="n">
        <v>2026</v>
      </c>
      <c r="C2136" s="8" t="inlineStr">
        <is>
          <t>Ayana</t>
        </is>
      </c>
      <c r="D2136" s="11" t="inlineStr">
        <is>
          <t>Utility and C&amp;I</t>
        </is>
      </c>
      <c r="E2136" s="1" t="n"/>
      <c r="F2136" s="1" t="inlineStr">
        <is>
          <t>Closed</t>
        </is>
      </c>
      <c r="G2136" s="11" t="inlineStr">
        <is>
          <t>Vasu.N</t>
        </is>
      </c>
      <c r="H2136" s="8" t="n">
        <v>9578099893</v>
      </c>
      <c r="I2136" s="10" t="inlineStr">
        <is>
          <t>PE04062601</t>
        </is>
      </c>
      <c r="J2136" s="28" t="inlineStr">
        <is>
          <t>Module burnt</t>
        </is>
      </c>
      <c r="K2136" s="8" t="inlineStr">
        <is>
          <t>Zura</t>
        </is>
      </c>
      <c r="L2136" s="39" t="inlineStr">
        <is>
          <t>Gujarat</t>
        </is>
      </c>
      <c r="M2136" s="2" t="inlineStr">
        <is>
          <t xml:space="preserve">damage </t>
        </is>
      </c>
      <c r="N2136" s="6" t="inlineStr">
        <is>
          <t>Module Breakage</t>
        </is>
      </c>
      <c r="O2136" s="32" t="n">
        <v>590</v>
      </c>
      <c r="P2136" s="2" t="inlineStr">
        <is>
          <t>NSMI24100609296</t>
        </is>
      </c>
      <c r="Q2136" s="29">
        <f>MID(P2136,5,2)</f>
        <v/>
      </c>
      <c r="R2136" s="14">
        <f>MID(P2136,7,2)</f>
        <v/>
      </c>
      <c r="S2136" s="6" t="inlineStr">
        <is>
          <t>G2G</t>
        </is>
      </c>
      <c r="T2136" s="1" t="inlineStr">
        <is>
          <t>P4 - PEIPL</t>
        </is>
      </c>
      <c r="U2136" s="2" t="inlineStr">
        <is>
          <t xml:space="preserve">physically damaged </t>
        </is>
      </c>
      <c r="V2136" s="1" t="inlineStr">
        <is>
          <t>Inspection</t>
        </is>
      </c>
      <c r="W2136" s="1" t="inlineStr">
        <is>
          <t>Rejected</t>
        </is>
      </c>
      <c r="X2136" s="5">
        <f>Z2136</f>
        <v/>
      </c>
      <c r="Y2136" s="1">
        <f>X2136-A2136</f>
        <v/>
      </c>
      <c r="Z2136" s="5" t="n">
        <v>46198</v>
      </c>
      <c r="AA2136" s="3" t="n"/>
      <c r="AB2136" s="3" t="n"/>
      <c r="AE2136" s="146">
        <f>IF(AND(F2136="Closed",X2136&gt;=DATE(2026,6,1),X2136&lt;=DATE(2026,6,30)),"Closed in June","other")</f>
        <v/>
      </c>
    </row>
    <row r="2137" hidden="1">
      <c r="A2137" s="49" t="n">
        <v>46177</v>
      </c>
      <c r="B2137" s="1" t="n">
        <v>2026</v>
      </c>
      <c r="C2137" s="8" t="inlineStr">
        <is>
          <t>Ayana</t>
        </is>
      </c>
      <c r="D2137" s="11" t="inlineStr">
        <is>
          <t>Utility and C&amp;I</t>
        </is>
      </c>
      <c r="E2137" s="1" t="n"/>
      <c r="F2137" s="1" t="inlineStr">
        <is>
          <t>Closed</t>
        </is>
      </c>
      <c r="G2137" s="11" t="inlineStr">
        <is>
          <t>Vasu.N</t>
        </is>
      </c>
      <c r="H2137" s="8" t="n">
        <v>9578099893</v>
      </c>
      <c r="I2137" s="10" t="inlineStr">
        <is>
          <t>PE04062601</t>
        </is>
      </c>
      <c r="J2137" s="28" t="inlineStr">
        <is>
          <t>Module burnt</t>
        </is>
      </c>
      <c r="K2137" s="8" t="inlineStr">
        <is>
          <t>Zura</t>
        </is>
      </c>
      <c r="L2137" s="39" t="inlineStr">
        <is>
          <t>Gujarat</t>
        </is>
      </c>
      <c r="M2137" s="2" t="inlineStr">
        <is>
          <t xml:space="preserve">damage </t>
        </is>
      </c>
      <c r="N2137" s="6" t="inlineStr">
        <is>
          <t>Module Breakage</t>
        </is>
      </c>
      <c r="O2137" s="32" t="n">
        <v>590</v>
      </c>
      <c r="P2137" s="2" t="inlineStr">
        <is>
          <t>NSMI24100609334</t>
        </is>
      </c>
      <c r="Q2137" s="29">
        <f>MID(P2137,5,2)</f>
        <v/>
      </c>
      <c r="R2137" s="14">
        <f>MID(P2137,7,2)</f>
        <v/>
      </c>
      <c r="S2137" s="6" t="inlineStr">
        <is>
          <t>G2G</t>
        </is>
      </c>
      <c r="T2137" s="1" t="inlineStr">
        <is>
          <t>P4 - PEIPL</t>
        </is>
      </c>
      <c r="U2137" s="2" t="inlineStr">
        <is>
          <t xml:space="preserve">physically damaged </t>
        </is>
      </c>
      <c r="V2137" s="1" t="inlineStr">
        <is>
          <t>Inspection</t>
        </is>
      </c>
      <c r="W2137" s="1" t="inlineStr">
        <is>
          <t>Rejected</t>
        </is>
      </c>
      <c r="X2137" s="5">
        <f>Z2137</f>
        <v/>
      </c>
      <c r="Y2137" s="1">
        <f>X2137-A2137</f>
        <v/>
      </c>
      <c r="Z2137" s="5" t="n">
        <v>46198</v>
      </c>
      <c r="AA2137" s="3" t="n"/>
      <c r="AB2137" s="3" t="n"/>
      <c r="AE2137" s="146">
        <f>IF(AND(F2137="Closed",X2137&gt;=DATE(2026,6,1),X2137&lt;=DATE(2026,6,30)),"Closed in June","other")</f>
        <v/>
      </c>
    </row>
    <row r="2138" hidden="1">
      <c r="A2138" s="49" t="n">
        <v>46177</v>
      </c>
      <c r="B2138" s="1" t="n">
        <v>2026</v>
      </c>
      <c r="C2138" s="8" t="inlineStr">
        <is>
          <t>Ayana</t>
        </is>
      </c>
      <c r="D2138" s="11" t="inlineStr">
        <is>
          <t>Utility and C&amp;I</t>
        </is>
      </c>
      <c r="E2138" s="1" t="n"/>
      <c r="F2138" s="1" t="inlineStr">
        <is>
          <t>Closed</t>
        </is>
      </c>
      <c r="G2138" s="11" t="inlineStr">
        <is>
          <t>Vasu.N</t>
        </is>
      </c>
      <c r="H2138" s="8" t="n">
        <v>9578099893</v>
      </c>
      <c r="I2138" s="10" t="inlineStr">
        <is>
          <t>PE04062601</t>
        </is>
      </c>
      <c r="J2138" s="28" t="inlineStr">
        <is>
          <t>Module burnt</t>
        </is>
      </c>
      <c r="K2138" s="8" t="inlineStr">
        <is>
          <t>Zura</t>
        </is>
      </c>
      <c r="L2138" s="39" t="inlineStr">
        <is>
          <t>Gujarat</t>
        </is>
      </c>
      <c r="M2138" s="2" t="inlineStr">
        <is>
          <t xml:space="preserve">damage </t>
        </is>
      </c>
      <c r="N2138" s="6" t="inlineStr">
        <is>
          <t>Module Breakage</t>
        </is>
      </c>
      <c r="O2138" s="32" t="n">
        <v>590</v>
      </c>
      <c r="P2138" s="2" t="inlineStr">
        <is>
          <t>NSMI24110843141</t>
        </is>
      </c>
      <c r="Q2138" s="29">
        <f>MID(P2138,5,2)</f>
        <v/>
      </c>
      <c r="R2138" s="14">
        <f>MID(P2138,7,2)</f>
        <v/>
      </c>
      <c r="S2138" s="6" t="inlineStr">
        <is>
          <t>G2G</t>
        </is>
      </c>
      <c r="T2138" s="1" t="inlineStr">
        <is>
          <t>P4 - PEIPL</t>
        </is>
      </c>
      <c r="U2138" s="2" t="inlineStr">
        <is>
          <t xml:space="preserve">physically damaged </t>
        </is>
      </c>
      <c r="V2138" s="1" t="inlineStr">
        <is>
          <t>Inspection</t>
        </is>
      </c>
      <c r="W2138" s="1" t="inlineStr">
        <is>
          <t>Rejected</t>
        </is>
      </c>
      <c r="X2138" s="5">
        <f>Z2138</f>
        <v/>
      </c>
      <c r="Y2138" s="1">
        <f>X2138-A2138</f>
        <v/>
      </c>
      <c r="Z2138" s="5" t="n">
        <v>46198</v>
      </c>
      <c r="AA2138" s="3" t="n"/>
      <c r="AB2138" s="3" t="n"/>
      <c r="AE2138" s="146">
        <f>IF(AND(F2138="Closed",X2138&gt;=DATE(2026,6,1),X2138&lt;=DATE(2026,6,30)),"Closed in June","other")</f>
        <v/>
      </c>
    </row>
    <row r="2139" hidden="1">
      <c r="A2139" s="49" t="n">
        <v>46177</v>
      </c>
      <c r="B2139" s="1" t="n">
        <v>2026</v>
      </c>
      <c r="C2139" s="8" t="inlineStr">
        <is>
          <t>Ayana</t>
        </is>
      </c>
      <c r="D2139" s="11" t="inlineStr">
        <is>
          <t>Utility and C&amp;I</t>
        </is>
      </c>
      <c r="E2139" s="1" t="n"/>
      <c r="F2139" s="1" t="inlineStr">
        <is>
          <t>Closed</t>
        </is>
      </c>
      <c r="G2139" s="11" t="inlineStr">
        <is>
          <t>Vasu.N</t>
        </is>
      </c>
      <c r="H2139" s="8" t="n">
        <v>9578099893</v>
      </c>
      <c r="I2139" s="10" t="inlineStr">
        <is>
          <t>PE04062601</t>
        </is>
      </c>
      <c r="J2139" s="28" t="inlineStr">
        <is>
          <t>Module burnt</t>
        </is>
      </c>
      <c r="K2139" s="8" t="inlineStr">
        <is>
          <t>Zura</t>
        </is>
      </c>
      <c r="L2139" s="39" t="inlineStr">
        <is>
          <t>Gujarat</t>
        </is>
      </c>
      <c r="M2139" s="2" t="inlineStr">
        <is>
          <t xml:space="preserve">damage </t>
        </is>
      </c>
      <c r="N2139" s="6" t="inlineStr">
        <is>
          <t>Module Breakage</t>
        </is>
      </c>
      <c r="O2139" s="32" t="n">
        <v>590</v>
      </c>
      <c r="P2139" s="2" t="inlineStr">
        <is>
          <t>NSMI24100607011</t>
        </is>
      </c>
      <c r="Q2139" s="29">
        <f>MID(P2139,5,2)</f>
        <v/>
      </c>
      <c r="R2139" s="14">
        <f>MID(P2139,7,2)</f>
        <v/>
      </c>
      <c r="S2139" s="6" t="inlineStr">
        <is>
          <t>G2G</t>
        </is>
      </c>
      <c r="T2139" s="1" t="inlineStr">
        <is>
          <t>P4 - PEIPL</t>
        </is>
      </c>
      <c r="U2139" s="2" t="inlineStr">
        <is>
          <t xml:space="preserve">physically damaged </t>
        </is>
      </c>
      <c r="V2139" s="1" t="inlineStr">
        <is>
          <t>Inspection</t>
        </is>
      </c>
      <c r="W2139" s="1" t="inlineStr">
        <is>
          <t>Rejected</t>
        </is>
      </c>
      <c r="X2139" s="5">
        <f>Z2139</f>
        <v/>
      </c>
      <c r="Y2139" s="1">
        <f>X2139-A2139</f>
        <v/>
      </c>
      <c r="Z2139" s="5" t="n">
        <v>46198</v>
      </c>
      <c r="AA2139" s="3" t="n"/>
      <c r="AB2139" s="3" t="n"/>
      <c r="AE2139" s="146">
        <f>IF(AND(F2139="Closed",X2139&gt;=DATE(2026,6,1),X2139&lt;=DATE(2026,6,30)),"Closed in June","other")</f>
        <v/>
      </c>
    </row>
    <row r="2140" hidden="1">
      <c r="A2140" s="49" t="n">
        <v>46177</v>
      </c>
      <c r="B2140" s="1" t="n">
        <v>2026</v>
      </c>
      <c r="C2140" s="8" t="inlineStr">
        <is>
          <t>Ayana</t>
        </is>
      </c>
      <c r="D2140" s="11" t="inlineStr">
        <is>
          <t>Utility and C&amp;I</t>
        </is>
      </c>
      <c r="E2140" s="1" t="n"/>
      <c r="F2140" s="1" t="inlineStr">
        <is>
          <t>Closed</t>
        </is>
      </c>
      <c r="G2140" s="11" t="inlineStr">
        <is>
          <t>Vasu.N</t>
        </is>
      </c>
      <c r="H2140" s="8" t="n">
        <v>9578099893</v>
      </c>
      <c r="I2140" s="10" t="inlineStr">
        <is>
          <t>PE04062601</t>
        </is>
      </c>
      <c r="J2140" s="28" t="inlineStr">
        <is>
          <t>Module burnt</t>
        </is>
      </c>
      <c r="K2140" s="8" t="inlineStr">
        <is>
          <t>Zura</t>
        </is>
      </c>
      <c r="L2140" s="39" t="inlineStr">
        <is>
          <t>Gujarat</t>
        </is>
      </c>
      <c r="M2140" s="2" t="inlineStr">
        <is>
          <t xml:space="preserve">damage </t>
        </is>
      </c>
      <c r="N2140" s="6" t="inlineStr">
        <is>
          <t>Module Breakage</t>
        </is>
      </c>
      <c r="O2140" s="32" t="n">
        <v>590</v>
      </c>
      <c r="P2140" s="2" t="inlineStr">
        <is>
          <t>NSMI24100609282</t>
        </is>
      </c>
      <c r="Q2140" s="29">
        <f>MID(P2140,5,2)</f>
        <v/>
      </c>
      <c r="R2140" s="14">
        <f>MID(P2140,7,2)</f>
        <v/>
      </c>
      <c r="S2140" s="6" t="inlineStr">
        <is>
          <t>G2G</t>
        </is>
      </c>
      <c r="T2140" s="1" t="inlineStr">
        <is>
          <t>P4 - PEIPL</t>
        </is>
      </c>
      <c r="U2140" s="2" t="inlineStr">
        <is>
          <t xml:space="preserve">physically damaged </t>
        </is>
      </c>
      <c r="V2140" s="1" t="inlineStr">
        <is>
          <t>Inspection</t>
        </is>
      </c>
      <c r="W2140" s="1" t="inlineStr">
        <is>
          <t>Rejected</t>
        </is>
      </c>
      <c r="X2140" s="5">
        <f>Z2140</f>
        <v/>
      </c>
      <c r="Y2140" s="1">
        <f>X2140-A2140</f>
        <v/>
      </c>
      <c r="Z2140" s="5" t="n">
        <v>46198</v>
      </c>
      <c r="AA2140" s="3" t="n"/>
      <c r="AB2140" s="3" t="n"/>
      <c r="AE2140" s="146">
        <f>IF(AND(F2140="Closed",X2140&gt;=DATE(2026,6,1),X2140&lt;=DATE(2026,6,30)),"Closed in June","other")</f>
        <v/>
      </c>
    </row>
    <row r="2141" hidden="1">
      <c r="A2141" s="49" t="n">
        <v>46177</v>
      </c>
      <c r="B2141" s="1" t="n">
        <v>2026</v>
      </c>
      <c r="C2141" s="8" t="inlineStr">
        <is>
          <t>Ayana</t>
        </is>
      </c>
      <c r="D2141" s="11" t="inlineStr">
        <is>
          <t>Utility and C&amp;I</t>
        </is>
      </c>
      <c r="E2141" s="1" t="n"/>
      <c r="F2141" s="1" t="inlineStr">
        <is>
          <t>Closed</t>
        </is>
      </c>
      <c r="G2141" s="11" t="inlineStr">
        <is>
          <t>Vasu.N</t>
        </is>
      </c>
      <c r="H2141" s="8" t="n">
        <v>9578099893</v>
      </c>
      <c r="I2141" s="10" t="inlineStr">
        <is>
          <t>PE04062601</t>
        </is>
      </c>
      <c r="J2141" s="28" t="inlineStr">
        <is>
          <t>Module burnt</t>
        </is>
      </c>
      <c r="K2141" s="8" t="inlineStr">
        <is>
          <t>Zura</t>
        </is>
      </c>
      <c r="L2141" s="39" t="inlineStr">
        <is>
          <t>Gujarat</t>
        </is>
      </c>
      <c r="M2141" s="2" t="inlineStr">
        <is>
          <t xml:space="preserve">damage </t>
        </is>
      </c>
      <c r="N2141" s="6" t="inlineStr">
        <is>
          <t>Module Breakage</t>
        </is>
      </c>
      <c r="O2141" s="32" t="n">
        <v>590</v>
      </c>
      <c r="P2141" s="2" t="inlineStr">
        <is>
          <t>NSMI24100609281</t>
        </is>
      </c>
      <c r="Q2141" s="29">
        <f>MID(P2141,5,2)</f>
        <v/>
      </c>
      <c r="R2141" s="14">
        <f>MID(P2141,7,2)</f>
        <v/>
      </c>
      <c r="S2141" s="6" t="inlineStr">
        <is>
          <t>G2G</t>
        </is>
      </c>
      <c r="T2141" s="1" t="inlineStr">
        <is>
          <t>P4 - PEIPL</t>
        </is>
      </c>
      <c r="U2141" s="2" t="inlineStr">
        <is>
          <t xml:space="preserve">physically damaged </t>
        </is>
      </c>
      <c r="V2141" s="1" t="inlineStr">
        <is>
          <t>Inspection</t>
        </is>
      </c>
      <c r="W2141" s="1" t="inlineStr">
        <is>
          <t>Rejected</t>
        </is>
      </c>
      <c r="X2141" s="5">
        <f>Z2141</f>
        <v/>
      </c>
      <c r="Y2141" s="1">
        <f>X2141-A2141</f>
        <v/>
      </c>
      <c r="Z2141" s="5" t="n">
        <v>46198</v>
      </c>
      <c r="AA2141" s="3" t="n"/>
      <c r="AB2141" s="3" t="n"/>
      <c r="AE2141" s="146">
        <f>IF(AND(F2141="Closed",X2141&gt;=DATE(2026,6,1),X2141&lt;=DATE(2026,6,30)),"Closed in June","other")</f>
        <v/>
      </c>
    </row>
    <row r="2142" hidden="1">
      <c r="A2142" s="49" t="n">
        <v>46177</v>
      </c>
      <c r="B2142" s="1" t="n">
        <v>2026</v>
      </c>
      <c r="C2142" s="8" t="inlineStr">
        <is>
          <t>Ayana</t>
        </is>
      </c>
      <c r="D2142" s="11" t="inlineStr">
        <is>
          <t>Utility and C&amp;I</t>
        </is>
      </c>
      <c r="E2142" s="1" t="n"/>
      <c r="F2142" s="1" t="inlineStr">
        <is>
          <t>Closed</t>
        </is>
      </c>
      <c r="G2142" s="11" t="inlineStr">
        <is>
          <t>Vasu.N</t>
        </is>
      </c>
      <c r="H2142" s="8" t="n">
        <v>9578099893</v>
      </c>
      <c r="I2142" s="10" t="inlineStr">
        <is>
          <t>PE04062601</t>
        </is>
      </c>
      <c r="J2142" s="28" t="inlineStr">
        <is>
          <t>Module burnt</t>
        </is>
      </c>
      <c r="K2142" s="8" t="inlineStr">
        <is>
          <t>Zura</t>
        </is>
      </c>
      <c r="L2142" s="39" t="inlineStr">
        <is>
          <t>Gujarat</t>
        </is>
      </c>
      <c r="M2142" s="2" t="inlineStr">
        <is>
          <t xml:space="preserve">damage </t>
        </is>
      </c>
      <c r="N2142" s="6" t="inlineStr">
        <is>
          <t>Module Breakage</t>
        </is>
      </c>
      <c r="O2142" s="32" t="n">
        <v>590</v>
      </c>
      <c r="P2142" s="2" t="inlineStr">
        <is>
          <t>NSMI24100609273</t>
        </is>
      </c>
      <c r="Q2142" s="29">
        <f>MID(P2142,5,2)</f>
        <v/>
      </c>
      <c r="R2142" s="14">
        <f>MID(P2142,7,2)</f>
        <v/>
      </c>
      <c r="S2142" s="6" t="inlineStr">
        <is>
          <t>G2G</t>
        </is>
      </c>
      <c r="T2142" s="1" t="inlineStr">
        <is>
          <t>P4 - PEIPL</t>
        </is>
      </c>
      <c r="U2142" s="2" t="inlineStr">
        <is>
          <t xml:space="preserve">physically damaged </t>
        </is>
      </c>
      <c r="V2142" s="1" t="inlineStr">
        <is>
          <t>Inspection</t>
        </is>
      </c>
      <c r="W2142" s="1" t="inlineStr">
        <is>
          <t>Rejected</t>
        </is>
      </c>
      <c r="X2142" s="5">
        <f>Z2142</f>
        <v/>
      </c>
      <c r="Y2142" s="1">
        <f>X2142-A2142</f>
        <v/>
      </c>
      <c r="Z2142" s="5" t="n">
        <v>46198</v>
      </c>
      <c r="AA2142" s="3" t="n"/>
      <c r="AB2142" s="3" t="n"/>
      <c r="AE2142" s="146">
        <f>IF(AND(F2142="Closed",X2142&gt;=DATE(2026,6,1),X2142&lt;=DATE(2026,6,30)),"Closed in June","other")</f>
        <v/>
      </c>
    </row>
    <row r="2143" hidden="1">
      <c r="A2143" s="49" t="n">
        <v>46177</v>
      </c>
      <c r="B2143" s="1" t="n">
        <v>2026</v>
      </c>
      <c r="C2143" s="8" t="inlineStr">
        <is>
          <t>Ayana</t>
        </is>
      </c>
      <c r="D2143" s="11" t="inlineStr">
        <is>
          <t>Utility and C&amp;I</t>
        </is>
      </c>
      <c r="E2143" s="1" t="n"/>
      <c r="F2143" s="1" t="inlineStr">
        <is>
          <t>Closed</t>
        </is>
      </c>
      <c r="G2143" s="11" t="inlineStr">
        <is>
          <t>Vasu.N</t>
        </is>
      </c>
      <c r="H2143" s="8" t="n">
        <v>9578099893</v>
      </c>
      <c r="I2143" s="10" t="inlineStr">
        <is>
          <t>PE04062601</t>
        </is>
      </c>
      <c r="J2143" s="28" t="inlineStr">
        <is>
          <t>Module burnt</t>
        </is>
      </c>
      <c r="K2143" s="8" t="inlineStr">
        <is>
          <t>Zura</t>
        </is>
      </c>
      <c r="L2143" s="39" t="inlineStr">
        <is>
          <t>Gujarat</t>
        </is>
      </c>
      <c r="M2143" s="2" t="inlineStr">
        <is>
          <t xml:space="preserve">damage </t>
        </is>
      </c>
      <c r="N2143" s="6" t="inlineStr">
        <is>
          <t>Module Breakage</t>
        </is>
      </c>
      <c r="O2143" s="32" t="n">
        <v>590</v>
      </c>
      <c r="P2143" s="2" t="inlineStr">
        <is>
          <t>NSMI24100609276</t>
        </is>
      </c>
      <c r="Q2143" s="29">
        <f>MID(P2143,5,2)</f>
        <v/>
      </c>
      <c r="R2143" s="14">
        <f>MID(P2143,7,2)</f>
        <v/>
      </c>
      <c r="S2143" s="6" t="inlineStr">
        <is>
          <t>G2G</t>
        </is>
      </c>
      <c r="T2143" s="1" t="inlineStr">
        <is>
          <t>P4 - PEIPL</t>
        </is>
      </c>
      <c r="U2143" s="2" t="inlineStr">
        <is>
          <t xml:space="preserve">physically damaged </t>
        </is>
      </c>
      <c r="V2143" s="1" t="inlineStr">
        <is>
          <t>Inspection</t>
        </is>
      </c>
      <c r="W2143" s="1" t="inlineStr">
        <is>
          <t>Rejected</t>
        </is>
      </c>
      <c r="X2143" s="5">
        <f>Z2143</f>
        <v/>
      </c>
      <c r="Y2143" s="1">
        <f>X2143-A2143</f>
        <v/>
      </c>
      <c r="Z2143" s="5" t="n">
        <v>46198</v>
      </c>
      <c r="AA2143" s="3" t="n"/>
      <c r="AB2143" s="3" t="n"/>
      <c r="AE2143" s="146">
        <f>IF(AND(F2143="Closed",X2143&gt;=DATE(2026,6,1),X2143&lt;=DATE(2026,6,30)),"Closed in June","other")</f>
        <v/>
      </c>
    </row>
    <row r="2144" hidden="1">
      <c r="A2144" s="49" t="n">
        <v>46177</v>
      </c>
      <c r="B2144" s="1" t="n">
        <v>2026</v>
      </c>
      <c r="C2144" s="8" t="inlineStr">
        <is>
          <t>Ayana</t>
        </is>
      </c>
      <c r="D2144" s="11" t="inlineStr">
        <is>
          <t>Utility and C&amp;I</t>
        </is>
      </c>
      <c r="E2144" s="1" t="n"/>
      <c r="F2144" s="1" t="inlineStr">
        <is>
          <t>WIP</t>
        </is>
      </c>
      <c r="G2144" s="11" t="inlineStr">
        <is>
          <t>Vasu.N</t>
        </is>
      </c>
      <c r="H2144" s="8" t="n">
        <v>9578099893</v>
      </c>
      <c r="I2144" s="10" t="inlineStr">
        <is>
          <t>PE04062601</t>
        </is>
      </c>
      <c r="J2144" s="28" t="inlineStr">
        <is>
          <t>Module burnt</t>
        </is>
      </c>
      <c r="K2144" s="8" t="inlineStr">
        <is>
          <t>Zura</t>
        </is>
      </c>
      <c r="L2144" s="39" t="inlineStr">
        <is>
          <t>Gujarat</t>
        </is>
      </c>
      <c r="M2144" s="2" t="inlineStr">
        <is>
          <t xml:space="preserve">damage </t>
        </is>
      </c>
      <c r="N2144" s="6" t="inlineStr">
        <is>
          <t>Module Breakage</t>
        </is>
      </c>
      <c r="O2144" s="32" t="n">
        <v>590</v>
      </c>
      <c r="P2144" s="2" t="inlineStr">
        <is>
          <t>NSMI24100611612</t>
        </is>
      </c>
      <c r="Q2144" s="29">
        <f>MID(P2144,5,2)</f>
        <v/>
      </c>
      <c r="R2144" s="14">
        <f>MID(P2144,7,2)</f>
        <v/>
      </c>
      <c r="S2144" s="6" t="inlineStr">
        <is>
          <t>G2G</t>
        </is>
      </c>
      <c r="T2144" s="1" t="inlineStr">
        <is>
          <t>P4 - PEIPL</t>
        </is>
      </c>
      <c r="U2144" s="2" t="inlineStr">
        <is>
          <t>Frame Damaged</t>
        </is>
      </c>
      <c r="V2144" s="1" t="inlineStr">
        <is>
          <t>Inspection</t>
        </is>
      </c>
      <c r="W2144" s="1" t="inlineStr">
        <is>
          <t>WIP</t>
        </is>
      </c>
      <c r="X2144" s="12" t="n"/>
      <c r="Y2144" s="1">
        <f>IF(X2144="","",X2144-A2144)</f>
        <v/>
      </c>
      <c r="Z2144" s="5" t="n">
        <v>46198</v>
      </c>
      <c r="AA2144" s="3" t="n"/>
      <c r="AB2144" s="3" t="n"/>
      <c r="AE2144" s="146">
        <f>IF(AND(F2144="Closed",X2144&gt;=DATE(2026,6,1),X2144&lt;=DATE(2026,6,30)),"Closed in June","other")</f>
        <v/>
      </c>
    </row>
    <row r="2145" hidden="1">
      <c r="A2145" s="49" t="n">
        <v>46177</v>
      </c>
      <c r="B2145" s="1" t="n">
        <v>2026</v>
      </c>
      <c r="C2145" s="8" t="inlineStr">
        <is>
          <t>Ayana</t>
        </is>
      </c>
      <c r="D2145" s="11" t="inlineStr">
        <is>
          <t>Utility and C&amp;I</t>
        </is>
      </c>
      <c r="E2145" s="1" t="n"/>
      <c r="F2145" s="1" t="inlineStr">
        <is>
          <t>Closed</t>
        </is>
      </c>
      <c r="G2145" s="11" t="inlineStr">
        <is>
          <t>Vasu.N</t>
        </is>
      </c>
      <c r="H2145" s="8" t="n">
        <v>9578099893</v>
      </c>
      <c r="I2145" s="10" t="inlineStr">
        <is>
          <t>PE04062601</t>
        </is>
      </c>
      <c r="J2145" s="28" t="inlineStr">
        <is>
          <t>Module burnt</t>
        </is>
      </c>
      <c r="K2145" s="8" t="inlineStr">
        <is>
          <t>Zura</t>
        </is>
      </c>
      <c r="L2145" s="39" t="inlineStr">
        <is>
          <t>Gujarat</t>
        </is>
      </c>
      <c r="M2145" s="2" t="inlineStr">
        <is>
          <t xml:space="preserve">damage </t>
        </is>
      </c>
      <c r="N2145" s="6" t="inlineStr">
        <is>
          <t>Module Breakage</t>
        </is>
      </c>
      <c r="O2145" s="32" t="n">
        <v>590</v>
      </c>
      <c r="P2145" s="2" t="inlineStr">
        <is>
          <t>NSMI24100611735</t>
        </is>
      </c>
      <c r="Q2145" s="29">
        <f>MID(P2145,5,2)</f>
        <v/>
      </c>
      <c r="R2145" s="14">
        <f>MID(P2145,7,2)</f>
        <v/>
      </c>
      <c r="S2145" s="6" t="inlineStr">
        <is>
          <t>G2G</t>
        </is>
      </c>
      <c r="T2145" s="1" t="inlineStr">
        <is>
          <t>P4 - PEIPL</t>
        </is>
      </c>
      <c r="U2145" s="2" t="inlineStr">
        <is>
          <t xml:space="preserve">physically damaged </t>
        </is>
      </c>
      <c r="V2145" s="1" t="inlineStr">
        <is>
          <t>Inspection</t>
        </is>
      </c>
      <c r="W2145" s="1" t="inlineStr">
        <is>
          <t>Rejected</t>
        </is>
      </c>
      <c r="X2145" s="5">
        <f>Z2145</f>
        <v/>
      </c>
      <c r="Y2145" s="1">
        <f>X2145-A2145</f>
        <v/>
      </c>
      <c r="Z2145" s="5" t="n">
        <v>46198</v>
      </c>
      <c r="AA2145" s="3" t="n"/>
      <c r="AB2145" s="3" t="n"/>
      <c r="AE2145" s="146">
        <f>IF(AND(F2145="Closed",X2145&gt;=DATE(2026,6,1),X2145&lt;=DATE(2026,6,30)),"Closed in June","other")</f>
        <v/>
      </c>
    </row>
    <row r="2146" hidden="1">
      <c r="A2146" s="49" t="n">
        <v>46177</v>
      </c>
      <c r="B2146" s="1" t="n">
        <v>2026</v>
      </c>
      <c r="C2146" s="8" t="inlineStr">
        <is>
          <t>Ayana</t>
        </is>
      </c>
      <c r="D2146" s="11" t="inlineStr">
        <is>
          <t>Utility and C&amp;I</t>
        </is>
      </c>
      <c r="E2146" s="1" t="n"/>
      <c r="F2146" s="1" t="inlineStr">
        <is>
          <t>Closed</t>
        </is>
      </c>
      <c r="G2146" s="11" t="inlineStr">
        <is>
          <t>Vasu.N</t>
        </is>
      </c>
      <c r="H2146" s="8" t="n">
        <v>9578099893</v>
      </c>
      <c r="I2146" s="10" t="inlineStr">
        <is>
          <t>PE04062601</t>
        </is>
      </c>
      <c r="J2146" s="28" t="inlineStr">
        <is>
          <t>Module burnt</t>
        </is>
      </c>
      <c r="K2146" s="8" t="inlineStr">
        <is>
          <t>Zura</t>
        </is>
      </c>
      <c r="L2146" s="39" t="inlineStr">
        <is>
          <t>Gujarat</t>
        </is>
      </c>
      <c r="M2146" s="2" t="inlineStr">
        <is>
          <t xml:space="preserve">damage </t>
        </is>
      </c>
      <c r="N2146" s="6" t="inlineStr">
        <is>
          <t>Module Breakage</t>
        </is>
      </c>
      <c r="O2146" s="32" t="n">
        <v>590</v>
      </c>
      <c r="P2146" s="2" t="inlineStr">
        <is>
          <t>NSMI24110824527</t>
        </is>
      </c>
      <c r="Q2146" s="29">
        <f>MID(P2146,5,2)</f>
        <v/>
      </c>
      <c r="R2146" s="14">
        <f>MID(P2146,7,2)</f>
        <v/>
      </c>
      <c r="S2146" s="6" t="inlineStr">
        <is>
          <t>G2G</t>
        </is>
      </c>
      <c r="T2146" s="1" t="inlineStr">
        <is>
          <t>P4 - PEIPL</t>
        </is>
      </c>
      <c r="U2146" s="2" t="inlineStr">
        <is>
          <t xml:space="preserve">physically damaged </t>
        </is>
      </c>
      <c r="V2146" s="1" t="inlineStr">
        <is>
          <t>Inspection</t>
        </is>
      </c>
      <c r="W2146" s="1" t="inlineStr">
        <is>
          <t>Rejected</t>
        </is>
      </c>
      <c r="X2146" s="5">
        <f>Z2146</f>
        <v/>
      </c>
      <c r="Y2146" s="1">
        <f>X2146-A2146</f>
        <v/>
      </c>
      <c r="Z2146" s="5" t="n">
        <v>46198</v>
      </c>
      <c r="AA2146" s="3" t="n"/>
      <c r="AB2146" s="3" t="n"/>
      <c r="AE2146" s="146">
        <f>IF(AND(F2146="Closed",X2146&gt;=DATE(2026,6,1),X2146&lt;=DATE(2026,6,30)),"Closed in June","other")</f>
        <v/>
      </c>
    </row>
    <row r="2147" hidden="1">
      <c r="A2147" s="49" t="n">
        <v>46177</v>
      </c>
      <c r="B2147" s="1" t="n">
        <v>2026</v>
      </c>
      <c r="C2147" s="8" t="inlineStr">
        <is>
          <t>Ayana</t>
        </is>
      </c>
      <c r="D2147" s="11" t="inlineStr">
        <is>
          <t>Utility and C&amp;I</t>
        </is>
      </c>
      <c r="E2147" s="1" t="n"/>
      <c r="F2147" s="1" t="inlineStr">
        <is>
          <t>Closed</t>
        </is>
      </c>
      <c r="G2147" s="11" t="inlineStr">
        <is>
          <t>Vasu.N</t>
        </is>
      </c>
      <c r="H2147" s="8" t="n">
        <v>9578099893</v>
      </c>
      <c r="I2147" s="10" t="inlineStr">
        <is>
          <t>PE04062601</t>
        </is>
      </c>
      <c r="J2147" s="28" t="inlineStr">
        <is>
          <t>Module burnt</t>
        </is>
      </c>
      <c r="K2147" s="8" t="inlineStr">
        <is>
          <t>Zura</t>
        </is>
      </c>
      <c r="L2147" s="39" t="inlineStr">
        <is>
          <t>Gujarat</t>
        </is>
      </c>
      <c r="M2147" s="2" t="inlineStr">
        <is>
          <t xml:space="preserve">damage </t>
        </is>
      </c>
      <c r="N2147" s="6" t="inlineStr">
        <is>
          <t>Module Breakage</t>
        </is>
      </c>
      <c r="O2147" s="32" t="n">
        <v>590</v>
      </c>
      <c r="P2147" s="2" t="inlineStr">
        <is>
          <t>NSMI24110824537</t>
        </is>
      </c>
      <c r="Q2147" s="29">
        <f>MID(P2147,5,2)</f>
        <v/>
      </c>
      <c r="R2147" s="14">
        <f>MID(P2147,7,2)</f>
        <v/>
      </c>
      <c r="S2147" s="6" t="inlineStr">
        <is>
          <t>G2G</t>
        </is>
      </c>
      <c r="T2147" s="1" t="inlineStr">
        <is>
          <t>P4 - PEIPL</t>
        </is>
      </c>
      <c r="U2147" s="2" t="inlineStr">
        <is>
          <t xml:space="preserve">physically damaged </t>
        </is>
      </c>
      <c r="V2147" s="1" t="inlineStr">
        <is>
          <t>Inspection</t>
        </is>
      </c>
      <c r="W2147" s="1" t="inlineStr">
        <is>
          <t>Rejected</t>
        </is>
      </c>
      <c r="X2147" s="5">
        <f>Z2147</f>
        <v/>
      </c>
      <c r="Y2147" s="1">
        <f>X2147-A2147</f>
        <v/>
      </c>
      <c r="Z2147" s="5" t="n">
        <v>46198</v>
      </c>
      <c r="AA2147" s="3" t="n"/>
      <c r="AB2147" s="3" t="n"/>
      <c r="AE2147" s="146">
        <f>IF(AND(F2147="Closed",X2147&gt;=DATE(2026,6,1),X2147&lt;=DATE(2026,6,30)),"Closed in June","other")</f>
        <v/>
      </c>
    </row>
    <row r="2148" hidden="1">
      <c r="A2148" s="49" t="n">
        <v>46177</v>
      </c>
      <c r="B2148" s="1" t="n">
        <v>2026</v>
      </c>
      <c r="C2148" s="8" t="inlineStr">
        <is>
          <t>Ayana</t>
        </is>
      </c>
      <c r="D2148" s="11" t="inlineStr">
        <is>
          <t>Utility and C&amp;I</t>
        </is>
      </c>
      <c r="E2148" s="1" t="n"/>
      <c r="F2148" s="1" t="inlineStr">
        <is>
          <t>Closed</t>
        </is>
      </c>
      <c r="G2148" s="11" t="inlineStr">
        <is>
          <t>Vasu.N</t>
        </is>
      </c>
      <c r="H2148" s="8" t="n">
        <v>9578099893</v>
      </c>
      <c r="I2148" s="10" t="inlineStr">
        <is>
          <t>PE04062601</t>
        </is>
      </c>
      <c r="J2148" s="28" t="inlineStr">
        <is>
          <t>Module burnt</t>
        </is>
      </c>
      <c r="K2148" s="8" t="inlineStr">
        <is>
          <t>Zura</t>
        </is>
      </c>
      <c r="L2148" s="39" t="inlineStr">
        <is>
          <t>Gujarat</t>
        </is>
      </c>
      <c r="M2148" s="2" t="inlineStr">
        <is>
          <t xml:space="preserve">damage </t>
        </is>
      </c>
      <c r="N2148" s="6" t="inlineStr">
        <is>
          <t>Module Breakage</t>
        </is>
      </c>
      <c r="O2148" s="32" t="n">
        <v>590</v>
      </c>
      <c r="P2148" s="2" t="inlineStr">
        <is>
          <t>NSMI24100630107</t>
        </is>
      </c>
      <c r="Q2148" s="29">
        <f>MID(P2148,5,2)</f>
        <v/>
      </c>
      <c r="R2148" s="14">
        <f>MID(P2148,7,2)</f>
        <v/>
      </c>
      <c r="S2148" s="6" t="inlineStr">
        <is>
          <t>G2G</t>
        </is>
      </c>
      <c r="T2148" s="1" t="inlineStr">
        <is>
          <t>P4 - PEIPL</t>
        </is>
      </c>
      <c r="U2148" s="2" t="inlineStr">
        <is>
          <t xml:space="preserve">physically damaged </t>
        </is>
      </c>
      <c r="V2148" s="1" t="inlineStr">
        <is>
          <t>Inspection</t>
        </is>
      </c>
      <c r="W2148" s="1" t="inlineStr">
        <is>
          <t>Rejected</t>
        </is>
      </c>
      <c r="X2148" s="5">
        <f>Z2148</f>
        <v/>
      </c>
      <c r="Y2148" s="1">
        <f>X2148-A2148</f>
        <v/>
      </c>
      <c r="Z2148" s="5" t="n">
        <v>46198</v>
      </c>
      <c r="AA2148" s="3" t="n"/>
      <c r="AB2148" s="3" t="n"/>
      <c r="AE2148" s="146">
        <f>IF(AND(F2148="Closed",X2148&gt;=DATE(2026,6,1),X2148&lt;=DATE(2026,6,30)),"Closed in June","other")</f>
        <v/>
      </c>
    </row>
    <row r="2149" hidden="1">
      <c r="A2149" s="49" t="n">
        <v>46177</v>
      </c>
      <c r="B2149" s="1" t="n">
        <v>2026</v>
      </c>
      <c r="C2149" s="8" t="inlineStr">
        <is>
          <t>Ayana</t>
        </is>
      </c>
      <c r="D2149" s="11" t="inlineStr">
        <is>
          <t>Utility and C&amp;I</t>
        </is>
      </c>
      <c r="E2149" s="1" t="n"/>
      <c r="F2149" s="1" t="inlineStr">
        <is>
          <t>Closed</t>
        </is>
      </c>
      <c r="G2149" s="11" t="inlineStr">
        <is>
          <t>Vasu.N</t>
        </is>
      </c>
      <c r="H2149" s="8" t="n">
        <v>9578099893</v>
      </c>
      <c r="I2149" s="10" t="inlineStr">
        <is>
          <t>PE04062601</t>
        </is>
      </c>
      <c r="J2149" s="28" t="inlineStr">
        <is>
          <t>Module burnt</t>
        </is>
      </c>
      <c r="K2149" s="8" t="inlineStr">
        <is>
          <t>Zura</t>
        </is>
      </c>
      <c r="L2149" s="39" t="inlineStr">
        <is>
          <t>Gujarat</t>
        </is>
      </c>
      <c r="M2149" s="2" t="inlineStr">
        <is>
          <t xml:space="preserve">damage </t>
        </is>
      </c>
      <c r="N2149" s="6" t="inlineStr">
        <is>
          <t>Module Breakage</t>
        </is>
      </c>
      <c r="O2149" s="32" t="n">
        <v>590</v>
      </c>
      <c r="P2149" s="2" t="inlineStr">
        <is>
          <t>NSMI24100629104</t>
        </is>
      </c>
      <c r="Q2149" s="29">
        <f>MID(P2149,5,2)</f>
        <v/>
      </c>
      <c r="R2149" s="14">
        <f>MID(P2149,7,2)</f>
        <v/>
      </c>
      <c r="S2149" s="6" t="inlineStr">
        <is>
          <t>G2G</t>
        </is>
      </c>
      <c r="T2149" s="1" t="inlineStr">
        <is>
          <t>P4 - PEIPL</t>
        </is>
      </c>
      <c r="U2149" s="2" t="inlineStr">
        <is>
          <t xml:space="preserve">physically damaged </t>
        </is>
      </c>
      <c r="V2149" s="1" t="inlineStr">
        <is>
          <t>Inspection</t>
        </is>
      </c>
      <c r="W2149" s="1" t="inlineStr">
        <is>
          <t>Rejected</t>
        </is>
      </c>
      <c r="X2149" s="5">
        <f>Z2149</f>
        <v/>
      </c>
      <c r="Y2149" s="1">
        <f>X2149-A2149</f>
        <v/>
      </c>
      <c r="Z2149" s="5" t="n">
        <v>46198</v>
      </c>
      <c r="AA2149" s="3" t="n"/>
      <c r="AB2149" s="3" t="n"/>
      <c r="AE2149" s="146">
        <f>IF(AND(F2149="Closed",X2149&gt;=DATE(2026,6,1),X2149&lt;=DATE(2026,6,30)),"Closed in June","other")</f>
        <v/>
      </c>
    </row>
    <row r="2150" hidden="1">
      <c r="A2150" s="49" t="n">
        <v>46177</v>
      </c>
      <c r="B2150" s="1" t="n">
        <v>2026</v>
      </c>
      <c r="C2150" s="8" t="inlineStr">
        <is>
          <t>Ayana</t>
        </is>
      </c>
      <c r="D2150" s="11" t="inlineStr">
        <is>
          <t>Utility and C&amp;I</t>
        </is>
      </c>
      <c r="E2150" s="1" t="n"/>
      <c r="F2150" s="1" t="inlineStr">
        <is>
          <t>Closed</t>
        </is>
      </c>
      <c r="G2150" s="11" t="inlineStr">
        <is>
          <t>Vasu.N</t>
        </is>
      </c>
      <c r="H2150" s="8" t="n">
        <v>9578099893</v>
      </c>
      <c r="I2150" s="10" t="inlineStr">
        <is>
          <t>PE04062601</t>
        </is>
      </c>
      <c r="J2150" s="28" t="inlineStr">
        <is>
          <t>Module burnt</t>
        </is>
      </c>
      <c r="K2150" s="8" t="inlineStr">
        <is>
          <t>Zura</t>
        </is>
      </c>
      <c r="L2150" s="39" t="inlineStr">
        <is>
          <t>Gujarat</t>
        </is>
      </c>
      <c r="M2150" s="2" t="inlineStr">
        <is>
          <t xml:space="preserve">damage </t>
        </is>
      </c>
      <c r="N2150" s="6" t="inlineStr">
        <is>
          <t>Module Breakage</t>
        </is>
      </c>
      <c r="O2150" s="32" t="n">
        <v>590</v>
      </c>
      <c r="P2150" s="2" t="inlineStr">
        <is>
          <t>NSMI24110849176</t>
        </is>
      </c>
      <c r="Q2150" s="29">
        <f>MID(P2150,5,2)</f>
        <v/>
      </c>
      <c r="R2150" s="14">
        <f>MID(P2150,7,2)</f>
        <v/>
      </c>
      <c r="S2150" s="6" t="inlineStr">
        <is>
          <t>G2G</t>
        </is>
      </c>
      <c r="T2150" s="1" t="inlineStr">
        <is>
          <t>P4 - PEIPL</t>
        </is>
      </c>
      <c r="U2150" s="2" t="inlineStr">
        <is>
          <t xml:space="preserve">physically damaged </t>
        </is>
      </c>
      <c r="V2150" s="1" t="inlineStr">
        <is>
          <t>Inspection</t>
        </is>
      </c>
      <c r="W2150" s="1" t="inlineStr">
        <is>
          <t>Rejected</t>
        </is>
      </c>
      <c r="X2150" s="5">
        <f>Z2150</f>
        <v/>
      </c>
      <c r="Y2150" s="1">
        <f>X2150-A2150</f>
        <v/>
      </c>
      <c r="Z2150" s="5" t="n">
        <v>46198</v>
      </c>
      <c r="AA2150" s="3" t="n"/>
      <c r="AB2150" s="3" t="n"/>
      <c r="AE2150" s="146">
        <f>IF(AND(F2150="Closed",X2150&gt;=DATE(2026,6,1),X2150&lt;=DATE(2026,6,30)),"Closed in June","other")</f>
        <v/>
      </c>
    </row>
    <row r="2151" hidden="1">
      <c r="A2151" s="49" t="n">
        <v>46177</v>
      </c>
      <c r="B2151" s="1" t="n">
        <v>2026</v>
      </c>
      <c r="C2151" s="8" t="inlineStr">
        <is>
          <t>Ayana</t>
        </is>
      </c>
      <c r="D2151" s="11" t="inlineStr">
        <is>
          <t>Utility and C&amp;I</t>
        </is>
      </c>
      <c r="E2151" s="1" t="n"/>
      <c r="F2151" s="1" t="inlineStr">
        <is>
          <t>Closed</t>
        </is>
      </c>
      <c r="G2151" s="11" t="inlineStr">
        <is>
          <t>Vasu.N</t>
        </is>
      </c>
      <c r="H2151" s="8" t="n">
        <v>9578099893</v>
      </c>
      <c r="I2151" s="10" t="inlineStr">
        <is>
          <t>PE04062601</t>
        </is>
      </c>
      <c r="J2151" s="28" t="inlineStr">
        <is>
          <t>Module burnt</t>
        </is>
      </c>
      <c r="K2151" s="8" t="inlineStr">
        <is>
          <t>Zura</t>
        </is>
      </c>
      <c r="L2151" s="39" t="inlineStr">
        <is>
          <t>Gujarat</t>
        </is>
      </c>
      <c r="M2151" s="2" t="inlineStr">
        <is>
          <t xml:space="preserve">damage </t>
        </is>
      </c>
      <c r="N2151" s="6" t="inlineStr">
        <is>
          <t>Module Breakage</t>
        </is>
      </c>
      <c r="O2151" s="32" t="n">
        <v>590</v>
      </c>
      <c r="P2151" s="2" t="inlineStr">
        <is>
          <t>NSMI24110848335</t>
        </is>
      </c>
      <c r="Q2151" s="29">
        <f>MID(P2151,5,2)</f>
        <v/>
      </c>
      <c r="R2151" s="14">
        <f>MID(P2151,7,2)</f>
        <v/>
      </c>
      <c r="S2151" s="6" t="inlineStr">
        <is>
          <t>G2G</t>
        </is>
      </c>
      <c r="T2151" s="1" t="inlineStr">
        <is>
          <t>P4 - PEIPL</t>
        </is>
      </c>
      <c r="U2151" s="2" t="inlineStr">
        <is>
          <t xml:space="preserve">physically damaged </t>
        </is>
      </c>
      <c r="V2151" s="1" t="inlineStr">
        <is>
          <t>Inspection</t>
        </is>
      </c>
      <c r="W2151" s="1" t="inlineStr">
        <is>
          <t>Rejected</t>
        </is>
      </c>
      <c r="X2151" s="5">
        <f>Z2151</f>
        <v/>
      </c>
      <c r="Y2151" s="1">
        <f>X2151-A2151</f>
        <v/>
      </c>
      <c r="Z2151" s="5" t="n">
        <v>46198</v>
      </c>
      <c r="AA2151" s="3" t="n"/>
      <c r="AB2151" s="3" t="n"/>
      <c r="AE2151" s="146">
        <f>IF(AND(F2151="Closed",X2151&gt;=DATE(2026,6,1),X2151&lt;=DATE(2026,6,30)),"Closed in June","other")</f>
        <v/>
      </c>
    </row>
    <row r="2152" hidden="1">
      <c r="A2152" s="49" t="n">
        <v>46177</v>
      </c>
      <c r="B2152" s="1" t="n">
        <v>2026</v>
      </c>
      <c r="C2152" s="8" t="inlineStr">
        <is>
          <t>Ayana</t>
        </is>
      </c>
      <c r="D2152" s="11" t="inlineStr">
        <is>
          <t>Utility and C&amp;I</t>
        </is>
      </c>
      <c r="E2152" s="1" t="n"/>
      <c r="F2152" s="1" t="inlineStr">
        <is>
          <t>Closed</t>
        </is>
      </c>
      <c r="G2152" s="11" t="inlineStr">
        <is>
          <t>Vasu.N</t>
        </is>
      </c>
      <c r="H2152" s="8" t="n">
        <v>9578099893</v>
      </c>
      <c r="I2152" s="10" t="inlineStr">
        <is>
          <t>PE04062601</t>
        </is>
      </c>
      <c r="J2152" s="28" t="inlineStr">
        <is>
          <t>Module burnt</t>
        </is>
      </c>
      <c r="K2152" s="8" t="inlineStr">
        <is>
          <t>Zura</t>
        </is>
      </c>
      <c r="L2152" s="39" t="inlineStr">
        <is>
          <t>Gujarat</t>
        </is>
      </c>
      <c r="M2152" s="2" t="inlineStr">
        <is>
          <t xml:space="preserve">damage </t>
        </is>
      </c>
      <c r="N2152" s="6" t="inlineStr">
        <is>
          <t>Module Breakage</t>
        </is>
      </c>
      <c r="O2152" s="32" t="n">
        <v>590</v>
      </c>
      <c r="P2152" s="2" t="inlineStr">
        <is>
          <t>NSMI24100607581</t>
        </is>
      </c>
      <c r="Q2152" s="29">
        <f>MID(P2152,5,2)</f>
        <v/>
      </c>
      <c r="R2152" s="14">
        <f>MID(P2152,7,2)</f>
        <v/>
      </c>
      <c r="S2152" s="6" t="inlineStr">
        <is>
          <t>G2G</t>
        </is>
      </c>
      <c r="T2152" s="1" t="inlineStr">
        <is>
          <t>P4 - PEIPL</t>
        </is>
      </c>
      <c r="U2152" s="2" t="inlineStr">
        <is>
          <t xml:space="preserve">physically damaged </t>
        </is>
      </c>
      <c r="V2152" s="1" t="inlineStr">
        <is>
          <t>Inspection</t>
        </is>
      </c>
      <c r="W2152" s="1" t="inlineStr">
        <is>
          <t>Rejected</t>
        </is>
      </c>
      <c r="X2152" s="5">
        <f>Z2152</f>
        <v/>
      </c>
      <c r="Y2152" s="1">
        <f>X2152-A2152</f>
        <v/>
      </c>
      <c r="Z2152" s="5" t="n">
        <v>46198</v>
      </c>
      <c r="AA2152" s="3" t="n"/>
      <c r="AB2152" s="3" t="n"/>
      <c r="AE2152" s="146">
        <f>IF(AND(F2152="Closed",X2152&gt;=DATE(2026,6,1),X2152&lt;=DATE(2026,6,30)),"Closed in June","other")</f>
        <v/>
      </c>
    </row>
    <row r="2153" hidden="1">
      <c r="A2153" s="49" t="n">
        <v>46177</v>
      </c>
      <c r="B2153" s="1" t="n">
        <v>2026</v>
      </c>
      <c r="C2153" s="8" t="inlineStr">
        <is>
          <t>Ayana</t>
        </is>
      </c>
      <c r="D2153" s="11" t="inlineStr">
        <is>
          <t>Utility and C&amp;I</t>
        </is>
      </c>
      <c r="E2153" s="1" t="n"/>
      <c r="F2153" s="1" t="inlineStr">
        <is>
          <t>WIP</t>
        </is>
      </c>
      <c r="G2153" s="11" t="inlineStr">
        <is>
          <t>Vasu.N</t>
        </is>
      </c>
      <c r="H2153" s="8" t="n">
        <v>9578099893</v>
      </c>
      <c r="I2153" s="10" t="inlineStr">
        <is>
          <t>PE04062601</t>
        </is>
      </c>
      <c r="J2153" s="28" t="inlineStr">
        <is>
          <t>Module burnt</t>
        </is>
      </c>
      <c r="K2153" s="8" t="inlineStr">
        <is>
          <t>Zura</t>
        </is>
      </c>
      <c r="L2153" s="39" t="inlineStr">
        <is>
          <t>Gujarat</t>
        </is>
      </c>
      <c r="M2153" s="2" t="inlineStr">
        <is>
          <t xml:space="preserve">damage </t>
        </is>
      </c>
      <c r="N2153" s="6" t="inlineStr">
        <is>
          <t>Module Breakage</t>
        </is>
      </c>
      <c r="O2153" s="32" t="n">
        <v>590</v>
      </c>
      <c r="P2153" s="2" t="inlineStr">
        <is>
          <t>NSMI24100616027</t>
        </is>
      </c>
      <c r="Q2153" s="29">
        <f>MID(P2153,5,2)</f>
        <v/>
      </c>
      <c r="R2153" s="14">
        <f>MID(P2153,7,2)</f>
        <v/>
      </c>
      <c r="S2153" s="6" t="inlineStr">
        <is>
          <t>G2G</t>
        </is>
      </c>
      <c r="T2153" s="1" t="inlineStr">
        <is>
          <t>P4 - PEIPL</t>
        </is>
      </c>
      <c r="U2153" s="2" t="inlineStr">
        <is>
          <t>Frame Damaged</t>
        </is>
      </c>
      <c r="V2153" s="1" t="inlineStr">
        <is>
          <t>Inspection</t>
        </is>
      </c>
      <c r="W2153" s="1" t="inlineStr">
        <is>
          <t>WIP</t>
        </is>
      </c>
      <c r="X2153" s="12" t="n"/>
      <c r="Y2153" s="1">
        <f>IF(X2153="","",X2153-A2153)</f>
        <v/>
      </c>
      <c r="Z2153" s="5" t="n">
        <v>46198</v>
      </c>
      <c r="AA2153" s="3" t="n"/>
      <c r="AB2153" s="3" t="n"/>
      <c r="AE2153" s="146">
        <f>IF(AND(F2153="Closed",X2153&gt;=DATE(2026,6,1),X2153&lt;=DATE(2026,6,30)),"Closed in June","other")</f>
        <v/>
      </c>
    </row>
    <row r="2154" hidden="1">
      <c r="A2154" s="49" t="n">
        <v>46177</v>
      </c>
      <c r="B2154" s="1" t="n">
        <v>2026</v>
      </c>
      <c r="C2154" s="8" t="inlineStr">
        <is>
          <t>Ayana</t>
        </is>
      </c>
      <c r="D2154" s="11" t="inlineStr">
        <is>
          <t>Utility and C&amp;I</t>
        </is>
      </c>
      <c r="E2154" s="1" t="n"/>
      <c r="F2154" s="1" t="inlineStr">
        <is>
          <t>Closed</t>
        </is>
      </c>
      <c r="G2154" s="11" t="inlineStr">
        <is>
          <t>Vasu.N</t>
        </is>
      </c>
      <c r="H2154" s="8" t="n">
        <v>9578099893</v>
      </c>
      <c r="I2154" s="10" t="inlineStr">
        <is>
          <t>PE04062601</t>
        </is>
      </c>
      <c r="J2154" s="28" t="inlineStr">
        <is>
          <t>Module burnt</t>
        </is>
      </c>
      <c r="K2154" s="8" t="inlineStr">
        <is>
          <t>Zura</t>
        </is>
      </c>
      <c r="L2154" s="39" t="inlineStr">
        <is>
          <t>Gujarat</t>
        </is>
      </c>
      <c r="M2154" s="2" t="inlineStr">
        <is>
          <t xml:space="preserve">damage </t>
        </is>
      </c>
      <c r="N2154" s="6" t="inlineStr">
        <is>
          <t>Module Breakage</t>
        </is>
      </c>
      <c r="O2154" s="32" t="n">
        <v>590</v>
      </c>
      <c r="P2154" s="2" t="inlineStr">
        <is>
          <t>NSMI24100614643</t>
        </is>
      </c>
      <c r="Q2154" s="29">
        <f>MID(P2154,5,2)</f>
        <v/>
      </c>
      <c r="R2154" s="14">
        <f>MID(P2154,7,2)</f>
        <v/>
      </c>
      <c r="S2154" s="6" t="inlineStr">
        <is>
          <t>G2G</t>
        </is>
      </c>
      <c r="T2154" s="1" t="inlineStr">
        <is>
          <t>P4 - PEIPL</t>
        </is>
      </c>
      <c r="U2154" s="2" t="inlineStr">
        <is>
          <t xml:space="preserve">physically damaged </t>
        </is>
      </c>
      <c r="V2154" s="1" t="inlineStr">
        <is>
          <t>Inspection</t>
        </is>
      </c>
      <c r="W2154" s="1" t="inlineStr">
        <is>
          <t>Rejected</t>
        </is>
      </c>
      <c r="X2154" s="5">
        <f>Z2154</f>
        <v/>
      </c>
      <c r="Y2154" s="1">
        <f>X2154-A2154</f>
        <v/>
      </c>
      <c r="Z2154" s="5" t="n">
        <v>46198</v>
      </c>
      <c r="AA2154" s="3" t="n"/>
      <c r="AB2154" s="3" t="n"/>
      <c r="AE2154" s="146">
        <f>IF(AND(F2154="Closed",X2154&gt;=DATE(2026,6,1),X2154&lt;=DATE(2026,6,30)),"Closed in June","other")</f>
        <v/>
      </c>
    </row>
    <row r="2155" hidden="1">
      <c r="A2155" s="49" t="n">
        <v>46177</v>
      </c>
      <c r="B2155" s="1" t="n">
        <v>2026</v>
      </c>
      <c r="C2155" s="8" t="inlineStr">
        <is>
          <t>Ayana</t>
        </is>
      </c>
      <c r="D2155" s="11" t="inlineStr">
        <is>
          <t>Utility and C&amp;I</t>
        </is>
      </c>
      <c r="E2155" s="1" t="n"/>
      <c r="F2155" s="1" t="inlineStr">
        <is>
          <t>Closed</t>
        </is>
      </c>
      <c r="G2155" s="11" t="inlineStr">
        <is>
          <t>Vasu.N</t>
        </is>
      </c>
      <c r="H2155" s="8" t="n">
        <v>9578099893</v>
      </c>
      <c r="I2155" s="10" t="inlineStr">
        <is>
          <t>PE04062601</t>
        </is>
      </c>
      <c r="J2155" s="28" t="inlineStr">
        <is>
          <t>Module burnt</t>
        </is>
      </c>
      <c r="K2155" s="8" t="inlineStr">
        <is>
          <t>Zura</t>
        </is>
      </c>
      <c r="L2155" s="39" t="inlineStr">
        <is>
          <t>Gujarat</t>
        </is>
      </c>
      <c r="M2155" s="2" t="inlineStr">
        <is>
          <t xml:space="preserve">damage </t>
        </is>
      </c>
      <c r="N2155" s="6" t="inlineStr">
        <is>
          <t>Module Breakage</t>
        </is>
      </c>
      <c r="O2155" s="32" t="n">
        <v>590</v>
      </c>
      <c r="P2155" s="2" t="inlineStr">
        <is>
          <t>NSMI24100614648</t>
        </is>
      </c>
      <c r="Q2155" s="29">
        <f>MID(P2155,5,2)</f>
        <v/>
      </c>
      <c r="R2155" s="14">
        <f>MID(P2155,7,2)</f>
        <v/>
      </c>
      <c r="S2155" s="6" t="inlineStr">
        <is>
          <t>G2G</t>
        </is>
      </c>
      <c r="T2155" s="1" t="inlineStr">
        <is>
          <t>P4 - PEIPL</t>
        </is>
      </c>
      <c r="U2155" s="2" t="inlineStr">
        <is>
          <t xml:space="preserve">physically damaged </t>
        </is>
      </c>
      <c r="V2155" s="1" t="inlineStr">
        <is>
          <t>Inspection</t>
        </is>
      </c>
      <c r="W2155" s="1" t="inlineStr">
        <is>
          <t>Rejected</t>
        </is>
      </c>
      <c r="X2155" s="5">
        <f>Z2155</f>
        <v/>
      </c>
      <c r="Y2155" s="1">
        <f>X2155-A2155</f>
        <v/>
      </c>
      <c r="Z2155" s="5" t="n">
        <v>46198</v>
      </c>
      <c r="AA2155" s="3" t="n"/>
      <c r="AB2155" s="3" t="n"/>
      <c r="AE2155" s="146">
        <f>IF(AND(F2155="Closed",X2155&gt;=DATE(2026,6,1),X2155&lt;=DATE(2026,6,30)),"Closed in June","other")</f>
        <v/>
      </c>
    </row>
    <row r="2156" hidden="1">
      <c r="A2156" s="49" t="n">
        <v>46177</v>
      </c>
      <c r="B2156" s="1" t="n">
        <v>2026</v>
      </c>
      <c r="C2156" s="8" t="inlineStr">
        <is>
          <t>Ayana</t>
        </is>
      </c>
      <c r="D2156" s="11" t="inlineStr">
        <is>
          <t>Utility and C&amp;I</t>
        </is>
      </c>
      <c r="E2156" s="1" t="n"/>
      <c r="F2156" s="1" t="inlineStr">
        <is>
          <t>Closed</t>
        </is>
      </c>
      <c r="G2156" s="11" t="inlineStr">
        <is>
          <t>Vasu.N</t>
        </is>
      </c>
      <c r="H2156" s="8" t="n">
        <v>9578099893</v>
      </c>
      <c r="I2156" s="10" t="inlineStr">
        <is>
          <t>PE04062601</t>
        </is>
      </c>
      <c r="J2156" s="28" t="inlineStr">
        <is>
          <t>Module burnt</t>
        </is>
      </c>
      <c r="K2156" s="8" t="inlineStr">
        <is>
          <t>Zura</t>
        </is>
      </c>
      <c r="L2156" s="39" t="inlineStr">
        <is>
          <t>Gujarat</t>
        </is>
      </c>
      <c r="M2156" s="2" t="inlineStr">
        <is>
          <t xml:space="preserve">damage </t>
        </is>
      </c>
      <c r="N2156" s="6" t="inlineStr">
        <is>
          <t>Module Breakage</t>
        </is>
      </c>
      <c r="O2156" s="32" t="n">
        <v>590</v>
      </c>
      <c r="P2156" s="2" t="inlineStr">
        <is>
          <t>NSMI24110825226</t>
        </is>
      </c>
      <c r="Q2156" s="29">
        <f>MID(P2156,5,2)</f>
        <v/>
      </c>
      <c r="R2156" s="14">
        <f>MID(P2156,7,2)</f>
        <v/>
      </c>
      <c r="S2156" s="6" t="inlineStr">
        <is>
          <t>G2G</t>
        </is>
      </c>
      <c r="T2156" s="1" t="inlineStr">
        <is>
          <t>P4 - PEIPL</t>
        </is>
      </c>
      <c r="U2156" s="2" t="inlineStr">
        <is>
          <t xml:space="preserve">physically damaged </t>
        </is>
      </c>
      <c r="V2156" s="1" t="inlineStr">
        <is>
          <t>Inspection</t>
        </is>
      </c>
      <c r="W2156" s="1" t="inlineStr">
        <is>
          <t>Rejected</t>
        </is>
      </c>
      <c r="X2156" s="5">
        <f>Z2156</f>
        <v/>
      </c>
      <c r="Y2156" s="1">
        <f>X2156-A2156</f>
        <v/>
      </c>
      <c r="Z2156" s="5" t="n">
        <v>46198</v>
      </c>
      <c r="AA2156" s="3" t="n"/>
      <c r="AB2156" s="3" t="n"/>
      <c r="AE2156" s="146">
        <f>IF(AND(F2156="Closed",X2156&gt;=DATE(2026,6,1),X2156&lt;=DATE(2026,6,30)),"Closed in June","other")</f>
        <v/>
      </c>
    </row>
    <row r="2157" hidden="1">
      <c r="A2157" s="49" t="n">
        <v>46177</v>
      </c>
      <c r="B2157" s="1" t="n">
        <v>2026</v>
      </c>
      <c r="C2157" s="8" t="inlineStr">
        <is>
          <t>Ayana</t>
        </is>
      </c>
      <c r="D2157" s="11" t="inlineStr">
        <is>
          <t>Utility and C&amp;I</t>
        </is>
      </c>
      <c r="E2157" s="1" t="n"/>
      <c r="F2157" s="1" t="inlineStr">
        <is>
          <t>Closed</t>
        </is>
      </c>
      <c r="G2157" s="11" t="inlineStr">
        <is>
          <t>Vasu.N</t>
        </is>
      </c>
      <c r="H2157" s="8" t="n">
        <v>9578099893</v>
      </c>
      <c r="I2157" s="10" t="inlineStr">
        <is>
          <t>PE04062601</t>
        </is>
      </c>
      <c r="J2157" s="28" t="inlineStr">
        <is>
          <t>Module burnt</t>
        </is>
      </c>
      <c r="K2157" s="8" t="inlineStr">
        <is>
          <t>Zura</t>
        </is>
      </c>
      <c r="L2157" s="39" t="inlineStr">
        <is>
          <t>Gujarat</t>
        </is>
      </c>
      <c r="M2157" s="2" t="inlineStr">
        <is>
          <t xml:space="preserve">damage </t>
        </is>
      </c>
      <c r="N2157" s="6" t="inlineStr">
        <is>
          <t>Module Breakage</t>
        </is>
      </c>
      <c r="O2157" s="32" t="n">
        <v>590</v>
      </c>
      <c r="P2157" s="2" t="inlineStr">
        <is>
          <t>NSMI24110808513</t>
        </is>
      </c>
      <c r="Q2157" s="29">
        <f>MID(P2157,5,2)</f>
        <v/>
      </c>
      <c r="R2157" s="14">
        <f>MID(P2157,7,2)</f>
        <v/>
      </c>
      <c r="S2157" s="6" t="inlineStr">
        <is>
          <t>G2G</t>
        </is>
      </c>
      <c r="T2157" s="1" t="inlineStr">
        <is>
          <t>P4 - PEIPL</t>
        </is>
      </c>
      <c r="U2157" s="2" t="inlineStr">
        <is>
          <t xml:space="preserve">physically damaged </t>
        </is>
      </c>
      <c r="V2157" s="1" t="inlineStr">
        <is>
          <t>Inspection</t>
        </is>
      </c>
      <c r="W2157" s="1" t="inlineStr">
        <is>
          <t>Rejected</t>
        </is>
      </c>
      <c r="X2157" s="5">
        <f>Z2157</f>
        <v/>
      </c>
      <c r="Y2157" s="1">
        <f>X2157-A2157</f>
        <v/>
      </c>
      <c r="Z2157" s="5" t="n">
        <v>46198</v>
      </c>
      <c r="AA2157" s="3" t="n"/>
      <c r="AB2157" s="3" t="n"/>
      <c r="AE2157" s="146">
        <f>IF(AND(F2157="Closed",X2157&gt;=DATE(2026,6,1),X2157&lt;=DATE(2026,6,30)),"Closed in June","other")</f>
        <v/>
      </c>
    </row>
    <row r="2158" hidden="1">
      <c r="A2158" s="49" t="n">
        <v>46177</v>
      </c>
      <c r="B2158" s="1" t="n">
        <v>2026</v>
      </c>
      <c r="C2158" s="8" t="inlineStr">
        <is>
          <t>Ayana</t>
        </is>
      </c>
      <c r="D2158" s="11" t="inlineStr">
        <is>
          <t>Utility and C&amp;I</t>
        </is>
      </c>
      <c r="E2158" s="1" t="n"/>
      <c r="F2158" s="1" t="inlineStr">
        <is>
          <t>Closed</t>
        </is>
      </c>
      <c r="G2158" s="11" t="inlineStr">
        <is>
          <t>Vasu.N</t>
        </is>
      </c>
      <c r="H2158" s="8" t="n">
        <v>9578099893</v>
      </c>
      <c r="I2158" s="10" t="inlineStr">
        <is>
          <t>PE04062601</t>
        </is>
      </c>
      <c r="J2158" s="28" t="inlineStr">
        <is>
          <t>Module burnt</t>
        </is>
      </c>
      <c r="K2158" s="8" t="inlineStr">
        <is>
          <t>Zura</t>
        </is>
      </c>
      <c r="L2158" s="39" t="inlineStr">
        <is>
          <t>Gujarat</t>
        </is>
      </c>
      <c r="M2158" s="2" t="inlineStr">
        <is>
          <t xml:space="preserve">damage </t>
        </is>
      </c>
      <c r="N2158" s="6" t="inlineStr">
        <is>
          <t>Module Breakage</t>
        </is>
      </c>
      <c r="O2158" s="32" t="n">
        <v>590</v>
      </c>
      <c r="P2158" s="2" t="inlineStr">
        <is>
          <t>NSMI24110792525</t>
        </is>
      </c>
      <c r="Q2158" s="29">
        <f>MID(P2158,5,2)</f>
        <v/>
      </c>
      <c r="R2158" s="14">
        <f>MID(P2158,7,2)</f>
        <v/>
      </c>
      <c r="S2158" s="6" t="inlineStr">
        <is>
          <t>G2G</t>
        </is>
      </c>
      <c r="T2158" s="1" t="inlineStr">
        <is>
          <t>P4 - PEIPL</t>
        </is>
      </c>
      <c r="U2158" s="2" t="inlineStr">
        <is>
          <t xml:space="preserve">physically damaged </t>
        </is>
      </c>
      <c r="V2158" s="1" t="inlineStr">
        <is>
          <t>Inspection</t>
        </is>
      </c>
      <c r="W2158" s="1" t="inlineStr">
        <is>
          <t>Rejected</t>
        </is>
      </c>
      <c r="X2158" s="5">
        <f>Z2158</f>
        <v/>
      </c>
      <c r="Y2158" s="1">
        <f>X2158-A2158</f>
        <v/>
      </c>
      <c r="Z2158" s="5" t="n">
        <v>46198</v>
      </c>
      <c r="AA2158" s="3" t="n"/>
      <c r="AB2158" s="3" t="n"/>
      <c r="AE2158" s="146">
        <f>IF(AND(F2158="Closed",X2158&gt;=DATE(2026,6,1),X2158&lt;=DATE(2026,6,30)),"Closed in June","other")</f>
        <v/>
      </c>
    </row>
    <row r="2159" hidden="1">
      <c r="A2159" s="49" t="n">
        <v>46177</v>
      </c>
      <c r="B2159" s="1" t="n">
        <v>2026</v>
      </c>
      <c r="C2159" s="8" t="inlineStr">
        <is>
          <t>Ayana</t>
        </is>
      </c>
      <c r="D2159" s="11" t="inlineStr">
        <is>
          <t>Utility and C&amp;I</t>
        </is>
      </c>
      <c r="E2159" s="1" t="n"/>
      <c r="F2159" s="1" t="inlineStr">
        <is>
          <t>Closed</t>
        </is>
      </c>
      <c r="G2159" s="11" t="inlineStr">
        <is>
          <t>Vasu.N</t>
        </is>
      </c>
      <c r="H2159" s="8" t="n">
        <v>9578099893</v>
      </c>
      <c r="I2159" s="10" t="inlineStr">
        <is>
          <t>PE04062601</t>
        </is>
      </c>
      <c r="J2159" s="28" t="inlineStr">
        <is>
          <t>Module burnt</t>
        </is>
      </c>
      <c r="K2159" s="8" t="inlineStr">
        <is>
          <t>Zura</t>
        </is>
      </c>
      <c r="L2159" s="39" t="inlineStr">
        <is>
          <t>Gujarat</t>
        </is>
      </c>
      <c r="M2159" s="2" t="inlineStr">
        <is>
          <t xml:space="preserve">damage </t>
        </is>
      </c>
      <c r="N2159" s="6" t="inlineStr">
        <is>
          <t>Module Breakage</t>
        </is>
      </c>
      <c r="O2159" s="32" t="n">
        <v>590</v>
      </c>
      <c r="P2159" s="2" t="inlineStr">
        <is>
          <t>NSMI24110823814</t>
        </is>
      </c>
      <c r="Q2159" s="29">
        <f>MID(P2159,5,2)</f>
        <v/>
      </c>
      <c r="R2159" s="14">
        <f>MID(P2159,7,2)</f>
        <v/>
      </c>
      <c r="S2159" s="6" t="inlineStr">
        <is>
          <t>G2G</t>
        </is>
      </c>
      <c r="T2159" s="1" t="inlineStr">
        <is>
          <t>P4 - PEIPL</t>
        </is>
      </c>
      <c r="U2159" s="2" t="inlineStr">
        <is>
          <t xml:space="preserve">physically damaged </t>
        </is>
      </c>
      <c r="V2159" s="1" t="inlineStr">
        <is>
          <t>Inspection</t>
        </is>
      </c>
      <c r="W2159" s="1" t="inlineStr">
        <is>
          <t>Rejected</t>
        </is>
      </c>
      <c r="X2159" s="5">
        <f>Z2159</f>
        <v/>
      </c>
      <c r="Y2159" s="1">
        <f>X2159-A2159</f>
        <v/>
      </c>
      <c r="Z2159" s="5" t="n">
        <v>46198</v>
      </c>
      <c r="AA2159" s="3" t="n"/>
      <c r="AB2159" s="3" t="n"/>
      <c r="AE2159" s="146">
        <f>IF(AND(F2159="Closed",X2159&gt;=DATE(2026,6,1),X2159&lt;=DATE(2026,6,30)),"Closed in June","other")</f>
        <v/>
      </c>
    </row>
    <row r="2160" hidden="1">
      <c r="A2160" s="49" t="n">
        <v>46177</v>
      </c>
      <c r="B2160" s="1" t="n">
        <v>2026</v>
      </c>
      <c r="C2160" s="8" t="inlineStr">
        <is>
          <t>Ayana</t>
        </is>
      </c>
      <c r="D2160" s="11" t="inlineStr">
        <is>
          <t>Utility and C&amp;I</t>
        </is>
      </c>
      <c r="E2160" s="1" t="n"/>
      <c r="F2160" s="1" t="inlineStr">
        <is>
          <t>Closed</t>
        </is>
      </c>
      <c r="G2160" s="11" t="inlineStr">
        <is>
          <t>Vasu.N</t>
        </is>
      </c>
      <c r="H2160" s="8" t="n">
        <v>9578099893</v>
      </c>
      <c r="I2160" s="10" t="inlineStr">
        <is>
          <t>PE04062601</t>
        </is>
      </c>
      <c r="J2160" s="28" t="inlineStr">
        <is>
          <t>Module burnt</t>
        </is>
      </c>
      <c r="K2160" s="8" t="inlineStr">
        <is>
          <t>Zura</t>
        </is>
      </c>
      <c r="L2160" s="39" t="inlineStr">
        <is>
          <t>Gujarat</t>
        </is>
      </c>
      <c r="M2160" s="2" t="inlineStr">
        <is>
          <t xml:space="preserve">damage </t>
        </is>
      </c>
      <c r="N2160" s="6" t="inlineStr">
        <is>
          <t>Module Breakage</t>
        </is>
      </c>
      <c r="O2160" s="32" t="n">
        <v>590</v>
      </c>
      <c r="P2160" s="2" t="inlineStr">
        <is>
          <t>NSMI24110820869</t>
        </is>
      </c>
      <c r="Q2160" s="29">
        <f>MID(P2160,5,2)</f>
        <v/>
      </c>
      <c r="R2160" s="14">
        <f>MID(P2160,7,2)</f>
        <v/>
      </c>
      <c r="S2160" s="6" t="inlineStr">
        <is>
          <t>G2G</t>
        </is>
      </c>
      <c r="T2160" s="1" t="inlineStr">
        <is>
          <t>P4 - PEIPL</t>
        </is>
      </c>
      <c r="U2160" s="2" t="inlineStr">
        <is>
          <t xml:space="preserve">physically damaged </t>
        </is>
      </c>
      <c r="V2160" s="1" t="inlineStr">
        <is>
          <t>Inspection</t>
        </is>
      </c>
      <c r="W2160" s="1" t="inlineStr">
        <is>
          <t>Rejected</t>
        </is>
      </c>
      <c r="X2160" s="5">
        <f>Z2160</f>
        <v/>
      </c>
      <c r="Y2160" s="1">
        <f>X2160-A2160</f>
        <v/>
      </c>
      <c r="Z2160" s="5" t="n">
        <v>46198</v>
      </c>
      <c r="AA2160" s="3" t="n"/>
      <c r="AB2160" s="3" t="n"/>
      <c r="AE2160" s="146">
        <f>IF(AND(F2160="Closed",X2160&gt;=DATE(2026,6,1),X2160&lt;=DATE(2026,6,30)),"Closed in June","other")</f>
        <v/>
      </c>
    </row>
    <row r="2161" hidden="1">
      <c r="A2161" s="49" t="n">
        <v>46177</v>
      </c>
      <c r="B2161" s="1" t="n">
        <v>2026</v>
      </c>
      <c r="C2161" s="8" t="inlineStr">
        <is>
          <t>Ayana</t>
        </is>
      </c>
      <c r="D2161" s="11" t="inlineStr">
        <is>
          <t>Utility and C&amp;I</t>
        </is>
      </c>
      <c r="E2161" s="1" t="n"/>
      <c r="F2161" s="1" t="inlineStr">
        <is>
          <t>Closed</t>
        </is>
      </c>
      <c r="G2161" s="11" t="inlineStr">
        <is>
          <t>Vasu.N</t>
        </is>
      </c>
      <c r="H2161" s="8" t="n">
        <v>9578099893</v>
      </c>
      <c r="I2161" s="10" t="inlineStr">
        <is>
          <t>PE04062601</t>
        </is>
      </c>
      <c r="J2161" s="28" t="inlineStr">
        <is>
          <t>Module burnt</t>
        </is>
      </c>
      <c r="K2161" s="8" t="inlineStr">
        <is>
          <t>Zura</t>
        </is>
      </c>
      <c r="L2161" s="39" t="inlineStr">
        <is>
          <t>Gujarat</t>
        </is>
      </c>
      <c r="M2161" s="2" t="inlineStr">
        <is>
          <t xml:space="preserve">damage </t>
        </is>
      </c>
      <c r="N2161" s="6" t="inlineStr">
        <is>
          <t>Module Breakage</t>
        </is>
      </c>
      <c r="O2161" s="32" t="n">
        <v>590</v>
      </c>
      <c r="P2161" s="2" t="inlineStr">
        <is>
          <t>NSMI24100633715</t>
        </is>
      </c>
      <c r="Q2161" s="29">
        <f>MID(P2161,5,2)</f>
        <v/>
      </c>
      <c r="R2161" s="14">
        <f>MID(P2161,7,2)</f>
        <v/>
      </c>
      <c r="S2161" s="6" t="inlineStr">
        <is>
          <t>G2G</t>
        </is>
      </c>
      <c r="T2161" s="1" t="inlineStr">
        <is>
          <t>P4 - PEIPL</t>
        </is>
      </c>
      <c r="U2161" s="2" t="inlineStr">
        <is>
          <t xml:space="preserve">physically damaged </t>
        </is>
      </c>
      <c r="V2161" s="1" t="inlineStr">
        <is>
          <t>Inspection</t>
        </is>
      </c>
      <c r="W2161" s="1" t="inlineStr">
        <is>
          <t>Rejected</t>
        </is>
      </c>
      <c r="X2161" s="5">
        <f>Z2161</f>
        <v/>
      </c>
      <c r="Y2161" s="1">
        <f>X2161-A2161</f>
        <v/>
      </c>
      <c r="Z2161" s="5" t="n">
        <v>46198</v>
      </c>
      <c r="AA2161" s="3" t="n"/>
      <c r="AB2161" s="3" t="n"/>
      <c r="AE2161" s="146">
        <f>IF(AND(F2161="Closed",X2161&gt;=DATE(2026,6,1),X2161&lt;=DATE(2026,6,30)),"Closed in June","other")</f>
        <v/>
      </c>
    </row>
    <row r="2162" hidden="1">
      <c r="A2162" s="49" t="n">
        <v>46177</v>
      </c>
      <c r="B2162" s="1" t="n">
        <v>2026</v>
      </c>
      <c r="C2162" s="8" t="inlineStr">
        <is>
          <t>Ayana</t>
        </is>
      </c>
      <c r="D2162" s="11" t="inlineStr">
        <is>
          <t>Utility and C&amp;I</t>
        </is>
      </c>
      <c r="E2162" s="1" t="n"/>
      <c r="F2162" s="1" t="inlineStr">
        <is>
          <t>Closed</t>
        </is>
      </c>
      <c r="G2162" s="11" t="inlineStr">
        <is>
          <t>Vasu.N</t>
        </is>
      </c>
      <c r="H2162" s="8" t="n">
        <v>9578099893</v>
      </c>
      <c r="I2162" s="10" t="inlineStr">
        <is>
          <t>PE04062601</t>
        </is>
      </c>
      <c r="J2162" s="28" t="inlineStr">
        <is>
          <t>Module burnt</t>
        </is>
      </c>
      <c r="K2162" s="8" t="inlineStr">
        <is>
          <t>Zura</t>
        </is>
      </c>
      <c r="L2162" s="39" t="inlineStr">
        <is>
          <t>Gujarat</t>
        </is>
      </c>
      <c r="M2162" s="2" t="inlineStr">
        <is>
          <t xml:space="preserve">damage </t>
        </is>
      </c>
      <c r="N2162" s="6" t="inlineStr">
        <is>
          <t>Module Breakage</t>
        </is>
      </c>
      <c r="O2162" s="32" t="n">
        <v>590</v>
      </c>
      <c r="P2162" s="2" t="inlineStr">
        <is>
          <t>NSMI24110805428</t>
        </is>
      </c>
      <c r="Q2162" s="29">
        <f>MID(P2162,5,2)</f>
        <v/>
      </c>
      <c r="R2162" s="14">
        <f>MID(P2162,7,2)</f>
        <v/>
      </c>
      <c r="S2162" s="6" t="inlineStr">
        <is>
          <t>G2G</t>
        </is>
      </c>
      <c r="T2162" s="1" t="inlineStr">
        <is>
          <t>P4 - PEIPL</t>
        </is>
      </c>
      <c r="U2162" s="2" t="inlineStr">
        <is>
          <t xml:space="preserve">physically damaged </t>
        </is>
      </c>
      <c r="V2162" s="1" t="inlineStr">
        <is>
          <t>Inspection</t>
        </is>
      </c>
      <c r="W2162" s="1" t="inlineStr">
        <is>
          <t>Rejected</t>
        </is>
      </c>
      <c r="X2162" s="5">
        <f>Z2162</f>
        <v/>
      </c>
      <c r="Y2162" s="1">
        <f>X2162-A2162</f>
        <v/>
      </c>
      <c r="Z2162" s="5" t="n">
        <v>46198</v>
      </c>
      <c r="AA2162" s="3" t="n"/>
      <c r="AB2162" s="3" t="n"/>
      <c r="AE2162" s="146">
        <f>IF(AND(F2162="Closed",X2162&gt;=DATE(2026,6,1),X2162&lt;=DATE(2026,6,30)),"Closed in June","other")</f>
        <v/>
      </c>
    </row>
    <row r="2163" hidden="1">
      <c r="A2163" s="49" t="n">
        <v>46177</v>
      </c>
      <c r="B2163" s="1" t="n">
        <v>2026</v>
      </c>
      <c r="C2163" s="8" t="inlineStr">
        <is>
          <t>Ayana</t>
        </is>
      </c>
      <c r="D2163" s="11" t="inlineStr">
        <is>
          <t>Utility and C&amp;I</t>
        </is>
      </c>
      <c r="E2163" s="1" t="n"/>
      <c r="F2163" s="1" t="inlineStr">
        <is>
          <t>Closed</t>
        </is>
      </c>
      <c r="G2163" s="11" t="inlineStr">
        <is>
          <t>Vasu.N</t>
        </is>
      </c>
      <c r="H2163" s="8" t="n">
        <v>9578099893</v>
      </c>
      <c r="I2163" s="10" t="inlineStr">
        <is>
          <t>PE04062601</t>
        </is>
      </c>
      <c r="J2163" s="28" t="inlineStr">
        <is>
          <t>Module burnt</t>
        </is>
      </c>
      <c r="K2163" s="8" t="inlineStr">
        <is>
          <t>Zura</t>
        </is>
      </c>
      <c r="L2163" s="39" t="inlineStr">
        <is>
          <t>Gujarat</t>
        </is>
      </c>
      <c r="M2163" s="2" t="inlineStr">
        <is>
          <t xml:space="preserve">damage </t>
        </is>
      </c>
      <c r="N2163" s="6" t="inlineStr">
        <is>
          <t>Module Breakage</t>
        </is>
      </c>
      <c r="O2163" s="32" t="n">
        <v>590</v>
      </c>
      <c r="P2163" s="2" t="inlineStr">
        <is>
          <t>NSMI24100627799</t>
        </is>
      </c>
      <c r="Q2163" s="29">
        <f>MID(P2163,5,2)</f>
        <v/>
      </c>
      <c r="R2163" s="14">
        <f>MID(P2163,7,2)</f>
        <v/>
      </c>
      <c r="S2163" s="6" t="inlineStr">
        <is>
          <t>G2G</t>
        </is>
      </c>
      <c r="T2163" s="1" t="inlineStr">
        <is>
          <t>P4 - PEIPL</t>
        </is>
      </c>
      <c r="U2163" s="2" t="inlineStr">
        <is>
          <t xml:space="preserve">physically damaged </t>
        </is>
      </c>
      <c r="V2163" s="1" t="inlineStr">
        <is>
          <t>Inspection</t>
        </is>
      </c>
      <c r="W2163" s="1" t="inlineStr">
        <is>
          <t>Rejected</t>
        </is>
      </c>
      <c r="X2163" s="5">
        <f>Z2163</f>
        <v/>
      </c>
      <c r="Y2163" s="1">
        <f>X2163-A2163</f>
        <v/>
      </c>
      <c r="Z2163" s="5" t="n">
        <v>46198</v>
      </c>
      <c r="AA2163" s="3" t="n"/>
      <c r="AB2163" s="3" t="n"/>
      <c r="AE2163" s="146">
        <f>IF(AND(F2163="Closed",X2163&gt;=DATE(2026,6,1),X2163&lt;=DATE(2026,6,30)),"Closed in June","other")</f>
        <v/>
      </c>
    </row>
    <row r="2164" hidden="1">
      <c r="A2164" s="49" t="n">
        <v>46177</v>
      </c>
      <c r="B2164" s="1" t="n">
        <v>2026</v>
      </c>
      <c r="C2164" s="8" t="inlineStr">
        <is>
          <t>Ayana</t>
        </is>
      </c>
      <c r="D2164" s="11" t="inlineStr">
        <is>
          <t>Utility and C&amp;I</t>
        </is>
      </c>
      <c r="E2164" s="1" t="n"/>
      <c r="F2164" s="1" t="inlineStr">
        <is>
          <t>Closed</t>
        </is>
      </c>
      <c r="G2164" s="11" t="inlineStr">
        <is>
          <t>Vasu.N</t>
        </is>
      </c>
      <c r="H2164" s="8" t="n">
        <v>9578099893</v>
      </c>
      <c r="I2164" s="10" t="inlineStr">
        <is>
          <t>PE04062601</t>
        </is>
      </c>
      <c r="J2164" s="28" t="inlineStr">
        <is>
          <t>Module burnt</t>
        </is>
      </c>
      <c r="K2164" s="8" t="inlineStr">
        <is>
          <t>Zura</t>
        </is>
      </c>
      <c r="L2164" s="39" t="inlineStr">
        <is>
          <t>Gujarat</t>
        </is>
      </c>
      <c r="M2164" s="2" t="inlineStr">
        <is>
          <t xml:space="preserve">damage </t>
        </is>
      </c>
      <c r="N2164" s="6" t="inlineStr">
        <is>
          <t>Module Breakage</t>
        </is>
      </c>
      <c r="O2164" s="32" t="n">
        <v>590</v>
      </c>
      <c r="P2164" s="2" t="inlineStr">
        <is>
          <t>NSMI24100616877</t>
        </is>
      </c>
      <c r="Q2164" s="29">
        <f>MID(P2164,5,2)</f>
        <v/>
      </c>
      <c r="R2164" s="14">
        <f>MID(P2164,7,2)</f>
        <v/>
      </c>
      <c r="S2164" s="6" t="inlineStr">
        <is>
          <t>G2G</t>
        </is>
      </c>
      <c r="T2164" s="1" t="inlineStr">
        <is>
          <t>P4 - PEIPL</t>
        </is>
      </c>
      <c r="U2164" s="2" t="inlineStr">
        <is>
          <t xml:space="preserve">physically damaged </t>
        </is>
      </c>
      <c r="V2164" s="1" t="inlineStr">
        <is>
          <t>Inspection</t>
        </is>
      </c>
      <c r="W2164" s="1" t="inlineStr">
        <is>
          <t>Rejected</t>
        </is>
      </c>
      <c r="X2164" s="5">
        <f>Z2164</f>
        <v/>
      </c>
      <c r="Y2164" s="1">
        <f>X2164-A2164</f>
        <v/>
      </c>
      <c r="Z2164" s="5" t="n">
        <v>46198</v>
      </c>
      <c r="AA2164" s="3" t="n"/>
      <c r="AB2164" s="3" t="n"/>
      <c r="AE2164" s="146">
        <f>IF(AND(F2164="Closed",X2164&gt;=DATE(2026,6,1),X2164&lt;=DATE(2026,6,30)),"Closed in June","other")</f>
        <v/>
      </c>
    </row>
    <row r="2165" hidden="1">
      <c r="A2165" s="49" t="n">
        <v>46177</v>
      </c>
      <c r="B2165" s="1" t="n">
        <v>2026</v>
      </c>
      <c r="C2165" s="8" t="inlineStr">
        <is>
          <t>Ayana</t>
        </is>
      </c>
      <c r="D2165" s="11" t="inlineStr">
        <is>
          <t>Utility and C&amp;I</t>
        </is>
      </c>
      <c r="E2165" s="1" t="n"/>
      <c r="F2165" s="1" t="inlineStr">
        <is>
          <t>Closed</t>
        </is>
      </c>
      <c r="G2165" s="11" t="inlineStr">
        <is>
          <t>Vasu.N</t>
        </is>
      </c>
      <c r="H2165" s="8" t="n">
        <v>9578099893</v>
      </c>
      <c r="I2165" s="10" t="inlineStr">
        <is>
          <t>PE04062601</t>
        </is>
      </c>
      <c r="J2165" s="28" t="inlineStr">
        <is>
          <t>Module burnt</t>
        </is>
      </c>
      <c r="K2165" s="8" t="inlineStr">
        <is>
          <t>Zura</t>
        </is>
      </c>
      <c r="L2165" s="39" t="inlineStr">
        <is>
          <t>Gujarat</t>
        </is>
      </c>
      <c r="M2165" s="2" t="inlineStr">
        <is>
          <t xml:space="preserve">damage </t>
        </is>
      </c>
      <c r="N2165" s="6" t="inlineStr">
        <is>
          <t>Module Breakage</t>
        </is>
      </c>
      <c r="O2165" s="32" t="n">
        <v>590</v>
      </c>
      <c r="P2165" s="2" t="inlineStr">
        <is>
          <t>NSMI24100607588</t>
        </is>
      </c>
      <c r="Q2165" s="29">
        <f>MID(P2165,5,2)</f>
        <v/>
      </c>
      <c r="R2165" s="14">
        <f>MID(P2165,7,2)</f>
        <v/>
      </c>
      <c r="S2165" s="6" t="inlineStr">
        <is>
          <t>G2G</t>
        </is>
      </c>
      <c r="T2165" s="1" t="inlineStr">
        <is>
          <t>P4 - PEIPL</t>
        </is>
      </c>
      <c r="U2165" s="2" t="inlineStr">
        <is>
          <t xml:space="preserve">physically damaged </t>
        </is>
      </c>
      <c r="V2165" s="1" t="inlineStr">
        <is>
          <t>Inspection</t>
        </is>
      </c>
      <c r="W2165" s="1" t="inlineStr">
        <is>
          <t>Rejected</t>
        </is>
      </c>
      <c r="X2165" s="5">
        <f>Z2165</f>
        <v/>
      </c>
      <c r="Y2165" s="1">
        <f>X2165-A2165</f>
        <v/>
      </c>
      <c r="Z2165" s="5" t="n">
        <v>46198</v>
      </c>
      <c r="AA2165" s="3" t="n"/>
      <c r="AB2165" s="3" t="n"/>
      <c r="AE2165" s="146">
        <f>IF(AND(F2165="Closed",X2165&gt;=DATE(2026,6,1),X2165&lt;=DATE(2026,6,30)),"Closed in June","other")</f>
        <v/>
      </c>
    </row>
    <row r="2166" hidden="1">
      <c r="A2166" s="49" t="n">
        <v>46177</v>
      </c>
      <c r="B2166" s="1" t="n">
        <v>2026</v>
      </c>
      <c r="C2166" s="8" t="inlineStr">
        <is>
          <t>Ayana</t>
        </is>
      </c>
      <c r="D2166" s="11" t="inlineStr">
        <is>
          <t>Utility and C&amp;I</t>
        </is>
      </c>
      <c r="E2166" s="1" t="n"/>
      <c r="F2166" s="1" t="inlineStr">
        <is>
          <t>Closed</t>
        </is>
      </c>
      <c r="G2166" s="11" t="inlineStr">
        <is>
          <t>Vasu.N</t>
        </is>
      </c>
      <c r="H2166" s="8" t="n">
        <v>9578099893</v>
      </c>
      <c r="I2166" s="10" t="inlineStr">
        <is>
          <t>PE04062601</t>
        </is>
      </c>
      <c r="J2166" s="28" t="inlineStr">
        <is>
          <t>Module burnt</t>
        </is>
      </c>
      <c r="K2166" s="8" t="inlineStr">
        <is>
          <t>Zura</t>
        </is>
      </c>
      <c r="L2166" s="39" t="inlineStr">
        <is>
          <t>Gujarat</t>
        </is>
      </c>
      <c r="M2166" s="2" t="inlineStr">
        <is>
          <t xml:space="preserve">damage </t>
        </is>
      </c>
      <c r="N2166" s="6" t="inlineStr">
        <is>
          <t>Module Breakage</t>
        </is>
      </c>
      <c r="O2166" s="32" t="n">
        <v>590</v>
      </c>
      <c r="P2166" s="2" t="inlineStr">
        <is>
          <t>NSMI24100609214</t>
        </is>
      </c>
      <c r="Q2166" s="29">
        <f>MID(P2166,5,2)</f>
        <v/>
      </c>
      <c r="R2166" s="14">
        <f>MID(P2166,7,2)</f>
        <v/>
      </c>
      <c r="S2166" s="6" t="inlineStr">
        <is>
          <t>G2G</t>
        </is>
      </c>
      <c r="T2166" s="1" t="inlineStr">
        <is>
          <t>P4 - PEIPL</t>
        </is>
      </c>
      <c r="U2166" s="2" t="inlineStr">
        <is>
          <t xml:space="preserve">physically damaged </t>
        </is>
      </c>
      <c r="V2166" s="1" t="inlineStr">
        <is>
          <t>Inspection</t>
        </is>
      </c>
      <c r="W2166" s="1" t="inlineStr">
        <is>
          <t>Rejected</t>
        </is>
      </c>
      <c r="X2166" s="5">
        <f>Z2166</f>
        <v/>
      </c>
      <c r="Y2166" s="1">
        <f>X2166-A2166</f>
        <v/>
      </c>
      <c r="Z2166" s="5" t="n">
        <v>46198</v>
      </c>
      <c r="AA2166" s="3" t="n"/>
      <c r="AB2166" s="3" t="n"/>
      <c r="AE2166" s="146">
        <f>IF(AND(F2166="Closed",X2166&gt;=DATE(2026,6,1),X2166&lt;=DATE(2026,6,30)),"Closed in June","other")</f>
        <v/>
      </c>
    </row>
    <row r="2167" hidden="1">
      <c r="A2167" s="49" t="n">
        <v>46177</v>
      </c>
      <c r="B2167" s="1" t="n">
        <v>2026</v>
      </c>
      <c r="C2167" s="8" t="inlineStr">
        <is>
          <t>Ayana</t>
        </is>
      </c>
      <c r="D2167" s="11" t="inlineStr">
        <is>
          <t>Utility and C&amp;I</t>
        </is>
      </c>
      <c r="E2167" s="1" t="n"/>
      <c r="F2167" s="1" t="inlineStr">
        <is>
          <t>Closed</t>
        </is>
      </c>
      <c r="G2167" s="11" t="inlineStr">
        <is>
          <t>Vasu.N</t>
        </is>
      </c>
      <c r="H2167" s="8" t="n">
        <v>9578099893</v>
      </c>
      <c r="I2167" s="10" t="inlineStr">
        <is>
          <t>PE04062601</t>
        </is>
      </c>
      <c r="J2167" s="28" t="inlineStr">
        <is>
          <t>Module burnt</t>
        </is>
      </c>
      <c r="K2167" s="8" t="inlineStr">
        <is>
          <t>Zura</t>
        </is>
      </c>
      <c r="L2167" s="39" t="inlineStr">
        <is>
          <t>Gujarat</t>
        </is>
      </c>
      <c r="M2167" s="2" t="inlineStr">
        <is>
          <t xml:space="preserve">damage </t>
        </is>
      </c>
      <c r="N2167" s="6" t="inlineStr">
        <is>
          <t>Module Breakage</t>
        </is>
      </c>
      <c r="O2167" s="32" t="n">
        <v>590</v>
      </c>
      <c r="P2167" s="2" t="inlineStr">
        <is>
          <t>NSMI24100631368</t>
        </is>
      </c>
      <c r="Q2167" s="29">
        <f>MID(P2167,5,2)</f>
        <v/>
      </c>
      <c r="R2167" s="14">
        <f>MID(P2167,7,2)</f>
        <v/>
      </c>
      <c r="S2167" s="6" t="inlineStr">
        <is>
          <t>G2G</t>
        </is>
      </c>
      <c r="T2167" s="1" t="inlineStr">
        <is>
          <t>P4 - PEIPL</t>
        </is>
      </c>
      <c r="U2167" s="2" t="inlineStr">
        <is>
          <t xml:space="preserve">physically damaged </t>
        </is>
      </c>
      <c r="V2167" s="1" t="inlineStr">
        <is>
          <t>Inspection</t>
        </is>
      </c>
      <c r="W2167" s="1" t="inlineStr">
        <is>
          <t>Rejected</t>
        </is>
      </c>
      <c r="X2167" s="5">
        <f>Z2167</f>
        <v/>
      </c>
      <c r="Y2167" s="1">
        <f>X2167-A2167</f>
        <v/>
      </c>
      <c r="Z2167" s="5" t="n">
        <v>46198</v>
      </c>
      <c r="AA2167" s="3" t="n"/>
      <c r="AB2167" s="3" t="n"/>
      <c r="AE2167" s="146">
        <f>IF(AND(F2167="Closed",X2167&gt;=DATE(2026,6,1),X2167&lt;=DATE(2026,6,30)),"Closed in June","other")</f>
        <v/>
      </c>
    </row>
    <row r="2168" hidden="1">
      <c r="A2168" s="49" t="n">
        <v>46177</v>
      </c>
      <c r="B2168" s="1" t="n">
        <v>2026</v>
      </c>
      <c r="C2168" s="8" t="inlineStr">
        <is>
          <t>Ayana</t>
        </is>
      </c>
      <c r="D2168" s="11" t="inlineStr">
        <is>
          <t>Utility and C&amp;I</t>
        </is>
      </c>
      <c r="E2168" s="1" t="n"/>
      <c r="F2168" s="1" t="inlineStr">
        <is>
          <t>Closed</t>
        </is>
      </c>
      <c r="G2168" s="11" t="inlineStr">
        <is>
          <t>Vasu.N</t>
        </is>
      </c>
      <c r="H2168" s="8" t="n">
        <v>9578099893</v>
      </c>
      <c r="I2168" s="10" t="inlineStr">
        <is>
          <t>PE04062601</t>
        </is>
      </c>
      <c r="J2168" s="28" t="inlineStr">
        <is>
          <t>Module burnt</t>
        </is>
      </c>
      <c r="K2168" s="8" t="inlineStr">
        <is>
          <t>Zura</t>
        </is>
      </c>
      <c r="L2168" s="39" t="inlineStr">
        <is>
          <t>Gujarat</t>
        </is>
      </c>
      <c r="M2168" s="2" t="inlineStr">
        <is>
          <t xml:space="preserve">damage </t>
        </is>
      </c>
      <c r="N2168" s="6" t="inlineStr">
        <is>
          <t>Module Breakage</t>
        </is>
      </c>
      <c r="O2168" s="32" t="n">
        <v>590</v>
      </c>
      <c r="P2168" s="2" t="inlineStr">
        <is>
          <t>NSMI24100631001</t>
        </is>
      </c>
      <c r="Q2168" s="29">
        <f>MID(P2168,5,2)</f>
        <v/>
      </c>
      <c r="R2168" s="14">
        <f>MID(P2168,7,2)</f>
        <v/>
      </c>
      <c r="S2168" s="6" t="inlineStr">
        <is>
          <t>G2G</t>
        </is>
      </c>
      <c r="T2168" s="1" t="inlineStr">
        <is>
          <t>P4 - PEIPL</t>
        </is>
      </c>
      <c r="U2168" s="2" t="inlineStr">
        <is>
          <t xml:space="preserve">physically damaged </t>
        </is>
      </c>
      <c r="V2168" s="1" t="inlineStr">
        <is>
          <t>Inspection</t>
        </is>
      </c>
      <c r="W2168" s="1" t="inlineStr">
        <is>
          <t>Rejected</t>
        </is>
      </c>
      <c r="X2168" s="5">
        <f>Z2168</f>
        <v/>
      </c>
      <c r="Y2168" s="1">
        <f>X2168-A2168</f>
        <v/>
      </c>
      <c r="Z2168" s="5" t="n">
        <v>46198</v>
      </c>
      <c r="AA2168" s="3" t="n"/>
      <c r="AB2168" s="3" t="n"/>
      <c r="AE2168" s="146">
        <f>IF(AND(F2168="Closed",X2168&gt;=DATE(2026,6,1),X2168&lt;=DATE(2026,6,30)),"Closed in June","other")</f>
        <v/>
      </c>
    </row>
    <row r="2169" hidden="1">
      <c r="A2169" s="49" t="n">
        <v>46177</v>
      </c>
      <c r="B2169" s="1" t="n">
        <v>2026</v>
      </c>
      <c r="C2169" s="8" t="inlineStr">
        <is>
          <t>Ayana</t>
        </is>
      </c>
      <c r="D2169" s="11" t="inlineStr">
        <is>
          <t>Utility and C&amp;I</t>
        </is>
      </c>
      <c r="E2169" s="1" t="n"/>
      <c r="F2169" s="1" t="inlineStr">
        <is>
          <t>Closed</t>
        </is>
      </c>
      <c r="G2169" s="11" t="inlineStr">
        <is>
          <t>Vasu.N</t>
        </is>
      </c>
      <c r="H2169" s="8" t="n">
        <v>9578099893</v>
      </c>
      <c r="I2169" s="10" t="inlineStr">
        <is>
          <t>PE04062601</t>
        </is>
      </c>
      <c r="J2169" s="28" t="inlineStr">
        <is>
          <t>Module burnt</t>
        </is>
      </c>
      <c r="K2169" s="8" t="inlineStr">
        <is>
          <t>Zura</t>
        </is>
      </c>
      <c r="L2169" s="39" t="inlineStr">
        <is>
          <t>Gujarat</t>
        </is>
      </c>
      <c r="M2169" s="2" t="inlineStr">
        <is>
          <t xml:space="preserve">damage </t>
        </is>
      </c>
      <c r="N2169" s="6" t="inlineStr">
        <is>
          <t>Module Breakage</t>
        </is>
      </c>
      <c r="O2169" s="32" t="n">
        <v>590</v>
      </c>
      <c r="P2169" s="2" t="inlineStr">
        <is>
          <t>NSMI24110842758</t>
        </is>
      </c>
      <c r="Q2169" s="29">
        <f>MID(P2169,5,2)</f>
        <v/>
      </c>
      <c r="R2169" s="14">
        <f>MID(P2169,7,2)</f>
        <v/>
      </c>
      <c r="S2169" s="6" t="inlineStr">
        <is>
          <t>G2G</t>
        </is>
      </c>
      <c r="T2169" s="1" t="inlineStr">
        <is>
          <t>P4 - PEIPL</t>
        </is>
      </c>
      <c r="U2169" s="2" t="inlineStr">
        <is>
          <t xml:space="preserve">physically damaged </t>
        </is>
      </c>
      <c r="V2169" s="1" t="inlineStr">
        <is>
          <t>Inspection</t>
        </is>
      </c>
      <c r="W2169" s="1" t="inlineStr">
        <is>
          <t>Rejected</t>
        </is>
      </c>
      <c r="X2169" s="5">
        <f>Z2169</f>
        <v/>
      </c>
      <c r="Y2169" s="1">
        <f>X2169-A2169</f>
        <v/>
      </c>
      <c r="Z2169" s="5" t="n">
        <v>46198</v>
      </c>
      <c r="AA2169" s="3" t="n"/>
      <c r="AB2169" s="3" t="n"/>
      <c r="AE2169" s="146">
        <f>IF(AND(F2169="Closed",X2169&gt;=DATE(2026,6,1),X2169&lt;=DATE(2026,6,30)),"Closed in June","other")</f>
        <v/>
      </c>
    </row>
    <row r="2170" hidden="1">
      <c r="A2170" s="49" t="n">
        <v>46177</v>
      </c>
      <c r="B2170" s="1" t="n">
        <v>2026</v>
      </c>
      <c r="C2170" s="8" t="inlineStr">
        <is>
          <t>Ayana</t>
        </is>
      </c>
      <c r="D2170" s="11" t="inlineStr">
        <is>
          <t>Utility and C&amp;I</t>
        </is>
      </c>
      <c r="E2170" s="1" t="n"/>
      <c r="F2170" s="1" t="inlineStr">
        <is>
          <t>Closed</t>
        </is>
      </c>
      <c r="G2170" s="11" t="inlineStr">
        <is>
          <t>Vasu.N</t>
        </is>
      </c>
      <c r="H2170" s="8" t="n">
        <v>9578099893</v>
      </c>
      <c r="I2170" s="10" t="inlineStr">
        <is>
          <t>PE04062601</t>
        </is>
      </c>
      <c r="J2170" s="28" t="inlineStr">
        <is>
          <t>Module burnt</t>
        </is>
      </c>
      <c r="K2170" s="8" t="inlineStr">
        <is>
          <t>Zura</t>
        </is>
      </c>
      <c r="L2170" s="39" t="inlineStr">
        <is>
          <t>Gujarat</t>
        </is>
      </c>
      <c r="M2170" s="2" t="inlineStr">
        <is>
          <t xml:space="preserve">damage </t>
        </is>
      </c>
      <c r="N2170" s="6" t="inlineStr">
        <is>
          <t>Module Breakage</t>
        </is>
      </c>
      <c r="O2170" s="32" t="n">
        <v>590</v>
      </c>
      <c r="P2170" s="2" t="inlineStr">
        <is>
          <t>NSMI24110842602</t>
        </is>
      </c>
      <c r="Q2170" s="29">
        <f>MID(P2170,5,2)</f>
        <v/>
      </c>
      <c r="R2170" s="14">
        <f>MID(P2170,7,2)</f>
        <v/>
      </c>
      <c r="S2170" s="6" t="inlineStr">
        <is>
          <t>G2G</t>
        </is>
      </c>
      <c r="T2170" s="1" t="inlineStr">
        <is>
          <t>P4 - PEIPL</t>
        </is>
      </c>
      <c r="U2170" s="2" t="inlineStr">
        <is>
          <t xml:space="preserve">physically damaged </t>
        </is>
      </c>
      <c r="V2170" s="1" t="inlineStr">
        <is>
          <t>Inspection</t>
        </is>
      </c>
      <c r="W2170" s="1" t="inlineStr">
        <is>
          <t>Rejected</t>
        </is>
      </c>
      <c r="X2170" s="5">
        <f>Z2170</f>
        <v/>
      </c>
      <c r="Y2170" s="1">
        <f>X2170-A2170</f>
        <v/>
      </c>
      <c r="Z2170" s="5" t="n">
        <v>46198</v>
      </c>
      <c r="AA2170" s="3" t="n"/>
      <c r="AB2170" s="3" t="n"/>
      <c r="AE2170" s="146">
        <f>IF(AND(F2170="Closed",X2170&gt;=DATE(2026,6,1),X2170&lt;=DATE(2026,6,30)),"Closed in June","other")</f>
        <v/>
      </c>
    </row>
    <row r="2171" hidden="1">
      <c r="A2171" s="49" t="n">
        <v>46177</v>
      </c>
      <c r="B2171" s="1" t="n">
        <v>2026</v>
      </c>
      <c r="C2171" s="8" t="inlineStr">
        <is>
          <t>Ayana</t>
        </is>
      </c>
      <c r="D2171" s="11" t="inlineStr">
        <is>
          <t>Utility and C&amp;I</t>
        </is>
      </c>
      <c r="E2171" s="1" t="n"/>
      <c r="F2171" s="1" t="inlineStr">
        <is>
          <t>Closed</t>
        </is>
      </c>
      <c r="G2171" s="11" t="inlineStr">
        <is>
          <t>Vasu.N</t>
        </is>
      </c>
      <c r="H2171" s="8" t="n">
        <v>9578099893</v>
      </c>
      <c r="I2171" s="10" t="inlineStr">
        <is>
          <t>PE04062601</t>
        </is>
      </c>
      <c r="J2171" s="28" t="inlineStr">
        <is>
          <t>Module burnt</t>
        </is>
      </c>
      <c r="K2171" s="8" t="inlineStr">
        <is>
          <t>Zura</t>
        </is>
      </c>
      <c r="L2171" s="39" t="inlineStr">
        <is>
          <t>Gujarat</t>
        </is>
      </c>
      <c r="M2171" s="2" t="inlineStr">
        <is>
          <t xml:space="preserve">damage </t>
        </is>
      </c>
      <c r="N2171" s="6" t="inlineStr">
        <is>
          <t>Module Breakage</t>
        </is>
      </c>
      <c r="O2171" s="32" t="n">
        <v>590</v>
      </c>
      <c r="P2171" s="2" t="inlineStr">
        <is>
          <t>NSMI24100685840</t>
        </is>
      </c>
      <c r="Q2171" s="29">
        <f>MID(P2171,5,2)</f>
        <v/>
      </c>
      <c r="R2171" s="14">
        <f>MID(P2171,7,2)</f>
        <v/>
      </c>
      <c r="S2171" s="6" t="inlineStr">
        <is>
          <t>G2G</t>
        </is>
      </c>
      <c r="T2171" s="1" t="inlineStr">
        <is>
          <t>P4 - PEIPL</t>
        </is>
      </c>
      <c r="U2171" s="2" t="inlineStr">
        <is>
          <t xml:space="preserve">physically damaged </t>
        </is>
      </c>
      <c r="V2171" s="1" t="inlineStr">
        <is>
          <t>Inspection</t>
        </is>
      </c>
      <c r="W2171" s="1" t="inlineStr">
        <is>
          <t>Rejected</t>
        </is>
      </c>
      <c r="X2171" s="5">
        <f>Z2171</f>
        <v/>
      </c>
      <c r="Y2171" s="1">
        <f>X2171-A2171</f>
        <v/>
      </c>
      <c r="Z2171" s="5" t="n">
        <v>46198</v>
      </c>
      <c r="AA2171" s="3" t="n"/>
      <c r="AB2171" s="3" t="n"/>
      <c r="AE2171" s="146">
        <f>IF(AND(F2171="Closed",X2171&gt;=DATE(2026,6,1),X2171&lt;=DATE(2026,6,30)),"Closed in June","other")</f>
        <v/>
      </c>
    </row>
    <row r="2172" hidden="1">
      <c r="A2172" s="49" t="n">
        <v>46177</v>
      </c>
      <c r="B2172" s="1" t="n">
        <v>2026</v>
      </c>
      <c r="C2172" s="8" t="inlineStr">
        <is>
          <t>Ayana</t>
        </is>
      </c>
      <c r="D2172" s="11" t="inlineStr">
        <is>
          <t>Utility and C&amp;I</t>
        </is>
      </c>
      <c r="E2172" s="1" t="n"/>
      <c r="F2172" s="1" t="inlineStr">
        <is>
          <t>Closed</t>
        </is>
      </c>
      <c r="G2172" s="11" t="inlineStr">
        <is>
          <t>Vasu.N</t>
        </is>
      </c>
      <c r="H2172" s="8" t="n">
        <v>9578099893</v>
      </c>
      <c r="I2172" s="10" t="inlineStr">
        <is>
          <t>PE04062601</t>
        </is>
      </c>
      <c r="J2172" s="28" t="inlineStr">
        <is>
          <t>Module burnt</t>
        </is>
      </c>
      <c r="K2172" s="8" t="inlineStr">
        <is>
          <t>Zura</t>
        </is>
      </c>
      <c r="L2172" s="39" t="inlineStr">
        <is>
          <t>Gujarat</t>
        </is>
      </c>
      <c r="M2172" s="2" t="inlineStr">
        <is>
          <t xml:space="preserve">damage </t>
        </is>
      </c>
      <c r="N2172" s="6" t="inlineStr">
        <is>
          <t>Module Breakage</t>
        </is>
      </c>
      <c r="O2172" s="32" t="n">
        <v>590</v>
      </c>
      <c r="P2172" s="2" t="inlineStr">
        <is>
          <t>NSMI24110796398</t>
        </is>
      </c>
      <c r="Q2172" s="29">
        <f>MID(P2172,5,2)</f>
        <v/>
      </c>
      <c r="R2172" s="14">
        <f>MID(P2172,7,2)</f>
        <v/>
      </c>
      <c r="S2172" s="6" t="inlineStr">
        <is>
          <t>G2G</t>
        </is>
      </c>
      <c r="T2172" s="1" t="inlineStr">
        <is>
          <t>P4 - PEIPL</t>
        </is>
      </c>
      <c r="U2172" s="2" t="inlineStr">
        <is>
          <t xml:space="preserve">physically damaged </t>
        </is>
      </c>
      <c r="V2172" s="1" t="inlineStr">
        <is>
          <t>Inspection</t>
        </is>
      </c>
      <c r="W2172" s="1" t="inlineStr">
        <is>
          <t>Rejected</t>
        </is>
      </c>
      <c r="X2172" s="5">
        <f>Z2172</f>
        <v/>
      </c>
      <c r="Y2172" s="1">
        <f>X2172-A2172</f>
        <v/>
      </c>
      <c r="Z2172" s="5" t="n">
        <v>46198</v>
      </c>
      <c r="AA2172" s="3" t="n"/>
      <c r="AB2172" s="3" t="n"/>
      <c r="AE2172" s="146">
        <f>IF(AND(F2172="Closed",X2172&gt;=DATE(2026,6,1),X2172&lt;=DATE(2026,6,30)),"Closed in June","other")</f>
        <v/>
      </c>
    </row>
    <row r="2173" hidden="1">
      <c r="A2173" s="49" t="n">
        <v>46177</v>
      </c>
      <c r="B2173" s="1" t="n">
        <v>2026</v>
      </c>
      <c r="C2173" s="8" t="inlineStr">
        <is>
          <t>Ayana</t>
        </is>
      </c>
      <c r="D2173" s="11" t="inlineStr">
        <is>
          <t>Utility and C&amp;I</t>
        </is>
      </c>
      <c r="E2173" s="1" t="n"/>
      <c r="F2173" s="1" t="inlineStr">
        <is>
          <t>Closed</t>
        </is>
      </c>
      <c r="G2173" s="11" t="inlineStr">
        <is>
          <t>Vasu.N</t>
        </is>
      </c>
      <c r="H2173" s="8" t="n">
        <v>9578099893</v>
      </c>
      <c r="I2173" s="10" t="inlineStr">
        <is>
          <t>PE04062601</t>
        </is>
      </c>
      <c r="J2173" s="28" t="inlineStr">
        <is>
          <t>Module burnt</t>
        </is>
      </c>
      <c r="K2173" s="8" t="inlineStr">
        <is>
          <t>Zura</t>
        </is>
      </c>
      <c r="L2173" s="39" t="inlineStr">
        <is>
          <t>Gujarat</t>
        </is>
      </c>
      <c r="M2173" s="2" t="inlineStr">
        <is>
          <t xml:space="preserve">damage </t>
        </is>
      </c>
      <c r="N2173" s="6" t="inlineStr">
        <is>
          <t>Module Breakage</t>
        </is>
      </c>
      <c r="O2173" s="32" t="n">
        <v>590</v>
      </c>
      <c r="P2173" s="2" t="inlineStr">
        <is>
          <t>NSMI24100586838</t>
        </is>
      </c>
      <c r="Q2173" s="29">
        <f>MID(P2173,5,2)</f>
        <v/>
      </c>
      <c r="R2173" s="14">
        <f>MID(P2173,7,2)</f>
        <v/>
      </c>
      <c r="S2173" s="6" t="inlineStr">
        <is>
          <t>G2G</t>
        </is>
      </c>
      <c r="T2173" s="1" t="inlineStr">
        <is>
          <t>P4 - PEIPL</t>
        </is>
      </c>
      <c r="U2173" s="2" t="inlineStr">
        <is>
          <t xml:space="preserve">physically damaged </t>
        </is>
      </c>
      <c r="V2173" s="1" t="inlineStr">
        <is>
          <t>Inspection</t>
        </is>
      </c>
      <c r="W2173" s="1" t="inlineStr">
        <is>
          <t>Rejected</t>
        </is>
      </c>
      <c r="X2173" s="5">
        <f>Z2173</f>
        <v/>
      </c>
      <c r="Y2173" s="1">
        <f>X2173-A2173</f>
        <v/>
      </c>
      <c r="Z2173" s="5" t="n">
        <v>46198</v>
      </c>
      <c r="AA2173" s="3" t="n"/>
      <c r="AB2173" s="3" t="n"/>
      <c r="AE2173" s="146">
        <f>IF(AND(F2173="Closed",X2173&gt;=DATE(2026,6,1),X2173&lt;=DATE(2026,6,30)),"Closed in June","other")</f>
        <v/>
      </c>
    </row>
    <row r="2174" hidden="1">
      <c r="A2174" s="49" t="n">
        <v>46177</v>
      </c>
      <c r="B2174" s="1" t="n">
        <v>2026</v>
      </c>
      <c r="C2174" s="8" t="inlineStr">
        <is>
          <t>Ayana</t>
        </is>
      </c>
      <c r="D2174" s="11" t="inlineStr">
        <is>
          <t>Utility and C&amp;I</t>
        </is>
      </c>
      <c r="E2174" s="1" t="n"/>
      <c r="F2174" s="1" t="inlineStr">
        <is>
          <t>Closed</t>
        </is>
      </c>
      <c r="G2174" s="11" t="inlineStr">
        <is>
          <t>Vasu.N</t>
        </is>
      </c>
      <c r="H2174" s="8" t="n">
        <v>9578099893</v>
      </c>
      <c r="I2174" s="10" t="inlineStr">
        <is>
          <t>PE04062601</t>
        </is>
      </c>
      <c r="J2174" s="28" t="inlineStr">
        <is>
          <t>Module burnt</t>
        </is>
      </c>
      <c r="K2174" s="8" t="inlineStr">
        <is>
          <t>Zura</t>
        </is>
      </c>
      <c r="L2174" s="39" t="inlineStr">
        <is>
          <t>Gujarat</t>
        </is>
      </c>
      <c r="M2174" s="2" t="inlineStr">
        <is>
          <t xml:space="preserve">damage </t>
        </is>
      </c>
      <c r="N2174" s="6" t="inlineStr">
        <is>
          <t>Module Breakage</t>
        </is>
      </c>
      <c r="O2174" s="32" t="n">
        <v>590</v>
      </c>
      <c r="P2174" s="2" t="inlineStr">
        <is>
          <t>NSMI24100630884</t>
        </is>
      </c>
      <c r="Q2174" s="29">
        <f>MID(P2174,5,2)</f>
        <v/>
      </c>
      <c r="R2174" s="14">
        <f>MID(P2174,7,2)</f>
        <v/>
      </c>
      <c r="S2174" s="6" t="inlineStr">
        <is>
          <t>G2G</t>
        </is>
      </c>
      <c r="T2174" s="1" t="inlineStr">
        <is>
          <t>P4 - PEIPL</t>
        </is>
      </c>
      <c r="U2174" s="2" t="inlineStr">
        <is>
          <t xml:space="preserve">physically damaged </t>
        </is>
      </c>
      <c r="V2174" s="1" t="inlineStr">
        <is>
          <t>Inspection</t>
        </is>
      </c>
      <c r="W2174" s="1" t="inlineStr">
        <is>
          <t>Rejected</t>
        </is>
      </c>
      <c r="X2174" s="5">
        <f>Z2174</f>
        <v/>
      </c>
      <c r="Y2174" s="1">
        <f>X2174-A2174</f>
        <v/>
      </c>
      <c r="Z2174" s="5" t="n">
        <v>46198</v>
      </c>
      <c r="AA2174" s="3" t="n"/>
      <c r="AB2174" s="3" t="n"/>
      <c r="AE2174" s="146">
        <f>IF(AND(F2174="Closed",X2174&gt;=DATE(2026,6,1),X2174&lt;=DATE(2026,6,30)),"Closed in June","other")</f>
        <v/>
      </c>
    </row>
    <row r="2175" hidden="1">
      <c r="A2175" s="49" t="n">
        <v>46177</v>
      </c>
      <c r="B2175" s="1" t="n">
        <v>2026</v>
      </c>
      <c r="C2175" s="8" t="inlineStr">
        <is>
          <t>Ayana</t>
        </is>
      </c>
      <c r="D2175" s="11" t="inlineStr">
        <is>
          <t>Utility and C&amp;I</t>
        </is>
      </c>
      <c r="E2175" s="1" t="n"/>
      <c r="F2175" s="1" t="inlineStr">
        <is>
          <t>WIP</t>
        </is>
      </c>
      <c r="G2175" s="11" t="inlineStr">
        <is>
          <t>Vasu.N</t>
        </is>
      </c>
      <c r="H2175" s="8" t="n">
        <v>9578099893</v>
      </c>
      <c r="I2175" s="10" t="inlineStr">
        <is>
          <t>PE04062601</t>
        </is>
      </c>
      <c r="J2175" s="28" t="inlineStr">
        <is>
          <t>Module burnt</t>
        </is>
      </c>
      <c r="K2175" s="8" t="inlineStr">
        <is>
          <t>Zura</t>
        </is>
      </c>
      <c r="L2175" s="39" t="inlineStr">
        <is>
          <t>Gujarat</t>
        </is>
      </c>
      <c r="M2175" s="2" t="inlineStr">
        <is>
          <t xml:space="preserve">damage </t>
        </is>
      </c>
      <c r="N2175" s="6" t="inlineStr">
        <is>
          <t>Module Breakage</t>
        </is>
      </c>
      <c r="O2175" s="32" t="n">
        <v>590</v>
      </c>
      <c r="P2175" s="2" t="inlineStr">
        <is>
          <t>NSMI24100586869</t>
        </is>
      </c>
      <c r="Q2175" s="29">
        <f>MID(P2175,5,2)</f>
        <v/>
      </c>
      <c r="R2175" s="14">
        <f>MID(P2175,7,2)</f>
        <v/>
      </c>
      <c r="S2175" s="6" t="inlineStr">
        <is>
          <t>G2G</t>
        </is>
      </c>
      <c r="T2175" s="1" t="inlineStr">
        <is>
          <t>P4 - PEIPL</t>
        </is>
      </c>
      <c r="U2175" s="2" t="inlineStr">
        <is>
          <t>Frame Damaged</t>
        </is>
      </c>
      <c r="V2175" s="1" t="inlineStr">
        <is>
          <t>Inspection</t>
        </is>
      </c>
      <c r="W2175" s="1" t="inlineStr">
        <is>
          <t>WIP</t>
        </is>
      </c>
      <c r="X2175" s="12" t="n"/>
      <c r="Y2175" s="1">
        <f>IF(X2175="","",X2175-A2175)</f>
        <v/>
      </c>
      <c r="Z2175" s="5" t="n">
        <v>46198</v>
      </c>
      <c r="AA2175" s="3" t="n"/>
      <c r="AB2175" s="3" t="n"/>
      <c r="AE2175" s="146">
        <f>IF(AND(F2175="Closed",X2175&gt;=DATE(2026,6,1),X2175&lt;=DATE(2026,6,30)),"Closed in June","other")</f>
        <v/>
      </c>
    </row>
    <row r="2176" hidden="1">
      <c r="A2176" s="49" t="n">
        <v>46177</v>
      </c>
      <c r="B2176" s="1" t="n">
        <v>2026</v>
      </c>
      <c r="C2176" s="8" t="inlineStr">
        <is>
          <t>Ayana</t>
        </is>
      </c>
      <c r="D2176" s="11" t="inlineStr">
        <is>
          <t>Utility and C&amp;I</t>
        </is>
      </c>
      <c r="E2176" s="1" t="n"/>
      <c r="F2176" s="1" t="inlineStr">
        <is>
          <t>Closed</t>
        </is>
      </c>
      <c r="G2176" s="11" t="inlineStr">
        <is>
          <t>Vasu.N</t>
        </is>
      </c>
      <c r="H2176" s="8" t="n">
        <v>9578099893</v>
      </c>
      <c r="I2176" s="10" t="inlineStr">
        <is>
          <t>PE04062601</t>
        </is>
      </c>
      <c r="J2176" s="28" t="inlineStr">
        <is>
          <t>Module burnt</t>
        </is>
      </c>
      <c r="K2176" s="8" t="inlineStr">
        <is>
          <t>Zura</t>
        </is>
      </c>
      <c r="L2176" s="39" t="inlineStr">
        <is>
          <t>Gujarat</t>
        </is>
      </c>
      <c r="M2176" s="2" t="inlineStr">
        <is>
          <t xml:space="preserve">damage </t>
        </is>
      </c>
      <c r="N2176" s="6" t="inlineStr">
        <is>
          <t>Module Breakage</t>
        </is>
      </c>
      <c r="O2176" s="32" t="n">
        <v>590</v>
      </c>
      <c r="P2176" s="2" t="inlineStr">
        <is>
          <t>NSMI24100571215</t>
        </is>
      </c>
      <c r="Q2176" s="29">
        <f>MID(P2176,5,2)</f>
        <v/>
      </c>
      <c r="R2176" s="14">
        <f>MID(P2176,7,2)</f>
        <v/>
      </c>
      <c r="S2176" s="6" t="inlineStr">
        <is>
          <t>G2G</t>
        </is>
      </c>
      <c r="T2176" s="1" t="inlineStr">
        <is>
          <t>P4 - PEIPL</t>
        </is>
      </c>
      <c r="U2176" s="2" t="inlineStr">
        <is>
          <t xml:space="preserve">physically damaged </t>
        </is>
      </c>
      <c r="V2176" s="1" t="inlineStr">
        <is>
          <t>Inspection</t>
        </is>
      </c>
      <c r="W2176" s="1" t="inlineStr">
        <is>
          <t>Rejected</t>
        </is>
      </c>
      <c r="X2176" s="5">
        <f>Z2176</f>
        <v/>
      </c>
      <c r="Y2176" s="1">
        <f>X2176-A2176</f>
        <v/>
      </c>
      <c r="Z2176" s="5" t="n">
        <v>46198</v>
      </c>
      <c r="AA2176" s="3" t="n"/>
      <c r="AB2176" s="3" t="n"/>
      <c r="AE2176" s="146">
        <f>IF(AND(F2176="Closed",X2176&gt;=DATE(2026,6,1),X2176&lt;=DATE(2026,6,30)),"Closed in June","other")</f>
        <v/>
      </c>
    </row>
    <row r="2177" hidden="1">
      <c r="A2177" s="49" t="n">
        <v>46177</v>
      </c>
      <c r="B2177" s="1" t="n">
        <v>2026</v>
      </c>
      <c r="C2177" s="8" t="inlineStr">
        <is>
          <t>Ayana</t>
        </is>
      </c>
      <c r="D2177" s="11" t="inlineStr">
        <is>
          <t>Utility and C&amp;I</t>
        </is>
      </c>
      <c r="E2177" s="1" t="n"/>
      <c r="F2177" s="1" t="inlineStr">
        <is>
          <t>Closed</t>
        </is>
      </c>
      <c r="G2177" s="11" t="inlineStr">
        <is>
          <t>Vasu.N</t>
        </is>
      </c>
      <c r="H2177" s="8" t="n">
        <v>9578099893</v>
      </c>
      <c r="I2177" s="10" t="inlineStr">
        <is>
          <t>PE04062601</t>
        </is>
      </c>
      <c r="J2177" s="28" t="inlineStr">
        <is>
          <t>Module burnt</t>
        </is>
      </c>
      <c r="K2177" s="8" t="inlineStr">
        <is>
          <t>Zura</t>
        </is>
      </c>
      <c r="L2177" s="39" t="inlineStr">
        <is>
          <t>Gujarat</t>
        </is>
      </c>
      <c r="M2177" s="2" t="inlineStr">
        <is>
          <t xml:space="preserve">damage </t>
        </is>
      </c>
      <c r="N2177" s="6" t="inlineStr">
        <is>
          <t>Module Breakage</t>
        </is>
      </c>
      <c r="O2177" s="32" t="n">
        <v>590</v>
      </c>
      <c r="P2177" s="2" t="inlineStr">
        <is>
          <t>NSMI24100571151</t>
        </is>
      </c>
      <c r="Q2177" s="29">
        <f>MID(P2177,5,2)</f>
        <v/>
      </c>
      <c r="R2177" s="14">
        <f>MID(P2177,7,2)</f>
        <v/>
      </c>
      <c r="S2177" s="6" t="inlineStr">
        <is>
          <t>G2G</t>
        </is>
      </c>
      <c r="T2177" s="1" t="inlineStr">
        <is>
          <t>P4 - PEIPL</t>
        </is>
      </c>
      <c r="U2177" s="2" t="inlineStr">
        <is>
          <t xml:space="preserve">physically damaged </t>
        </is>
      </c>
      <c r="V2177" s="1" t="inlineStr">
        <is>
          <t>Inspection</t>
        </is>
      </c>
      <c r="W2177" s="1" t="inlineStr">
        <is>
          <t>Rejected</t>
        </is>
      </c>
      <c r="X2177" s="5">
        <f>Z2177</f>
        <v/>
      </c>
      <c r="Y2177" s="1">
        <f>X2177-A2177</f>
        <v/>
      </c>
      <c r="Z2177" s="5" t="n">
        <v>46198</v>
      </c>
      <c r="AA2177" s="3" t="n"/>
      <c r="AB2177" s="3" t="n"/>
      <c r="AE2177" s="146">
        <f>IF(AND(F2177="Closed",X2177&gt;=DATE(2026,6,1),X2177&lt;=DATE(2026,6,30)),"Closed in June","other")</f>
        <v/>
      </c>
    </row>
    <row r="2178" hidden="1">
      <c r="A2178" s="49" t="n">
        <v>46177</v>
      </c>
      <c r="B2178" s="1" t="n">
        <v>2026</v>
      </c>
      <c r="C2178" s="8" t="inlineStr">
        <is>
          <t>Ayana</t>
        </is>
      </c>
      <c r="D2178" s="11" t="inlineStr">
        <is>
          <t>Utility and C&amp;I</t>
        </is>
      </c>
      <c r="E2178" s="1" t="n"/>
      <c r="F2178" s="1" t="inlineStr">
        <is>
          <t>Closed</t>
        </is>
      </c>
      <c r="G2178" s="11" t="inlineStr">
        <is>
          <t>Vasu.N</t>
        </is>
      </c>
      <c r="H2178" s="8" t="n">
        <v>9578099893</v>
      </c>
      <c r="I2178" s="10" t="inlineStr">
        <is>
          <t>PE04062601</t>
        </is>
      </c>
      <c r="J2178" s="28" t="inlineStr">
        <is>
          <t>Module burnt</t>
        </is>
      </c>
      <c r="K2178" s="8" t="inlineStr">
        <is>
          <t>Zura</t>
        </is>
      </c>
      <c r="L2178" s="39" t="inlineStr">
        <is>
          <t>Gujarat</t>
        </is>
      </c>
      <c r="M2178" s="2" t="inlineStr">
        <is>
          <t xml:space="preserve">damage </t>
        </is>
      </c>
      <c r="N2178" s="6" t="inlineStr">
        <is>
          <t>Module Breakage</t>
        </is>
      </c>
      <c r="O2178" s="32" t="n">
        <v>590</v>
      </c>
      <c r="P2178" s="2" t="inlineStr">
        <is>
          <t>NSMI24100571200</t>
        </is>
      </c>
      <c r="Q2178" s="29">
        <f>MID(P2178,5,2)</f>
        <v/>
      </c>
      <c r="R2178" s="14">
        <f>MID(P2178,7,2)</f>
        <v/>
      </c>
      <c r="S2178" s="6" t="inlineStr">
        <is>
          <t>G2G</t>
        </is>
      </c>
      <c r="T2178" s="1" t="inlineStr">
        <is>
          <t>P4 - PEIPL</t>
        </is>
      </c>
      <c r="U2178" s="2" t="inlineStr">
        <is>
          <t xml:space="preserve">physically damaged </t>
        </is>
      </c>
      <c r="V2178" s="1" t="inlineStr">
        <is>
          <t>Inspection</t>
        </is>
      </c>
      <c r="W2178" s="1" t="inlineStr">
        <is>
          <t>Rejected</t>
        </is>
      </c>
      <c r="X2178" s="5">
        <f>Z2178</f>
        <v/>
      </c>
      <c r="Y2178" s="1">
        <f>X2178-A2178</f>
        <v/>
      </c>
      <c r="Z2178" s="5" t="n">
        <v>46198</v>
      </c>
      <c r="AA2178" s="3" t="n"/>
      <c r="AB2178" s="3" t="n"/>
      <c r="AE2178" s="146">
        <f>IF(AND(F2178="Closed",X2178&gt;=DATE(2026,6,1),X2178&lt;=DATE(2026,6,30)),"Closed in June","other")</f>
        <v/>
      </c>
    </row>
    <row r="2179" hidden="1">
      <c r="A2179" s="49" t="n">
        <v>46177</v>
      </c>
      <c r="B2179" s="1" t="n">
        <v>2026</v>
      </c>
      <c r="C2179" s="8" t="inlineStr">
        <is>
          <t>Ayana</t>
        </is>
      </c>
      <c r="D2179" s="11" t="inlineStr">
        <is>
          <t>Utility and C&amp;I</t>
        </is>
      </c>
      <c r="E2179" s="1" t="n"/>
      <c r="F2179" s="1" t="inlineStr">
        <is>
          <t>Closed</t>
        </is>
      </c>
      <c r="G2179" s="11" t="inlineStr">
        <is>
          <t>Vasu.N</t>
        </is>
      </c>
      <c r="H2179" s="8" t="n">
        <v>9578099893</v>
      </c>
      <c r="I2179" s="10" t="inlineStr">
        <is>
          <t>PE04062601</t>
        </is>
      </c>
      <c r="J2179" s="28" t="inlineStr">
        <is>
          <t>Module burnt</t>
        </is>
      </c>
      <c r="K2179" s="8" t="inlineStr">
        <is>
          <t>Zura</t>
        </is>
      </c>
      <c r="L2179" s="39" t="inlineStr">
        <is>
          <t>Gujarat</t>
        </is>
      </c>
      <c r="M2179" s="2" t="inlineStr">
        <is>
          <t xml:space="preserve">damage </t>
        </is>
      </c>
      <c r="N2179" s="6" t="inlineStr">
        <is>
          <t>Module Breakage</t>
        </is>
      </c>
      <c r="O2179" s="32" t="n">
        <v>590</v>
      </c>
      <c r="P2179" s="2" t="inlineStr">
        <is>
          <t>NSMI24100629267</t>
        </is>
      </c>
      <c r="Q2179" s="29">
        <f>MID(P2179,5,2)</f>
        <v/>
      </c>
      <c r="R2179" s="14">
        <f>MID(P2179,7,2)</f>
        <v/>
      </c>
      <c r="S2179" s="6" t="inlineStr">
        <is>
          <t>G2G</t>
        </is>
      </c>
      <c r="T2179" s="1" t="inlineStr">
        <is>
          <t>P4 - PEIPL</t>
        </is>
      </c>
      <c r="U2179" s="2" t="inlineStr">
        <is>
          <t xml:space="preserve">physically damaged </t>
        </is>
      </c>
      <c r="V2179" s="1" t="inlineStr">
        <is>
          <t>Inspection</t>
        </is>
      </c>
      <c r="W2179" s="1" t="inlineStr">
        <is>
          <t>Rejected</t>
        </is>
      </c>
      <c r="X2179" s="5">
        <f>Z2179</f>
        <v/>
      </c>
      <c r="Y2179" s="1">
        <f>X2179-A2179</f>
        <v/>
      </c>
      <c r="Z2179" s="5" t="n">
        <v>46198</v>
      </c>
      <c r="AA2179" s="3" t="n"/>
      <c r="AB2179" s="3" t="n"/>
      <c r="AE2179" s="146">
        <f>IF(AND(F2179="Closed",X2179&gt;=DATE(2026,6,1),X2179&lt;=DATE(2026,6,30)),"Closed in June","other")</f>
        <v/>
      </c>
    </row>
    <row r="2180" hidden="1">
      <c r="A2180" s="49" t="n">
        <v>46177</v>
      </c>
      <c r="B2180" s="1" t="n">
        <v>2026</v>
      </c>
      <c r="C2180" s="8" t="inlineStr">
        <is>
          <t>Ayana</t>
        </is>
      </c>
      <c r="D2180" s="11" t="inlineStr">
        <is>
          <t>Utility and C&amp;I</t>
        </is>
      </c>
      <c r="E2180" s="1" t="n"/>
      <c r="F2180" s="1" t="inlineStr">
        <is>
          <t>Closed</t>
        </is>
      </c>
      <c r="G2180" s="11" t="inlineStr">
        <is>
          <t>Vasu.N</t>
        </is>
      </c>
      <c r="H2180" s="8" t="n">
        <v>9578099893</v>
      </c>
      <c r="I2180" s="10" t="inlineStr">
        <is>
          <t>PE04062601</t>
        </is>
      </c>
      <c r="J2180" s="28" t="inlineStr">
        <is>
          <t>Module burnt</t>
        </is>
      </c>
      <c r="K2180" s="8" t="inlineStr">
        <is>
          <t>Zura</t>
        </is>
      </c>
      <c r="L2180" s="39" t="inlineStr">
        <is>
          <t>Gujarat</t>
        </is>
      </c>
      <c r="M2180" s="2" t="inlineStr">
        <is>
          <t xml:space="preserve">damage </t>
        </is>
      </c>
      <c r="N2180" s="6" t="inlineStr">
        <is>
          <t>Module Breakage</t>
        </is>
      </c>
      <c r="O2180" s="32" t="n">
        <v>590</v>
      </c>
      <c r="P2180" s="2" t="inlineStr">
        <is>
          <t>NSMI24110832727</t>
        </is>
      </c>
      <c r="Q2180" s="29">
        <f>MID(P2180,5,2)</f>
        <v/>
      </c>
      <c r="R2180" s="14">
        <f>MID(P2180,7,2)</f>
        <v/>
      </c>
      <c r="S2180" s="6" t="inlineStr">
        <is>
          <t>G2G</t>
        </is>
      </c>
      <c r="T2180" s="1" t="inlineStr">
        <is>
          <t>P4 - PEIPL</t>
        </is>
      </c>
      <c r="U2180" s="2" t="inlineStr">
        <is>
          <t xml:space="preserve">physically damaged </t>
        </is>
      </c>
      <c r="V2180" s="1" t="inlineStr">
        <is>
          <t>Inspection</t>
        </is>
      </c>
      <c r="W2180" s="1" t="inlineStr">
        <is>
          <t>Rejected</t>
        </is>
      </c>
      <c r="X2180" s="5">
        <f>Z2180</f>
        <v/>
      </c>
      <c r="Y2180" s="1">
        <f>X2180-A2180</f>
        <v/>
      </c>
      <c r="Z2180" s="5" t="n">
        <v>46198</v>
      </c>
      <c r="AA2180" s="3" t="n"/>
      <c r="AB2180" s="3" t="n"/>
      <c r="AE2180" s="146">
        <f>IF(AND(F2180="Closed",X2180&gt;=DATE(2026,6,1),X2180&lt;=DATE(2026,6,30)),"Closed in June","other")</f>
        <v/>
      </c>
    </row>
    <row r="2181" hidden="1">
      <c r="A2181" s="49" t="n">
        <v>46177</v>
      </c>
      <c r="B2181" s="1" t="n">
        <v>2026</v>
      </c>
      <c r="C2181" s="8" t="inlineStr">
        <is>
          <t>Ayana</t>
        </is>
      </c>
      <c r="D2181" s="11" t="inlineStr">
        <is>
          <t>Utility and C&amp;I</t>
        </is>
      </c>
      <c r="E2181" s="1" t="n"/>
      <c r="F2181" s="1" t="inlineStr">
        <is>
          <t>Closed</t>
        </is>
      </c>
      <c r="G2181" s="11" t="inlineStr">
        <is>
          <t>Vasu.N</t>
        </is>
      </c>
      <c r="H2181" s="8" t="n">
        <v>9578099893</v>
      </c>
      <c r="I2181" s="10" t="inlineStr">
        <is>
          <t>PE04062601</t>
        </is>
      </c>
      <c r="J2181" s="28" t="inlineStr">
        <is>
          <t>Module burnt</t>
        </is>
      </c>
      <c r="K2181" s="8" t="inlineStr">
        <is>
          <t>Zura</t>
        </is>
      </c>
      <c r="L2181" s="39" t="inlineStr">
        <is>
          <t>Gujarat</t>
        </is>
      </c>
      <c r="M2181" s="2" t="inlineStr">
        <is>
          <t xml:space="preserve">damage </t>
        </is>
      </c>
      <c r="N2181" s="6" t="inlineStr">
        <is>
          <t>Module Breakage</t>
        </is>
      </c>
      <c r="O2181" s="32" t="n">
        <v>590</v>
      </c>
      <c r="P2181" s="2" t="inlineStr">
        <is>
          <t>NSMI24090454916</t>
        </is>
      </c>
      <c r="Q2181" s="29">
        <f>MID(P2181,5,2)</f>
        <v/>
      </c>
      <c r="R2181" s="14">
        <f>MID(P2181,7,2)</f>
        <v/>
      </c>
      <c r="S2181" s="6" t="inlineStr">
        <is>
          <t>G2G</t>
        </is>
      </c>
      <c r="T2181" s="1" t="inlineStr">
        <is>
          <t>P4 - PEIPL</t>
        </is>
      </c>
      <c r="U2181" s="2" t="inlineStr">
        <is>
          <t xml:space="preserve">physically damaged </t>
        </is>
      </c>
      <c r="V2181" s="1" t="inlineStr">
        <is>
          <t>Inspection</t>
        </is>
      </c>
      <c r="W2181" s="1" t="inlineStr">
        <is>
          <t>Rejected</t>
        </is>
      </c>
      <c r="X2181" s="5">
        <f>Z2181</f>
        <v/>
      </c>
      <c r="Y2181" s="1">
        <f>X2181-A2181</f>
        <v/>
      </c>
      <c r="Z2181" s="5" t="n">
        <v>46198</v>
      </c>
      <c r="AA2181" s="3" t="n"/>
      <c r="AB2181" s="3" t="n"/>
      <c r="AE2181" s="146">
        <f>IF(AND(F2181="Closed",X2181&gt;=DATE(2026,6,1),X2181&lt;=DATE(2026,6,30)),"Closed in June","other")</f>
        <v/>
      </c>
    </row>
    <row r="2182" hidden="1">
      <c r="A2182" s="49" t="n">
        <v>46177</v>
      </c>
      <c r="B2182" s="1" t="n">
        <v>2026</v>
      </c>
      <c r="C2182" s="8" t="inlineStr">
        <is>
          <t>Ayana</t>
        </is>
      </c>
      <c r="D2182" s="11" t="inlineStr">
        <is>
          <t>Utility and C&amp;I</t>
        </is>
      </c>
      <c r="E2182" s="1" t="n"/>
      <c r="F2182" s="1" t="inlineStr">
        <is>
          <t>Closed</t>
        </is>
      </c>
      <c r="G2182" s="11" t="inlineStr">
        <is>
          <t>Vasu.N</t>
        </is>
      </c>
      <c r="H2182" s="8" t="n">
        <v>9578099893</v>
      </c>
      <c r="I2182" s="10" t="inlineStr">
        <is>
          <t>PE04062601</t>
        </is>
      </c>
      <c r="J2182" s="28" t="inlineStr">
        <is>
          <t>Module burnt</t>
        </is>
      </c>
      <c r="K2182" s="8" t="inlineStr">
        <is>
          <t>Zura</t>
        </is>
      </c>
      <c r="L2182" s="39" t="inlineStr">
        <is>
          <t>Gujarat</t>
        </is>
      </c>
      <c r="M2182" s="2" t="inlineStr">
        <is>
          <t xml:space="preserve">damage </t>
        </is>
      </c>
      <c r="N2182" s="6" t="inlineStr">
        <is>
          <t>Module Breakage</t>
        </is>
      </c>
      <c r="O2182" s="32" t="n">
        <v>590</v>
      </c>
      <c r="P2182" s="2" t="inlineStr">
        <is>
          <t>NSMI24100630931</t>
        </is>
      </c>
      <c r="Q2182" s="29">
        <f>MID(P2182,5,2)</f>
        <v/>
      </c>
      <c r="R2182" s="14">
        <f>MID(P2182,7,2)</f>
        <v/>
      </c>
      <c r="S2182" s="6" t="inlineStr">
        <is>
          <t>G2G</t>
        </is>
      </c>
      <c r="T2182" s="1" t="inlineStr">
        <is>
          <t>P4 - PEIPL</t>
        </is>
      </c>
      <c r="U2182" s="2" t="inlineStr">
        <is>
          <t xml:space="preserve">physically damaged </t>
        </is>
      </c>
      <c r="V2182" s="1" t="inlineStr">
        <is>
          <t>Inspection</t>
        </is>
      </c>
      <c r="W2182" s="1" t="inlineStr">
        <is>
          <t>Rejected</t>
        </is>
      </c>
      <c r="X2182" s="5">
        <f>Z2182</f>
        <v/>
      </c>
      <c r="Y2182" s="1">
        <f>X2182-A2182</f>
        <v/>
      </c>
      <c r="Z2182" s="5" t="n">
        <v>46198</v>
      </c>
      <c r="AA2182" s="3" t="n"/>
      <c r="AB2182" s="3" t="n"/>
      <c r="AE2182" s="146">
        <f>IF(AND(F2182="Closed",X2182&gt;=DATE(2026,6,1),X2182&lt;=DATE(2026,6,30)),"Closed in June","other")</f>
        <v/>
      </c>
    </row>
    <row r="2183" hidden="1">
      <c r="A2183" s="49" t="n">
        <v>46177</v>
      </c>
      <c r="B2183" s="1" t="n">
        <v>2026</v>
      </c>
      <c r="C2183" s="8" t="inlineStr">
        <is>
          <t>Ayana</t>
        </is>
      </c>
      <c r="D2183" s="11" t="inlineStr">
        <is>
          <t>Utility and C&amp;I</t>
        </is>
      </c>
      <c r="E2183" s="1" t="n"/>
      <c r="F2183" s="1" t="inlineStr">
        <is>
          <t>Closed</t>
        </is>
      </c>
      <c r="G2183" s="11" t="inlineStr">
        <is>
          <t>Vasu.N</t>
        </is>
      </c>
      <c r="H2183" s="8" t="n">
        <v>9578099893</v>
      </c>
      <c r="I2183" s="10" t="inlineStr">
        <is>
          <t>PE04062601</t>
        </is>
      </c>
      <c r="J2183" s="28" t="inlineStr">
        <is>
          <t>Module burnt</t>
        </is>
      </c>
      <c r="K2183" s="8" t="inlineStr">
        <is>
          <t>Zura</t>
        </is>
      </c>
      <c r="L2183" s="39" t="inlineStr">
        <is>
          <t>Gujarat</t>
        </is>
      </c>
      <c r="M2183" s="2" t="inlineStr">
        <is>
          <t xml:space="preserve">damage </t>
        </is>
      </c>
      <c r="N2183" s="6" t="inlineStr">
        <is>
          <t>Module Breakage</t>
        </is>
      </c>
      <c r="O2183" s="32" t="n">
        <v>590</v>
      </c>
      <c r="P2183" s="2" t="inlineStr">
        <is>
          <t>NSMI24100636301</t>
        </is>
      </c>
      <c r="Q2183" s="29">
        <f>MID(P2183,5,2)</f>
        <v/>
      </c>
      <c r="R2183" s="14">
        <f>MID(P2183,7,2)</f>
        <v/>
      </c>
      <c r="S2183" s="6" t="inlineStr">
        <is>
          <t>G2G</t>
        </is>
      </c>
      <c r="T2183" s="1" t="inlineStr">
        <is>
          <t>P4 - PEIPL</t>
        </is>
      </c>
      <c r="U2183" s="2" t="inlineStr">
        <is>
          <t xml:space="preserve">physically damaged </t>
        </is>
      </c>
      <c r="V2183" s="1" t="inlineStr">
        <is>
          <t>Inspection</t>
        </is>
      </c>
      <c r="W2183" s="1" t="inlineStr">
        <is>
          <t>Rejected</t>
        </is>
      </c>
      <c r="X2183" s="5">
        <f>Z2183</f>
        <v/>
      </c>
      <c r="Y2183" s="1">
        <f>X2183-A2183</f>
        <v/>
      </c>
      <c r="Z2183" s="5" t="n">
        <v>46198</v>
      </c>
      <c r="AA2183" s="3" t="n"/>
      <c r="AB2183" s="3" t="n"/>
      <c r="AE2183" s="146">
        <f>IF(AND(F2183="Closed",X2183&gt;=DATE(2026,6,1),X2183&lt;=DATE(2026,6,30)),"Closed in June","other")</f>
        <v/>
      </c>
    </row>
    <row r="2184" hidden="1">
      <c r="A2184" s="49" t="n">
        <v>46177</v>
      </c>
      <c r="B2184" s="1" t="n">
        <v>2026</v>
      </c>
      <c r="C2184" s="8" t="inlineStr">
        <is>
          <t>Ayana</t>
        </is>
      </c>
      <c r="D2184" s="11" t="inlineStr">
        <is>
          <t>Utility and C&amp;I</t>
        </is>
      </c>
      <c r="E2184" s="1" t="n"/>
      <c r="F2184" s="1" t="inlineStr">
        <is>
          <t>Closed</t>
        </is>
      </c>
      <c r="G2184" s="11" t="inlineStr">
        <is>
          <t>Vasu.N</t>
        </is>
      </c>
      <c r="H2184" s="8" t="n">
        <v>9578099893</v>
      </c>
      <c r="I2184" s="10" t="inlineStr">
        <is>
          <t>PE04062601</t>
        </is>
      </c>
      <c r="J2184" s="28" t="inlineStr">
        <is>
          <t>Module burnt</t>
        </is>
      </c>
      <c r="K2184" s="8" t="inlineStr">
        <is>
          <t>Zura</t>
        </is>
      </c>
      <c r="L2184" s="39" t="inlineStr">
        <is>
          <t>Gujarat</t>
        </is>
      </c>
      <c r="M2184" s="2" t="inlineStr">
        <is>
          <t xml:space="preserve">damage </t>
        </is>
      </c>
      <c r="N2184" s="6" t="inlineStr">
        <is>
          <t>Module Breakage</t>
        </is>
      </c>
      <c r="O2184" s="32" t="n">
        <v>590</v>
      </c>
      <c r="P2184" s="2" t="inlineStr">
        <is>
          <t>NSMI24100586752</t>
        </is>
      </c>
      <c r="Q2184" s="29">
        <f>MID(P2184,5,2)</f>
        <v/>
      </c>
      <c r="R2184" s="14">
        <f>MID(P2184,7,2)</f>
        <v/>
      </c>
      <c r="S2184" s="6" t="inlineStr">
        <is>
          <t>G2G</t>
        </is>
      </c>
      <c r="T2184" s="1" t="inlineStr">
        <is>
          <t>P4 - PEIPL</t>
        </is>
      </c>
      <c r="U2184" s="2" t="inlineStr">
        <is>
          <t xml:space="preserve">physically damaged </t>
        </is>
      </c>
      <c r="V2184" s="1" t="inlineStr">
        <is>
          <t>Inspection</t>
        </is>
      </c>
      <c r="W2184" s="1" t="inlineStr">
        <is>
          <t>Rejected</t>
        </is>
      </c>
      <c r="X2184" s="5">
        <f>Z2184</f>
        <v/>
      </c>
      <c r="Y2184" s="1">
        <f>X2184-A2184</f>
        <v/>
      </c>
      <c r="Z2184" s="5" t="n">
        <v>46198</v>
      </c>
      <c r="AA2184" s="3" t="n"/>
      <c r="AB2184" s="3" t="n"/>
      <c r="AE2184" s="146">
        <f>IF(AND(F2184="Closed",X2184&gt;=DATE(2026,6,1),X2184&lt;=DATE(2026,6,30)),"Closed in June","other")</f>
        <v/>
      </c>
    </row>
    <row r="2185" hidden="1">
      <c r="A2185" s="49" t="n">
        <v>46177</v>
      </c>
      <c r="B2185" s="1" t="n">
        <v>2026</v>
      </c>
      <c r="C2185" s="8" t="inlineStr">
        <is>
          <t>Ayana</t>
        </is>
      </c>
      <c r="D2185" s="11" t="inlineStr">
        <is>
          <t>Utility and C&amp;I</t>
        </is>
      </c>
      <c r="E2185" s="1" t="n"/>
      <c r="F2185" s="1" t="inlineStr">
        <is>
          <t>WIP</t>
        </is>
      </c>
      <c r="G2185" s="11" t="inlineStr">
        <is>
          <t>Vasu.N</t>
        </is>
      </c>
      <c r="H2185" s="8" t="n">
        <v>9578099893</v>
      </c>
      <c r="I2185" s="10" t="inlineStr">
        <is>
          <t>PE04062601</t>
        </is>
      </c>
      <c r="J2185" s="28" t="inlineStr">
        <is>
          <t>Module burnt</t>
        </is>
      </c>
      <c r="K2185" s="8" t="inlineStr">
        <is>
          <t>Zura</t>
        </is>
      </c>
      <c r="L2185" s="39" t="inlineStr">
        <is>
          <t>Gujarat</t>
        </is>
      </c>
      <c r="M2185" s="2" t="inlineStr">
        <is>
          <t xml:space="preserve">damage </t>
        </is>
      </c>
      <c r="N2185" s="6" t="inlineStr">
        <is>
          <t>Module Breakage</t>
        </is>
      </c>
      <c r="O2185" s="32" t="n">
        <v>590</v>
      </c>
      <c r="P2185" s="2" t="inlineStr">
        <is>
          <t>NSMI24100593618</t>
        </is>
      </c>
      <c r="Q2185" s="29">
        <f>MID(P2185,5,2)</f>
        <v/>
      </c>
      <c r="R2185" s="14">
        <f>MID(P2185,7,2)</f>
        <v/>
      </c>
      <c r="S2185" s="6" t="inlineStr">
        <is>
          <t>G2G</t>
        </is>
      </c>
      <c r="T2185" s="1" t="inlineStr">
        <is>
          <t>P4 - PEIPL</t>
        </is>
      </c>
      <c r="U2185" s="2" t="inlineStr">
        <is>
          <t>Frame Damaged</t>
        </is>
      </c>
      <c r="V2185" s="1" t="inlineStr">
        <is>
          <t>Inspection</t>
        </is>
      </c>
      <c r="W2185" s="1" t="inlineStr">
        <is>
          <t>WIP</t>
        </is>
      </c>
      <c r="X2185" s="12" t="n"/>
      <c r="Y2185" s="1">
        <f>IF(X2185="","",X2185-A2185)</f>
        <v/>
      </c>
      <c r="Z2185" s="5" t="n">
        <v>46198</v>
      </c>
      <c r="AA2185" s="3" t="n"/>
      <c r="AB2185" s="3" t="n"/>
      <c r="AE2185" s="146">
        <f>IF(AND(F2185="Closed",X2185&gt;=DATE(2026,6,1),X2185&lt;=DATE(2026,6,30)),"Closed in June","other")</f>
        <v/>
      </c>
    </row>
    <row r="2186" hidden="1">
      <c r="A2186" s="49" t="n">
        <v>46177</v>
      </c>
      <c r="B2186" s="1" t="n">
        <v>2026</v>
      </c>
      <c r="C2186" s="8" t="inlineStr">
        <is>
          <t>Ayana</t>
        </is>
      </c>
      <c r="D2186" s="11" t="inlineStr">
        <is>
          <t>Utility and C&amp;I</t>
        </is>
      </c>
      <c r="E2186" s="1" t="n"/>
      <c r="F2186" s="1" t="inlineStr">
        <is>
          <t>WIP</t>
        </is>
      </c>
      <c r="G2186" s="11" t="inlineStr">
        <is>
          <t>Vasu.N</t>
        </is>
      </c>
      <c r="H2186" s="8" t="n">
        <v>9578099893</v>
      </c>
      <c r="I2186" s="10" t="inlineStr">
        <is>
          <t>PE04062601</t>
        </is>
      </c>
      <c r="J2186" s="28" t="inlineStr">
        <is>
          <t>Module burnt</t>
        </is>
      </c>
      <c r="K2186" s="8" t="inlineStr">
        <is>
          <t>Zura</t>
        </is>
      </c>
      <c r="L2186" s="39" t="inlineStr">
        <is>
          <t>Gujarat</t>
        </is>
      </c>
      <c r="M2186" s="2" t="inlineStr">
        <is>
          <t xml:space="preserve">damage </t>
        </is>
      </c>
      <c r="N2186" s="6" t="inlineStr">
        <is>
          <t>Module Breakage</t>
        </is>
      </c>
      <c r="O2186" s="32" t="n">
        <v>590</v>
      </c>
      <c r="P2186" s="2" t="inlineStr">
        <is>
          <t>NSMI24100586816</t>
        </is>
      </c>
      <c r="Q2186" s="29">
        <f>MID(P2186,5,2)</f>
        <v/>
      </c>
      <c r="R2186" s="14">
        <f>MID(P2186,7,2)</f>
        <v/>
      </c>
      <c r="S2186" s="6" t="inlineStr">
        <is>
          <t>G2G</t>
        </is>
      </c>
      <c r="T2186" s="1" t="inlineStr">
        <is>
          <t>P4 - PEIPL</t>
        </is>
      </c>
      <c r="U2186" s="2" t="inlineStr">
        <is>
          <t>Frame Damaged</t>
        </is>
      </c>
      <c r="V2186" s="1" t="inlineStr">
        <is>
          <t>Inspection</t>
        </is>
      </c>
      <c r="W2186" s="1" t="inlineStr">
        <is>
          <t>WIP</t>
        </is>
      </c>
      <c r="X2186" s="12" t="n"/>
      <c r="Y2186" s="1">
        <f>IF(X2186="","",X2186-A2186)</f>
        <v/>
      </c>
      <c r="Z2186" s="5" t="n">
        <v>46198</v>
      </c>
      <c r="AA2186" s="3" t="n"/>
      <c r="AB2186" s="3" t="n"/>
      <c r="AE2186" s="146">
        <f>IF(AND(F2186="Closed",X2186&gt;=DATE(2026,6,1),X2186&lt;=DATE(2026,6,30)),"Closed in June","other")</f>
        <v/>
      </c>
    </row>
    <row r="2187" hidden="1">
      <c r="A2187" s="49" t="n">
        <v>46177</v>
      </c>
      <c r="B2187" s="1" t="n">
        <v>2026</v>
      </c>
      <c r="C2187" s="8" t="inlineStr">
        <is>
          <t>Ayana</t>
        </is>
      </c>
      <c r="D2187" s="11" t="inlineStr">
        <is>
          <t>Utility and C&amp;I</t>
        </is>
      </c>
      <c r="E2187" s="1" t="n"/>
      <c r="F2187" s="1" t="inlineStr">
        <is>
          <t>WIP</t>
        </is>
      </c>
      <c r="G2187" s="11" t="inlineStr">
        <is>
          <t>Vasu.N</t>
        </is>
      </c>
      <c r="H2187" s="8" t="n">
        <v>9578099893</v>
      </c>
      <c r="I2187" s="10" t="inlineStr">
        <is>
          <t>PE04062601</t>
        </is>
      </c>
      <c r="J2187" s="28" t="inlineStr">
        <is>
          <t>Module burnt</t>
        </is>
      </c>
      <c r="K2187" s="8" t="inlineStr">
        <is>
          <t>Zura</t>
        </is>
      </c>
      <c r="L2187" s="39" t="inlineStr">
        <is>
          <t>Gujarat</t>
        </is>
      </c>
      <c r="M2187" s="2" t="inlineStr">
        <is>
          <t xml:space="preserve">damage </t>
        </is>
      </c>
      <c r="N2187" s="6" t="inlineStr">
        <is>
          <t>Module Breakage</t>
        </is>
      </c>
      <c r="O2187" s="32" t="n">
        <v>590</v>
      </c>
      <c r="P2187" s="2" t="inlineStr">
        <is>
          <t>NSMI24100634577</t>
        </is>
      </c>
      <c r="Q2187" s="29">
        <f>MID(P2187,5,2)</f>
        <v/>
      </c>
      <c r="R2187" s="14">
        <f>MID(P2187,7,2)</f>
        <v/>
      </c>
      <c r="S2187" s="6" t="inlineStr">
        <is>
          <t>G2G</t>
        </is>
      </c>
      <c r="T2187" s="1" t="inlineStr">
        <is>
          <t>P4 - PEIPL</t>
        </is>
      </c>
      <c r="U2187" s="2" t="inlineStr">
        <is>
          <t>Frame Damaged</t>
        </is>
      </c>
      <c r="V2187" s="1" t="inlineStr">
        <is>
          <t>Inspection</t>
        </is>
      </c>
      <c r="W2187" s="1" t="inlineStr">
        <is>
          <t>WIP</t>
        </is>
      </c>
      <c r="X2187" s="12" t="n"/>
      <c r="Y2187" s="1">
        <f>IF(X2187="","",X2187-A2187)</f>
        <v/>
      </c>
      <c r="Z2187" s="5" t="n">
        <v>46198</v>
      </c>
      <c r="AA2187" s="3" t="n"/>
      <c r="AB2187" s="3" t="n"/>
      <c r="AE2187" s="146">
        <f>IF(AND(F2187="Closed",X2187&gt;=DATE(2026,6,1),X2187&lt;=DATE(2026,6,30)),"Closed in June","other")</f>
        <v/>
      </c>
    </row>
    <row r="2188" hidden="1">
      <c r="A2188" s="49" t="n">
        <v>46177</v>
      </c>
      <c r="B2188" s="1" t="n">
        <v>2026</v>
      </c>
      <c r="C2188" s="8" t="inlineStr">
        <is>
          <t>Ayana</t>
        </is>
      </c>
      <c r="D2188" s="11" t="inlineStr">
        <is>
          <t>Utility and C&amp;I</t>
        </is>
      </c>
      <c r="E2188" s="1" t="n"/>
      <c r="F2188" s="1" t="inlineStr">
        <is>
          <t>WIP</t>
        </is>
      </c>
      <c r="G2188" s="11" t="inlineStr">
        <is>
          <t>Vasu.N</t>
        </is>
      </c>
      <c r="H2188" s="8" t="n">
        <v>9578099893</v>
      </c>
      <c r="I2188" s="10" t="inlineStr">
        <is>
          <t>PE04062601</t>
        </is>
      </c>
      <c r="J2188" s="28" t="inlineStr">
        <is>
          <t>Module burnt</t>
        </is>
      </c>
      <c r="K2188" s="8" t="inlineStr">
        <is>
          <t>Zura</t>
        </is>
      </c>
      <c r="L2188" s="39" t="inlineStr">
        <is>
          <t>Gujarat</t>
        </is>
      </c>
      <c r="M2188" s="2" t="inlineStr">
        <is>
          <t xml:space="preserve">damage </t>
        </is>
      </c>
      <c r="N2188" s="6" t="inlineStr">
        <is>
          <t>Module Breakage</t>
        </is>
      </c>
      <c r="O2188" s="32" t="n">
        <v>590</v>
      </c>
      <c r="P2188" s="2" t="inlineStr">
        <is>
          <t>NSMI24110805914</t>
        </is>
      </c>
      <c r="Q2188" s="29">
        <f>MID(P2188,5,2)</f>
        <v/>
      </c>
      <c r="R2188" s="14">
        <f>MID(P2188,7,2)</f>
        <v/>
      </c>
      <c r="S2188" s="6" t="inlineStr">
        <is>
          <t>G2G</t>
        </is>
      </c>
      <c r="T2188" s="1" t="inlineStr">
        <is>
          <t>P4 - PEIPL</t>
        </is>
      </c>
      <c r="U2188" s="2" t="inlineStr">
        <is>
          <t>Frame Damaged</t>
        </is>
      </c>
      <c r="V2188" s="1" t="inlineStr">
        <is>
          <t>Inspection</t>
        </is>
      </c>
      <c r="W2188" s="1" t="inlineStr">
        <is>
          <t>WIP</t>
        </is>
      </c>
      <c r="X2188" s="12" t="n"/>
      <c r="Y2188" s="1">
        <f>IF(X2188="","",X2188-A2188)</f>
        <v/>
      </c>
      <c r="Z2188" s="5" t="n">
        <v>46198</v>
      </c>
      <c r="AA2188" s="3" t="n"/>
      <c r="AB2188" s="3" t="n"/>
      <c r="AE2188" s="146">
        <f>IF(AND(F2188="Closed",X2188&gt;=DATE(2026,6,1),X2188&lt;=DATE(2026,6,30)),"Closed in June","other")</f>
        <v/>
      </c>
    </row>
    <row r="2189" hidden="1">
      <c r="A2189" s="49" t="n">
        <v>46177</v>
      </c>
      <c r="B2189" s="1" t="n">
        <v>2026</v>
      </c>
      <c r="C2189" s="8" t="inlineStr">
        <is>
          <t>Ayana</t>
        </is>
      </c>
      <c r="D2189" s="11" t="inlineStr">
        <is>
          <t>Utility and C&amp;I</t>
        </is>
      </c>
      <c r="E2189" s="1" t="n"/>
      <c r="F2189" s="1" t="inlineStr">
        <is>
          <t>WIP</t>
        </is>
      </c>
      <c r="G2189" s="11" t="inlineStr">
        <is>
          <t>Vasu.N</t>
        </is>
      </c>
      <c r="H2189" s="8" t="n">
        <v>9578099893</v>
      </c>
      <c r="I2189" s="10" t="inlineStr">
        <is>
          <t>PE04062601</t>
        </is>
      </c>
      <c r="J2189" s="28" t="inlineStr">
        <is>
          <t>Module burnt</t>
        </is>
      </c>
      <c r="K2189" s="8" t="inlineStr">
        <is>
          <t>Zura</t>
        </is>
      </c>
      <c r="L2189" s="39" t="inlineStr">
        <is>
          <t>Gujarat</t>
        </is>
      </c>
      <c r="M2189" s="2" t="inlineStr">
        <is>
          <t xml:space="preserve">damage </t>
        </is>
      </c>
      <c r="N2189" s="6" t="inlineStr">
        <is>
          <t>Module Breakage</t>
        </is>
      </c>
      <c r="O2189" s="32" t="n">
        <v>590</v>
      </c>
      <c r="P2189" s="2" t="inlineStr">
        <is>
          <t>NSMI24090428669</t>
        </is>
      </c>
      <c r="Q2189" s="29">
        <f>MID(P2189,5,2)</f>
        <v/>
      </c>
      <c r="R2189" s="14">
        <f>MID(P2189,7,2)</f>
        <v/>
      </c>
      <c r="S2189" s="6" t="inlineStr">
        <is>
          <t>G2G</t>
        </is>
      </c>
      <c r="T2189" s="1" t="inlineStr">
        <is>
          <t>P4 - PEIPL</t>
        </is>
      </c>
      <c r="U2189" s="2" t="inlineStr">
        <is>
          <t>Frame Damaged</t>
        </is>
      </c>
      <c r="V2189" s="1" t="inlineStr">
        <is>
          <t>Inspection</t>
        </is>
      </c>
      <c r="W2189" s="1" t="inlineStr">
        <is>
          <t>WIP</t>
        </is>
      </c>
      <c r="X2189" s="12" t="n"/>
      <c r="Y2189" s="1">
        <f>IF(X2189="","",X2189-A2189)</f>
        <v/>
      </c>
      <c r="Z2189" s="5" t="n">
        <v>46198</v>
      </c>
      <c r="AA2189" s="3" t="n"/>
      <c r="AB2189" s="3" t="n"/>
      <c r="AE2189" s="146">
        <f>IF(AND(F2189="Closed",X2189&gt;=DATE(2026,6,1),X2189&lt;=DATE(2026,6,30)),"Closed in June","other")</f>
        <v/>
      </c>
    </row>
    <row r="2190" hidden="1">
      <c r="A2190" s="49" t="n">
        <v>46177</v>
      </c>
      <c r="B2190" s="1" t="n">
        <v>2026</v>
      </c>
      <c r="C2190" s="8" t="inlineStr">
        <is>
          <t>Ayana</t>
        </is>
      </c>
      <c r="D2190" s="11" t="inlineStr">
        <is>
          <t>Utility and C&amp;I</t>
        </is>
      </c>
      <c r="E2190" s="1" t="n"/>
      <c r="F2190" s="1" t="inlineStr">
        <is>
          <t>WIP</t>
        </is>
      </c>
      <c r="G2190" s="11" t="inlineStr">
        <is>
          <t>Vasu.N</t>
        </is>
      </c>
      <c r="H2190" s="8" t="n">
        <v>9578099893</v>
      </c>
      <c r="I2190" s="10" t="inlineStr">
        <is>
          <t>PE04062601</t>
        </is>
      </c>
      <c r="J2190" s="28" t="inlineStr">
        <is>
          <t>Module burnt</t>
        </is>
      </c>
      <c r="K2190" s="8" t="inlineStr">
        <is>
          <t>Zura</t>
        </is>
      </c>
      <c r="L2190" s="39" t="inlineStr">
        <is>
          <t>Gujarat</t>
        </is>
      </c>
      <c r="M2190" s="2" t="inlineStr">
        <is>
          <t xml:space="preserve">damage </t>
        </is>
      </c>
      <c r="N2190" s="6" t="inlineStr">
        <is>
          <t>Module Breakage</t>
        </is>
      </c>
      <c r="O2190" s="32" t="n">
        <v>590</v>
      </c>
      <c r="P2190" s="2" t="inlineStr">
        <is>
          <t>NSMI24090428842</t>
        </is>
      </c>
      <c r="Q2190" s="29">
        <f>MID(P2190,5,2)</f>
        <v/>
      </c>
      <c r="R2190" s="14">
        <f>MID(P2190,7,2)</f>
        <v/>
      </c>
      <c r="S2190" s="6" t="inlineStr">
        <is>
          <t>G2G</t>
        </is>
      </c>
      <c r="T2190" s="1" t="inlineStr">
        <is>
          <t>P4 - PEIPL</t>
        </is>
      </c>
      <c r="U2190" s="2" t="inlineStr">
        <is>
          <t>Frame Damaged</t>
        </is>
      </c>
      <c r="V2190" s="1" t="inlineStr">
        <is>
          <t>Inspection</t>
        </is>
      </c>
      <c r="W2190" s="1" t="inlineStr">
        <is>
          <t>WIP</t>
        </is>
      </c>
      <c r="X2190" s="12" t="n"/>
      <c r="Y2190" s="1">
        <f>IF(X2190="","",X2190-A2190)</f>
        <v/>
      </c>
      <c r="Z2190" s="5" t="n">
        <v>46198</v>
      </c>
      <c r="AA2190" s="3" t="n"/>
      <c r="AB2190" s="3" t="n"/>
      <c r="AE2190" s="146">
        <f>IF(AND(F2190="Closed",X2190&gt;=DATE(2026,6,1),X2190&lt;=DATE(2026,6,30)),"Closed in June","other")</f>
        <v/>
      </c>
    </row>
    <row r="2191" hidden="1">
      <c r="A2191" s="49" t="n">
        <v>46177</v>
      </c>
      <c r="B2191" s="1" t="n">
        <v>2026</v>
      </c>
      <c r="C2191" s="8" t="inlineStr">
        <is>
          <t>Ayana</t>
        </is>
      </c>
      <c r="D2191" s="11" t="inlineStr">
        <is>
          <t>Utility and C&amp;I</t>
        </is>
      </c>
      <c r="E2191" s="1" t="n"/>
      <c r="F2191" s="1" t="inlineStr">
        <is>
          <t>WIP</t>
        </is>
      </c>
      <c r="G2191" s="11" t="inlineStr">
        <is>
          <t>Vasu.N</t>
        </is>
      </c>
      <c r="H2191" s="8" t="n">
        <v>9578099893</v>
      </c>
      <c r="I2191" s="10" t="inlineStr">
        <is>
          <t>PE04062601</t>
        </is>
      </c>
      <c r="J2191" s="28" t="inlineStr">
        <is>
          <t>Module burnt</t>
        </is>
      </c>
      <c r="K2191" s="8" t="inlineStr">
        <is>
          <t>Zura</t>
        </is>
      </c>
      <c r="L2191" s="39" t="inlineStr">
        <is>
          <t>Gujarat</t>
        </is>
      </c>
      <c r="M2191" s="2" t="inlineStr">
        <is>
          <t xml:space="preserve">damage </t>
        </is>
      </c>
      <c r="N2191" s="6" t="inlineStr">
        <is>
          <t>Module Breakage</t>
        </is>
      </c>
      <c r="O2191" s="32" t="n">
        <v>590</v>
      </c>
      <c r="P2191" s="2" t="inlineStr">
        <is>
          <t>NSMI24090542094</t>
        </is>
      </c>
      <c r="Q2191" s="29">
        <f>MID(P2191,5,2)</f>
        <v/>
      </c>
      <c r="R2191" s="14">
        <f>MID(P2191,7,2)</f>
        <v/>
      </c>
      <c r="S2191" s="6" t="inlineStr">
        <is>
          <t>G2G</t>
        </is>
      </c>
      <c r="T2191" s="1" t="inlineStr">
        <is>
          <t>P4 - PEIPL</t>
        </is>
      </c>
      <c r="U2191" s="2" t="inlineStr">
        <is>
          <t>Frame Damaged</t>
        </is>
      </c>
      <c r="V2191" s="1" t="inlineStr">
        <is>
          <t>Inspection</t>
        </is>
      </c>
      <c r="W2191" s="1" t="inlineStr">
        <is>
          <t>WIP</t>
        </is>
      </c>
      <c r="X2191" s="12" t="n"/>
      <c r="Y2191" s="1">
        <f>IF(X2191="","",X2191-A2191)</f>
        <v/>
      </c>
      <c r="Z2191" s="5" t="n">
        <v>46198</v>
      </c>
      <c r="AA2191" s="3" t="n"/>
      <c r="AB2191" s="3" t="n"/>
      <c r="AE2191" s="146">
        <f>IF(AND(F2191="Closed",X2191&gt;=DATE(2026,6,1),X2191&lt;=DATE(2026,6,30)),"Closed in June","other")</f>
        <v/>
      </c>
    </row>
    <row r="2192" hidden="1">
      <c r="A2192" s="49" t="n">
        <v>46177</v>
      </c>
      <c r="B2192" s="1" t="n">
        <v>2026</v>
      </c>
      <c r="C2192" s="8" t="inlineStr">
        <is>
          <t>Ayana</t>
        </is>
      </c>
      <c r="D2192" s="11" t="inlineStr">
        <is>
          <t>Utility and C&amp;I</t>
        </is>
      </c>
      <c r="E2192" s="1" t="n"/>
      <c r="F2192" s="1" t="inlineStr">
        <is>
          <t>Closed</t>
        </is>
      </c>
      <c r="G2192" s="11" t="inlineStr">
        <is>
          <t>Vasu.N</t>
        </is>
      </c>
      <c r="H2192" s="8" t="n">
        <v>9578099893</v>
      </c>
      <c r="I2192" s="10" t="inlineStr">
        <is>
          <t>PE04062601</t>
        </is>
      </c>
      <c r="J2192" s="28" t="inlineStr">
        <is>
          <t>Module burnt</t>
        </is>
      </c>
      <c r="K2192" s="8" t="inlineStr">
        <is>
          <t>Zura</t>
        </is>
      </c>
      <c r="L2192" s="39" t="inlineStr">
        <is>
          <t>Gujarat</t>
        </is>
      </c>
      <c r="M2192" s="2" t="inlineStr">
        <is>
          <t xml:space="preserve">damage </t>
        </is>
      </c>
      <c r="N2192" s="6" t="inlineStr">
        <is>
          <t>Module Breakage</t>
        </is>
      </c>
      <c r="O2192" s="32" t="n">
        <v>590</v>
      </c>
      <c r="P2192" s="2" t="inlineStr">
        <is>
          <t>NSMI24100611819</t>
        </is>
      </c>
      <c r="Q2192" s="29">
        <f>MID(P2192,5,2)</f>
        <v/>
      </c>
      <c r="R2192" s="14">
        <f>MID(P2192,7,2)</f>
        <v/>
      </c>
      <c r="S2192" s="6" t="inlineStr">
        <is>
          <t>G2G</t>
        </is>
      </c>
      <c r="T2192" s="1" t="inlineStr">
        <is>
          <t>P4 - PEIPL</t>
        </is>
      </c>
      <c r="U2192" s="2" t="inlineStr">
        <is>
          <t xml:space="preserve">physically damaged </t>
        </is>
      </c>
      <c r="V2192" s="1" t="inlineStr">
        <is>
          <t>Inspection</t>
        </is>
      </c>
      <c r="W2192" s="1" t="inlineStr">
        <is>
          <t>Rejected</t>
        </is>
      </c>
      <c r="X2192" s="5">
        <f>Z2192</f>
        <v/>
      </c>
      <c r="Y2192" s="1">
        <f>X2192-A2192</f>
        <v/>
      </c>
      <c r="Z2192" s="5" t="n">
        <v>46198</v>
      </c>
      <c r="AA2192" s="3" t="n"/>
      <c r="AB2192" s="3" t="n"/>
      <c r="AE2192" s="146">
        <f>IF(AND(F2192="Closed",X2192&gt;=DATE(2026,6,1),X2192&lt;=DATE(2026,6,30)),"Closed in June","other")</f>
        <v/>
      </c>
    </row>
    <row r="2193" hidden="1">
      <c r="A2193" s="49" t="n">
        <v>46177</v>
      </c>
      <c r="B2193" s="1" t="n">
        <v>2026</v>
      </c>
      <c r="C2193" s="8" t="inlineStr">
        <is>
          <t>Ayana</t>
        </is>
      </c>
      <c r="D2193" s="11" t="inlineStr">
        <is>
          <t>Utility and C&amp;I</t>
        </is>
      </c>
      <c r="E2193" s="1" t="n"/>
      <c r="F2193" s="1" t="inlineStr">
        <is>
          <t>Closed</t>
        </is>
      </c>
      <c r="G2193" s="11" t="inlineStr">
        <is>
          <t>Vasu.N</t>
        </is>
      </c>
      <c r="H2193" s="8" t="n">
        <v>9578099893</v>
      </c>
      <c r="I2193" s="10" t="inlineStr">
        <is>
          <t>PE04062601</t>
        </is>
      </c>
      <c r="J2193" s="28" t="inlineStr">
        <is>
          <t>Module burnt</t>
        </is>
      </c>
      <c r="K2193" s="8" t="inlineStr">
        <is>
          <t>Zura</t>
        </is>
      </c>
      <c r="L2193" s="39" t="inlineStr">
        <is>
          <t>Gujarat</t>
        </is>
      </c>
      <c r="M2193" s="2" t="inlineStr">
        <is>
          <t xml:space="preserve">damage </t>
        </is>
      </c>
      <c r="N2193" s="6" t="inlineStr">
        <is>
          <t>Module Breakage</t>
        </is>
      </c>
      <c r="O2193" s="32" t="n">
        <v>590</v>
      </c>
      <c r="P2193" s="2" t="inlineStr">
        <is>
          <t>NSMI24100611799</t>
        </is>
      </c>
      <c r="Q2193" s="29">
        <f>MID(P2193,5,2)</f>
        <v/>
      </c>
      <c r="R2193" s="14">
        <f>MID(P2193,7,2)</f>
        <v/>
      </c>
      <c r="S2193" s="6" t="inlineStr">
        <is>
          <t>G2G</t>
        </is>
      </c>
      <c r="T2193" s="1" t="inlineStr">
        <is>
          <t>P4 - PEIPL</t>
        </is>
      </c>
      <c r="U2193" s="2" t="inlineStr">
        <is>
          <t xml:space="preserve">physically damaged </t>
        </is>
      </c>
      <c r="V2193" s="1" t="inlineStr">
        <is>
          <t>Inspection</t>
        </is>
      </c>
      <c r="W2193" s="1" t="inlineStr">
        <is>
          <t>Rejected</t>
        </is>
      </c>
      <c r="X2193" s="5">
        <f>Z2193</f>
        <v/>
      </c>
      <c r="Y2193" s="1">
        <f>X2193-A2193</f>
        <v/>
      </c>
      <c r="Z2193" s="5" t="n">
        <v>46198</v>
      </c>
      <c r="AA2193" s="3" t="n"/>
      <c r="AB2193" s="3" t="n"/>
      <c r="AE2193" s="146">
        <f>IF(AND(F2193="Closed",X2193&gt;=DATE(2026,6,1),X2193&lt;=DATE(2026,6,30)),"Closed in June","other")</f>
        <v/>
      </c>
    </row>
    <row r="2194" hidden="1">
      <c r="A2194" s="49" t="n">
        <v>46177</v>
      </c>
      <c r="B2194" s="1" t="n">
        <v>2026</v>
      </c>
      <c r="C2194" s="8" t="inlineStr">
        <is>
          <t>Ayana</t>
        </is>
      </c>
      <c r="D2194" s="11" t="inlineStr">
        <is>
          <t>Utility and C&amp;I</t>
        </is>
      </c>
      <c r="E2194" s="1" t="n"/>
      <c r="F2194" s="1" t="inlineStr">
        <is>
          <t>Closed</t>
        </is>
      </c>
      <c r="G2194" s="11" t="inlineStr">
        <is>
          <t>Vasu.N</t>
        </is>
      </c>
      <c r="H2194" s="8" t="n">
        <v>9578099893</v>
      </c>
      <c r="I2194" s="10" t="inlineStr">
        <is>
          <t>PE04062601</t>
        </is>
      </c>
      <c r="J2194" s="28" t="inlineStr">
        <is>
          <t>Module burnt</t>
        </is>
      </c>
      <c r="K2194" s="8" t="inlineStr">
        <is>
          <t>Zura</t>
        </is>
      </c>
      <c r="L2194" s="39" t="inlineStr">
        <is>
          <t>Gujarat</t>
        </is>
      </c>
      <c r="M2194" s="2" t="inlineStr">
        <is>
          <t xml:space="preserve">damage </t>
        </is>
      </c>
      <c r="N2194" s="6" t="inlineStr">
        <is>
          <t>Module Breakage</t>
        </is>
      </c>
      <c r="O2194" s="32" t="n">
        <v>590</v>
      </c>
      <c r="P2194" s="2" t="inlineStr">
        <is>
          <t>NSMI24110819579</t>
        </is>
      </c>
      <c r="Q2194" s="29">
        <f>MID(P2194,5,2)</f>
        <v/>
      </c>
      <c r="R2194" s="14">
        <f>MID(P2194,7,2)</f>
        <v/>
      </c>
      <c r="S2194" s="6" t="inlineStr">
        <is>
          <t>G2G</t>
        </is>
      </c>
      <c r="T2194" s="1" t="inlineStr">
        <is>
          <t>P4 - PEIPL</t>
        </is>
      </c>
      <c r="U2194" s="2" t="inlineStr">
        <is>
          <t xml:space="preserve">physically damaged </t>
        </is>
      </c>
      <c r="V2194" s="1" t="inlineStr">
        <is>
          <t>Inspection</t>
        </is>
      </c>
      <c r="W2194" s="1" t="inlineStr">
        <is>
          <t>Rejected</t>
        </is>
      </c>
      <c r="X2194" s="5">
        <f>Z2194</f>
        <v/>
      </c>
      <c r="Y2194" s="1">
        <f>X2194-A2194</f>
        <v/>
      </c>
      <c r="Z2194" s="5" t="n">
        <v>46198</v>
      </c>
      <c r="AA2194" s="3" t="n"/>
      <c r="AB2194" s="3" t="n"/>
      <c r="AE2194" s="146">
        <f>IF(AND(F2194="Closed",X2194&gt;=DATE(2026,6,1),X2194&lt;=DATE(2026,6,30)),"Closed in June","other")</f>
        <v/>
      </c>
    </row>
    <row r="2195" hidden="1">
      <c r="A2195" s="49" t="n">
        <v>46177</v>
      </c>
      <c r="B2195" s="1" t="n">
        <v>2026</v>
      </c>
      <c r="C2195" s="8" t="inlineStr">
        <is>
          <t>Ayana</t>
        </is>
      </c>
      <c r="D2195" s="11" t="inlineStr">
        <is>
          <t>Utility and C&amp;I</t>
        </is>
      </c>
      <c r="E2195" s="1" t="n"/>
      <c r="F2195" s="1" t="inlineStr">
        <is>
          <t>Closed</t>
        </is>
      </c>
      <c r="G2195" s="11" t="inlineStr">
        <is>
          <t>Vasu.N</t>
        </is>
      </c>
      <c r="H2195" s="8" t="n">
        <v>9578099893</v>
      </c>
      <c r="I2195" s="10" t="inlineStr">
        <is>
          <t>PE04062601</t>
        </is>
      </c>
      <c r="J2195" s="28" t="inlineStr">
        <is>
          <t>Module burnt</t>
        </is>
      </c>
      <c r="K2195" s="8" t="inlineStr">
        <is>
          <t>Zura</t>
        </is>
      </c>
      <c r="L2195" s="39" t="inlineStr">
        <is>
          <t>Gujarat</t>
        </is>
      </c>
      <c r="M2195" s="2" t="inlineStr">
        <is>
          <t xml:space="preserve">damage </t>
        </is>
      </c>
      <c r="N2195" s="6" t="inlineStr">
        <is>
          <t>Module Breakage</t>
        </is>
      </c>
      <c r="O2195" s="32" t="n">
        <v>590</v>
      </c>
      <c r="P2195" s="2" t="inlineStr">
        <is>
          <t>NSMI24110811750</t>
        </is>
      </c>
      <c r="Q2195" s="29">
        <f>MID(P2195,5,2)</f>
        <v/>
      </c>
      <c r="R2195" s="14">
        <f>MID(P2195,7,2)</f>
        <v/>
      </c>
      <c r="S2195" s="6" t="inlineStr">
        <is>
          <t>G2G</t>
        </is>
      </c>
      <c r="T2195" s="1" t="inlineStr">
        <is>
          <t>P4 - PEIPL</t>
        </is>
      </c>
      <c r="U2195" s="2" t="inlineStr">
        <is>
          <t xml:space="preserve">physically damaged </t>
        </is>
      </c>
      <c r="V2195" s="1" t="inlineStr">
        <is>
          <t>Inspection</t>
        </is>
      </c>
      <c r="W2195" s="1" t="inlineStr">
        <is>
          <t>Rejected</t>
        </is>
      </c>
      <c r="X2195" s="5">
        <f>Z2195</f>
        <v/>
      </c>
      <c r="Y2195" s="1">
        <f>X2195-A2195</f>
        <v/>
      </c>
      <c r="Z2195" s="5" t="n">
        <v>46198</v>
      </c>
      <c r="AA2195" s="3" t="n"/>
      <c r="AB2195" s="3" t="n"/>
      <c r="AE2195" s="146">
        <f>IF(AND(F2195="Closed",X2195&gt;=DATE(2026,6,1),X2195&lt;=DATE(2026,6,30)),"Closed in June","other")</f>
        <v/>
      </c>
    </row>
    <row r="2196" hidden="1">
      <c r="A2196" s="49" t="n">
        <v>46177</v>
      </c>
      <c r="B2196" s="1" t="n">
        <v>2026</v>
      </c>
      <c r="C2196" s="8" t="inlineStr">
        <is>
          <t>Ayana</t>
        </is>
      </c>
      <c r="D2196" s="11" t="inlineStr">
        <is>
          <t>Utility and C&amp;I</t>
        </is>
      </c>
      <c r="E2196" s="1" t="n"/>
      <c r="F2196" s="1" t="inlineStr">
        <is>
          <t>Closed</t>
        </is>
      </c>
      <c r="G2196" s="11" t="inlineStr">
        <is>
          <t>Vasu.N</t>
        </is>
      </c>
      <c r="H2196" s="8" t="n">
        <v>9578099893</v>
      </c>
      <c r="I2196" s="10" t="inlineStr">
        <is>
          <t>PE04062601</t>
        </is>
      </c>
      <c r="J2196" s="28" t="inlineStr">
        <is>
          <t>Module burnt</t>
        </is>
      </c>
      <c r="K2196" s="8" t="inlineStr">
        <is>
          <t>Zura</t>
        </is>
      </c>
      <c r="L2196" s="39" t="inlineStr">
        <is>
          <t>Gujarat</t>
        </is>
      </c>
      <c r="M2196" s="2" t="inlineStr">
        <is>
          <t xml:space="preserve">damage </t>
        </is>
      </c>
      <c r="N2196" s="6" t="inlineStr">
        <is>
          <t>Module Breakage</t>
        </is>
      </c>
      <c r="O2196" s="32" t="n">
        <v>590</v>
      </c>
      <c r="P2196" s="2" t="inlineStr">
        <is>
          <t>NSMI24110811694</t>
        </is>
      </c>
      <c r="Q2196" s="29">
        <f>MID(P2196,5,2)</f>
        <v/>
      </c>
      <c r="R2196" s="14">
        <f>MID(P2196,7,2)</f>
        <v/>
      </c>
      <c r="S2196" s="6" t="inlineStr">
        <is>
          <t>G2G</t>
        </is>
      </c>
      <c r="T2196" s="1" t="inlineStr">
        <is>
          <t>P4 - PEIPL</t>
        </is>
      </c>
      <c r="U2196" s="2" t="inlineStr">
        <is>
          <t xml:space="preserve">physically damaged </t>
        </is>
      </c>
      <c r="V2196" s="1" t="inlineStr">
        <is>
          <t>Inspection</t>
        </is>
      </c>
      <c r="W2196" s="1" t="inlineStr">
        <is>
          <t>Rejected</t>
        </is>
      </c>
      <c r="X2196" s="5">
        <f>Z2196</f>
        <v/>
      </c>
      <c r="Y2196" s="1">
        <f>X2196-A2196</f>
        <v/>
      </c>
      <c r="Z2196" s="5" t="n">
        <v>46198</v>
      </c>
      <c r="AA2196" s="3" t="n"/>
      <c r="AB2196" s="3" t="n"/>
      <c r="AE2196" s="146">
        <f>IF(AND(F2196="Closed",X2196&gt;=DATE(2026,6,1),X2196&lt;=DATE(2026,6,30)),"Closed in June","other")</f>
        <v/>
      </c>
    </row>
    <row r="2197" hidden="1">
      <c r="A2197" s="49" t="n">
        <v>46177</v>
      </c>
      <c r="B2197" s="1" t="n">
        <v>2026</v>
      </c>
      <c r="C2197" s="8" t="inlineStr">
        <is>
          <t>Ayana</t>
        </is>
      </c>
      <c r="D2197" s="11" t="inlineStr">
        <is>
          <t>Utility and C&amp;I</t>
        </is>
      </c>
      <c r="E2197" s="1" t="n"/>
      <c r="F2197" s="1" t="inlineStr">
        <is>
          <t>Closed</t>
        </is>
      </c>
      <c r="G2197" s="11" t="inlineStr">
        <is>
          <t>Vasu.N</t>
        </is>
      </c>
      <c r="H2197" s="8" t="n">
        <v>9578099893</v>
      </c>
      <c r="I2197" s="10" t="inlineStr">
        <is>
          <t>PE04062601</t>
        </is>
      </c>
      <c r="J2197" s="28" t="inlineStr">
        <is>
          <t>Module burnt</t>
        </is>
      </c>
      <c r="K2197" s="8" t="inlineStr">
        <is>
          <t>Zura</t>
        </is>
      </c>
      <c r="L2197" s="39" t="inlineStr">
        <is>
          <t>Gujarat</t>
        </is>
      </c>
      <c r="M2197" s="2" t="inlineStr">
        <is>
          <t xml:space="preserve">damage </t>
        </is>
      </c>
      <c r="N2197" s="6" t="inlineStr">
        <is>
          <t>Module Breakage</t>
        </is>
      </c>
      <c r="O2197" s="32" t="n">
        <v>590</v>
      </c>
      <c r="P2197" s="2" t="inlineStr">
        <is>
          <t>NSMI24110836958</t>
        </is>
      </c>
      <c r="Q2197" s="29">
        <f>MID(P2197,5,2)</f>
        <v/>
      </c>
      <c r="R2197" s="14">
        <f>MID(P2197,7,2)</f>
        <v/>
      </c>
      <c r="S2197" s="6" t="inlineStr">
        <is>
          <t>G2G</t>
        </is>
      </c>
      <c r="T2197" s="1" t="inlineStr">
        <is>
          <t>P4 - PEIPL</t>
        </is>
      </c>
      <c r="U2197" s="2" t="inlineStr">
        <is>
          <t xml:space="preserve">physically damaged </t>
        </is>
      </c>
      <c r="V2197" s="1" t="inlineStr">
        <is>
          <t>Inspection</t>
        </is>
      </c>
      <c r="W2197" s="1" t="inlineStr">
        <is>
          <t>Rejected</t>
        </is>
      </c>
      <c r="X2197" s="5">
        <f>Z2197</f>
        <v/>
      </c>
      <c r="Y2197" s="1">
        <f>X2197-A2197</f>
        <v/>
      </c>
      <c r="Z2197" s="5" t="n">
        <v>46198</v>
      </c>
      <c r="AA2197" s="3" t="n"/>
      <c r="AB2197" s="3" t="n"/>
      <c r="AE2197" s="146">
        <f>IF(AND(F2197="Closed",X2197&gt;=DATE(2026,6,1),X2197&lt;=DATE(2026,6,30)),"Closed in June","other")</f>
        <v/>
      </c>
    </row>
    <row r="2198" hidden="1">
      <c r="A2198" s="49" t="n">
        <v>46177</v>
      </c>
      <c r="B2198" s="1" t="n">
        <v>2026</v>
      </c>
      <c r="C2198" s="8" t="inlineStr">
        <is>
          <t>Ayana</t>
        </is>
      </c>
      <c r="D2198" s="11" t="inlineStr">
        <is>
          <t>Utility and C&amp;I</t>
        </is>
      </c>
      <c r="E2198" s="1" t="n"/>
      <c r="F2198" s="1" t="inlineStr">
        <is>
          <t>Closed</t>
        </is>
      </c>
      <c r="G2198" s="11" t="inlineStr">
        <is>
          <t>Vasu.N</t>
        </is>
      </c>
      <c r="H2198" s="8" t="n">
        <v>9578099893</v>
      </c>
      <c r="I2198" s="10" t="inlineStr">
        <is>
          <t>PE04062601</t>
        </is>
      </c>
      <c r="J2198" s="28" t="inlineStr">
        <is>
          <t>Module burnt</t>
        </is>
      </c>
      <c r="K2198" s="8" t="inlineStr">
        <is>
          <t>Zura</t>
        </is>
      </c>
      <c r="L2198" s="39" t="inlineStr">
        <is>
          <t>Gujarat</t>
        </is>
      </c>
      <c r="M2198" s="2" t="inlineStr">
        <is>
          <t xml:space="preserve">damage </t>
        </is>
      </c>
      <c r="N2198" s="6" t="inlineStr">
        <is>
          <t>Module Breakage</t>
        </is>
      </c>
      <c r="O2198" s="32" t="n">
        <v>590</v>
      </c>
      <c r="P2198" s="2" t="inlineStr">
        <is>
          <t>NSMI24100608180</t>
        </is>
      </c>
      <c r="Q2198" s="29">
        <f>MID(P2198,5,2)</f>
        <v/>
      </c>
      <c r="R2198" s="14">
        <f>MID(P2198,7,2)</f>
        <v/>
      </c>
      <c r="S2198" s="6" t="inlineStr">
        <is>
          <t>G2G</t>
        </is>
      </c>
      <c r="T2198" s="1" t="inlineStr">
        <is>
          <t>P4 - PEIPL</t>
        </is>
      </c>
      <c r="U2198" s="2" t="inlineStr">
        <is>
          <t xml:space="preserve">physically damaged </t>
        </is>
      </c>
      <c r="V2198" s="1" t="inlineStr">
        <is>
          <t>Inspection</t>
        </is>
      </c>
      <c r="W2198" s="1" t="inlineStr">
        <is>
          <t>Rejected</t>
        </is>
      </c>
      <c r="X2198" s="5">
        <f>Z2198</f>
        <v/>
      </c>
      <c r="Y2198" s="1">
        <f>X2198-A2198</f>
        <v/>
      </c>
      <c r="Z2198" s="5" t="n">
        <v>46198</v>
      </c>
      <c r="AA2198" s="3" t="n"/>
      <c r="AB2198" s="3" t="n"/>
      <c r="AE2198" s="146">
        <f>IF(AND(F2198="Closed",X2198&gt;=DATE(2026,6,1),X2198&lt;=DATE(2026,6,30)),"Closed in June","other")</f>
        <v/>
      </c>
    </row>
    <row r="2199" hidden="1">
      <c r="A2199" s="49" t="n">
        <v>46177</v>
      </c>
      <c r="B2199" s="1" t="n">
        <v>2026</v>
      </c>
      <c r="C2199" s="8" t="inlineStr">
        <is>
          <t>Ayana</t>
        </is>
      </c>
      <c r="D2199" s="11" t="inlineStr">
        <is>
          <t>Utility and C&amp;I</t>
        </is>
      </c>
      <c r="E2199" s="1" t="n"/>
      <c r="F2199" s="1" t="inlineStr">
        <is>
          <t>Closed</t>
        </is>
      </c>
      <c r="G2199" s="11" t="inlineStr">
        <is>
          <t>Vasu.N</t>
        </is>
      </c>
      <c r="H2199" s="8" t="n">
        <v>9578099893</v>
      </c>
      <c r="I2199" s="10" t="inlineStr">
        <is>
          <t>PE04062601</t>
        </is>
      </c>
      <c r="J2199" s="28" t="inlineStr">
        <is>
          <t>Module burnt</t>
        </is>
      </c>
      <c r="K2199" s="8" t="inlineStr">
        <is>
          <t>Zura</t>
        </is>
      </c>
      <c r="L2199" s="39" t="inlineStr">
        <is>
          <t>Gujarat</t>
        </is>
      </c>
      <c r="M2199" s="2" t="inlineStr">
        <is>
          <t xml:space="preserve">damage </t>
        </is>
      </c>
      <c r="N2199" s="6" t="inlineStr">
        <is>
          <t>Module Breakage</t>
        </is>
      </c>
      <c r="O2199" s="32" t="n">
        <v>590</v>
      </c>
      <c r="P2199" s="2" t="inlineStr">
        <is>
          <t>NSMI24100631696</t>
        </is>
      </c>
      <c r="Q2199" s="29">
        <f>MID(P2199,5,2)</f>
        <v/>
      </c>
      <c r="R2199" s="14">
        <f>MID(P2199,7,2)</f>
        <v/>
      </c>
      <c r="S2199" s="6" t="inlineStr">
        <is>
          <t>G2G</t>
        </is>
      </c>
      <c r="T2199" s="1" t="inlineStr">
        <is>
          <t>P4 - PEIPL</t>
        </is>
      </c>
      <c r="U2199" s="2" t="inlineStr">
        <is>
          <t xml:space="preserve">physically damaged </t>
        </is>
      </c>
      <c r="V2199" s="1" t="inlineStr">
        <is>
          <t>Inspection</t>
        </is>
      </c>
      <c r="W2199" s="1" t="inlineStr">
        <is>
          <t>Rejected</t>
        </is>
      </c>
      <c r="X2199" s="5">
        <f>Z2199</f>
        <v/>
      </c>
      <c r="Y2199" s="1">
        <f>X2199-A2199</f>
        <v/>
      </c>
      <c r="Z2199" s="5" t="n">
        <v>46198</v>
      </c>
      <c r="AA2199" s="3" t="n"/>
      <c r="AB2199" s="3" t="n"/>
      <c r="AE2199" s="146">
        <f>IF(AND(F2199="Closed",X2199&gt;=DATE(2026,6,1),X2199&lt;=DATE(2026,6,30)),"Closed in June","other")</f>
        <v/>
      </c>
    </row>
    <row r="2200" hidden="1">
      <c r="A2200" s="49" t="n">
        <v>46177</v>
      </c>
      <c r="B2200" s="1" t="n">
        <v>2026</v>
      </c>
      <c r="C2200" s="8" t="inlineStr">
        <is>
          <t>Ayana</t>
        </is>
      </c>
      <c r="D2200" s="11" t="inlineStr">
        <is>
          <t>Utility and C&amp;I</t>
        </is>
      </c>
      <c r="E2200" s="1" t="n"/>
      <c r="F2200" s="1" t="inlineStr">
        <is>
          <t>WIP</t>
        </is>
      </c>
      <c r="G2200" s="11" t="inlineStr">
        <is>
          <t>Vasu.N</t>
        </is>
      </c>
      <c r="H2200" s="8" t="n">
        <v>9578099893</v>
      </c>
      <c r="I2200" s="10" t="inlineStr">
        <is>
          <t>PE04062601</t>
        </is>
      </c>
      <c r="J2200" s="28" t="inlineStr">
        <is>
          <t>Module burnt</t>
        </is>
      </c>
      <c r="K2200" s="8" t="inlineStr">
        <is>
          <t>Zura</t>
        </is>
      </c>
      <c r="L2200" s="39" t="inlineStr">
        <is>
          <t>Gujarat</t>
        </is>
      </c>
      <c r="M2200" s="2" t="inlineStr">
        <is>
          <t xml:space="preserve">damage </t>
        </is>
      </c>
      <c r="N2200" s="6" t="inlineStr">
        <is>
          <t>Module Breakage</t>
        </is>
      </c>
      <c r="O2200" s="32" t="n">
        <v>590</v>
      </c>
      <c r="P2200" s="2" t="inlineStr">
        <is>
          <t>NSMI24100632946</t>
        </is>
      </c>
      <c r="Q2200" s="29">
        <f>MID(P2200,5,2)</f>
        <v/>
      </c>
      <c r="R2200" s="14">
        <f>MID(P2200,7,2)</f>
        <v/>
      </c>
      <c r="S2200" s="6" t="inlineStr">
        <is>
          <t>G2G</t>
        </is>
      </c>
      <c r="T2200" s="1" t="inlineStr">
        <is>
          <t>P4 - PEIPL</t>
        </is>
      </c>
      <c r="U2200" s="2" t="inlineStr">
        <is>
          <t>Frame Damaged</t>
        </is>
      </c>
      <c r="V2200" s="1" t="inlineStr">
        <is>
          <t>Inspection</t>
        </is>
      </c>
      <c r="W2200" s="1" t="inlineStr">
        <is>
          <t>WIP</t>
        </is>
      </c>
      <c r="X2200" s="12" t="n"/>
      <c r="Y2200" s="1">
        <f>IF(X2200="","",X2200-A2200)</f>
        <v/>
      </c>
      <c r="Z2200" s="5" t="n">
        <v>46198</v>
      </c>
      <c r="AA2200" s="3" t="n"/>
      <c r="AB2200" s="3" t="n"/>
      <c r="AE2200" s="146">
        <f>IF(AND(F2200="Closed",X2200&gt;=DATE(2026,6,1),X2200&lt;=DATE(2026,6,30)),"Closed in June","other")</f>
        <v/>
      </c>
    </row>
    <row r="2201" hidden="1">
      <c r="A2201" s="49" t="n">
        <v>46177</v>
      </c>
      <c r="B2201" s="1" t="n">
        <v>2026</v>
      </c>
      <c r="C2201" s="8" t="inlineStr">
        <is>
          <t>Ayana</t>
        </is>
      </c>
      <c r="D2201" s="11" t="inlineStr">
        <is>
          <t>Utility and C&amp;I</t>
        </is>
      </c>
      <c r="E2201" s="1" t="n"/>
      <c r="F2201" s="1" t="inlineStr">
        <is>
          <t>Closed</t>
        </is>
      </c>
      <c r="G2201" s="11" t="inlineStr">
        <is>
          <t>Vasu.N</t>
        </is>
      </c>
      <c r="H2201" s="8" t="n">
        <v>9578099893</v>
      </c>
      <c r="I2201" s="10" t="inlineStr">
        <is>
          <t>PE04062601</t>
        </is>
      </c>
      <c r="J2201" s="28" t="inlineStr">
        <is>
          <t>Module burnt</t>
        </is>
      </c>
      <c r="K2201" s="8" t="inlineStr">
        <is>
          <t>Zura</t>
        </is>
      </c>
      <c r="L2201" s="39" t="inlineStr">
        <is>
          <t>Gujarat</t>
        </is>
      </c>
      <c r="M2201" s="2" t="inlineStr">
        <is>
          <t xml:space="preserve">damage </t>
        </is>
      </c>
      <c r="N2201" s="6" t="inlineStr">
        <is>
          <t>Module Breakage</t>
        </is>
      </c>
      <c r="O2201" s="32" t="n">
        <v>590</v>
      </c>
      <c r="P2201" s="2" t="inlineStr">
        <is>
          <t>NSMI24100645913</t>
        </is>
      </c>
      <c r="Q2201" s="29">
        <f>MID(P2201,5,2)</f>
        <v/>
      </c>
      <c r="R2201" s="14">
        <f>MID(P2201,7,2)</f>
        <v/>
      </c>
      <c r="S2201" s="6" t="inlineStr">
        <is>
          <t>G2G</t>
        </is>
      </c>
      <c r="T2201" s="1" t="inlineStr">
        <is>
          <t>P4 - PEIPL</t>
        </is>
      </c>
      <c r="U2201" s="2" t="inlineStr">
        <is>
          <t xml:space="preserve">physically damaged </t>
        </is>
      </c>
      <c r="V2201" s="1" t="inlineStr">
        <is>
          <t>Inspection</t>
        </is>
      </c>
      <c r="W2201" s="1" t="inlineStr">
        <is>
          <t>Rejected</t>
        </is>
      </c>
      <c r="X2201" s="5">
        <f>Z2201</f>
        <v/>
      </c>
      <c r="Y2201" s="1">
        <f>X2201-A2201</f>
        <v/>
      </c>
      <c r="Z2201" s="5" t="n">
        <v>46198</v>
      </c>
      <c r="AA2201" s="3" t="n"/>
      <c r="AB2201" s="3" t="n"/>
      <c r="AE2201" s="146">
        <f>IF(AND(F2201="Closed",X2201&gt;=DATE(2026,6,1),X2201&lt;=DATE(2026,6,30)),"Closed in June","other")</f>
        <v/>
      </c>
    </row>
    <row r="2202" hidden="1">
      <c r="A2202" s="49" t="n">
        <v>46177</v>
      </c>
      <c r="B2202" s="1" t="n">
        <v>2026</v>
      </c>
      <c r="C2202" s="8" t="inlineStr">
        <is>
          <t>Ayana</t>
        </is>
      </c>
      <c r="D2202" s="11" t="inlineStr">
        <is>
          <t>Utility and C&amp;I</t>
        </is>
      </c>
      <c r="E2202" s="1" t="n"/>
      <c r="F2202" s="1" t="inlineStr">
        <is>
          <t>Closed</t>
        </is>
      </c>
      <c r="G2202" s="11" t="inlineStr">
        <is>
          <t>Vasu.N</t>
        </is>
      </c>
      <c r="H2202" s="8" t="n">
        <v>9578099893</v>
      </c>
      <c r="I2202" s="10" t="inlineStr">
        <is>
          <t>PE04062601</t>
        </is>
      </c>
      <c r="J2202" s="28" t="inlineStr">
        <is>
          <t>Module burnt</t>
        </is>
      </c>
      <c r="K2202" s="8" t="inlineStr">
        <is>
          <t>Zura</t>
        </is>
      </c>
      <c r="L2202" s="39" t="inlineStr">
        <is>
          <t>Gujarat</t>
        </is>
      </c>
      <c r="M2202" s="2" t="inlineStr">
        <is>
          <t xml:space="preserve">damage </t>
        </is>
      </c>
      <c r="N2202" s="6" t="inlineStr">
        <is>
          <t>Module Breakage</t>
        </is>
      </c>
      <c r="O2202" s="32" t="n">
        <v>590</v>
      </c>
      <c r="P2202" s="2" t="inlineStr">
        <is>
          <t>NSMI24100686849</t>
        </is>
      </c>
      <c r="Q2202" s="29">
        <f>MID(P2202,5,2)</f>
        <v/>
      </c>
      <c r="R2202" s="14">
        <f>MID(P2202,7,2)</f>
        <v/>
      </c>
      <c r="S2202" s="6" t="inlineStr">
        <is>
          <t>G2G</t>
        </is>
      </c>
      <c r="T2202" s="1" t="inlineStr">
        <is>
          <t>P4 - PEIPL</t>
        </is>
      </c>
      <c r="U2202" s="2" t="inlineStr">
        <is>
          <t xml:space="preserve">physically damaged </t>
        </is>
      </c>
      <c r="V2202" s="1" t="inlineStr">
        <is>
          <t>Inspection</t>
        </is>
      </c>
      <c r="W2202" s="1" t="inlineStr">
        <is>
          <t>Rejected</t>
        </is>
      </c>
      <c r="X2202" s="5">
        <f>Z2202</f>
        <v/>
      </c>
      <c r="Y2202" s="1">
        <f>X2202-A2202</f>
        <v/>
      </c>
      <c r="Z2202" s="5" t="n">
        <v>46198</v>
      </c>
      <c r="AA2202" s="3" t="n"/>
      <c r="AB2202" s="3" t="n"/>
      <c r="AE2202" s="146">
        <f>IF(AND(F2202="Closed",X2202&gt;=DATE(2026,6,1),X2202&lt;=DATE(2026,6,30)),"Closed in June","other")</f>
        <v/>
      </c>
    </row>
    <row r="2203" hidden="1">
      <c r="A2203" s="49" t="n">
        <v>46177</v>
      </c>
      <c r="B2203" s="1" t="n">
        <v>2026</v>
      </c>
      <c r="C2203" s="8" t="inlineStr">
        <is>
          <t>Ayana</t>
        </is>
      </c>
      <c r="D2203" s="11" t="inlineStr">
        <is>
          <t>Utility and C&amp;I</t>
        </is>
      </c>
      <c r="E2203" s="1" t="n"/>
      <c r="F2203" s="1" t="inlineStr">
        <is>
          <t>Closed</t>
        </is>
      </c>
      <c r="G2203" s="11" t="inlineStr">
        <is>
          <t>Vasu.N</t>
        </is>
      </c>
      <c r="H2203" s="8" t="n">
        <v>9578099893</v>
      </c>
      <c r="I2203" s="10" t="inlineStr">
        <is>
          <t>PE04062601</t>
        </is>
      </c>
      <c r="J2203" s="28" t="inlineStr">
        <is>
          <t>Module burnt</t>
        </is>
      </c>
      <c r="K2203" s="8" t="inlineStr">
        <is>
          <t>Zura</t>
        </is>
      </c>
      <c r="L2203" s="39" t="inlineStr">
        <is>
          <t>Gujarat</t>
        </is>
      </c>
      <c r="M2203" s="2" t="inlineStr">
        <is>
          <t xml:space="preserve">damage </t>
        </is>
      </c>
      <c r="N2203" s="6" t="inlineStr">
        <is>
          <t>Module Breakage</t>
        </is>
      </c>
      <c r="O2203" s="32" t="n">
        <v>590</v>
      </c>
      <c r="P2203" s="2" t="inlineStr">
        <is>
          <t>NSMI24100687610</t>
        </is>
      </c>
      <c r="Q2203" s="29">
        <f>MID(P2203,5,2)</f>
        <v/>
      </c>
      <c r="R2203" s="14">
        <f>MID(P2203,7,2)</f>
        <v/>
      </c>
      <c r="S2203" s="6" t="inlineStr">
        <is>
          <t>G2G</t>
        </is>
      </c>
      <c r="T2203" s="1" t="inlineStr">
        <is>
          <t>P4 - PEIPL</t>
        </is>
      </c>
      <c r="U2203" s="2" t="inlineStr">
        <is>
          <t xml:space="preserve">physically damaged </t>
        </is>
      </c>
      <c r="V2203" s="1" t="inlineStr">
        <is>
          <t>Inspection</t>
        </is>
      </c>
      <c r="W2203" s="1" t="inlineStr">
        <is>
          <t>Rejected</t>
        </is>
      </c>
      <c r="X2203" s="5">
        <f>Z2203</f>
        <v/>
      </c>
      <c r="Y2203" s="1">
        <f>X2203-A2203</f>
        <v/>
      </c>
      <c r="Z2203" s="5" t="n">
        <v>46198</v>
      </c>
      <c r="AA2203" s="3" t="n"/>
      <c r="AB2203" s="3" t="n"/>
      <c r="AE2203" s="146">
        <f>IF(AND(F2203="Closed",X2203&gt;=DATE(2026,6,1),X2203&lt;=DATE(2026,6,30)),"Closed in June","other")</f>
        <v/>
      </c>
    </row>
    <row r="2204" hidden="1">
      <c r="A2204" s="49" t="n">
        <v>46177</v>
      </c>
      <c r="B2204" s="1" t="n">
        <v>2026</v>
      </c>
      <c r="C2204" s="8" t="inlineStr">
        <is>
          <t>Ayana</t>
        </is>
      </c>
      <c r="D2204" s="11" t="inlineStr">
        <is>
          <t>Utility and C&amp;I</t>
        </is>
      </c>
      <c r="E2204" s="1" t="n"/>
      <c r="F2204" s="1" t="inlineStr">
        <is>
          <t>Closed</t>
        </is>
      </c>
      <c r="G2204" s="11" t="inlineStr">
        <is>
          <t>Vasu.N</t>
        </is>
      </c>
      <c r="H2204" s="8" t="n">
        <v>9578099893</v>
      </c>
      <c r="I2204" s="10" t="inlineStr">
        <is>
          <t>PE04062601</t>
        </is>
      </c>
      <c r="J2204" s="28" t="inlineStr">
        <is>
          <t>Module burnt</t>
        </is>
      </c>
      <c r="K2204" s="8" t="inlineStr">
        <is>
          <t>Zura</t>
        </is>
      </c>
      <c r="L2204" s="39" t="inlineStr">
        <is>
          <t>Gujarat</t>
        </is>
      </c>
      <c r="M2204" s="2" t="inlineStr">
        <is>
          <t xml:space="preserve">damage </t>
        </is>
      </c>
      <c r="N2204" s="6" t="inlineStr">
        <is>
          <t>Module Breakage</t>
        </is>
      </c>
      <c r="O2204" s="32" t="n">
        <v>590</v>
      </c>
      <c r="P2204" s="2" t="inlineStr">
        <is>
          <t>NSMI24100665015</t>
        </is>
      </c>
      <c r="Q2204" s="29">
        <f>MID(P2204,5,2)</f>
        <v/>
      </c>
      <c r="R2204" s="14">
        <f>MID(P2204,7,2)</f>
        <v/>
      </c>
      <c r="S2204" s="6" t="inlineStr">
        <is>
          <t>G2G</t>
        </is>
      </c>
      <c r="T2204" s="1" t="inlineStr">
        <is>
          <t>P4 - PEIPL</t>
        </is>
      </c>
      <c r="U2204" s="2" t="inlineStr">
        <is>
          <t xml:space="preserve">physically damaged </t>
        </is>
      </c>
      <c r="V2204" s="1" t="inlineStr">
        <is>
          <t>Inspection</t>
        </is>
      </c>
      <c r="W2204" s="1" t="inlineStr">
        <is>
          <t>Rejected</t>
        </is>
      </c>
      <c r="X2204" s="5">
        <f>Z2204</f>
        <v/>
      </c>
      <c r="Y2204" s="1">
        <f>X2204-A2204</f>
        <v/>
      </c>
      <c r="Z2204" s="5" t="n">
        <v>46198</v>
      </c>
      <c r="AA2204" s="3" t="n"/>
      <c r="AB2204" s="3" t="n"/>
      <c r="AE2204" s="146">
        <f>IF(AND(F2204="Closed",X2204&gt;=DATE(2026,6,1),X2204&lt;=DATE(2026,6,30)),"Closed in June","other")</f>
        <v/>
      </c>
    </row>
    <row r="2205" hidden="1">
      <c r="A2205" s="49" t="n">
        <v>46177</v>
      </c>
      <c r="B2205" s="1" t="n">
        <v>2026</v>
      </c>
      <c r="C2205" s="8" t="inlineStr">
        <is>
          <t>Ayana</t>
        </is>
      </c>
      <c r="D2205" s="11" t="inlineStr">
        <is>
          <t>Utility and C&amp;I</t>
        </is>
      </c>
      <c r="E2205" s="1" t="n"/>
      <c r="F2205" s="1" t="inlineStr">
        <is>
          <t>Closed</t>
        </is>
      </c>
      <c r="G2205" s="11" t="inlineStr">
        <is>
          <t>Vasu.N</t>
        </is>
      </c>
      <c r="H2205" s="8" t="n">
        <v>9578099893</v>
      </c>
      <c r="I2205" s="10" t="inlineStr">
        <is>
          <t>PE04062601</t>
        </is>
      </c>
      <c r="J2205" s="28" t="inlineStr">
        <is>
          <t>Module burnt</t>
        </is>
      </c>
      <c r="K2205" s="8" t="inlineStr">
        <is>
          <t>Zura</t>
        </is>
      </c>
      <c r="L2205" s="39" t="inlineStr">
        <is>
          <t>Gujarat</t>
        </is>
      </c>
      <c r="M2205" s="2" t="inlineStr">
        <is>
          <t xml:space="preserve">damage </t>
        </is>
      </c>
      <c r="N2205" s="6" t="inlineStr">
        <is>
          <t>Module Breakage</t>
        </is>
      </c>
      <c r="O2205" s="32" t="n">
        <v>590</v>
      </c>
      <c r="P2205" s="2" t="inlineStr">
        <is>
          <t>NSMI24100612621</t>
        </is>
      </c>
      <c r="Q2205" s="29">
        <f>MID(P2205,5,2)</f>
        <v/>
      </c>
      <c r="R2205" s="14">
        <f>MID(P2205,7,2)</f>
        <v/>
      </c>
      <c r="S2205" s="6" t="inlineStr">
        <is>
          <t>G2G</t>
        </is>
      </c>
      <c r="T2205" s="1" t="inlineStr">
        <is>
          <t>P4 - PEIPL</t>
        </is>
      </c>
      <c r="U2205" s="2" t="inlineStr">
        <is>
          <t xml:space="preserve">physically damaged </t>
        </is>
      </c>
      <c r="V2205" s="1" t="inlineStr">
        <is>
          <t>Inspection</t>
        </is>
      </c>
      <c r="W2205" s="1" t="inlineStr">
        <is>
          <t>Rejected</t>
        </is>
      </c>
      <c r="X2205" s="5">
        <f>Z2205</f>
        <v/>
      </c>
      <c r="Y2205" s="1">
        <f>X2205-A2205</f>
        <v/>
      </c>
      <c r="Z2205" s="5" t="n">
        <v>46198</v>
      </c>
      <c r="AA2205" s="3" t="n"/>
      <c r="AB2205" s="3" t="n"/>
      <c r="AE2205" s="146">
        <f>IF(AND(F2205="Closed",X2205&gt;=DATE(2026,6,1),X2205&lt;=DATE(2026,6,30)),"Closed in June","other")</f>
        <v/>
      </c>
    </row>
    <row r="2206" hidden="1">
      <c r="A2206" s="49" t="n">
        <v>46177</v>
      </c>
      <c r="B2206" s="1" t="n">
        <v>2026</v>
      </c>
      <c r="C2206" s="8" t="inlineStr">
        <is>
          <t>Ayana</t>
        </is>
      </c>
      <c r="D2206" s="11" t="inlineStr">
        <is>
          <t>Utility and C&amp;I</t>
        </is>
      </c>
      <c r="E2206" s="1" t="n"/>
      <c r="F2206" s="1" t="inlineStr">
        <is>
          <t>Closed</t>
        </is>
      </c>
      <c r="G2206" s="11" t="inlineStr">
        <is>
          <t>Vasu.N</t>
        </is>
      </c>
      <c r="H2206" s="8" t="n">
        <v>9578099893</v>
      </c>
      <c r="I2206" s="10" t="inlineStr">
        <is>
          <t>PE04062601</t>
        </is>
      </c>
      <c r="J2206" s="28" t="inlineStr">
        <is>
          <t>Module burnt</t>
        </is>
      </c>
      <c r="K2206" s="8" t="inlineStr">
        <is>
          <t>Zura</t>
        </is>
      </c>
      <c r="L2206" s="39" t="inlineStr">
        <is>
          <t>Gujarat</t>
        </is>
      </c>
      <c r="M2206" s="2" t="inlineStr">
        <is>
          <t xml:space="preserve">damage </t>
        </is>
      </c>
      <c r="N2206" s="6" t="inlineStr">
        <is>
          <t>Module Breakage</t>
        </is>
      </c>
      <c r="O2206" s="32" t="n">
        <v>590</v>
      </c>
      <c r="P2206" s="2" t="inlineStr">
        <is>
          <t>NSMI24100612022</t>
        </is>
      </c>
      <c r="Q2206" s="29">
        <f>MID(P2206,5,2)</f>
        <v/>
      </c>
      <c r="R2206" s="14">
        <f>MID(P2206,7,2)</f>
        <v/>
      </c>
      <c r="S2206" s="6" t="inlineStr">
        <is>
          <t>G2G</t>
        </is>
      </c>
      <c r="T2206" s="1" t="inlineStr">
        <is>
          <t>P4 - PEIPL</t>
        </is>
      </c>
      <c r="U2206" s="2" t="inlineStr">
        <is>
          <t xml:space="preserve">physically damaged </t>
        </is>
      </c>
      <c r="V2206" s="1" t="inlineStr">
        <is>
          <t>Inspection</t>
        </is>
      </c>
      <c r="W2206" s="1" t="inlineStr">
        <is>
          <t>Rejected</t>
        </is>
      </c>
      <c r="X2206" s="5">
        <f>Z2206</f>
        <v/>
      </c>
      <c r="Y2206" s="1">
        <f>X2206-A2206</f>
        <v/>
      </c>
      <c r="Z2206" s="5" t="n">
        <v>46198</v>
      </c>
      <c r="AA2206" s="3" t="n"/>
      <c r="AB2206" s="3" t="n"/>
      <c r="AE2206" s="146">
        <f>IF(AND(F2206="Closed",X2206&gt;=DATE(2026,6,1),X2206&lt;=DATE(2026,6,30)),"Closed in June","other")</f>
        <v/>
      </c>
    </row>
    <row r="2207" hidden="1">
      <c r="A2207" s="49" t="n">
        <v>46177</v>
      </c>
      <c r="B2207" s="1" t="n">
        <v>2026</v>
      </c>
      <c r="C2207" s="8" t="inlineStr">
        <is>
          <t>Ayana</t>
        </is>
      </c>
      <c r="D2207" s="11" t="inlineStr">
        <is>
          <t>Utility and C&amp;I</t>
        </is>
      </c>
      <c r="E2207" s="1" t="n"/>
      <c r="F2207" s="1" t="inlineStr">
        <is>
          <t>WIP</t>
        </is>
      </c>
      <c r="G2207" s="11" t="inlineStr">
        <is>
          <t>Vasu.N</t>
        </is>
      </c>
      <c r="H2207" s="8" t="n">
        <v>9578099893</v>
      </c>
      <c r="I2207" s="10" t="inlineStr">
        <is>
          <t>PE04062601</t>
        </is>
      </c>
      <c r="J2207" s="28" t="inlineStr">
        <is>
          <t>Module burnt</t>
        </is>
      </c>
      <c r="K2207" s="8" t="inlineStr">
        <is>
          <t>Zura</t>
        </is>
      </c>
      <c r="L2207" s="39" t="inlineStr">
        <is>
          <t>Gujarat</t>
        </is>
      </c>
      <c r="M2207" s="2" t="inlineStr">
        <is>
          <t xml:space="preserve">damage </t>
        </is>
      </c>
      <c r="N2207" s="6" t="inlineStr">
        <is>
          <t>Module Breakage</t>
        </is>
      </c>
      <c r="O2207" s="32" t="n">
        <v>590</v>
      </c>
      <c r="P2207" s="2" t="inlineStr">
        <is>
          <t>NSMI24100613570</t>
        </is>
      </c>
      <c r="Q2207" s="29">
        <f>MID(P2207,5,2)</f>
        <v/>
      </c>
      <c r="R2207" s="14">
        <f>MID(P2207,7,2)</f>
        <v/>
      </c>
      <c r="S2207" s="6" t="inlineStr">
        <is>
          <t>G2G</t>
        </is>
      </c>
      <c r="T2207" s="1" t="inlineStr">
        <is>
          <t>P4 - PEIPL</t>
        </is>
      </c>
      <c r="U2207" s="2" t="inlineStr">
        <is>
          <t>Frame Damaged</t>
        </is>
      </c>
      <c r="V2207" s="1" t="inlineStr">
        <is>
          <t>Inspection</t>
        </is>
      </c>
      <c r="W2207" s="1" t="inlineStr">
        <is>
          <t>WIP</t>
        </is>
      </c>
      <c r="X2207" s="12" t="n"/>
      <c r="Y2207" s="1">
        <f>IF(X2207="","",X2207-A2207)</f>
        <v/>
      </c>
      <c r="Z2207" s="5" t="n">
        <v>46198</v>
      </c>
      <c r="AA2207" s="3" t="n"/>
      <c r="AB2207" s="3" t="n"/>
      <c r="AE2207" s="146">
        <f>IF(AND(F2207="Closed",X2207&gt;=DATE(2026,6,1),X2207&lt;=DATE(2026,6,30)),"Closed in June","other")</f>
        <v/>
      </c>
    </row>
    <row r="2208" hidden="1">
      <c r="A2208" s="49" t="n">
        <v>46177</v>
      </c>
      <c r="B2208" s="1" t="n">
        <v>2026</v>
      </c>
      <c r="C2208" s="8" t="inlineStr">
        <is>
          <t>Ayana</t>
        </is>
      </c>
      <c r="D2208" s="11" t="inlineStr">
        <is>
          <t>Utility and C&amp;I</t>
        </is>
      </c>
      <c r="E2208" s="1" t="n"/>
      <c r="F2208" s="1" t="inlineStr">
        <is>
          <t>Closed</t>
        </is>
      </c>
      <c r="G2208" s="11" t="inlineStr">
        <is>
          <t>Vasu.N</t>
        </is>
      </c>
      <c r="H2208" s="8" t="n">
        <v>9578099893</v>
      </c>
      <c r="I2208" s="10" t="inlineStr">
        <is>
          <t>PE04062601</t>
        </is>
      </c>
      <c r="J2208" s="28" t="inlineStr">
        <is>
          <t>Module burnt</t>
        </is>
      </c>
      <c r="K2208" s="8" t="inlineStr">
        <is>
          <t>Zura</t>
        </is>
      </c>
      <c r="L2208" s="39" t="inlineStr">
        <is>
          <t>Gujarat</t>
        </is>
      </c>
      <c r="M2208" s="2" t="inlineStr">
        <is>
          <t xml:space="preserve">damage </t>
        </is>
      </c>
      <c r="N2208" s="6" t="inlineStr">
        <is>
          <t>Module Breakage</t>
        </is>
      </c>
      <c r="O2208" s="32" t="n">
        <v>590</v>
      </c>
      <c r="P2208" s="2" t="inlineStr">
        <is>
          <t>NSMI24110811257</t>
        </is>
      </c>
      <c r="Q2208" s="29">
        <f>MID(P2208,5,2)</f>
        <v/>
      </c>
      <c r="R2208" s="14">
        <f>MID(P2208,7,2)</f>
        <v/>
      </c>
      <c r="S2208" s="6" t="inlineStr">
        <is>
          <t>G2G</t>
        </is>
      </c>
      <c r="T2208" s="1" t="inlineStr">
        <is>
          <t>P4 - PEIPL</t>
        </is>
      </c>
      <c r="U2208" s="2" t="inlineStr">
        <is>
          <t xml:space="preserve">physically damaged </t>
        </is>
      </c>
      <c r="V2208" s="1" t="inlineStr">
        <is>
          <t>Inspection</t>
        </is>
      </c>
      <c r="W2208" s="1" t="inlineStr">
        <is>
          <t>Rejected</t>
        </is>
      </c>
      <c r="X2208" s="5">
        <f>Z2208</f>
        <v/>
      </c>
      <c r="Y2208" s="1">
        <f>X2208-A2208</f>
        <v/>
      </c>
      <c r="Z2208" s="5" t="n">
        <v>46198</v>
      </c>
      <c r="AA2208" s="3" t="n"/>
      <c r="AB2208" s="3" t="n"/>
      <c r="AE2208" s="146">
        <f>IF(AND(F2208="Closed",X2208&gt;=DATE(2026,6,1),X2208&lt;=DATE(2026,6,30)),"Closed in June","other")</f>
        <v/>
      </c>
    </row>
    <row r="2209" hidden="1">
      <c r="A2209" s="49" t="n">
        <v>46177</v>
      </c>
      <c r="B2209" s="1" t="n">
        <v>2026</v>
      </c>
      <c r="C2209" s="8" t="inlineStr">
        <is>
          <t>Ayana</t>
        </is>
      </c>
      <c r="D2209" s="11" t="inlineStr">
        <is>
          <t>Utility and C&amp;I</t>
        </is>
      </c>
      <c r="E2209" s="1" t="n"/>
      <c r="F2209" s="1" t="inlineStr">
        <is>
          <t>Closed</t>
        </is>
      </c>
      <c r="G2209" s="11" t="inlineStr">
        <is>
          <t>Vasu.N</t>
        </is>
      </c>
      <c r="H2209" s="8" t="n">
        <v>9578099893</v>
      </c>
      <c r="I2209" s="10" t="inlineStr">
        <is>
          <t>PE04062601</t>
        </is>
      </c>
      <c r="J2209" s="28" t="inlineStr">
        <is>
          <t>Module burnt</t>
        </is>
      </c>
      <c r="K2209" s="8" t="inlineStr">
        <is>
          <t>Zura</t>
        </is>
      </c>
      <c r="L2209" s="39" t="inlineStr">
        <is>
          <t>Gujarat</t>
        </is>
      </c>
      <c r="M2209" s="2" t="inlineStr">
        <is>
          <t xml:space="preserve">damage </t>
        </is>
      </c>
      <c r="N2209" s="6" t="inlineStr">
        <is>
          <t>Module Breakage</t>
        </is>
      </c>
      <c r="O2209" s="32" t="n">
        <v>590</v>
      </c>
      <c r="P2209" s="2" t="inlineStr">
        <is>
          <t>NSMI24110811272</t>
        </is>
      </c>
      <c r="Q2209" s="29">
        <f>MID(P2209,5,2)</f>
        <v/>
      </c>
      <c r="R2209" s="14">
        <f>MID(P2209,7,2)</f>
        <v/>
      </c>
      <c r="S2209" s="6" t="inlineStr">
        <is>
          <t>G2G</t>
        </is>
      </c>
      <c r="T2209" s="1" t="inlineStr">
        <is>
          <t>P4 - PEIPL</t>
        </is>
      </c>
      <c r="U2209" s="2" t="inlineStr">
        <is>
          <t xml:space="preserve">physically damaged </t>
        </is>
      </c>
      <c r="V2209" s="1" t="inlineStr">
        <is>
          <t>Inspection</t>
        </is>
      </c>
      <c r="W2209" s="1" t="inlineStr">
        <is>
          <t>Rejected</t>
        </is>
      </c>
      <c r="X2209" s="5">
        <f>Z2209</f>
        <v/>
      </c>
      <c r="Y2209" s="1">
        <f>X2209-A2209</f>
        <v/>
      </c>
      <c r="Z2209" s="5" t="n">
        <v>46198</v>
      </c>
      <c r="AA2209" s="3" t="n"/>
      <c r="AB2209" s="3" t="n"/>
      <c r="AE2209" s="146">
        <f>IF(AND(F2209="Closed",X2209&gt;=DATE(2026,6,1),X2209&lt;=DATE(2026,6,30)),"Closed in June","other")</f>
        <v/>
      </c>
    </row>
    <row r="2210" hidden="1">
      <c r="A2210" s="49" t="n">
        <v>46177</v>
      </c>
      <c r="B2210" s="1" t="n">
        <v>2026</v>
      </c>
      <c r="C2210" s="8" t="inlineStr">
        <is>
          <t>Ayana</t>
        </is>
      </c>
      <c r="D2210" s="11" t="inlineStr">
        <is>
          <t>Utility and C&amp;I</t>
        </is>
      </c>
      <c r="E2210" s="1" t="n"/>
      <c r="F2210" s="1" t="inlineStr">
        <is>
          <t>Closed</t>
        </is>
      </c>
      <c r="G2210" s="11" t="inlineStr">
        <is>
          <t>Vasu.N</t>
        </is>
      </c>
      <c r="H2210" s="8" t="n">
        <v>9578099893</v>
      </c>
      <c r="I2210" s="10" t="inlineStr">
        <is>
          <t>PE04062601</t>
        </is>
      </c>
      <c r="J2210" s="28" t="inlineStr">
        <is>
          <t>Module burnt</t>
        </is>
      </c>
      <c r="K2210" s="8" t="inlineStr">
        <is>
          <t>Zura</t>
        </is>
      </c>
      <c r="L2210" s="39" t="inlineStr">
        <is>
          <t>Gujarat</t>
        </is>
      </c>
      <c r="M2210" s="2" t="inlineStr">
        <is>
          <t xml:space="preserve">damage </t>
        </is>
      </c>
      <c r="N2210" s="6" t="inlineStr">
        <is>
          <t>Module Breakage</t>
        </is>
      </c>
      <c r="O2210" s="32" t="n">
        <v>590</v>
      </c>
      <c r="P2210" s="2" t="inlineStr">
        <is>
          <t>NSMI24110811226</t>
        </is>
      </c>
      <c r="Q2210" s="29">
        <f>MID(P2210,5,2)</f>
        <v/>
      </c>
      <c r="R2210" s="14">
        <f>MID(P2210,7,2)</f>
        <v/>
      </c>
      <c r="S2210" s="6" t="inlineStr">
        <is>
          <t>G2G</t>
        </is>
      </c>
      <c r="T2210" s="1" t="inlineStr">
        <is>
          <t>P4 - PEIPL</t>
        </is>
      </c>
      <c r="U2210" s="2" t="inlineStr">
        <is>
          <t xml:space="preserve">physically damaged </t>
        </is>
      </c>
      <c r="V2210" s="1" t="inlineStr">
        <is>
          <t>Inspection</t>
        </is>
      </c>
      <c r="W2210" s="1" t="inlineStr">
        <is>
          <t>Rejected</t>
        </is>
      </c>
      <c r="X2210" s="5">
        <f>Z2210</f>
        <v/>
      </c>
      <c r="Y2210" s="1">
        <f>X2210-A2210</f>
        <v/>
      </c>
      <c r="Z2210" s="5" t="n">
        <v>46198</v>
      </c>
      <c r="AA2210" s="3" t="n"/>
      <c r="AB2210" s="3" t="n"/>
      <c r="AE2210" s="146">
        <f>IF(AND(F2210="Closed",X2210&gt;=DATE(2026,6,1),X2210&lt;=DATE(2026,6,30)),"Closed in June","other")</f>
        <v/>
      </c>
    </row>
    <row r="2211" hidden="1">
      <c r="A2211" s="49" t="n">
        <v>46177</v>
      </c>
      <c r="B2211" s="1" t="n">
        <v>2026</v>
      </c>
      <c r="C2211" s="8" t="inlineStr">
        <is>
          <t>Ayana</t>
        </is>
      </c>
      <c r="D2211" s="11" t="inlineStr">
        <is>
          <t>Utility and C&amp;I</t>
        </is>
      </c>
      <c r="E2211" s="1" t="n"/>
      <c r="F2211" s="1" t="inlineStr">
        <is>
          <t>Closed</t>
        </is>
      </c>
      <c r="G2211" s="11" t="inlineStr">
        <is>
          <t>Vasu.N</t>
        </is>
      </c>
      <c r="H2211" s="8" t="n">
        <v>9578099893</v>
      </c>
      <c r="I2211" s="10" t="inlineStr">
        <is>
          <t>PE04062601</t>
        </is>
      </c>
      <c r="J2211" s="28" t="inlineStr">
        <is>
          <t>Module burnt</t>
        </is>
      </c>
      <c r="K2211" s="8" t="inlineStr">
        <is>
          <t>Zura</t>
        </is>
      </c>
      <c r="L2211" s="39" t="inlineStr">
        <is>
          <t>Gujarat</t>
        </is>
      </c>
      <c r="M2211" s="2" t="inlineStr">
        <is>
          <t xml:space="preserve">damage </t>
        </is>
      </c>
      <c r="N2211" s="6" t="inlineStr">
        <is>
          <t>Module Breakage</t>
        </is>
      </c>
      <c r="O2211" s="32" t="n">
        <v>590</v>
      </c>
      <c r="P2211" s="2" t="inlineStr">
        <is>
          <t>NSMI24100627724</t>
        </is>
      </c>
      <c r="Q2211" s="29">
        <f>MID(P2211,5,2)</f>
        <v/>
      </c>
      <c r="R2211" s="14">
        <f>MID(P2211,7,2)</f>
        <v/>
      </c>
      <c r="S2211" s="6" t="inlineStr">
        <is>
          <t>G2G</t>
        </is>
      </c>
      <c r="T2211" s="1" t="inlineStr">
        <is>
          <t>P4 - PEIPL</t>
        </is>
      </c>
      <c r="U2211" s="2" t="inlineStr">
        <is>
          <t xml:space="preserve">physically damaged </t>
        </is>
      </c>
      <c r="V2211" s="1" t="inlineStr">
        <is>
          <t>Inspection</t>
        </is>
      </c>
      <c r="W2211" s="1" t="inlineStr">
        <is>
          <t>Rejected</t>
        </is>
      </c>
      <c r="X2211" s="5">
        <f>Z2211</f>
        <v/>
      </c>
      <c r="Y2211" s="1">
        <f>X2211-A2211</f>
        <v/>
      </c>
      <c r="Z2211" s="5" t="n">
        <v>46198</v>
      </c>
      <c r="AA2211" s="3" t="n"/>
      <c r="AB2211" s="3" t="n"/>
      <c r="AE2211" s="146">
        <f>IF(AND(F2211="Closed",X2211&gt;=DATE(2026,6,1),X2211&lt;=DATE(2026,6,30)),"Closed in June","other")</f>
        <v/>
      </c>
    </row>
    <row r="2212" hidden="1">
      <c r="A2212" s="49" t="n">
        <v>46177</v>
      </c>
      <c r="B2212" s="1" t="n">
        <v>2026</v>
      </c>
      <c r="C2212" s="8" t="inlineStr">
        <is>
          <t>Ayana</t>
        </is>
      </c>
      <c r="D2212" s="11" t="inlineStr">
        <is>
          <t>Utility and C&amp;I</t>
        </is>
      </c>
      <c r="E2212" s="1" t="n"/>
      <c r="F2212" s="1" t="inlineStr">
        <is>
          <t>Closed</t>
        </is>
      </c>
      <c r="G2212" s="11" t="inlineStr">
        <is>
          <t>Vasu.N</t>
        </is>
      </c>
      <c r="H2212" s="8" t="n">
        <v>9578099893</v>
      </c>
      <c r="I2212" s="10" t="inlineStr">
        <is>
          <t>PE04062601</t>
        </is>
      </c>
      <c r="J2212" s="28" t="inlineStr">
        <is>
          <t>Module burnt</t>
        </is>
      </c>
      <c r="K2212" s="8" t="inlineStr">
        <is>
          <t>Zura</t>
        </is>
      </c>
      <c r="L2212" s="39" t="inlineStr">
        <is>
          <t>Gujarat</t>
        </is>
      </c>
      <c r="M2212" s="2" t="inlineStr">
        <is>
          <t xml:space="preserve">damage </t>
        </is>
      </c>
      <c r="N2212" s="6" t="inlineStr">
        <is>
          <t>Module Breakage</t>
        </is>
      </c>
      <c r="O2212" s="32" t="n">
        <v>590</v>
      </c>
      <c r="P2212" s="2" t="inlineStr">
        <is>
          <t>NSMI24100627734</t>
        </is>
      </c>
      <c r="Q2212" s="29">
        <f>MID(P2212,5,2)</f>
        <v/>
      </c>
      <c r="R2212" s="14">
        <f>MID(P2212,7,2)</f>
        <v/>
      </c>
      <c r="S2212" s="6" t="inlineStr">
        <is>
          <t>G2G</t>
        </is>
      </c>
      <c r="T2212" s="1" t="inlineStr">
        <is>
          <t>P4 - PEIPL</t>
        </is>
      </c>
      <c r="U2212" s="2" t="inlineStr">
        <is>
          <t xml:space="preserve">physically damaged </t>
        </is>
      </c>
      <c r="V2212" s="1" t="inlineStr">
        <is>
          <t>Inspection</t>
        </is>
      </c>
      <c r="W2212" s="1" t="inlineStr">
        <is>
          <t>Rejected</t>
        </is>
      </c>
      <c r="X2212" s="5">
        <f>Z2212</f>
        <v/>
      </c>
      <c r="Y2212" s="1">
        <f>X2212-A2212</f>
        <v/>
      </c>
      <c r="Z2212" s="5" t="n">
        <v>46198</v>
      </c>
      <c r="AA2212" s="3" t="n"/>
      <c r="AB2212" s="3" t="n"/>
      <c r="AE2212" s="146">
        <f>IF(AND(F2212="Closed",X2212&gt;=DATE(2026,6,1),X2212&lt;=DATE(2026,6,30)),"Closed in June","other")</f>
        <v/>
      </c>
    </row>
    <row r="2213" hidden="1">
      <c r="A2213" s="49" t="n">
        <v>46177</v>
      </c>
      <c r="B2213" s="1" t="n">
        <v>2026</v>
      </c>
      <c r="C2213" s="8" t="inlineStr">
        <is>
          <t>Ayana</t>
        </is>
      </c>
      <c r="D2213" s="11" t="inlineStr">
        <is>
          <t>Utility and C&amp;I</t>
        </is>
      </c>
      <c r="E2213" s="1" t="n"/>
      <c r="F2213" s="1" t="inlineStr">
        <is>
          <t>Closed</t>
        </is>
      </c>
      <c r="G2213" s="11" t="inlineStr">
        <is>
          <t>Vasu.N</t>
        </is>
      </c>
      <c r="H2213" s="8" t="n">
        <v>9578099893</v>
      </c>
      <c r="I2213" s="10" t="inlineStr">
        <is>
          <t>PE04062601</t>
        </is>
      </c>
      <c r="J2213" s="28" t="inlineStr">
        <is>
          <t>Module burnt</t>
        </is>
      </c>
      <c r="K2213" s="8" t="inlineStr">
        <is>
          <t>Zura</t>
        </is>
      </c>
      <c r="L2213" s="39" t="inlineStr">
        <is>
          <t>Gujarat</t>
        </is>
      </c>
      <c r="M2213" s="2" t="inlineStr">
        <is>
          <t xml:space="preserve">damage </t>
        </is>
      </c>
      <c r="N2213" s="6" t="inlineStr">
        <is>
          <t>Module Breakage</t>
        </is>
      </c>
      <c r="O2213" s="32" t="n">
        <v>590</v>
      </c>
      <c r="P2213" s="2" t="inlineStr">
        <is>
          <t>NSMI24100627726</t>
        </is>
      </c>
      <c r="Q2213" s="29">
        <f>MID(P2213,5,2)</f>
        <v/>
      </c>
      <c r="R2213" s="14">
        <f>MID(P2213,7,2)</f>
        <v/>
      </c>
      <c r="S2213" s="6" t="inlineStr">
        <is>
          <t>G2G</t>
        </is>
      </c>
      <c r="T2213" s="1" t="inlineStr">
        <is>
          <t>P4 - PEIPL</t>
        </is>
      </c>
      <c r="U2213" s="2" t="inlineStr">
        <is>
          <t xml:space="preserve">physically damaged </t>
        </is>
      </c>
      <c r="V2213" s="1" t="inlineStr">
        <is>
          <t>Inspection</t>
        </is>
      </c>
      <c r="W2213" s="1" t="inlineStr">
        <is>
          <t>Rejected</t>
        </is>
      </c>
      <c r="X2213" s="5">
        <f>Z2213</f>
        <v/>
      </c>
      <c r="Y2213" s="1">
        <f>X2213-A2213</f>
        <v/>
      </c>
      <c r="Z2213" s="5" t="n">
        <v>46198</v>
      </c>
      <c r="AA2213" s="3" t="n"/>
      <c r="AB2213" s="3" t="n"/>
      <c r="AE2213" s="146">
        <f>IF(AND(F2213="Closed",X2213&gt;=DATE(2026,6,1),X2213&lt;=DATE(2026,6,30)),"Closed in June","other")</f>
        <v/>
      </c>
    </row>
    <row r="2214" hidden="1">
      <c r="A2214" s="49" t="n">
        <v>46177</v>
      </c>
      <c r="B2214" s="1" t="n">
        <v>2026</v>
      </c>
      <c r="C2214" s="8" t="inlineStr">
        <is>
          <t>Ayana</t>
        </is>
      </c>
      <c r="D2214" s="11" t="inlineStr">
        <is>
          <t>Utility and C&amp;I</t>
        </is>
      </c>
      <c r="E2214" s="1" t="n"/>
      <c r="F2214" s="1" t="inlineStr">
        <is>
          <t>Closed</t>
        </is>
      </c>
      <c r="G2214" s="11" t="inlineStr">
        <is>
          <t>Vasu.N</t>
        </is>
      </c>
      <c r="H2214" s="8" t="n">
        <v>9578099893</v>
      </c>
      <c r="I2214" s="10" t="inlineStr">
        <is>
          <t>PE04062601</t>
        </is>
      </c>
      <c r="J2214" s="28" t="inlineStr">
        <is>
          <t>Module burnt</t>
        </is>
      </c>
      <c r="K2214" s="8" t="inlineStr">
        <is>
          <t>Zura</t>
        </is>
      </c>
      <c r="L2214" s="39" t="inlineStr">
        <is>
          <t>Gujarat</t>
        </is>
      </c>
      <c r="M2214" s="2" t="inlineStr">
        <is>
          <t xml:space="preserve">damage </t>
        </is>
      </c>
      <c r="N2214" s="6" t="inlineStr">
        <is>
          <t>Module Breakage</t>
        </is>
      </c>
      <c r="O2214" s="32" t="n">
        <v>590</v>
      </c>
      <c r="P2214" s="2" t="inlineStr">
        <is>
          <t>NSMI24100588405</t>
        </is>
      </c>
      <c r="Q2214" s="29">
        <f>MID(P2214,5,2)</f>
        <v/>
      </c>
      <c r="R2214" s="14">
        <f>MID(P2214,7,2)</f>
        <v/>
      </c>
      <c r="S2214" s="6" t="inlineStr">
        <is>
          <t>G2G</t>
        </is>
      </c>
      <c r="T2214" s="1" t="inlineStr">
        <is>
          <t>P4 - PEIPL</t>
        </is>
      </c>
      <c r="U2214" s="2" t="inlineStr">
        <is>
          <t xml:space="preserve">physically damaged </t>
        </is>
      </c>
      <c r="V2214" s="1" t="inlineStr">
        <is>
          <t>Inspection</t>
        </is>
      </c>
      <c r="W2214" s="1" t="inlineStr">
        <is>
          <t>Rejected</t>
        </is>
      </c>
      <c r="X2214" s="5">
        <f>Z2214</f>
        <v/>
      </c>
      <c r="Y2214" s="1">
        <f>X2214-A2214</f>
        <v/>
      </c>
      <c r="Z2214" s="5" t="n">
        <v>46198</v>
      </c>
      <c r="AA2214" s="3" t="n"/>
      <c r="AB2214" s="3" t="n"/>
      <c r="AE2214" s="146">
        <f>IF(AND(F2214="Closed",X2214&gt;=DATE(2026,6,1),X2214&lt;=DATE(2026,6,30)),"Closed in June","other")</f>
        <v/>
      </c>
    </row>
    <row r="2215" hidden="1">
      <c r="A2215" s="49" t="n">
        <v>46177</v>
      </c>
      <c r="B2215" s="1" t="n">
        <v>2026</v>
      </c>
      <c r="C2215" s="8" t="inlineStr">
        <is>
          <t>Ayana</t>
        </is>
      </c>
      <c r="D2215" s="11" t="inlineStr">
        <is>
          <t>Utility and C&amp;I</t>
        </is>
      </c>
      <c r="E2215" s="1" t="n"/>
      <c r="F2215" s="1" t="inlineStr">
        <is>
          <t>Closed</t>
        </is>
      </c>
      <c r="G2215" s="11" t="inlineStr">
        <is>
          <t>Vasu.N</t>
        </is>
      </c>
      <c r="H2215" s="8" t="n">
        <v>9578099893</v>
      </c>
      <c r="I2215" s="10" t="inlineStr">
        <is>
          <t>PE04062601</t>
        </is>
      </c>
      <c r="J2215" s="28" t="inlineStr">
        <is>
          <t>Module burnt</t>
        </is>
      </c>
      <c r="K2215" s="8" t="inlineStr">
        <is>
          <t>Zura</t>
        </is>
      </c>
      <c r="L2215" s="39" t="inlineStr">
        <is>
          <t>Gujarat</t>
        </is>
      </c>
      <c r="M2215" s="2" t="inlineStr">
        <is>
          <t xml:space="preserve">damage </t>
        </is>
      </c>
      <c r="N2215" s="6" t="inlineStr">
        <is>
          <t>Module Breakage</t>
        </is>
      </c>
      <c r="O2215" s="32" t="n">
        <v>590</v>
      </c>
      <c r="P2215" s="2" t="inlineStr">
        <is>
          <t>NSMI24110797009</t>
        </is>
      </c>
      <c r="Q2215" s="29">
        <f>MID(P2215,5,2)</f>
        <v/>
      </c>
      <c r="R2215" s="14">
        <f>MID(P2215,7,2)</f>
        <v/>
      </c>
      <c r="S2215" s="6" t="inlineStr">
        <is>
          <t>G2G</t>
        </is>
      </c>
      <c r="T2215" s="1" t="inlineStr">
        <is>
          <t>P4 - PEIPL</t>
        </is>
      </c>
      <c r="U2215" s="2" t="inlineStr">
        <is>
          <t xml:space="preserve">physically damaged </t>
        </is>
      </c>
      <c r="V2215" s="1" t="inlineStr">
        <is>
          <t>Inspection</t>
        </is>
      </c>
      <c r="W2215" s="1" t="inlineStr">
        <is>
          <t>Rejected</t>
        </is>
      </c>
      <c r="X2215" s="5">
        <f>Z2215</f>
        <v/>
      </c>
      <c r="Y2215" s="1">
        <f>X2215-A2215</f>
        <v/>
      </c>
      <c r="Z2215" s="5" t="n">
        <v>46198</v>
      </c>
      <c r="AA2215" s="3" t="n"/>
      <c r="AB2215" s="3" t="n"/>
      <c r="AE2215" s="146">
        <f>IF(AND(F2215="Closed",X2215&gt;=DATE(2026,6,1),X2215&lt;=DATE(2026,6,30)),"Closed in June","other")</f>
        <v/>
      </c>
    </row>
    <row r="2216" hidden="1">
      <c r="A2216" s="49" t="n">
        <v>46177</v>
      </c>
      <c r="B2216" s="1" t="n">
        <v>2026</v>
      </c>
      <c r="C2216" s="8" t="inlineStr">
        <is>
          <t>Ayana</t>
        </is>
      </c>
      <c r="D2216" s="11" t="inlineStr">
        <is>
          <t>Utility and C&amp;I</t>
        </is>
      </c>
      <c r="E2216" s="1" t="n"/>
      <c r="F2216" s="1" t="inlineStr">
        <is>
          <t>Closed</t>
        </is>
      </c>
      <c r="G2216" s="11" t="inlineStr">
        <is>
          <t>Vasu.N</t>
        </is>
      </c>
      <c r="H2216" s="8" t="n">
        <v>9578099893</v>
      </c>
      <c r="I2216" s="10" t="inlineStr">
        <is>
          <t>PE04062601</t>
        </is>
      </c>
      <c r="J2216" s="28" t="inlineStr">
        <is>
          <t>Module burnt</t>
        </is>
      </c>
      <c r="K2216" s="8" t="inlineStr">
        <is>
          <t>Zura</t>
        </is>
      </c>
      <c r="L2216" s="39" t="inlineStr">
        <is>
          <t>Gujarat</t>
        </is>
      </c>
      <c r="M2216" s="2" t="inlineStr">
        <is>
          <t xml:space="preserve">damage </t>
        </is>
      </c>
      <c r="N2216" s="6" t="inlineStr">
        <is>
          <t>Module Breakage</t>
        </is>
      </c>
      <c r="O2216" s="32" t="n">
        <v>590</v>
      </c>
      <c r="P2216" s="2" t="inlineStr">
        <is>
          <t>NSMI24090502561</t>
        </is>
      </c>
      <c r="Q2216" s="29">
        <f>MID(P2216,5,2)</f>
        <v/>
      </c>
      <c r="R2216" s="14">
        <f>MID(P2216,7,2)</f>
        <v/>
      </c>
      <c r="S2216" s="6" t="inlineStr">
        <is>
          <t>G2G</t>
        </is>
      </c>
      <c r="T2216" s="1" t="inlineStr">
        <is>
          <t>P4 - PEIPL</t>
        </is>
      </c>
      <c r="U2216" s="2" t="inlineStr">
        <is>
          <t xml:space="preserve">physically damaged </t>
        </is>
      </c>
      <c r="V2216" s="1" t="inlineStr">
        <is>
          <t>Inspection</t>
        </is>
      </c>
      <c r="W2216" s="1" t="inlineStr">
        <is>
          <t>Rejected</t>
        </is>
      </c>
      <c r="X2216" s="5">
        <f>Z2216</f>
        <v/>
      </c>
      <c r="Y2216" s="1">
        <f>X2216-A2216</f>
        <v/>
      </c>
      <c r="Z2216" s="5" t="n">
        <v>46198</v>
      </c>
      <c r="AA2216" s="3" t="n"/>
      <c r="AB2216" s="3" t="n"/>
      <c r="AE2216" s="146">
        <f>IF(AND(F2216="Closed",X2216&gt;=DATE(2026,6,1),X2216&lt;=DATE(2026,6,30)),"Closed in June","other")</f>
        <v/>
      </c>
    </row>
    <row r="2217" hidden="1">
      <c r="A2217" s="49" t="n">
        <v>46177</v>
      </c>
      <c r="B2217" s="1" t="n">
        <v>2026</v>
      </c>
      <c r="C2217" s="8" t="inlineStr">
        <is>
          <t>Ayana</t>
        </is>
      </c>
      <c r="D2217" s="11" t="inlineStr">
        <is>
          <t>Utility and C&amp;I</t>
        </is>
      </c>
      <c r="E2217" s="1" t="n"/>
      <c r="F2217" s="1" t="inlineStr">
        <is>
          <t>Closed</t>
        </is>
      </c>
      <c r="G2217" s="11" t="inlineStr">
        <is>
          <t>Vasu.N</t>
        </is>
      </c>
      <c r="H2217" s="8" t="n">
        <v>9578099893</v>
      </c>
      <c r="I2217" s="10" t="inlineStr">
        <is>
          <t>PE04062601</t>
        </is>
      </c>
      <c r="J2217" s="28" t="inlineStr">
        <is>
          <t>Module burnt</t>
        </is>
      </c>
      <c r="K2217" s="8" t="inlineStr">
        <is>
          <t>Zura</t>
        </is>
      </c>
      <c r="L2217" s="39" t="inlineStr">
        <is>
          <t>Gujarat</t>
        </is>
      </c>
      <c r="M2217" s="2" t="inlineStr">
        <is>
          <t xml:space="preserve">damage </t>
        </is>
      </c>
      <c r="N2217" s="6" t="inlineStr">
        <is>
          <t>Module Breakage</t>
        </is>
      </c>
      <c r="O2217" s="32" t="n">
        <v>590</v>
      </c>
      <c r="P2217" s="2" t="inlineStr">
        <is>
          <t>NSMI24090502573</t>
        </is>
      </c>
      <c r="Q2217" s="29">
        <f>MID(P2217,5,2)</f>
        <v/>
      </c>
      <c r="R2217" s="14">
        <f>MID(P2217,7,2)</f>
        <v/>
      </c>
      <c r="S2217" s="6" t="inlineStr">
        <is>
          <t>G2G</t>
        </is>
      </c>
      <c r="T2217" s="1" t="inlineStr">
        <is>
          <t>P4 - PEIPL</t>
        </is>
      </c>
      <c r="U2217" s="2" t="inlineStr">
        <is>
          <t xml:space="preserve">physically damaged </t>
        </is>
      </c>
      <c r="V2217" s="1" t="inlineStr">
        <is>
          <t>Inspection</t>
        </is>
      </c>
      <c r="W2217" s="1" t="inlineStr">
        <is>
          <t>Rejected</t>
        </is>
      </c>
      <c r="X2217" s="5">
        <f>Z2217</f>
        <v/>
      </c>
      <c r="Y2217" s="1">
        <f>X2217-A2217</f>
        <v/>
      </c>
      <c r="Z2217" s="5" t="n">
        <v>46198</v>
      </c>
      <c r="AA2217" s="3" t="n"/>
      <c r="AB2217" s="3" t="n"/>
      <c r="AE2217" s="146">
        <f>IF(AND(F2217="Closed",X2217&gt;=DATE(2026,6,1),X2217&lt;=DATE(2026,6,30)),"Closed in June","other")</f>
        <v/>
      </c>
    </row>
    <row r="2218" hidden="1">
      <c r="A2218" s="49" t="n">
        <v>46177</v>
      </c>
      <c r="B2218" s="1" t="n">
        <v>2026</v>
      </c>
      <c r="C2218" s="8" t="inlineStr">
        <is>
          <t>Ayana</t>
        </is>
      </c>
      <c r="D2218" s="11" t="inlineStr">
        <is>
          <t>Utility and C&amp;I</t>
        </is>
      </c>
      <c r="E2218" s="1" t="n"/>
      <c r="F2218" s="1" t="inlineStr">
        <is>
          <t>WIP</t>
        </is>
      </c>
      <c r="G2218" s="11" t="inlineStr">
        <is>
          <t>Vasu.N</t>
        </is>
      </c>
      <c r="H2218" s="8" t="n">
        <v>9578099893</v>
      </c>
      <c r="I2218" s="10" t="inlineStr">
        <is>
          <t>PE04062601</t>
        </is>
      </c>
      <c r="J2218" s="28" t="inlineStr">
        <is>
          <t>Module burnt</t>
        </is>
      </c>
      <c r="K2218" s="8" t="inlineStr">
        <is>
          <t>Zura</t>
        </is>
      </c>
      <c r="L2218" s="39" t="inlineStr">
        <is>
          <t>Gujarat</t>
        </is>
      </c>
      <c r="M2218" s="2" t="inlineStr">
        <is>
          <t xml:space="preserve">damage </t>
        </is>
      </c>
      <c r="N2218" s="6" t="inlineStr">
        <is>
          <t>Module Breakage</t>
        </is>
      </c>
      <c r="O2218" s="32" t="n">
        <v>590</v>
      </c>
      <c r="P2218" s="2" t="inlineStr">
        <is>
          <t>NSMI24090502424</t>
        </is>
      </c>
      <c r="Q2218" s="29">
        <f>MID(P2218,5,2)</f>
        <v/>
      </c>
      <c r="R2218" s="14">
        <f>MID(P2218,7,2)</f>
        <v/>
      </c>
      <c r="S2218" s="6" t="inlineStr">
        <is>
          <t>G2G</t>
        </is>
      </c>
      <c r="T2218" s="1" t="inlineStr">
        <is>
          <t>P4 - PEIPL</t>
        </is>
      </c>
      <c r="U2218" s="2" t="inlineStr">
        <is>
          <t>Frame Damaged</t>
        </is>
      </c>
      <c r="V2218" s="47" t="inlineStr">
        <is>
          <t>WIP</t>
        </is>
      </c>
      <c r="W2218" s="1" t="inlineStr">
        <is>
          <t>WIP</t>
        </is>
      </c>
      <c r="X2218" s="12" t="n"/>
      <c r="Y2218" s="1">
        <f>IF(X2218="","",X2218-A2218)</f>
        <v/>
      </c>
      <c r="Z2218" s="5" t="n">
        <v>46198</v>
      </c>
      <c r="AA2218" s="3" t="n"/>
      <c r="AB2218" s="3" t="n"/>
      <c r="AE2218" s="146">
        <f>IF(AND(F2218="Closed",X2218&gt;=DATE(2026,6,1),X2218&lt;=DATE(2026,6,30)),"Closed in June","other")</f>
        <v/>
      </c>
    </row>
    <row r="2219" hidden="1">
      <c r="A2219" s="49" t="n">
        <v>46177</v>
      </c>
      <c r="B2219" s="1" t="n">
        <v>2026</v>
      </c>
      <c r="C2219" s="8" t="inlineStr">
        <is>
          <t>Ayana</t>
        </is>
      </c>
      <c r="D2219" s="11" t="inlineStr">
        <is>
          <t>Utility and C&amp;I</t>
        </is>
      </c>
      <c r="E2219" s="1" t="n"/>
      <c r="F2219" s="1" t="inlineStr">
        <is>
          <t>WIP</t>
        </is>
      </c>
      <c r="G2219" s="11" t="inlineStr">
        <is>
          <t>Vasu.N</t>
        </is>
      </c>
      <c r="H2219" s="8" t="n">
        <v>9578099893</v>
      </c>
      <c r="I2219" s="10" t="inlineStr">
        <is>
          <t>PE04062601</t>
        </is>
      </c>
      <c r="J2219" s="28" t="inlineStr">
        <is>
          <t>Module burnt</t>
        </is>
      </c>
      <c r="K2219" s="8" t="inlineStr">
        <is>
          <t>Zura</t>
        </is>
      </c>
      <c r="L2219" s="39" t="inlineStr">
        <is>
          <t>Gujarat</t>
        </is>
      </c>
      <c r="M2219" s="2" t="inlineStr">
        <is>
          <t xml:space="preserve">damage </t>
        </is>
      </c>
      <c r="N2219" s="6" t="inlineStr">
        <is>
          <t>Module Breakage</t>
        </is>
      </c>
      <c r="O2219" s="32" t="n">
        <v>590</v>
      </c>
      <c r="P2219" s="2" t="inlineStr">
        <is>
          <t>NSMI24100586827</t>
        </is>
      </c>
      <c r="Q2219" s="29">
        <f>MID(P2219,5,2)</f>
        <v/>
      </c>
      <c r="R2219" s="14">
        <f>MID(P2219,7,2)</f>
        <v/>
      </c>
      <c r="S2219" s="6" t="inlineStr">
        <is>
          <t>G2G</t>
        </is>
      </c>
      <c r="T2219" s="1" t="inlineStr">
        <is>
          <t>P4 - PEIPL</t>
        </is>
      </c>
      <c r="U2219" s="2" t="inlineStr">
        <is>
          <t>Frame Damaged</t>
        </is>
      </c>
      <c r="V2219" s="47" t="inlineStr">
        <is>
          <t>WIP</t>
        </is>
      </c>
      <c r="W2219" s="1" t="inlineStr">
        <is>
          <t>WIP</t>
        </is>
      </c>
      <c r="X2219" s="12" t="n"/>
      <c r="Y2219" s="1">
        <f>IF(X2219="","",X2219-A2219)</f>
        <v/>
      </c>
      <c r="Z2219" s="5" t="n">
        <v>46198</v>
      </c>
      <c r="AA2219" s="3" t="n"/>
      <c r="AB2219" s="3" t="n"/>
      <c r="AE2219" s="146">
        <f>IF(AND(F2219="Closed",X2219&gt;=DATE(2026,6,1),X2219&lt;=DATE(2026,6,30)),"Closed in June","other")</f>
        <v/>
      </c>
    </row>
    <row r="2220" hidden="1">
      <c r="A2220" s="49" t="n">
        <v>46177</v>
      </c>
      <c r="B2220" s="1" t="n">
        <v>2026</v>
      </c>
      <c r="C2220" s="8" t="inlineStr">
        <is>
          <t>Ayana</t>
        </is>
      </c>
      <c r="D2220" s="11" t="inlineStr">
        <is>
          <t>Utility and C&amp;I</t>
        </is>
      </c>
      <c r="E2220" s="1" t="n"/>
      <c r="F2220" s="1" t="inlineStr">
        <is>
          <t>WIP</t>
        </is>
      </c>
      <c r="G2220" s="11" t="inlineStr">
        <is>
          <t>Vasu.N</t>
        </is>
      </c>
      <c r="H2220" s="8" t="n">
        <v>9578099893</v>
      </c>
      <c r="I2220" s="10" t="inlineStr">
        <is>
          <t>PE04062601</t>
        </is>
      </c>
      <c r="J2220" s="28" t="inlineStr">
        <is>
          <t>Module burnt</t>
        </is>
      </c>
      <c r="K2220" s="8" t="inlineStr">
        <is>
          <t>Zura</t>
        </is>
      </c>
      <c r="L2220" s="39" t="inlineStr">
        <is>
          <t>Gujarat</t>
        </is>
      </c>
      <c r="M2220" s="2" t="inlineStr">
        <is>
          <t xml:space="preserve">damage </t>
        </is>
      </c>
      <c r="N2220" s="6" t="inlineStr">
        <is>
          <t>Module Breakage</t>
        </is>
      </c>
      <c r="O2220" s="32" t="n">
        <v>590</v>
      </c>
      <c r="P2220" s="2" t="inlineStr">
        <is>
          <t>NSMI24100634683</t>
        </is>
      </c>
      <c r="Q2220" s="29">
        <f>MID(P2220,5,2)</f>
        <v/>
      </c>
      <c r="R2220" s="14">
        <f>MID(P2220,7,2)</f>
        <v/>
      </c>
      <c r="S2220" s="6" t="inlineStr">
        <is>
          <t>G2G</t>
        </is>
      </c>
      <c r="T2220" s="1" t="inlineStr">
        <is>
          <t>P4 - PEIPL</t>
        </is>
      </c>
      <c r="U2220" s="2" t="inlineStr">
        <is>
          <t>Frame Damaged</t>
        </is>
      </c>
      <c r="V2220" s="47" t="inlineStr">
        <is>
          <t>WIP</t>
        </is>
      </c>
      <c r="W2220" s="1" t="inlineStr">
        <is>
          <t>WIP</t>
        </is>
      </c>
      <c r="X2220" s="12" t="n"/>
      <c r="Y2220" s="1">
        <f>IF(X2220="","",X2220-A2220)</f>
        <v/>
      </c>
      <c r="Z2220" s="5" t="n">
        <v>46198</v>
      </c>
      <c r="AA2220" s="3" t="n"/>
      <c r="AB2220" s="3" t="n"/>
      <c r="AE2220" s="146">
        <f>IF(AND(F2220="Closed",X2220&gt;=DATE(2026,6,1),X2220&lt;=DATE(2026,6,30)),"Closed in June","other")</f>
        <v/>
      </c>
    </row>
    <row r="2221" hidden="1">
      <c r="A2221" s="49" t="n">
        <v>46177</v>
      </c>
      <c r="B2221" s="1" t="n">
        <v>2026</v>
      </c>
      <c r="C2221" s="8" t="inlineStr">
        <is>
          <t>Ayana</t>
        </is>
      </c>
      <c r="D2221" s="11" t="inlineStr">
        <is>
          <t>Utility and C&amp;I</t>
        </is>
      </c>
      <c r="E2221" s="1" t="n"/>
      <c r="F2221" s="1" t="inlineStr">
        <is>
          <t>Closed</t>
        </is>
      </c>
      <c r="G2221" s="11" t="inlineStr">
        <is>
          <t>Vasu.N</t>
        </is>
      </c>
      <c r="H2221" s="8" t="n">
        <v>9578099893</v>
      </c>
      <c r="I2221" s="10" t="inlineStr">
        <is>
          <t>PE04062601</t>
        </is>
      </c>
      <c r="J2221" s="28" t="inlineStr">
        <is>
          <t>Module burnt</t>
        </is>
      </c>
      <c r="K2221" s="8" t="inlineStr">
        <is>
          <t>Zura</t>
        </is>
      </c>
      <c r="L2221" s="39" t="inlineStr">
        <is>
          <t>Gujarat</t>
        </is>
      </c>
      <c r="M2221" s="2" t="inlineStr">
        <is>
          <t xml:space="preserve">damage </t>
        </is>
      </c>
      <c r="N2221" s="6" t="inlineStr">
        <is>
          <t>Module Breakage</t>
        </is>
      </c>
      <c r="O2221" s="32" t="n">
        <v>590</v>
      </c>
      <c r="P2221" s="2" t="inlineStr">
        <is>
          <t>NSMI24100632726</t>
        </is>
      </c>
      <c r="Q2221" s="29">
        <f>MID(P2221,5,2)</f>
        <v/>
      </c>
      <c r="R2221" s="14">
        <f>MID(P2221,7,2)</f>
        <v/>
      </c>
      <c r="S2221" s="6" t="inlineStr">
        <is>
          <t>G2G</t>
        </is>
      </c>
      <c r="T2221" s="1" t="inlineStr">
        <is>
          <t>P4 - PEIPL</t>
        </is>
      </c>
      <c r="U2221" s="2" t="inlineStr">
        <is>
          <t xml:space="preserve">physically damaged </t>
        </is>
      </c>
      <c r="V2221" s="1" t="inlineStr">
        <is>
          <t>Inspection</t>
        </is>
      </c>
      <c r="W2221" s="1" t="inlineStr">
        <is>
          <t>Rejected</t>
        </is>
      </c>
      <c r="X2221" s="5">
        <f>Z2221</f>
        <v/>
      </c>
      <c r="Y2221" s="1">
        <f>X2221-A2221</f>
        <v/>
      </c>
      <c r="Z2221" s="5" t="n">
        <v>46198</v>
      </c>
      <c r="AA2221" s="3" t="n"/>
      <c r="AB2221" s="3" t="n"/>
      <c r="AE2221" s="146">
        <f>IF(AND(F2221="Closed",X2221&gt;=DATE(2026,6,1),X2221&lt;=DATE(2026,6,30)),"Closed in June","other")</f>
        <v/>
      </c>
    </row>
    <row r="2222" hidden="1">
      <c r="A2222" s="49" t="n">
        <v>46177</v>
      </c>
      <c r="B2222" s="1" t="n">
        <v>2026</v>
      </c>
      <c r="C2222" s="8" t="inlineStr">
        <is>
          <t>Ayana</t>
        </is>
      </c>
      <c r="D2222" s="11" t="inlineStr">
        <is>
          <t>Utility and C&amp;I</t>
        </is>
      </c>
      <c r="E2222" s="1" t="n"/>
      <c r="F2222" s="1" t="inlineStr">
        <is>
          <t>Closed</t>
        </is>
      </c>
      <c r="G2222" s="11" t="inlineStr">
        <is>
          <t>Vasu.N</t>
        </is>
      </c>
      <c r="H2222" s="8" t="n">
        <v>9578099893</v>
      </c>
      <c r="I2222" s="10" t="inlineStr">
        <is>
          <t>PE04062601</t>
        </is>
      </c>
      <c r="J2222" s="28" t="inlineStr">
        <is>
          <t>Module burnt</t>
        </is>
      </c>
      <c r="K2222" s="8" t="inlineStr">
        <is>
          <t>Zura</t>
        </is>
      </c>
      <c r="L2222" s="39" t="inlineStr">
        <is>
          <t>Gujarat</t>
        </is>
      </c>
      <c r="M2222" s="2" t="inlineStr">
        <is>
          <t xml:space="preserve">damage </t>
        </is>
      </c>
      <c r="N2222" s="6" t="inlineStr">
        <is>
          <t>Module Breakage</t>
        </is>
      </c>
      <c r="O2222" s="32" t="n">
        <v>590</v>
      </c>
      <c r="P2222" s="2" t="inlineStr">
        <is>
          <t>NSMI24100633252</t>
        </is>
      </c>
      <c r="Q2222" s="29">
        <f>MID(P2222,5,2)</f>
        <v/>
      </c>
      <c r="R2222" s="14">
        <f>MID(P2222,7,2)</f>
        <v/>
      </c>
      <c r="S2222" s="6" t="inlineStr">
        <is>
          <t>G2G</t>
        </is>
      </c>
      <c r="T2222" s="1" t="inlineStr">
        <is>
          <t>P4 - PEIPL</t>
        </is>
      </c>
      <c r="U2222" s="2" t="inlineStr">
        <is>
          <t xml:space="preserve">physically damaged </t>
        </is>
      </c>
      <c r="V2222" s="1" t="inlineStr">
        <is>
          <t>Inspection</t>
        </is>
      </c>
      <c r="W2222" s="1" t="inlineStr">
        <is>
          <t>Rejected</t>
        </is>
      </c>
      <c r="X2222" s="5">
        <f>Z2222</f>
        <v/>
      </c>
      <c r="Y2222" s="1">
        <f>X2222-A2222</f>
        <v/>
      </c>
      <c r="Z2222" s="5" t="n">
        <v>46198</v>
      </c>
      <c r="AA2222" s="3" t="n"/>
      <c r="AB2222" s="3" t="n"/>
      <c r="AE2222" s="146">
        <f>IF(AND(F2222="Closed",X2222&gt;=DATE(2026,6,1),X2222&lt;=DATE(2026,6,30)),"Closed in June","other")</f>
        <v/>
      </c>
    </row>
    <row r="2223" hidden="1">
      <c r="A2223" s="49" t="n">
        <v>46177</v>
      </c>
      <c r="B2223" s="1" t="n">
        <v>2026</v>
      </c>
      <c r="C2223" s="8" t="inlineStr">
        <is>
          <t>Ayana</t>
        </is>
      </c>
      <c r="D2223" s="11" t="inlineStr">
        <is>
          <t>Utility and C&amp;I</t>
        </is>
      </c>
      <c r="E2223" s="1" t="n"/>
      <c r="F2223" s="1" t="inlineStr">
        <is>
          <t>Closed</t>
        </is>
      </c>
      <c r="G2223" s="11" t="inlineStr">
        <is>
          <t>Vasu.N</t>
        </is>
      </c>
      <c r="H2223" s="8" t="n">
        <v>9578099893</v>
      </c>
      <c r="I2223" s="10" t="inlineStr">
        <is>
          <t>PE04062601</t>
        </is>
      </c>
      <c r="J2223" s="28" t="inlineStr">
        <is>
          <t>Module burnt</t>
        </is>
      </c>
      <c r="K2223" s="8" t="inlineStr">
        <is>
          <t>Zura</t>
        </is>
      </c>
      <c r="L2223" s="39" t="inlineStr">
        <is>
          <t>Gujarat</t>
        </is>
      </c>
      <c r="M2223" s="2" t="inlineStr">
        <is>
          <t xml:space="preserve">damage </t>
        </is>
      </c>
      <c r="N2223" s="6" t="inlineStr">
        <is>
          <t>Module Breakage</t>
        </is>
      </c>
      <c r="O2223" s="32" t="n">
        <v>590</v>
      </c>
      <c r="P2223" s="2" t="inlineStr">
        <is>
          <t>NSMI24090453254</t>
        </is>
      </c>
      <c r="Q2223" s="29">
        <f>MID(P2223,5,2)</f>
        <v/>
      </c>
      <c r="R2223" s="14">
        <f>MID(P2223,7,2)</f>
        <v/>
      </c>
      <c r="S2223" s="6" t="inlineStr">
        <is>
          <t>G2G</t>
        </is>
      </c>
      <c r="T2223" s="1" t="inlineStr">
        <is>
          <t>P4 - PEIPL</t>
        </is>
      </c>
      <c r="U2223" s="2" t="inlineStr">
        <is>
          <t xml:space="preserve">physically damaged </t>
        </is>
      </c>
      <c r="V2223" s="1" t="inlineStr">
        <is>
          <t>Inspection</t>
        </is>
      </c>
      <c r="W2223" s="1" t="inlineStr">
        <is>
          <t>Rejected</t>
        </is>
      </c>
      <c r="X2223" s="5">
        <f>Z2223</f>
        <v/>
      </c>
      <c r="Y2223" s="1">
        <f>X2223-A2223</f>
        <v/>
      </c>
      <c r="Z2223" s="5" t="n">
        <v>46198</v>
      </c>
      <c r="AA2223" s="3" t="n"/>
      <c r="AB2223" s="3" t="n"/>
      <c r="AE2223" s="146">
        <f>IF(AND(F2223="Closed",X2223&gt;=DATE(2026,6,1),X2223&lt;=DATE(2026,6,30)),"Closed in June","other")</f>
        <v/>
      </c>
    </row>
    <row r="2224" hidden="1">
      <c r="A2224" s="49" t="n">
        <v>46177</v>
      </c>
      <c r="B2224" s="1" t="n">
        <v>2026</v>
      </c>
      <c r="C2224" s="8" t="inlineStr">
        <is>
          <t>Ayana</t>
        </is>
      </c>
      <c r="D2224" s="11" t="inlineStr">
        <is>
          <t>Utility and C&amp;I</t>
        </is>
      </c>
      <c r="E2224" s="1" t="n"/>
      <c r="F2224" s="1" t="inlineStr">
        <is>
          <t>Closed</t>
        </is>
      </c>
      <c r="G2224" s="11" t="inlineStr">
        <is>
          <t>Vasu.N</t>
        </is>
      </c>
      <c r="H2224" s="8" t="n">
        <v>9578099893</v>
      </c>
      <c r="I2224" s="10" t="inlineStr">
        <is>
          <t>PE04062601</t>
        </is>
      </c>
      <c r="J2224" s="28" t="inlineStr">
        <is>
          <t>Module burnt</t>
        </is>
      </c>
      <c r="K2224" s="8" t="inlineStr">
        <is>
          <t>Zura</t>
        </is>
      </c>
      <c r="L2224" s="39" t="inlineStr">
        <is>
          <t>Gujarat</t>
        </is>
      </c>
      <c r="M2224" s="2" t="inlineStr">
        <is>
          <t xml:space="preserve">damage </t>
        </is>
      </c>
      <c r="N2224" s="6" t="inlineStr">
        <is>
          <t>Module Breakage</t>
        </is>
      </c>
      <c r="O2224" s="32" t="n">
        <v>590</v>
      </c>
      <c r="P2224" s="2" t="inlineStr">
        <is>
          <t>NSMI24090453258</t>
        </is>
      </c>
      <c r="Q2224" s="29">
        <f>MID(P2224,5,2)</f>
        <v/>
      </c>
      <c r="R2224" s="14">
        <f>MID(P2224,7,2)</f>
        <v/>
      </c>
      <c r="S2224" s="6" t="inlineStr">
        <is>
          <t>G2G</t>
        </is>
      </c>
      <c r="T2224" s="1" t="inlineStr">
        <is>
          <t>P4 - PEIPL</t>
        </is>
      </c>
      <c r="U2224" s="2" t="inlineStr">
        <is>
          <t xml:space="preserve">physically damaged </t>
        </is>
      </c>
      <c r="V2224" s="1" t="inlineStr">
        <is>
          <t>Inspection</t>
        </is>
      </c>
      <c r="W2224" s="1" t="inlineStr">
        <is>
          <t>Rejected</t>
        </is>
      </c>
      <c r="X2224" s="5">
        <f>Z2224</f>
        <v/>
      </c>
      <c r="Y2224" s="1">
        <f>X2224-A2224</f>
        <v/>
      </c>
      <c r="Z2224" s="5" t="n">
        <v>46198</v>
      </c>
      <c r="AA2224" s="3" t="n"/>
      <c r="AB2224" s="3" t="n"/>
      <c r="AE2224" s="146">
        <f>IF(AND(F2224="Closed",X2224&gt;=DATE(2026,6,1),X2224&lt;=DATE(2026,6,30)),"Closed in June","other")</f>
        <v/>
      </c>
    </row>
    <row r="2225" hidden="1">
      <c r="A2225" s="49" t="n">
        <v>46177</v>
      </c>
      <c r="B2225" s="1" t="n">
        <v>2026</v>
      </c>
      <c r="C2225" s="8" t="inlineStr">
        <is>
          <t>Ayana</t>
        </is>
      </c>
      <c r="D2225" s="11" t="inlineStr">
        <is>
          <t>Utility and C&amp;I</t>
        </is>
      </c>
      <c r="E2225" s="1" t="n"/>
      <c r="F2225" s="1" t="inlineStr">
        <is>
          <t>Closed</t>
        </is>
      </c>
      <c r="G2225" s="11" t="inlineStr">
        <is>
          <t>Vasu.N</t>
        </is>
      </c>
      <c r="H2225" s="8" t="n">
        <v>9578099893</v>
      </c>
      <c r="I2225" s="10" t="inlineStr">
        <is>
          <t>PE04062601</t>
        </is>
      </c>
      <c r="J2225" s="28" t="inlineStr">
        <is>
          <t>Module burnt</t>
        </is>
      </c>
      <c r="K2225" s="8" t="inlineStr">
        <is>
          <t>Zura</t>
        </is>
      </c>
      <c r="L2225" s="39" t="inlineStr">
        <is>
          <t>Gujarat</t>
        </is>
      </c>
      <c r="M2225" s="2" t="inlineStr">
        <is>
          <t xml:space="preserve">damage </t>
        </is>
      </c>
      <c r="N2225" s="6" t="inlineStr">
        <is>
          <t>Module Breakage</t>
        </is>
      </c>
      <c r="O2225" s="32" t="n">
        <v>590</v>
      </c>
      <c r="P2225" s="2" t="inlineStr">
        <is>
          <t>NSMI24110842157</t>
        </is>
      </c>
      <c r="Q2225" s="29">
        <f>MID(P2225,5,2)</f>
        <v/>
      </c>
      <c r="R2225" s="14">
        <f>MID(P2225,7,2)</f>
        <v/>
      </c>
      <c r="S2225" s="6" t="inlineStr">
        <is>
          <t>G2G</t>
        </is>
      </c>
      <c r="T2225" s="1" t="inlineStr">
        <is>
          <t>P4 - PEIPL</t>
        </is>
      </c>
      <c r="U2225" s="2" t="inlineStr">
        <is>
          <t xml:space="preserve">physically damaged </t>
        </is>
      </c>
      <c r="V2225" s="1" t="inlineStr">
        <is>
          <t>Inspection</t>
        </is>
      </c>
      <c r="W2225" s="1" t="inlineStr">
        <is>
          <t>Rejected</t>
        </is>
      </c>
      <c r="X2225" s="5">
        <f>Z2225</f>
        <v/>
      </c>
      <c r="Y2225" s="1">
        <f>X2225-A2225</f>
        <v/>
      </c>
      <c r="Z2225" s="5" t="n">
        <v>46198</v>
      </c>
      <c r="AA2225" s="3" t="n"/>
      <c r="AB2225" s="3" t="n"/>
      <c r="AE2225" s="146">
        <f>IF(AND(F2225="Closed",X2225&gt;=DATE(2026,6,1),X2225&lt;=DATE(2026,6,30)),"Closed in June","other")</f>
        <v/>
      </c>
    </row>
    <row r="2226" hidden="1">
      <c r="A2226" s="49" t="n">
        <v>46177</v>
      </c>
      <c r="B2226" s="1" t="n">
        <v>2026</v>
      </c>
      <c r="C2226" s="8" t="inlineStr">
        <is>
          <t>Ayana</t>
        </is>
      </c>
      <c r="D2226" s="11" t="inlineStr">
        <is>
          <t>Utility and C&amp;I</t>
        </is>
      </c>
      <c r="E2226" s="1" t="n"/>
      <c r="F2226" s="1" t="inlineStr">
        <is>
          <t>Closed</t>
        </is>
      </c>
      <c r="G2226" s="11" t="inlineStr">
        <is>
          <t>Vasu.N</t>
        </is>
      </c>
      <c r="H2226" s="8" t="n">
        <v>9578099893</v>
      </c>
      <c r="I2226" s="10" t="inlineStr">
        <is>
          <t>PE04062601</t>
        </is>
      </c>
      <c r="J2226" s="28" t="inlineStr">
        <is>
          <t>Module burnt</t>
        </is>
      </c>
      <c r="K2226" s="8" t="inlineStr">
        <is>
          <t>Zura</t>
        </is>
      </c>
      <c r="L2226" s="39" t="inlineStr">
        <is>
          <t>Gujarat</t>
        </is>
      </c>
      <c r="M2226" s="2" t="inlineStr">
        <is>
          <t xml:space="preserve">damage </t>
        </is>
      </c>
      <c r="N2226" s="6" t="inlineStr">
        <is>
          <t>Module Breakage</t>
        </is>
      </c>
      <c r="O2226" s="32" t="n">
        <v>590</v>
      </c>
      <c r="P2226" s="2" t="inlineStr">
        <is>
          <t>NSMI24100630636</t>
        </is>
      </c>
      <c r="Q2226" s="29">
        <f>MID(P2226,5,2)</f>
        <v/>
      </c>
      <c r="R2226" s="14">
        <f>MID(P2226,7,2)</f>
        <v/>
      </c>
      <c r="S2226" s="6" t="inlineStr">
        <is>
          <t>G2G</t>
        </is>
      </c>
      <c r="T2226" s="1" t="inlineStr">
        <is>
          <t>P4 - PEIPL</t>
        </is>
      </c>
      <c r="U2226" s="2" t="inlineStr">
        <is>
          <t xml:space="preserve">physically damaged </t>
        </is>
      </c>
      <c r="V2226" s="1" t="inlineStr">
        <is>
          <t>Inspection</t>
        </is>
      </c>
      <c r="W2226" s="1" t="inlineStr">
        <is>
          <t>Rejected</t>
        </is>
      </c>
      <c r="X2226" s="5">
        <f>Z2226</f>
        <v/>
      </c>
      <c r="Y2226" s="1">
        <f>X2226-A2226</f>
        <v/>
      </c>
      <c r="Z2226" s="5" t="n">
        <v>46198</v>
      </c>
      <c r="AA2226" s="3" t="n"/>
      <c r="AB2226" s="3" t="n"/>
      <c r="AE2226" s="146">
        <f>IF(AND(F2226="Closed",X2226&gt;=DATE(2026,6,1),X2226&lt;=DATE(2026,6,30)),"Closed in June","other")</f>
        <v/>
      </c>
    </row>
    <row r="2227" hidden="1">
      <c r="A2227" s="49" t="n">
        <v>46177</v>
      </c>
      <c r="B2227" s="1" t="n">
        <v>2026</v>
      </c>
      <c r="C2227" s="8" t="inlineStr">
        <is>
          <t>Ayana</t>
        </is>
      </c>
      <c r="D2227" s="11" t="inlineStr">
        <is>
          <t>Utility and C&amp;I</t>
        </is>
      </c>
      <c r="E2227" s="1" t="n"/>
      <c r="F2227" s="1" t="inlineStr">
        <is>
          <t>Closed</t>
        </is>
      </c>
      <c r="G2227" s="11" t="inlineStr">
        <is>
          <t>Vasu.N</t>
        </is>
      </c>
      <c r="H2227" s="8" t="n">
        <v>9578099893</v>
      </c>
      <c r="I2227" s="10" t="inlineStr">
        <is>
          <t>PE04062601</t>
        </is>
      </c>
      <c r="J2227" s="28" t="inlineStr">
        <is>
          <t>Module burnt</t>
        </is>
      </c>
      <c r="K2227" s="8" t="inlineStr">
        <is>
          <t>Zura</t>
        </is>
      </c>
      <c r="L2227" s="39" t="inlineStr">
        <is>
          <t>Gujarat</t>
        </is>
      </c>
      <c r="M2227" s="2" t="inlineStr">
        <is>
          <t xml:space="preserve">damage </t>
        </is>
      </c>
      <c r="N2227" s="6" t="inlineStr">
        <is>
          <t>Module Breakage</t>
        </is>
      </c>
      <c r="O2227" s="32" t="n">
        <v>590</v>
      </c>
      <c r="P2227" s="2" t="inlineStr">
        <is>
          <t>NSMI24110850530</t>
        </is>
      </c>
      <c r="Q2227" s="29">
        <f>MID(P2227,5,2)</f>
        <v/>
      </c>
      <c r="R2227" s="14">
        <f>MID(P2227,7,2)</f>
        <v/>
      </c>
      <c r="S2227" s="6" t="inlineStr">
        <is>
          <t>G2G</t>
        </is>
      </c>
      <c r="T2227" s="1" t="inlineStr">
        <is>
          <t>P4 - PEIPL</t>
        </is>
      </c>
      <c r="U2227" s="2" t="inlineStr">
        <is>
          <t xml:space="preserve">physically damaged </t>
        </is>
      </c>
      <c r="V2227" s="1" t="inlineStr">
        <is>
          <t>Inspection</t>
        </is>
      </c>
      <c r="W2227" s="1" t="inlineStr">
        <is>
          <t>Rejected</t>
        </is>
      </c>
      <c r="X2227" s="5">
        <f>Z2227</f>
        <v/>
      </c>
      <c r="Y2227" s="1">
        <f>X2227-A2227</f>
        <v/>
      </c>
      <c r="Z2227" s="5" t="n">
        <v>46198</v>
      </c>
      <c r="AA2227" s="3" t="n"/>
      <c r="AB2227" s="3" t="n"/>
      <c r="AE2227" s="146">
        <f>IF(AND(F2227="Closed",X2227&gt;=DATE(2026,6,1),X2227&lt;=DATE(2026,6,30)),"Closed in June","other")</f>
        <v/>
      </c>
    </row>
    <row r="2228" hidden="1">
      <c r="A2228" s="49" t="n">
        <v>46177</v>
      </c>
      <c r="B2228" s="1" t="n">
        <v>2026</v>
      </c>
      <c r="C2228" s="8" t="inlineStr">
        <is>
          <t>Ayana</t>
        </is>
      </c>
      <c r="D2228" s="11" t="inlineStr">
        <is>
          <t>Utility and C&amp;I</t>
        </is>
      </c>
      <c r="E2228" s="1" t="n"/>
      <c r="F2228" s="1" t="inlineStr">
        <is>
          <t>Closed</t>
        </is>
      </c>
      <c r="G2228" s="11" t="inlineStr">
        <is>
          <t>Vasu.N</t>
        </is>
      </c>
      <c r="H2228" s="8" t="n">
        <v>9578099893</v>
      </c>
      <c r="I2228" s="10" t="inlineStr">
        <is>
          <t>PE04062601</t>
        </is>
      </c>
      <c r="J2228" s="28" t="inlineStr">
        <is>
          <t>Module burnt</t>
        </is>
      </c>
      <c r="K2228" s="8" t="inlineStr">
        <is>
          <t>Zura</t>
        </is>
      </c>
      <c r="L2228" s="39" t="inlineStr">
        <is>
          <t>Gujarat</t>
        </is>
      </c>
      <c r="M2228" s="2" t="inlineStr">
        <is>
          <t xml:space="preserve">damage </t>
        </is>
      </c>
      <c r="N2228" s="6" t="inlineStr">
        <is>
          <t>Module Breakage</t>
        </is>
      </c>
      <c r="O2228" s="32" t="n">
        <v>590</v>
      </c>
      <c r="P2228" s="2" t="inlineStr">
        <is>
          <t>NSMI24110833384</t>
        </is>
      </c>
      <c r="Q2228" s="29">
        <f>MID(P2228,5,2)</f>
        <v/>
      </c>
      <c r="R2228" s="14">
        <f>MID(P2228,7,2)</f>
        <v/>
      </c>
      <c r="S2228" s="6" t="inlineStr">
        <is>
          <t>G2G</t>
        </is>
      </c>
      <c r="T2228" s="1" t="inlineStr">
        <is>
          <t>P4 - PEIPL</t>
        </is>
      </c>
      <c r="U2228" s="2" t="inlineStr">
        <is>
          <t xml:space="preserve">physically damaged </t>
        </is>
      </c>
      <c r="V2228" s="1" t="inlineStr">
        <is>
          <t>Inspection</t>
        </is>
      </c>
      <c r="W2228" s="1" t="inlineStr">
        <is>
          <t>Rejected</t>
        </is>
      </c>
      <c r="X2228" s="5">
        <f>Z2228</f>
        <v/>
      </c>
      <c r="Y2228" s="1">
        <f>X2228-A2228</f>
        <v/>
      </c>
      <c r="Z2228" s="5" t="n">
        <v>46198</v>
      </c>
      <c r="AA2228" s="3" t="n"/>
      <c r="AB2228" s="3" t="n"/>
      <c r="AE2228" s="146">
        <f>IF(AND(F2228="Closed",X2228&gt;=DATE(2026,6,1),X2228&lt;=DATE(2026,6,30)),"Closed in June","other")</f>
        <v/>
      </c>
    </row>
    <row r="2229" hidden="1">
      <c r="A2229" s="49" t="n">
        <v>46177</v>
      </c>
      <c r="B2229" s="1" t="n">
        <v>2026</v>
      </c>
      <c r="C2229" s="8" t="inlineStr">
        <is>
          <t>Ayana</t>
        </is>
      </c>
      <c r="D2229" s="11" t="inlineStr">
        <is>
          <t>Utility and C&amp;I</t>
        </is>
      </c>
      <c r="E2229" s="1" t="n"/>
      <c r="F2229" s="1" t="inlineStr">
        <is>
          <t>Closed</t>
        </is>
      </c>
      <c r="G2229" s="11" t="inlineStr">
        <is>
          <t>Vasu.N</t>
        </is>
      </c>
      <c r="H2229" s="8" t="n">
        <v>9578099893</v>
      </c>
      <c r="I2229" s="10" t="inlineStr">
        <is>
          <t>PE04062601</t>
        </is>
      </c>
      <c r="J2229" s="28" t="inlineStr">
        <is>
          <t>Module burnt</t>
        </is>
      </c>
      <c r="K2229" s="8" t="inlineStr">
        <is>
          <t>Zura</t>
        </is>
      </c>
      <c r="L2229" s="39" t="inlineStr">
        <is>
          <t>Gujarat</t>
        </is>
      </c>
      <c r="M2229" s="2" t="inlineStr">
        <is>
          <t xml:space="preserve">damage </t>
        </is>
      </c>
      <c r="N2229" s="6" t="inlineStr">
        <is>
          <t>Module Breakage</t>
        </is>
      </c>
      <c r="O2229" s="32" t="n">
        <v>590</v>
      </c>
      <c r="P2229" s="2" t="inlineStr">
        <is>
          <t>NSMI24110833434</t>
        </is>
      </c>
      <c r="Q2229" s="29">
        <f>MID(P2229,5,2)</f>
        <v/>
      </c>
      <c r="R2229" s="14">
        <f>MID(P2229,7,2)</f>
        <v/>
      </c>
      <c r="S2229" s="6" t="inlineStr">
        <is>
          <t>G2G</t>
        </is>
      </c>
      <c r="T2229" s="1" t="inlineStr">
        <is>
          <t>P4 - PEIPL</t>
        </is>
      </c>
      <c r="U2229" s="2" t="inlineStr">
        <is>
          <t xml:space="preserve">physically damaged </t>
        </is>
      </c>
      <c r="V2229" s="1" t="inlineStr">
        <is>
          <t>Inspection</t>
        </is>
      </c>
      <c r="W2229" s="1" t="inlineStr">
        <is>
          <t>Rejected</t>
        </is>
      </c>
      <c r="X2229" s="5">
        <f>Z2229</f>
        <v/>
      </c>
      <c r="Y2229" s="1">
        <f>X2229-A2229</f>
        <v/>
      </c>
      <c r="Z2229" s="5" t="n">
        <v>46198</v>
      </c>
      <c r="AA2229" s="3" t="n"/>
      <c r="AB2229" s="3" t="n"/>
      <c r="AE2229" s="146">
        <f>IF(AND(F2229="Closed",X2229&gt;=DATE(2026,6,1),X2229&lt;=DATE(2026,6,30)),"Closed in June","other")</f>
        <v/>
      </c>
    </row>
    <row r="2230" hidden="1">
      <c r="A2230" s="49" t="n">
        <v>46177</v>
      </c>
      <c r="B2230" s="1" t="n">
        <v>2026</v>
      </c>
      <c r="C2230" s="8" t="inlineStr">
        <is>
          <t>Ayana</t>
        </is>
      </c>
      <c r="D2230" s="11" t="inlineStr">
        <is>
          <t>Utility and C&amp;I</t>
        </is>
      </c>
      <c r="E2230" s="1" t="n"/>
      <c r="F2230" s="1" t="inlineStr">
        <is>
          <t>Closed</t>
        </is>
      </c>
      <c r="G2230" s="11" t="inlineStr">
        <is>
          <t>Vasu.N</t>
        </is>
      </c>
      <c r="H2230" s="8" t="n">
        <v>9578099893</v>
      </c>
      <c r="I2230" s="10" t="inlineStr">
        <is>
          <t>PE04062601</t>
        </is>
      </c>
      <c r="J2230" s="28" t="inlineStr">
        <is>
          <t>Module burnt</t>
        </is>
      </c>
      <c r="K2230" s="8" t="inlineStr">
        <is>
          <t>Zura</t>
        </is>
      </c>
      <c r="L2230" s="39" t="inlineStr">
        <is>
          <t>Gujarat</t>
        </is>
      </c>
      <c r="M2230" s="2" t="inlineStr">
        <is>
          <t xml:space="preserve">damage </t>
        </is>
      </c>
      <c r="N2230" s="6" t="inlineStr">
        <is>
          <t>Module Breakage</t>
        </is>
      </c>
      <c r="O2230" s="32" t="n">
        <v>590</v>
      </c>
      <c r="P2230" s="2" t="inlineStr">
        <is>
          <t>NSMI24100571180</t>
        </is>
      </c>
      <c r="Q2230" s="29">
        <f>MID(P2230,5,2)</f>
        <v/>
      </c>
      <c r="R2230" s="14">
        <f>MID(P2230,7,2)</f>
        <v/>
      </c>
      <c r="S2230" s="6" t="inlineStr">
        <is>
          <t>G2G</t>
        </is>
      </c>
      <c r="T2230" s="1" t="inlineStr">
        <is>
          <t>P4 - PEIPL</t>
        </is>
      </c>
      <c r="U2230" s="2" t="inlineStr">
        <is>
          <t xml:space="preserve">physically damaged </t>
        </is>
      </c>
      <c r="V2230" s="1" t="inlineStr">
        <is>
          <t>Inspection</t>
        </is>
      </c>
      <c r="W2230" s="1" t="inlineStr">
        <is>
          <t>Rejected</t>
        </is>
      </c>
      <c r="X2230" s="5">
        <f>Z2230</f>
        <v/>
      </c>
      <c r="Y2230" s="1">
        <f>X2230-A2230</f>
        <v/>
      </c>
      <c r="Z2230" s="5" t="n">
        <v>46198</v>
      </c>
      <c r="AA2230" s="3" t="n"/>
      <c r="AB2230" s="3" t="n"/>
      <c r="AE2230" s="146">
        <f>IF(AND(F2230="Closed",X2230&gt;=DATE(2026,6,1),X2230&lt;=DATE(2026,6,30)),"Closed in June","other")</f>
        <v/>
      </c>
    </row>
    <row r="2231" hidden="1">
      <c r="A2231" s="49" t="n">
        <v>46177</v>
      </c>
      <c r="B2231" s="1" t="n">
        <v>2026</v>
      </c>
      <c r="C2231" s="8" t="inlineStr">
        <is>
          <t>Ayana</t>
        </is>
      </c>
      <c r="D2231" s="11" t="inlineStr">
        <is>
          <t>Utility and C&amp;I</t>
        </is>
      </c>
      <c r="E2231" s="1" t="n"/>
      <c r="F2231" s="1" t="inlineStr">
        <is>
          <t>Closed</t>
        </is>
      </c>
      <c r="G2231" s="11" t="inlineStr">
        <is>
          <t>Vasu.N</t>
        </is>
      </c>
      <c r="H2231" s="8" t="n">
        <v>9578099893</v>
      </c>
      <c r="I2231" s="10" t="inlineStr">
        <is>
          <t>PE04062601</t>
        </is>
      </c>
      <c r="J2231" s="28" t="inlineStr">
        <is>
          <t>Module burnt</t>
        </is>
      </c>
      <c r="K2231" s="8" t="inlineStr">
        <is>
          <t>Zura</t>
        </is>
      </c>
      <c r="L2231" s="39" t="inlineStr">
        <is>
          <t>Gujarat</t>
        </is>
      </c>
      <c r="M2231" s="2" t="inlineStr">
        <is>
          <t xml:space="preserve">damage </t>
        </is>
      </c>
      <c r="N2231" s="6" t="inlineStr">
        <is>
          <t>Module Breakage</t>
        </is>
      </c>
      <c r="O2231" s="32" t="n">
        <v>590</v>
      </c>
      <c r="P2231" s="2" t="inlineStr">
        <is>
          <t>NSMI24100646393</t>
        </is>
      </c>
      <c r="Q2231" s="29">
        <f>MID(P2231,5,2)</f>
        <v/>
      </c>
      <c r="R2231" s="14">
        <f>MID(P2231,7,2)</f>
        <v/>
      </c>
      <c r="S2231" s="6" t="inlineStr">
        <is>
          <t>G2G</t>
        </is>
      </c>
      <c r="T2231" s="1" t="inlineStr">
        <is>
          <t>P4 - PEIPL</t>
        </is>
      </c>
      <c r="U2231" s="2" t="inlineStr">
        <is>
          <t xml:space="preserve">physically damaged </t>
        </is>
      </c>
      <c r="V2231" s="1" t="inlineStr">
        <is>
          <t>Inspection</t>
        </is>
      </c>
      <c r="W2231" s="1" t="inlineStr">
        <is>
          <t>Rejected</t>
        </is>
      </c>
      <c r="X2231" s="5">
        <f>Z2231</f>
        <v/>
      </c>
      <c r="Y2231" s="1">
        <f>X2231-A2231</f>
        <v/>
      </c>
      <c r="Z2231" s="5" t="n">
        <v>46198</v>
      </c>
      <c r="AA2231" s="3" t="n"/>
      <c r="AB2231" s="3" t="n"/>
      <c r="AE2231" s="146">
        <f>IF(AND(F2231="Closed",X2231&gt;=DATE(2026,6,1),X2231&lt;=DATE(2026,6,30)),"Closed in June","other")</f>
        <v/>
      </c>
    </row>
    <row r="2232" hidden="1">
      <c r="A2232" s="49" t="n">
        <v>46177</v>
      </c>
      <c r="B2232" s="1" t="n">
        <v>2026</v>
      </c>
      <c r="C2232" s="8" t="inlineStr">
        <is>
          <t>Ayana</t>
        </is>
      </c>
      <c r="D2232" s="11" t="inlineStr">
        <is>
          <t>Utility and C&amp;I</t>
        </is>
      </c>
      <c r="E2232" s="1" t="n"/>
      <c r="F2232" s="1" t="inlineStr">
        <is>
          <t>Closed</t>
        </is>
      </c>
      <c r="G2232" s="11" t="inlineStr">
        <is>
          <t>Vasu.N</t>
        </is>
      </c>
      <c r="H2232" s="8" t="n">
        <v>9578099893</v>
      </c>
      <c r="I2232" s="10" t="inlineStr">
        <is>
          <t>PE04062601</t>
        </is>
      </c>
      <c r="J2232" s="28" t="inlineStr">
        <is>
          <t>Module burnt</t>
        </is>
      </c>
      <c r="K2232" s="8" t="inlineStr">
        <is>
          <t>Zura</t>
        </is>
      </c>
      <c r="L2232" s="39" t="inlineStr">
        <is>
          <t>Gujarat</t>
        </is>
      </c>
      <c r="M2232" s="2" t="inlineStr">
        <is>
          <t xml:space="preserve">damage </t>
        </is>
      </c>
      <c r="N2232" s="6" t="inlineStr">
        <is>
          <t>Module Breakage</t>
        </is>
      </c>
      <c r="O2232" s="32" t="n">
        <v>590</v>
      </c>
      <c r="P2232" s="2" t="inlineStr">
        <is>
          <t>NSMI24100640699</t>
        </is>
      </c>
      <c r="Q2232" s="29">
        <f>MID(P2232,5,2)</f>
        <v/>
      </c>
      <c r="R2232" s="14">
        <f>MID(P2232,7,2)</f>
        <v/>
      </c>
      <c r="S2232" s="6" t="inlineStr">
        <is>
          <t>G2G</t>
        </is>
      </c>
      <c r="T2232" s="1" t="inlineStr">
        <is>
          <t>P4 - PEIPL</t>
        </is>
      </c>
      <c r="U2232" s="2" t="inlineStr">
        <is>
          <t xml:space="preserve">physically damaged </t>
        </is>
      </c>
      <c r="V2232" s="1" t="inlineStr">
        <is>
          <t>Inspection</t>
        </is>
      </c>
      <c r="W2232" s="1" t="inlineStr">
        <is>
          <t>Rejected</t>
        </is>
      </c>
      <c r="X2232" s="5">
        <f>Z2232</f>
        <v/>
      </c>
      <c r="Y2232" s="1">
        <f>X2232-A2232</f>
        <v/>
      </c>
      <c r="Z2232" s="5" t="n">
        <v>46198</v>
      </c>
      <c r="AA2232" s="3" t="n"/>
      <c r="AB2232" s="3" t="n"/>
      <c r="AE2232" s="146">
        <f>IF(AND(F2232="Closed",X2232&gt;=DATE(2026,6,1),X2232&lt;=DATE(2026,6,30)),"Closed in June","other")</f>
        <v/>
      </c>
    </row>
    <row r="2233" hidden="1">
      <c r="A2233" s="49" t="n">
        <v>46177</v>
      </c>
      <c r="B2233" s="1" t="n">
        <v>2026</v>
      </c>
      <c r="C2233" s="8" t="inlineStr">
        <is>
          <t>Ayana</t>
        </is>
      </c>
      <c r="D2233" s="11" t="inlineStr">
        <is>
          <t>Utility and C&amp;I</t>
        </is>
      </c>
      <c r="E2233" s="1" t="n"/>
      <c r="F2233" s="1" t="inlineStr">
        <is>
          <t>Closed</t>
        </is>
      </c>
      <c r="G2233" s="11" t="inlineStr">
        <is>
          <t>Vasu.N</t>
        </is>
      </c>
      <c r="H2233" s="8" t="n">
        <v>9578099893</v>
      </c>
      <c r="I2233" s="10" t="inlineStr">
        <is>
          <t>PE04062601</t>
        </is>
      </c>
      <c r="J2233" s="28" t="inlineStr">
        <is>
          <t>Module burnt</t>
        </is>
      </c>
      <c r="K2233" s="8" t="inlineStr">
        <is>
          <t>Zura</t>
        </is>
      </c>
      <c r="L2233" s="39" t="inlineStr">
        <is>
          <t>Gujarat</t>
        </is>
      </c>
      <c r="M2233" s="2" t="inlineStr">
        <is>
          <t xml:space="preserve">damage </t>
        </is>
      </c>
      <c r="N2233" s="6" t="inlineStr">
        <is>
          <t>Module Breakage</t>
        </is>
      </c>
      <c r="O2233" s="32" t="n">
        <v>590</v>
      </c>
      <c r="P2233" s="2" t="inlineStr">
        <is>
          <t>NSMI24100631263</t>
        </is>
      </c>
      <c r="Q2233" s="29">
        <f>MID(P2233,5,2)</f>
        <v/>
      </c>
      <c r="R2233" s="14">
        <f>MID(P2233,7,2)</f>
        <v/>
      </c>
      <c r="S2233" s="6" t="inlineStr">
        <is>
          <t>G2G</t>
        </is>
      </c>
      <c r="T2233" s="1" t="inlineStr">
        <is>
          <t>P4 - PEIPL</t>
        </is>
      </c>
      <c r="U2233" s="2" t="inlineStr">
        <is>
          <t xml:space="preserve">physically damaged </t>
        </is>
      </c>
      <c r="V2233" s="1" t="inlineStr">
        <is>
          <t>Inspection</t>
        </is>
      </c>
      <c r="W2233" s="1" t="inlineStr">
        <is>
          <t>Rejected</t>
        </is>
      </c>
      <c r="X2233" s="5">
        <f>Z2233</f>
        <v/>
      </c>
      <c r="Y2233" s="1">
        <f>X2233-A2233</f>
        <v/>
      </c>
      <c r="Z2233" s="5" t="n">
        <v>46198</v>
      </c>
      <c r="AA2233" s="3" t="n"/>
      <c r="AB2233" s="3" t="n"/>
      <c r="AE2233" s="146">
        <f>IF(AND(F2233="Closed",X2233&gt;=DATE(2026,6,1),X2233&lt;=DATE(2026,6,30)),"Closed in June","other")</f>
        <v/>
      </c>
    </row>
    <row r="2234" hidden="1">
      <c r="A2234" s="49" t="n">
        <v>46177</v>
      </c>
      <c r="B2234" s="1" t="n">
        <v>2026</v>
      </c>
      <c r="C2234" s="8" t="inlineStr">
        <is>
          <t>Ayana</t>
        </is>
      </c>
      <c r="D2234" s="11" t="inlineStr">
        <is>
          <t>Utility and C&amp;I</t>
        </is>
      </c>
      <c r="E2234" s="1" t="n"/>
      <c r="F2234" s="1" t="inlineStr">
        <is>
          <t>Closed</t>
        </is>
      </c>
      <c r="G2234" s="11" t="inlineStr">
        <is>
          <t>Vasu.N</t>
        </is>
      </c>
      <c r="H2234" s="8" t="n">
        <v>9578099893</v>
      </c>
      <c r="I2234" s="10" t="inlineStr">
        <is>
          <t>PE04062601</t>
        </is>
      </c>
      <c r="J2234" s="28" t="inlineStr">
        <is>
          <t>Module burnt</t>
        </is>
      </c>
      <c r="K2234" s="8" t="inlineStr">
        <is>
          <t>Zura</t>
        </is>
      </c>
      <c r="L2234" s="39" t="inlineStr">
        <is>
          <t>Gujarat</t>
        </is>
      </c>
      <c r="M2234" s="2" t="inlineStr">
        <is>
          <t xml:space="preserve">damage </t>
        </is>
      </c>
      <c r="N2234" s="6" t="inlineStr">
        <is>
          <t>Module Breakage</t>
        </is>
      </c>
      <c r="O2234" s="32" t="n">
        <v>590</v>
      </c>
      <c r="P2234" s="2" t="inlineStr">
        <is>
          <t>NSMI24110815745</t>
        </is>
      </c>
      <c r="Q2234" s="29">
        <f>MID(P2234,5,2)</f>
        <v/>
      </c>
      <c r="R2234" s="14">
        <f>MID(P2234,7,2)</f>
        <v/>
      </c>
      <c r="S2234" s="6" t="inlineStr">
        <is>
          <t>G2G</t>
        </is>
      </c>
      <c r="T2234" s="1" t="inlineStr">
        <is>
          <t>P4 - PEIPL</t>
        </is>
      </c>
      <c r="U2234" s="2" t="inlineStr">
        <is>
          <t xml:space="preserve">physically damaged </t>
        </is>
      </c>
      <c r="V2234" s="1" t="inlineStr">
        <is>
          <t>Inspection</t>
        </is>
      </c>
      <c r="W2234" s="1" t="inlineStr">
        <is>
          <t>Rejected</t>
        </is>
      </c>
      <c r="X2234" s="5">
        <f>Z2234</f>
        <v/>
      </c>
      <c r="Y2234" s="1">
        <f>X2234-A2234</f>
        <v/>
      </c>
      <c r="Z2234" s="5" t="n">
        <v>46198</v>
      </c>
      <c r="AA2234" s="3" t="n"/>
      <c r="AB2234" s="3" t="n"/>
      <c r="AE2234" s="146">
        <f>IF(AND(F2234="Closed",X2234&gt;=DATE(2026,6,1),X2234&lt;=DATE(2026,6,30)),"Closed in June","other")</f>
        <v/>
      </c>
    </row>
    <row r="2235" hidden="1">
      <c r="A2235" s="49" t="n">
        <v>46177</v>
      </c>
      <c r="B2235" s="1" t="n">
        <v>2026</v>
      </c>
      <c r="C2235" s="8" t="inlineStr">
        <is>
          <t>Ayana</t>
        </is>
      </c>
      <c r="D2235" s="11" t="inlineStr">
        <is>
          <t>Utility and C&amp;I</t>
        </is>
      </c>
      <c r="E2235" s="1" t="n"/>
      <c r="F2235" s="1" t="inlineStr">
        <is>
          <t>WIP</t>
        </is>
      </c>
      <c r="G2235" s="11" t="inlineStr">
        <is>
          <t>Vasu.N</t>
        </is>
      </c>
      <c r="H2235" s="8" t="n">
        <v>9578099893</v>
      </c>
      <c r="I2235" s="10" t="inlineStr">
        <is>
          <t>PE04062601</t>
        </is>
      </c>
      <c r="J2235" s="28" t="inlineStr">
        <is>
          <t>Module burnt</t>
        </is>
      </c>
      <c r="K2235" s="8" t="inlineStr">
        <is>
          <t>Zura</t>
        </is>
      </c>
      <c r="L2235" s="39" t="inlineStr">
        <is>
          <t>Gujarat</t>
        </is>
      </c>
      <c r="M2235" s="2" t="inlineStr">
        <is>
          <t xml:space="preserve">damage </t>
        </is>
      </c>
      <c r="N2235" s="6" t="inlineStr">
        <is>
          <t>Module Breakage</t>
        </is>
      </c>
      <c r="O2235" s="32" t="n">
        <v>590</v>
      </c>
      <c r="P2235" s="2" t="inlineStr">
        <is>
          <t>NSMI24110847895</t>
        </is>
      </c>
      <c r="Q2235" s="29">
        <f>MID(P2235,5,2)</f>
        <v/>
      </c>
      <c r="R2235" s="14">
        <f>MID(P2235,7,2)</f>
        <v/>
      </c>
      <c r="S2235" s="6" t="inlineStr">
        <is>
          <t>G2G</t>
        </is>
      </c>
      <c r="T2235" s="1" t="inlineStr">
        <is>
          <t>P4 - PEIPL</t>
        </is>
      </c>
      <c r="U2235" s="2" t="inlineStr">
        <is>
          <t>Frame Damaged</t>
        </is>
      </c>
      <c r="V2235" s="47" t="inlineStr">
        <is>
          <t>WIP</t>
        </is>
      </c>
      <c r="W2235" s="1" t="inlineStr">
        <is>
          <t>WIP</t>
        </is>
      </c>
      <c r="X2235" s="12" t="n"/>
      <c r="Y2235" s="1">
        <f>IF(X2235="","",X2235-A2235)</f>
        <v/>
      </c>
      <c r="Z2235" s="5" t="n">
        <v>46198</v>
      </c>
      <c r="AA2235" s="3" t="n"/>
      <c r="AB2235" s="3" t="n"/>
      <c r="AE2235" s="146">
        <f>IF(AND(F2235="Closed",X2235&gt;=DATE(2026,6,1),X2235&lt;=DATE(2026,6,30)),"Closed in June","other")</f>
        <v/>
      </c>
    </row>
    <row r="2236" hidden="1">
      <c r="A2236" s="49" t="n">
        <v>46177</v>
      </c>
      <c r="B2236" s="1" t="n">
        <v>2026</v>
      </c>
      <c r="C2236" s="8" t="inlineStr">
        <is>
          <t>Ayana</t>
        </is>
      </c>
      <c r="D2236" s="11" t="inlineStr">
        <is>
          <t>Utility and C&amp;I</t>
        </is>
      </c>
      <c r="E2236" s="1" t="n"/>
      <c r="F2236" s="1" t="inlineStr">
        <is>
          <t>Closed</t>
        </is>
      </c>
      <c r="G2236" s="11" t="inlineStr">
        <is>
          <t>Vasu.N</t>
        </is>
      </c>
      <c r="H2236" s="8" t="n">
        <v>9578099893</v>
      </c>
      <c r="I2236" s="10" t="inlineStr">
        <is>
          <t>PE04062601</t>
        </is>
      </c>
      <c r="J2236" s="28" t="inlineStr">
        <is>
          <t>Module burnt</t>
        </is>
      </c>
      <c r="K2236" s="8" t="inlineStr">
        <is>
          <t>Zura</t>
        </is>
      </c>
      <c r="L2236" s="39" t="inlineStr">
        <is>
          <t>Gujarat</t>
        </is>
      </c>
      <c r="M2236" s="2" t="inlineStr">
        <is>
          <t xml:space="preserve">damage </t>
        </is>
      </c>
      <c r="N2236" s="6" t="inlineStr">
        <is>
          <t>Module Breakage</t>
        </is>
      </c>
      <c r="O2236" s="32" t="n">
        <v>590</v>
      </c>
      <c r="P2236" s="2" t="inlineStr">
        <is>
          <t>NSMI24100684185</t>
        </is>
      </c>
      <c r="Q2236" s="29">
        <f>MID(P2236,5,2)</f>
        <v/>
      </c>
      <c r="R2236" s="14">
        <f>MID(P2236,7,2)</f>
        <v/>
      </c>
      <c r="S2236" s="6" t="inlineStr">
        <is>
          <t>G2G</t>
        </is>
      </c>
      <c r="T2236" s="1" t="inlineStr">
        <is>
          <t>P4 - PEIPL</t>
        </is>
      </c>
      <c r="U2236" s="2" t="inlineStr">
        <is>
          <t xml:space="preserve">physically damaged </t>
        </is>
      </c>
      <c r="V2236" s="1" t="inlineStr">
        <is>
          <t>Inspection</t>
        </is>
      </c>
      <c r="W2236" s="1" t="inlineStr">
        <is>
          <t>Rejected</t>
        </is>
      </c>
      <c r="X2236" s="5">
        <f>Z2236</f>
        <v/>
      </c>
      <c r="Y2236" s="1">
        <f>X2236-A2236</f>
        <v/>
      </c>
      <c r="Z2236" s="5" t="n">
        <v>46198</v>
      </c>
      <c r="AA2236" s="3" t="n"/>
      <c r="AB2236" s="3" t="n"/>
      <c r="AE2236" s="146">
        <f>IF(AND(F2236="Closed",X2236&gt;=DATE(2026,6,1),X2236&lt;=DATE(2026,6,30)),"Closed in June","other")</f>
        <v/>
      </c>
    </row>
    <row r="2237" hidden="1">
      <c r="A2237" s="49" t="n">
        <v>46177</v>
      </c>
      <c r="B2237" s="1" t="n">
        <v>2026</v>
      </c>
      <c r="C2237" s="8" t="inlineStr">
        <is>
          <t>Ayana</t>
        </is>
      </c>
      <c r="D2237" s="11" t="inlineStr">
        <is>
          <t>Utility and C&amp;I</t>
        </is>
      </c>
      <c r="E2237" s="1" t="n"/>
      <c r="F2237" s="1" t="inlineStr">
        <is>
          <t>Closed</t>
        </is>
      </c>
      <c r="G2237" s="11" t="inlineStr">
        <is>
          <t>Vasu.N</t>
        </is>
      </c>
      <c r="H2237" s="8" t="n">
        <v>9578099893</v>
      </c>
      <c r="I2237" s="10" t="inlineStr">
        <is>
          <t>PE04062601</t>
        </is>
      </c>
      <c r="J2237" s="28" t="inlineStr">
        <is>
          <t>Module burnt</t>
        </is>
      </c>
      <c r="K2237" s="8" t="inlineStr">
        <is>
          <t>Zura</t>
        </is>
      </c>
      <c r="L2237" s="39" t="inlineStr">
        <is>
          <t>Gujarat</t>
        </is>
      </c>
      <c r="M2237" s="2" t="inlineStr">
        <is>
          <t xml:space="preserve">damage </t>
        </is>
      </c>
      <c r="N2237" s="6" t="inlineStr">
        <is>
          <t>Module Breakage</t>
        </is>
      </c>
      <c r="O2237" s="32" t="n">
        <v>590</v>
      </c>
      <c r="P2237" s="2" t="inlineStr">
        <is>
          <t>NSMI24110813971</t>
        </is>
      </c>
      <c r="Q2237" s="29">
        <f>MID(P2237,5,2)</f>
        <v/>
      </c>
      <c r="R2237" s="14">
        <f>MID(P2237,7,2)</f>
        <v/>
      </c>
      <c r="S2237" s="6" t="inlineStr">
        <is>
          <t>G2G</t>
        </is>
      </c>
      <c r="T2237" s="1" t="inlineStr">
        <is>
          <t>P4 - PEIPL</t>
        </is>
      </c>
      <c r="U2237" s="2" t="inlineStr">
        <is>
          <t xml:space="preserve">physically damaged </t>
        </is>
      </c>
      <c r="V2237" s="1" t="inlineStr">
        <is>
          <t>Inspection</t>
        </is>
      </c>
      <c r="W2237" s="1" t="inlineStr">
        <is>
          <t>Rejected</t>
        </is>
      </c>
      <c r="X2237" s="5">
        <f>Z2237</f>
        <v/>
      </c>
      <c r="Y2237" s="1">
        <f>X2237-A2237</f>
        <v/>
      </c>
      <c r="Z2237" s="5" t="n">
        <v>46198</v>
      </c>
      <c r="AA2237" s="3" t="n"/>
      <c r="AB2237" s="3" t="n"/>
      <c r="AE2237" s="146">
        <f>IF(AND(F2237="Closed",X2237&gt;=DATE(2026,6,1),X2237&lt;=DATE(2026,6,30)),"Closed in June","other")</f>
        <v/>
      </c>
    </row>
    <row r="2238" hidden="1">
      <c r="A2238" s="49" t="n">
        <v>46177</v>
      </c>
      <c r="B2238" s="1" t="n">
        <v>2026</v>
      </c>
      <c r="C2238" s="8" t="inlineStr">
        <is>
          <t>Ayana</t>
        </is>
      </c>
      <c r="D2238" s="11" t="inlineStr">
        <is>
          <t>Utility and C&amp;I</t>
        </is>
      </c>
      <c r="E2238" s="1" t="n"/>
      <c r="F2238" s="1" t="inlineStr">
        <is>
          <t>Closed</t>
        </is>
      </c>
      <c r="G2238" s="11" t="inlineStr">
        <is>
          <t>Vasu.N</t>
        </is>
      </c>
      <c r="H2238" s="8" t="n">
        <v>9578099893</v>
      </c>
      <c r="I2238" s="10" t="inlineStr">
        <is>
          <t>PE04062601</t>
        </is>
      </c>
      <c r="J2238" s="28" t="inlineStr">
        <is>
          <t>Module burnt</t>
        </is>
      </c>
      <c r="K2238" s="8" t="inlineStr">
        <is>
          <t>Zura</t>
        </is>
      </c>
      <c r="L2238" s="39" t="inlineStr">
        <is>
          <t>Gujarat</t>
        </is>
      </c>
      <c r="M2238" s="2" t="inlineStr">
        <is>
          <t xml:space="preserve">damage </t>
        </is>
      </c>
      <c r="N2238" s="6" t="inlineStr">
        <is>
          <t>Module Breakage</t>
        </is>
      </c>
      <c r="O2238" s="32" t="n">
        <v>590</v>
      </c>
      <c r="P2238" s="2" t="inlineStr">
        <is>
          <t>NSMI24110845406</t>
        </is>
      </c>
      <c r="Q2238" s="29">
        <f>MID(P2238,5,2)</f>
        <v/>
      </c>
      <c r="R2238" s="14">
        <f>MID(P2238,7,2)</f>
        <v/>
      </c>
      <c r="S2238" s="6" t="inlineStr">
        <is>
          <t>G2G</t>
        </is>
      </c>
      <c r="T2238" s="1" t="inlineStr">
        <is>
          <t>P4 - PEIPL</t>
        </is>
      </c>
      <c r="U2238" s="2" t="inlineStr">
        <is>
          <t xml:space="preserve">physically damaged </t>
        </is>
      </c>
      <c r="V2238" s="1" t="inlineStr">
        <is>
          <t>Inspection</t>
        </is>
      </c>
      <c r="W2238" s="1" t="inlineStr">
        <is>
          <t>Rejected</t>
        </is>
      </c>
      <c r="X2238" s="5">
        <f>Z2238</f>
        <v/>
      </c>
      <c r="Y2238" s="1">
        <f>X2238-A2238</f>
        <v/>
      </c>
      <c r="Z2238" s="5" t="n">
        <v>46198</v>
      </c>
      <c r="AA2238" s="3" t="n"/>
      <c r="AB2238" s="3" t="n"/>
      <c r="AE2238" s="146">
        <f>IF(AND(F2238="Closed",X2238&gt;=DATE(2026,6,1),X2238&lt;=DATE(2026,6,30)),"Closed in June","other")</f>
        <v/>
      </c>
    </row>
    <row r="2239" hidden="1">
      <c r="A2239" s="49" t="n">
        <v>46177</v>
      </c>
      <c r="B2239" s="1" t="n">
        <v>2026</v>
      </c>
      <c r="C2239" s="8" t="inlineStr">
        <is>
          <t>Ayana</t>
        </is>
      </c>
      <c r="D2239" s="11" t="inlineStr">
        <is>
          <t>Utility and C&amp;I</t>
        </is>
      </c>
      <c r="E2239" s="1" t="n"/>
      <c r="F2239" s="1" t="inlineStr">
        <is>
          <t>Closed</t>
        </is>
      </c>
      <c r="G2239" s="11" t="inlineStr">
        <is>
          <t>Vasu.N</t>
        </is>
      </c>
      <c r="H2239" s="8" t="n">
        <v>9578099893</v>
      </c>
      <c r="I2239" s="10" t="inlineStr">
        <is>
          <t>PE04062601</t>
        </is>
      </c>
      <c r="J2239" s="28" t="inlineStr">
        <is>
          <t>Module burnt</t>
        </is>
      </c>
      <c r="K2239" s="8" t="inlineStr">
        <is>
          <t>Zura</t>
        </is>
      </c>
      <c r="L2239" s="39" t="inlineStr">
        <is>
          <t>Gujarat</t>
        </is>
      </c>
      <c r="M2239" s="2" t="inlineStr">
        <is>
          <t xml:space="preserve">damage </t>
        </is>
      </c>
      <c r="N2239" s="6" t="inlineStr">
        <is>
          <t>Module Breakage</t>
        </is>
      </c>
      <c r="O2239" s="32" t="n">
        <v>590</v>
      </c>
      <c r="P2239" s="2" t="inlineStr">
        <is>
          <t>NSMI24100590939</t>
        </is>
      </c>
      <c r="Q2239" s="29">
        <f>MID(P2239,5,2)</f>
        <v/>
      </c>
      <c r="R2239" s="14">
        <f>MID(P2239,7,2)</f>
        <v/>
      </c>
      <c r="S2239" s="6" t="inlineStr">
        <is>
          <t>G2G</t>
        </is>
      </c>
      <c r="T2239" s="1" t="inlineStr">
        <is>
          <t>P4 - PEIPL</t>
        </is>
      </c>
      <c r="U2239" s="2" t="inlineStr">
        <is>
          <t xml:space="preserve">physically damaged </t>
        </is>
      </c>
      <c r="V2239" s="1" t="inlineStr">
        <is>
          <t>Inspection</t>
        </is>
      </c>
      <c r="W2239" s="1" t="inlineStr">
        <is>
          <t>Rejected</t>
        </is>
      </c>
      <c r="X2239" s="5">
        <f>Z2239</f>
        <v/>
      </c>
      <c r="Y2239" s="1">
        <f>X2239-A2239</f>
        <v/>
      </c>
      <c r="Z2239" s="5" t="n">
        <v>46198</v>
      </c>
      <c r="AA2239" s="3" t="n"/>
      <c r="AB2239" s="3" t="n"/>
      <c r="AE2239" s="146">
        <f>IF(AND(F2239="Closed",X2239&gt;=DATE(2026,6,1),X2239&lt;=DATE(2026,6,30)),"Closed in June","other")</f>
        <v/>
      </c>
    </row>
    <row r="2240" hidden="1">
      <c r="A2240" s="49" t="n">
        <v>46177</v>
      </c>
      <c r="B2240" s="1" t="n">
        <v>2026</v>
      </c>
      <c r="C2240" s="8" t="inlineStr">
        <is>
          <t>Ayana</t>
        </is>
      </c>
      <c r="D2240" s="11" t="inlineStr">
        <is>
          <t>Utility and C&amp;I</t>
        </is>
      </c>
      <c r="E2240" s="1" t="n"/>
      <c r="F2240" s="1" t="inlineStr">
        <is>
          <t>Closed</t>
        </is>
      </c>
      <c r="G2240" s="11" t="inlineStr">
        <is>
          <t>Vasu.N</t>
        </is>
      </c>
      <c r="H2240" s="8" t="n">
        <v>9578099893</v>
      </c>
      <c r="I2240" s="10" t="inlineStr">
        <is>
          <t>PE04062601</t>
        </is>
      </c>
      <c r="J2240" s="28" t="inlineStr">
        <is>
          <t>Module burnt</t>
        </is>
      </c>
      <c r="K2240" s="8" t="inlineStr">
        <is>
          <t>Zura</t>
        </is>
      </c>
      <c r="L2240" s="39" t="inlineStr">
        <is>
          <t>Gujarat</t>
        </is>
      </c>
      <c r="M2240" s="2" t="inlineStr">
        <is>
          <t xml:space="preserve">damage </t>
        </is>
      </c>
      <c r="N2240" s="6" t="inlineStr">
        <is>
          <t>Module Breakage</t>
        </is>
      </c>
      <c r="O2240" s="32" t="n">
        <v>590</v>
      </c>
      <c r="P2240" s="2" t="inlineStr">
        <is>
          <t>NSMI24110845771</t>
        </is>
      </c>
      <c r="Q2240" s="29">
        <f>MID(P2240,5,2)</f>
        <v/>
      </c>
      <c r="R2240" s="14">
        <f>MID(P2240,7,2)</f>
        <v/>
      </c>
      <c r="S2240" s="6" t="inlineStr">
        <is>
          <t>G2G</t>
        </is>
      </c>
      <c r="T2240" s="1" t="inlineStr">
        <is>
          <t>P4 - PEIPL</t>
        </is>
      </c>
      <c r="U2240" s="2" t="inlineStr">
        <is>
          <t xml:space="preserve">physically damaged </t>
        </is>
      </c>
      <c r="V2240" s="1" t="inlineStr">
        <is>
          <t>Inspection</t>
        </is>
      </c>
      <c r="W2240" s="1" t="inlineStr">
        <is>
          <t>Rejected</t>
        </is>
      </c>
      <c r="X2240" s="5">
        <f>Z2240</f>
        <v/>
      </c>
      <c r="Y2240" s="1">
        <f>X2240-A2240</f>
        <v/>
      </c>
      <c r="Z2240" s="5" t="n">
        <v>46198</v>
      </c>
      <c r="AA2240" s="3" t="n"/>
      <c r="AB2240" s="3" t="n"/>
      <c r="AE2240" s="146">
        <f>IF(AND(F2240="Closed",X2240&gt;=DATE(2026,6,1),X2240&lt;=DATE(2026,6,30)),"Closed in June","other")</f>
        <v/>
      </c>
    </row>
    <row r="2241" hidden="1">
      <c r="A2241" s="49" t="n">
        <v>46177</v>
      </c>
      <c r="B2241" s="1" t="n">
        <v>2026</v>
      </c>
      <c r="C2241" s="8" t="inlineStr">
        <is>
          <t>Ayana</t>
        </is>
      </c>
      <c r="D2241" s="11" t="inlineStr">
        <is>
          <t>Utility and C&amp;I</t>
        </is>
      </c>
      <c r="E2241" s="1" t="n"/>
      <c r="F2241" s="1" t="inlineStr">
        <is>
          <t>Closed</t>
        </is>
      </c>
      <c r="G2241" s="11" t="inlineStr">
        <is>
          <t>Vasu.N</t>
        </is>
      </c>
      <c r="H2241" s="8" t="n">
        <v>9578099893</v>
      </c>
      <c r="I2241" s="10" t="inlineStr">
        <is>
          <t>PE04062601</t>
        </is>
      </c>
      <c r="J2241" s="28" t="inlineStr">
        <is>
          <t>Module burnt</t>
        </is>
      </c>
      <c r="K2241" s="8" t="inlineStr">
        <is>
          <t>Zura</t>
        </is>
      </c>
      <c r="L2241" s="39" t="inlineStr">
        <is>
          <t>Gujarat</t>
        </is>
      </c>
      <c r="M2241" s="2" t="inlineStr">
        <is>
          <t xml:space="preserve">damage </t>
        </is>
      </c>
      <c r="N2241" s="6" t="inlineStr">
        <is>
          <t>Module Breakage</t>
        </is>
      </c>
      <c r="O2241" s="32" t="n">
        <v>590</v>
      </c>
      <c r="P2241" s="2" t="inlineStr">
        <is>
          <t>NSMI24110835634</t>
        </is>
      </c>
      <c r="Q2241" s="29">
        <f>MID(P2241,5,2)</f>
        <v/>
      </c>
      <c r="R2241" s="14">
        <f>MID(P2241,7,2)</f>
        <v/>
      </c>
      <c r="S2241" s="6" t="inlineStr">
        <is>
          <t>G2G</t>
        </is>
      </c>
      <c r="T2241" s="1" t="inlineStr">
        <is>
          <t>P4 - PEIPL</t>
        </is>
      </c>
      <c r="U2241" s="2" t="inlineStr">
        <is>
          <t xml:space="preserve">physically damaged </t>
        </is>
      </c>
      <c r="V2241" s="1" t="inlineStr">
        <is>
          <t>Inspection</t>
        </is>
      </c>
      <c r="W2241" s="1" t="inlineStr">
        <is>
          <t>Rejected</t>
        </is>
      </c>
      <c r="X2241" s="5">
        <f>Z2241</f>
        <v/>
      </c>
      <c r="Y2241" s="1">
        <f>X2241-A2241</f>
        <v/>
      </c>
      <c r="Z2241" s="5" t="n">
        <v>46198</v>
      </c>
      <c r="AA2241" s="3" t="n"/>
      <c r="AB2241" s="3" t="n"/>
      <c r="AE2241" s="146">
        <f>IF(AND(F2241="Closed",X2241&gt;=DATE(2026,6,1),X2241&lt;=DATE(2026,6,30)),"Closed in June","other")</f>
        <v/>
      </c>
    </row>
    <row r="2242" hidden="1">
      <c r="A2242" s="49" t="n">
        <v>46177</v>
      </c>
      <c r="B2242" s="1" t="n">
        <v>2026</v>
      </c>
      <c r="C2242" s="8" t="inlineStr">
        <is>
          <t>Ayana</t>
        </is>
      </c>
      <c r="D2242" s="11" t="inlineStr">
        <is>
          <t>Utility and C&amp;I</t>
        </is>
      </c>
      <c r="E2242" s="1" t="n"/>
      <c r="F2242" s="1" t="inlineStr">
        <is>
          <t>Closed</t>
        </is>
      </c>
      <c r="G2242" s="11" t="inlineStr">
        <is>
          <t>Vasu.N</t>
        </is>
      </c>
      <c r="H2242" s="8" t="n">
        <v>9578099893</v>
      </c>
      <c r="I2242" s="10" t="inlineStr">
        <is>
          <t>PE04062601</t>
        </is>
      </c>
      <c r="J2242" s="28" t="inlineStr">
        <is>
          <t>Module burnt</t>
        </is>
      </c>
      <c r="K2242" s="8" t="inlineStr">
        <is>
          <t>Zura</t>
        </is>
      </c>
      <c r="L2242" s="39" t="inlineStr">
        <is>
          <t>Gujarat</t>
        </is>
      </c>
      <c r="M2242" s="2" t="inlineStr">
        <is>
          <t xml:space="preserve">damage </t>
        </is>
      </c>
      <c r="N2242" s="6" t="inlineStr">
        <is>
          <t>Module Breakage</t>
        </is>
      </c>
      <c r="O2242" s="32" t="n">
        <v>590</v>
      </c>
      <c r="P2242" s="2" t="inlineStr">
        <is>
          <t>NSMI24100629758</t>
        </is>
      </c>
      <c r="Q2242" s="29">
        <f>MID(P2242,5,2)</f>
        <v/>
      </c>
      <c r="R2242" s="14">
        <f>MID(P2242,7,2)</f>
        <v/>
      </c>
      <c r="S2242" s="6" t="inlineStr">
        <is>
          <t>G2G</t>
        </is>
      </c>
      <c r="T2242" s="1" t="inlineStr">
        <is>
          <t>P4 - PEIPL</t>
        </is>
      </c>
      <c r="U2242" s="2" t="inlineStr">
        <is>
          <t xml:space="preserve">physically damaged </t>
        </is>
      </c>
      <c r="V2242" s="1" t="inlineStr">
        <is>
          <t>Inspection</t>
        </is>
      </c>
      <c r="W2242" s="1" t="inlineStr">
        <is>
          <t>Rejected</t>
        </is>
      </c>
      <c r="X2242" s="5">
        <f>Z2242</f>
        <v/>
      </c>
      <c r="Y2242" s="1">
        <f>X2242-A2242</f>
        <v/>
      </c>
      <c r="Z2242" s="5" t="n">
        <v>46198</v>
      </c>
      <c r="AA2242" s="3" t="n"/>
      <c r="AB2242" s="3" t="n"/>
      <c r="AE2242" s="146">
        <f>IF(AND(F2242="Closed",X2242&gt;=DATE(2026,6,1),X2242&lt;=DATE(2026,6,30)),"Closed in June","other")</f>
        <v/>
      </c>
    </row>
    <row r="2243" hidden="1">
      <c r="A2243" s="49" t="n">
        <v>46177</v>
      </c>
      <c r="B2243" s="1" t="n">
        <v>2026</v>
      </c>
      <c r="C2243" s="8" t="inlineStr">
        <is>
          <t>Ayana</t>
        </is>
      </c>
      <c r="D2243" s="11" t="inlineStr">
        <is>
          <t>Utility and C&amp;I</t>
        </is>
      </c>
      <c r="E2243" s="1" t="n"/>
      <c r="F2243" s="1" t="inlineStr">
        <is>
          <t>Closed</t>
        </is>
      </c>
      <c r="G2243" s="11" t="inlineStr">
        <is>
          <t>Vasu.N</t>
        </is>
      </c>
      <c r="H2243" s="8" t="n">
        <v>9578099893</v>
      </c>
      <c r="I2243" s="10" t="inlineStr">
        <is>
          <t>PE04062601</t>
        </is>
      </c>
      <c r="J2243" s="28" t="inlineStr">
        <is>
          <t>Module burnt</t>
        </is>
      </c>
      <c r="K2243" s="8" t="inlineStr">
        <is>
          <t>Zura</t>
        </is>
      </c>
      <c r="L2243" s="39" t="inlineStr">
        <is>
          <t>Gujarat</t>
        </is>
      </c>
      <c r="M2243" s="2" t="inlineStr">
        <is>
          <t xml:space="preserve">damage </t>
        </is>
      </c>
      <c r="N2243" s="6" t="inlineStr">
        <is>
          <t>Module Breakage</t>
        </is>
      </c>
      <c r="O2243" s="32" t="n">
        <v>590</v>
      </c>
      <c r="P2243" s="2" t="inlineStr">
        <is>
          <t>NSMI24100633362</t>
        </is>
      </c>
      <c r="Q2243" s="29">
        <f>MID(P2243,5,2)</f>
        <v/>
      </c>
      <c r="R2243" s="14">
        <f>MID(P2243,7,2)</f>
        <v/>
      </c>
      <c r="S2243" s="6" t="inlineStr">
        <is>
          <t>G2G</t>
        </is>
      </c>
      <c r="T2243" s="1" t="inlineStr">
        <is>
          <t>P4 - PEIPL</t>
        </is>
      </c>
      <c r="U2243" s="2" t="inlineStr">
        <is>
          <t xml:space="preserve">physically damaged </t>
        </is>
      </c>
      <c r="V2243" s="1" t="inlineStr">
        <is>
          <t>Inspection</t>
        </is>
      </c>
      <c r="W2243" s="1" t="inlineStr">
        <is>
          <t>Rejected</t>
        </is>
      </c>
      <c r="X2243" s="5">
        <f>Z2243</f>
        <v/>
      </c>
      <c r="Y2243" s="1">
        <f>X2243-A2243</f>
        <v/>
      </c>
      <c r="Z2243" s="5" t="n">
        <v>46198</v>
      </c>
      <c r="AA2243" s="3" t="n"/>
      <c r="AB2243" s="3" t="n"/>
      <c r="AE2243" s="146">
        <f>IF(AND(F2243="Closed",X2243&gt;=DATE(2026,6,1),X2243&lt;=DATE(2026,6,30)),"Closed in June","other")</f>
        <v/>
      </c>
    </row>
    <row r="2244" hidden="1">
      <c r="A2244" s="49" t="n">
        <v>46177</v>
      </c>
      <c r="B2244" s="1" t="n">
        <v>2026</v>
      </c>
      <c r="C2244" s="8" t="inlineStr">
        <is>
          <t>Ayana</t>
        </is>
      </c>
      <c r="D2244" s="11" t="inlineStr">
        <is>
          <t>Utility and C&amp;I</t>
        </is>
      </c>
      <c r="E2244" s="1" t="n"/>
      <c r="F2244" s="1" t="inlineStr">
        <is>
          <t>Closed</t>
        </is>
      </c>
      <c r="G2244" s="11" t="inlineStr">
        <is>
          <t>Vasu.N</t>
        </is>
      </c>
      <c r="H2244" s="8" t="n">
        <v>9578099893</v>
      </c>
      <c r="I2244" s="10" t="inlineStr">
        <is>
          <t>PE04062601</t>
        </is>
      </c>
      <c r="J2244" s="28" t="inlineStr">
        <is>
          <t>Module burnt</t>
        </is>
      </c>
      <c r="K2244" s="8" t="inlineStr">
        <is>
          <t>Zura</t>
        </is>
      </c>
      <c r="L2244" s="39" t="inlineStr">
        <is>
          <t>Gujarat</t>
        </is>
      </c>
      <c r="M2244" s="2" t="inlineStr">
        <is>
          <t xml:space="preserve">damage </t>
        </is>
      </c>
      <c r="N2244" s="6" t="inlineStr">
        <is>
          <t>Module Breakage</t>
        </is>
      </c>
      <c r="O2244" s="32" t="n">
        <v>590</v>
      </c>
      <c r="P2244" s="2" t="inlineStr">
        <is>
          <t>NSMI24110828101</t>
        </is>
      </c>
      <c r="Q2244" s="29">
        <f>MID(P2244,5,2)</f>
        <v/>
      </c>
      <c r="R2244" s="14">
        <f>MID(P2244,7,2)</f>
        <v/>
      </c>
      <c r="S2244" s="6" t="inlineStr">
        <is>
          <t>G2G</t>
        </is>
      </c>
      <c r="T2244" s="1" t="inlineStr">
        <is>
          <t>P4 - PEIPL</t>
        </is>
      </c>
      <c r="U2244" s="2" t="inlineStr">
        <is>
          <t xml:space="preserve">physically damaged </t>
        </is>
      </c>
      <c r="V2244" s="1" t="inlineStr">
        <is>
          <t>Inspection</t>
        </is>
      </c>
      <c r="W2244" s="1" t="inlineStr">
        <is>
          <t>Rejected</t>
        </is>
      </c>
      <c r="X2244" s="5">
        <f>Z2244</f>
        <v/>
      </c>
      <c r="Y2244" s="1">
        <f>X2244-A2244</f>
        <v/>
      </c>
      <c r="Z2244" s="5" t="n">
        <v>46198</v>
      </c>
      <c r="AA2244" s="3" t="n"/>
      <c r="AB2244" s="3" t="n"/>
      <c r="AE2244" s="146">
        <f>IF(AND(F2244="Closed",X2244&gt;=DATE(2026,6,1),X2244&lt;=DATE(2026,6,30)),"Closed in June","other")</f>
        <v/>
      </c>
    </row>
    <row r="2245" hidden="1">
      <c r="A2245" s="49" t="n">
        <v>46177</v>
      </c>
      <c r="B2245" s="1" t="n">
        <v>2026</v>
      </c>
      <c r="C2245" s="8" t="inlineStr">
        <is>
          <t>Ayana</t>
        </is>
      </c>
      <c r="D2245" s="11" t="inlineStr">
        <is>
          <t>Utility and C&amp;I</t>
        </is>
      </c>
      <c r="E2245" s="1" t="n"/>
      <c r="F2245" s="1" t="inlineStr">
        <is>
          <t>Closed</t>
        </is>
      </c>
      <c r="G2245" s="11" t="inlineStr">
        <is>
          <t>Vasu.N</t>
        </is>
      </c>
      <c r="H2245" s="8" t="n">
        <v>9578099893</v>
      </c>
      <c r="I2245" s="10" t="inlineStr">
        <is>
          <t>PE04062601</t>
        </is>
      </c>
      <c r="J2245" s="28" t="inlineStr">
        <is>
          <t>Module burnt</t>
        </is>
      </c>
      <c r="K2245" s="8" t="inlineStr">
        <is>
          <t>Zura</t>
        </is>
      </c>
      <c r="L2245" s="39" t="inlineStr">
        <is>
          <t>Gujarat</t>
        </is>
      </c>
      <c r="M2245" s="2" t="inlineStr">
        <is>
          <t xml:space="preserve">damage </t>
        </is>
      </c>
      <c r="N2245" s="6" t="inlineStr">
        <is>
          <t>Module Breakage</t>
        </is>
      </c>
      <c r="O2245" s="32" t="n">
        <v>590</v>
      </c>
      <c r="P2245" s="2" t="inlineStr">
        <is>
          <t>NSMI24110847882</t>
        </is>
      </c>
      <c r="Q2245" s="29">
        <f>MID(P2245,5,2)</f>
        <v/>
      </c>
      <c r="R2245" s="14">
        <f>MID(P2245,7,2)</f>
        <v/>
      </c>
      <c r="S2245" s="6" t="inlineStr">
        <is>
          <t>G2G</t>
        </is>
      </c>
      <c r="T2245" s="1" t="inlineStr">
        <is>
          <t>P4 - PEIPL</t>
        </is>
      </c>
      <c r="U2245" s="2" t="inlineStr">
        <is>
          <t xml:space="preserve">physically damaged </t>
        </is>
      </c>
      <c r="V2245" s="1" t="inlineStr">
        <is>
          <t>Inspection</t>
        </is>
      </c>
      <c r="W2245" s="1" t="inlineStr">
        <is>
          <t>Rejected</t>
        </is>
      </c>
      <c r="X2245" s="5">
        <f>Z2245</f>
        <v/>
      </c>
      <c r="Y2245" s="1">
        <f>X2245-A2245</f>
        <v/>
      </c>
      <c r="Z2245" s="5" t="n">
        <v>46198</v>
      </c>
      <c r="AA2245" s="3" t="n"/>
      <c r="AB2245" s="3" t="n"/>
      <c r="AE2245" s="146">
        <f>IF(AND(F2245="Closed",X2245&gt;=DATE(2026,6,1),X2245&lt;=DATE(2026,6,30)),"Closed in June","other")</f>
        <v/>
      </c>
    </row>
    <row r="2246" hidden="1">
      <c r="A2246" s="49" t="n">
        <v>46177</v>
      </c>
      <c r="B2246" s="1" t="n">
        <v>2026</v>
      </c>
      <c r="C2246" s="8" t="inlineStr">
        <is>
          <t>Ayana</t>
        </is>
      </c>
      <c r="D2246" s="11" t="inlineStr">
        <is>
          <t>Utility and C&amp;I</t>
        </is>
      </c>
      <c r="E2246" s="1" t="n"/>
      <c r="F2246" s="1" t="inlineStr">
        <is>
          <t>Closed</t>
        </is>
      </c>
      <c r="G2246" s="11" t="inlineStr">
        <is>
          <t>Vasu.N</t>
        </is>
      </c>
      <c r="H2246" s="8" t="n">
        <v>9578099893</v>
      </c>
      <c r="I2246" s="10" t="inlineStr">
        <is>
          <t>PE04062601</t>
        </is>
      </c>
      <c r="J2246" s="28" t="inlineStr">
        <is>
          <t>Module burnt</t>
        </is>
      </c>
      <c r="K2246" s="8" t="inlineStr">
        <is>
          <t>Zura</t>
        </is>
      </c>
      <c r="L2246" s="39" t="inlineStr">
        <is>
          <t>Gujarat</t>
        </is>
      </c>
      <c r="M2246" s="2" t="inlineStr">
        <is>
          <t xml:space="preserve">damage </t>
        </is>
      </c>
      <c r="N2246" s="6" t="inlineStr">
        <is>
          <t>Module Breakage</t>
        </is>
      </c>
      <c r="O2246" s="32" t="n">
        <v>590</v>
      </c>
      <c r="P2246" s="2" t="inlineStr">
        <is>
          <t>NSMI24110810590</t>
        </is>
      </c>
      <c r="Q2246" s="29">
        <f>MID(P2246,5,2)</f>
        <v/>
      </c>
      <c r="R2246" s="14">
        <f>MID(P2246,7,2)</f>
        <v/>
      </c>
      <c r="S2246" s="6" t="inlineStr">
        <is>
          <t>G2G</t>
        </is>
      </c>
      <c r="T2246" s="1" t="inlineStr">
        <is>
          <t>P4 - PEIPL</t>
        </is>
      </c>
      <c r="U2246" s="2" t="inlineStr">
        <is>
          <t xml:space="preserve">physically damaged </t>
        </is>
      </c>
      <c r="V2246" s="1" t="inlineStr">
        <is>
          <t>Inspection</t>
        </is>
      </c>
      <c r="W2246" s="1" t="inlineStr">
        <is>
          <t>Rejected</t>
        </is>
      </c>
      <c r="X2246" s="5">
        <f>Z2246</f>
        <v/>
      </c>
      <c r="Y2246" s="1">
        <f>X2246-A2246</f>
        <v/>
      </c>
      <c r="Z2246" s="5" t="n">
        <v>46198</v>
      </c>
      <c r="AA2246" s="3" t="n"/>
      <c r="AB2246" s="3" t="n"/>
      <c r="AE2246" s="146">
        <f>IF(AND(F2246="Closed",X2246&gt;=DATE(2026,6,1),X2246&lt;=DATE(2026,6,30)),"Closed in June","other")</f>
        <v/>
      </c>
    </row>
    <row r="2247" hidden="1">
      <c r="A2247" s="49" t="n">
        <v>46177</v>
      </c>
      <c r="B2247" s="1" t="n">
        <v>2026</v>
      </c>
      <c r="C2247" s="8" t="inlineStr">
        <is>
          <t>Ayana</t>
        </is>
      </c>
      <c r="D2247" s="11" t="inlineStr">
        <is>
          <t>Utility and C&amp;I</t>
        </is>
      </c>
      <c r="E2247" s="1" t="n"/>
      <c r="F2247" s="1" t="inlineStr">
        <is>
          <t>Closed</t>
        </is>
      </c>
      <c r="G2247" s="11" t="inlineStr">
        <is>
          <t>Vasu.N</t>
        </is>
      </c>
      <c r="H2247" s="8" t="n">
        <v>9578099893</v>
      </c>
      <c r="I2247" s="10" t="inlineStr">
        <is>
          <t>PE04062601</t>
        </is>
      </c>
      <c r="J2247" s="28" t="inlineStr">
        <is>
          <t>Module burnt</t>
        </is>
      </c>
      <c r="K2247" s="8" t="inlineStr">
        <is>
          <t>Zura</t>
        </is>
      </c>
      <c r="L2247" s="39" t="inlineStr">
        <is>
          <t>Gujarat</t>
        </is>
      </c>
      <c r="M2247" s="2" t="inlineStr">
        <is>
          <t xml:space="preserve">damage </t>
        </is>
      </c>
      <c r="N2247" s="6" t="inlineStr">
        <is>
          <t>Module Breakage</t>
        </is>
      </c>
      <c r="O2247" s="32" t="n">
        <v>590</v>
      </c>
      <c r="P2247" s="2" t="inlineStr">
        <is>
          <t>NSMI24110810265</t>
        </is>
      </c>
      <c r="Q2247" s="29">
        <f>MID(P2247,5,2)</f>
        <v/>
      </c>
      <c r="R2247" s="14">
        <f>MID(P2247,7,2)</f>
        <v/>
      </c>
      <c r="S2247" s="6" t="inlineStr">
        <is>
          <t>G2G</t>
        </is>
      </c>
      <c r="T2247" s="1" t="inlineStr">
        <is>
          <t>P4 - PEIPL</t>
        </is>
      </c>
      <c r="U2247" s="2" t="inlineStr">
        <is>
          <t xml:space="preserve">physically damaged </t>
        </is>
      </c>
      <c r="V2247" s="1" t="inlineStr">
        <is>
          <t>Inspection</t>
        </is>
      </c>
      <c r="W2247" s="1" t="inlineStr">
        <is>
          <t>Rejected</t>
        </is>
      </c>
      <c r="X2247" s="5">
        <f>Z2247</f>
        <v/>
      </c>
      <c r="Y2247" s="1">
        <f>X2247-A2247</f>
        <v/>
      </c>
      <c r="Z2247" s="5" t="n">
        <v>46198</v>
      </c>
      <c r="AA2247" s="3" t="n"/>
      <c r="AB2247" s="3" t="n"/>
      <c r="AE2247" s="146">
        <f>IF(AND(F2247="Closed",X2247&gt;=DATE(2026,6,1),X2247&lt;=DATE(2026,6,30)),"Closed in June","other")</f>
        <v/>
      </c>
    </row>
    <row r="2248" hidden="1">
      <c r="A2248" s="49" t="n">
        <v>46177</v>
      </c>
      <c r="B2248" s="1" t="n">
        <v>2026</v>
      </c>
      <c r="C2248" s="8" t="inlineStr">
        <is>
          <t>Ayana</t>
        </is>
      </c>
      <c r="D2248" s="11" t="inlineStr">
        <is>
          <t>Utility and C&amp;I</t>
        </is>
      </c>
      <c r="E2248" s="1" t="n"/>
      <c r="F2248" s="1" t="inlineStr">
        <is>
          <t>Closed</t>
        </is>
      </c>
      <c r="G2248" s="11" t="inlineStr">
        <is>
          <t>Vasu.N</t>
        </is>
      </c>
      <c r="H2248" s="8" t="n">
        <v>9578099893</v>
      </c>
      <c r="I2248" s="10" t="inlineStr">
        <is>
          <t>PE04062601</t>
        </is>
      </c>
      <c r="J2248" s="28" t="inlineStr">
        <is>
          <t>Module burnt</t>
        </is>
      </c>
      <c r="K2248" s="8" t="inlineStr">
        <is>
          <t>Zura</t>
        </is>
      </c>
      <c r="L2248" s="39" t="inlineStr">
        <is>
          <t>Gujarat</t>
        </is>
      </c>
      <c r="M2248" s="2" t="inlineStr">
        <is>
          <t xml:space="preserve">damage </t>
        </is>
      </c>
      <c r="N2248" s="6" t="inlineStr">
        <is>
          <t>Module Breakage</t>
        </is>
      </c>
      <c r="O2248" s="32" t="n">
        <v>590</v>
      </c>
      <c r="P2248" s="2" t="inlineStr">
        <is>
          <t>NSMI24110810676</t>
        </is>
      </c>
      <c r="Q2248" s="29">
        <f>MID(P2248,5,2)</f>
        <v/>
      </c>
      <c r="R2248" s="14">
        <f>MID(P2248,7,2)</f>
        <v/>
      </c>
      <c r="S2248" s="6" t="inlineStr">
        <is>
          <t>G2G</t>
        </is>
      </c>
      <c r="T2248" s="1" t="inlineStr">
        <is>
          <t>P4 - PEIPL</t>
        </is>
      </c>
      <c r="U2248" s="2" t="inlineStr">
        <is>
          <t xml:space="preserve">physically damaged </t>
        </is>
      </c>
      <c r="V2248" s="1" t="inlineStr">
        <is>
          <t>Inspection</t>
        </is>
      </c>
      <c r="W2248" s="1" t="inlineStr">
        <is>
          <t>Rejected</t>
        </is>
      </c>
      <c r="X2248" s="5">
        <f>Z2248</f>
        <v/>
      </c>
      <c r="Y2248" s="1">
        <f>X2248-A2248</f>
        <v/>
      </c>
      <c r="Z2248" s="5" t="n">
        <v>46198</v>
      </c>
      <c r="AA2248" s="3" t="n"/>
      <c r="AB2248" s="3" t="n"/>
      <c r="AE2248" s="146">
        <f>IF(AND(F2248="Closed",X2248&gt;=DATE(2026,6,1),X2248&lt;=DATE(2026,6,30)),"Closed in June","other")</f>
        <v/>
      </c>
    </row>
    <row r="2249" hidden="1">
      <c r="A2249" s="49" t="n">
        <v>46177</v>
      </c>
      <c r="B2249" s="1" t="n">
        <v>2026</v>
      </c>
      <c r="C2249" s="8" t="inlineStr">
        <is>
          <t>Ayana</t>
        </is>
      </c>
      <c r="D2249" s="11" t="inlineStr">
        <is>
          <t>Utility and C&amp;I</t>
        </is>
      </c>
      <c r="E2249" s="1" t="n"/>
      <c r="F2249" s="1" t="inlineStr">
        <is>
          <t>Closed</t>
        </is>
      </c>
      <c r="G2249" s="11" t="inlineStr">
        <is>
          <t>Vasu.N</t>
        </is>
      </c>
      <c r="H2249" s="8" t="n">
        <v>9578099893</v>
      </c>
      <c r="I2249" s="10" t="inlineStr">
        <is>
          <t>PE04062601</t>
        </is>
      </c>
      <c r="J2249" s="28" t="inlineStr">
        <is>
          <t>Module burnt</t>
        </is>
      </c>
      <c r="K2249" s="8" t="inlineStr">
        <is>
          <t>Zura</t>
        </is>
      </c>
      <c r="L2249" s="39" t="inlineStr">
        <is>
          <t>Gujarat</t>
        </is>
      </c>
      <c r="M2249" s="2" t="inlineStr">
        <is>
          <t xml:space="preserve">damage </t>
        </is>
      </c>
      <c r="N2249" s="6" t="inlineStr">
        <is>
          <t>Module Breakage</t>
        </is>
      </c>
      <c r="O2249" s="32" t="n">
        <v>590</v>
      </c>
      <c r="P2249" s="2" t="inlineStr">
        <is>
          <t>NSMI24110838562</t>
        </is>
      </c>
      <c r="Q2249" s="29">
        <f>MID(P2249,5,2)</f>
        <v/>
      </c>
      <c r="R2249" s="14">
        <f>MID(P2249,7,2)</f>
        <v/>
      </c>
      <c r="S2249" s="6" t="inlineStr">
        <is>
          <t>G2G</t>
        </is>
      </c>
      <c r="T2249" s="1" t="inlineStr">
        <is>
          <t>P4 - PEIPL</t>
        </is>
      </c>
      <c r="U2249" s="2" t="inlineStr">
        <is>
          <t xml:space="preserve">physically damaged </t>
        </is>
      </c>
      <c r="V2249" s="1" t="inlineStr">
        <is>
          <t>Inspection</t>
        </is>
      </c>
      <c r="W2249" s="1" t="inlineStr">
        <is>
          <t>Rejected</t>
        </is>
      </c>
      <c r="X2249" s="5">
        <f>Z2249</f>
        <v/>
      </c>
      <c r="Y2249" s="1">
        <f>X2249-A2249</f>
        <v/>
      </c>
      <c r="Z2249" s="5" t="n">
        <v>46198</v>
      </c>
      <c r="AA2249" s="3" t="n"/>
      <c r="AB2249" s="3" t="n"/>
      <c r="AE2249" s="146">
        <f>IF(AND(F2249="Closed",X2249&gt;=DATE(2026,6,1),X2249&lt;=DATE(2026,6,30)),"Closed in June","other")</f>
        <v/>
      </c>
    </row>
    <row r="2250" hidden="1">
      <c r="A2250" s="49" t="n">
        <v>46177</v>
      </c>
      <c r="B2250" s="1" t="n">
        <v>2026</v>
      </c>
      <c r="C2250" s="8" t="inlineStr">
        <is>
          <t>Ayana</t>
        </is>
      </c>
      <c r="D2250" s="11" t="inlineStr">
        <is>
          <t>Utility and C&amp;I</t>
        </is>
      </c>
      <c r="E2250" s="1" t="n"/>
      <c r="F2250" s="1" t="inlineStr">
        <is>
          <t>Closed</t>
        </is>
      </c>
      <c r="G2250" s="11" t="inlineStr">
        <is>
          <t>Vasu.N</t>
        </is>
      </c>
      <c r="H2250" s="8" t="n">
        <v>9578099893</v>
      </c>
      <c r="I2250" s="10" t="inlineStr">
        <is>
          <t>PE04062601</t>
        </is>
      </c>
      <c r="J2250" s="28" t="inlineStr">
        <is>
          <t>Module burnt</t>
        </is>
      </c>
      <c r="K2250" s="8" t="inlineStr">
        <is>
          <t>Zura</t>
        </is>
      </c>
      <c r="L2250" s="39" t="inlineStr">
        <is>
          <t>Gujarat</t>
        </is>
      </c>
      <c r="M2250" s="2" t="inlineStr">
        <is>
          <t xml:space="preserve">damage </t>
        </is>
      </c>
      <c r="N2250" s="6" t="inlineStr">
        <is>
          <t>Module Breakage</t>
        </is>
      </c>
      <c r="O2250" s="32" t="n">
        <v>590</v>
      </c>
      <c r="P2250" s="2" t="inlineStr">
        <is>
          <t>NSMI24110810382</t>
        </is>
      </c>
      <c r="Q2250" s="29">
        <f>MID(P2250,5,2)</f>
        <v/>
      </c>
      <c r="R2250" s="14">
        <f>MID(P2250,7,2)</f>
        <v/>
      </c>
      <c r="S2250" s="6" t="inlineStr">
        <is>
          <t>G2G</t>
        </is>
      </c>
      <c r="T2250" s="1" t="inlineStr">
        <is>
          <t>P4 - PEIPL</t>
        </is>
      </c>
      <c r="U2250" s="2" t="inlineStr">
        <is>
          <t xml:space="preserve">physically damaged </t>
        </is>
      </c>
      <c r="V2250" s="1" t="inlineStr">
        <is>
          <t>Inspection</t>
        </is>
      </c>
      <c r="W2250" s="1" t="inlineStr">
        <is>
          <t>Rejected</t>
        </is>
      </c>
      <c r="X2250" s="5">
        <f>Z2250</f>
        <v/>
      </c>
      <c r="Y2250" s="1">
        <f>X2250-A2250</f>
        <v/>
      </c>
      <c r="Z2250" s="5" t="n">
        <v>46198</v>
      </c>
      <c r="AA2250" s="3" t="n"/>
      <c r="AB2250" s="3" t="n"/>
      <c r="AE2250" s="146">
        <f>IF(AND(F2250="Closed",X2250&gt;=DATE(2026,6,1),X2250&lt;=DATE(2026,6,30)),"Closed in June","other")</f>
        <v/>
      </c>
    </row>
    <row r="2251" hidden="1">
      <c r="A2251" s="49" t="n">
        <v>46177</v>
      </c>
      <c r="B2251" s="1" t="n">
        <v>2026</v>
      </c>
      <c r="C2251" s="8" t="inlineStr">
        <is>
          <t>Ayana</t>
        </is>
      </c>
      <c r="D2251" s="11" t="inlineStr">
        <is>
          <t>Utility and C&amp;I</t>
        </is>
      </c>
      <c r="E2251" s="1" t="n"/>
      <c r="F2251" s="1" t="inlineStr">
        <is>
          <t>Closed</t>
        </is>
      </c>
      <c r="G2251" s="11" t="inlineStr">
        <is>
          <t>Vasu.N</t>
        </is>
      </c>
      <c r="H2251" s="8" t="n">
        <v>9578099893</v>
      </c>
      <c r="I2251" s="10" t="inlineStr">
        <is>
          <t>PE04062601</t>
        </is>
      </c>
      <c r="J2251" s="28" t="inlineStr">
        <is>
          <t>Module burnt</t>
        </is>
      </c>
      <c r="K2251" s="8" t="inlineStr">
        <is>
          <t>Zura</t>
        </is>
      </c>
      <c r="L2251" s="39" t="inlineStr">
        <is>
          <t>Gujarat</t>
        </is>
      </c>
      <c r="M2251" s="2" t="inlineStr">
        <is>
          <t xml:space="preserve">damage </t>
        </is>
      </c>
      <c r="N2251" s="6" t="inlineStr">
        <is>
          <t>Module Breakage</t>
        </is>
      </c>
      <c r="O2251" s="32" t="n">
        <v>590</v>
      </c>
      <c r="P2251" s="2" t="inlineStr">
        <is>
          <t>NSMI24110834181</t>
        </is>
      </c>
      <c r="Q2251" s="29">
        <f>MID(P2251,5,2)</f>
        <v/>
      </c>
      <c r="R2251" s="14">
        <f>MID(P2251,7,2)</f>
        <v/>
      </c>
      <c r="S2251" s="6" t="inlineStr">
        <is>
          <t>G2G</t>
        </is>
      </c>
      <c r="T2251" s="1" t="inlineStr">
        <is>
          <t>P4 - PEIPL</t>
        </is>
      </c>
      <c r="U2251" s="2" t="inlineStr">
        <is>
          <t xml:space="preserve">physically damaged </t>
        </is>
      </c>
      <c r="V2251" s="1" t="inlineStr">
        <is>
          <t>Inspection</t>
        </is>
      </c>
      <c r="W2251" s="1" t="inlineStr">
        <is>
          <t>Rejected</t>
        </is>
      </c>
      <c r="X2251" s="5">
        <f>Z2251</f>
        <v/>
      </c>
      <c r="Y2251" s="1">
        <f>X2251-A2251</f>
        <v/>
      </c>
      <c r="Z2251" s="5" t="n">
        <v>46198</v>
      </c>
      <c r="AA2251" s="3" t="n"/>
      <c r="AB2251" s="3" t="n"/>
      <c r="AE2251" s="146">
        <f>IF(AND(F2251="Closed",X2251&gt;=DATE(2026,6,1),X2251&lt;=DATE(2026,6,30)),"Closed in June","other")</f>
        <v/>
      </c>
    </row>
    <row r="2252" hidden="1">
      <c r="A2252" s="49" t="n">
        <v>46177</v>
      </c>
      <c r="B2252" s="1" t="n">
        <v>2026</v>
      </c>
      <c r="C2252" s="8" t="inlineStr">
        <is>
          <t>Ayana</t>
        </is>
      </c>
      <c r="D2252" s="11" t="inlineStr">
        <is>
          <t>Utility and C&amp;I</t>
        </is>
      </c>
      <c r="E2252" s="1" t="n"/>
      <c r="F2252" s="1" t="inlineStr">
        <is>
          <t>Closed</t>
        </is>
      </c>
      <c r="G2252" s="11" t="inlineStr">
        <is>
          <t>Vasu.N</t>
        </is>
      </c>
      <c r="H2252" s="8" t="n">
        <v>9578099893</v>
      </c>
      <c r="I2252" s="10" t="inlineStr">
        <is>
          <t>PE04062601</t>
        </is>
      </c>
      <c r="J2252" s="28" t="inlineStr">
        <is>
          <t>Module burnt</t>
        </is>
      </c>
      <c r="K2252" s="8" t="inlineStr">
        <is>
          <t>Zura</t>
        </is>
      </c>
      <c r="L2252" s="39" t="inlineStr">
        <is>
          <t>Gujarat</t>
        </is>
      </c>
      <c r="M2252" s="2" t="inlineStr">
        <is>
          <t xml:space="preserve">damage </t>
        </is>
      </c>
      <c r="N2252" s="6" t="inlineStr">
        <is>
          <t>Module Breakage</t>
        </is>
      </c>
      <c r="O2252" s="32" t="n">
        <v>590</v>
      </c>
      <c r="P2252" s="2" t="inlineStr">
        <is>
          <t>NSMI24100634845</t>
        </is>
      </c>
      <c r="Q2252" s="29">
        <f>MID(P2252,5,2)</f>
        <v/>
      </c>
      <c r="R2252" s="14">
        <f>MID(P2252,7,2)</f>
        <v/>
      </c>
      <c r="S2252" s="6" t="inlineStr">
        <is>
          <t>G2G</t>
        </is>
      </c>
      <c r="T2252" s="1" t="inlineStr">
        <is>
          <t>P4 - PEIPL</t>
        </is>
      </c>
      <c r="U2252" s="2" t="inlineStr">
        <is>
          <t xml:space="preserve">physically damaged </t>
        </is>
      </c>
      <c r="V2252" s="1" t="inlineStr">
        <is>
          <t>Inspection</t>
        </is>
      </c>
      <c r="W2252" s="1" t="inlineStr">
        <is>
          <t>Rejected</t>
        </is>
      </c>
      <c r="X2252" s="5">
        <f>Z2252</f>
        <v/>
      </c>
      <c r="Y2252" s="1">
        <f>X2252-A2252</f>
        <v/>
      </c>
      <c r="Z2252" s="5" t="n">
        <v>46198</v>
      </c>
      <c r="AA2252" s="3" t="n"/>
      <c r="AB2252" s="3" t="n"/>
      <c r="AE2252" s="146">
        <f>IF(AND(F2252="Closed",X2252&gt;=DATE(2026,6,1),X2252&lt;=DATE(2026,6,30)),"Closed in June","other")</f>
        <v/>
      </c>
    </row>
    <row r="2253" hidden="1">
      <c r="A2253" s="49" t="n">
        <v>46177</v>
      </c>
      <c r="B2253" s="1" t="n">
        <v>2026</v>
      </c>
      <c r="C2253" s="8" t="inlineStr">
        <is>
          <t>Ayana</t>
        </is>
      </c>
      <c r="D2253" s="11" t="inlineStr">
        <is>
          <t>Utility and C&amp;I</t>
        </is>
      </c>
      <c r="E2253" s="1" t="n"/>
      <c r="F2253" s="1" t="inlineStr">
        <is>
          <t>Closed</t>
        </is>
      </c>
      <c r="G2253" s="11" t="inlineStr">
        <is>
          <t>Vasu.N</t>
        </is>
      </c>
      <c r="H2253" s="8" t="n">
        <v>9578099893</v>
      </c>
      <c r="I2253" s="10" t="inlineStr">
        <is>
          <t>PE04062601</t>
        </is>
      </c>
      <c r="J2253" s="28" t="inlineStr">
        <is>
          <t>Module burnt</t>
        </is>
      </c>
      <c r="K2253" s="8" t="inlineStr">
        <is>
          <t>Zura</t>
        </is>
      </c>
      <c r="L2253" s="39" t="inlineStr">
        <is>
          <t>Gujarat</t>
        </is>
      </c>
      <c r="M2253" s="2" t="inlineStr">
        <is>
          <t xml:space="preserve">damage </t>
        </is>
      </c>
      <c r="N2253" s="6" t="inlineStr">
        <is>
          <t>Module Breakage</t>
        </is>
      </c>
      <c r="O2253" s="32" t="n">
        <v>590</v>
      </c>
      <c r="P2253" s="2" t="inlineStr">
        <is>
          <t>NSMI24100632077</t>
        </is>
      </c>
      <c r="Q2253" s="29">
        <f>MID(P2253,5,2)</f>
        <v/>
      </c>
      <c r="R2253" s="14">
        <f>MID(P2253,7,2)</f>
        <v/>
      </c>
      <c r="S2253" s="6" t="inlineStr">
        <is>
          <t>G2G</t>
        </is>
      </c>
      <c r="T2253" s="1" t="inlineStr">
        <is>
          <t>P4 - PEIPL</t>
        </is>
      </c>
      <c r="U2253" s="2" t="inlineStr">
        <is>
          <t xml:space="preserve">physically damaged </t>
        </is>
      </c>
      <c r="V2253" s="1" t="inlineStr">
        <is>
          <t>Inspection</t>
        </is>
      </c>
      <c r="W2253" s="1" t="inlineStr">
        <is>
          <t>Rejected</t>
        </is>
      </c>
      <c r="X2253" s="5">
        <f>Z2253</f>
        <v/>
      </c>
      <c r="Y2253" s="1">
        <f>X2253-A2253</f>
        <v/>
      </c>
      <c r="Z2253" s="5" t="n">
        <v>46198</v>
      </c>
      <c r="AA2253" s="3" t="n"/>
      <c r="AB2253" s="3" t="n"/>
      <c r="AE2253" s="146">
        <f>IF(AND(F2253="Closed",X2253&gt;=DATE(2026,6,1),X2253&lt;=DATE(2026,6,30)),"Closed in June","other")</f>
        <v/>
      </c>
    </row>
    <row r="2254" hidden="1">
      <c r="A2254" s="49" t="n">
        <v>46177</v>
      </c>
      <c r="B2254" s="1" t="n">
        <v>2026</v>
      </c>
      <c r="C2254" s="8" t="inlineStr">
        <is>
          <t>Ayana</t>
        </is>
      </c>
      <c r="D2254" s="11" t="inlineStr">
        <is>
          <t>Utility and C&amp;I</t>
        </is>
      </c>
      <c r="E2254" s="1" t="n"/>
      <c r="F2254" s="1" t="inlineStr">
        <is>
          <t>Closed</t>
        </is>
      </c>
      <c r="G2254" s="11" t="inlineStr">
        <is>
          <t>Vasu.N</t>
        </is>
      </c>
      <c r="H2254" s="8" t="n">
        <v>9578099893</v>
      </c>
      <c r="I2254" s="10" t="inlineStr">
        <is>
          <t>PE04062601</t>
        </is>
      </c>
      <c r="J2254" s="28" t="inlineStr">
        <is>
          <t>Module burnt</t>
        </is>
      </c>
      <c r="K2254" s="8" t="inlineStr">
        <is>
          <t>Zura</t>
        </is>
      </c>
      <c r="L2254" s="39" t="inlineStr">
        <is>
          <t>Gujarat</t>
        </is>
      </c>
      <c r="M2254" s="2" t="inlineStr">
        <is>
          <t xml:space="preserve">damage </t>
        </is>
      </c>
      <c r="N2254" s="6" t="inlineStr">
        <is>
          <t>Module Breakage</t>
        </is>
      </c>
      <c r="O2254" s="32" t="n">
        <v>590</v>
      </c>
      <c r="P2254" s="2" t="inlineStr">
        <is>
          <t>NSMI24110845086</t>
        </is>
      </c>
      <c r="Q2254" s="29">
        <f>MID(P2254,5,2)</f>
        <v/>
      </c>
      <c r="R2254" s="14">
        <f>MID(P2254,7,2)</f>
        <v/>
      </c>
      <c r="S2254" s="6" t="inlineStr">
        <is>
          <t>G2G</t>
        </is>
      </c>
      <c r="T2254" s="1" t="inlineStr">
        <is>
          <t>P4 - PEIPL</t>
        </is>
      </c>
      <c r="U2254" s="2" t="inlineStr">
        <is>
          <t xml:space="preserve">physically damaged </t>
        </is>
      </c>
      <c r="V2254" s="1" t="inlineStr">
        <is>
          <t>Inspection</t>
        </is>
      </c>
      <c r="W2254" s="1" t="inlineStr">
        <is>
          <t>Rejected</t>
        </is>
      </c>
      <c r="X2254" s="5">
        <f>Z2254</f>
        <v/>
      </c>
      <c r="Y2254" s="1">
        <f>X2254-A2254</f>
        <v/>
      </c>
      <c r="Z2254" s="5" t="n">
        <v>46198</v>
      </c>
      <c r="AA2254" s="3" t="n"/>
      <c r="AB2254" s="3" t="n"/>
      <c r="AE2254" s="146">
        <f>IF(AND(F2254="Closed",X2254&gt;=DATE(2026,6,1),X2254&lt;=DATE(2026,6,30)),"Closed in June","other")</f>
        <v/>
      </c>
    </row>
    <row r="2255" hidden="1">
      <c r="A2255" s="49" t="n">
        <v>46177</v>
      </c>
      <c r="B2255" s="1" t="n">
        <v>2026</v>
      </c>
      <c r="C2255" s="8" t="inlineStr">
        <is>
          <t>Ayana</t>
        </is>
      </c>
      <c r="D2255" s="11" t="inlineStr">
        <is>
          <t>Utility and C&amp;I</t>
        </is>
      </c>
      <c r="E2255" s="1" t="n"/>
      <c r="F2255" s="1" t="inlineStr">
        <is>
          <t>Closed</t>
        </is>
      </c>
      <c r="G2255" s="11" t="inlineStr">
        <is>
          <t>Vasu.N</t>
        </is>
      </c>
      <c r="H2255" s="8" t="n">
        <v>9578099893</v>
      </c>
      <c r="I2255" s="10" t="inlineStr">
        <is>
          <t>PE04062601</t>
        </is>
      </c>
      <c r="J2255" s="28" t="inlineStr">
        <is>
          <t>Module burnt</t>
        </is>
      </c>
      <c r="K2255" s="8" t="inlineStr">
        <is>
          <t>Zura</t>
        </is>
      </c>
      <c r="L2255" s="39" t="inlineStr">
        <is>
          <t>Gujarat</t>
        </is>
      </c>
      <c r="M2255" s="2" t="inlineStr">
        <is>
          <t xml:space="preserve">damage </t>
        </is>
      </c>
      <c r="N2255" s="6" t="inlineStr">
        <is>
          <t>Module Breakage</t>
        </is>
      </c>
      <c r="O2255" s="32" t="n">
        <v>590</v>
      </c>
      <c r="P2255" s="2" t="inlineStr">
        <is>
          <t>NSMI24100668141</t>
        </is>
      </c>
      <c r="Q2255" s="29">
        <f>MID(P2255,5,2)</f>
        <v/>
      </c>
      <c r="R2255" s="14">
        <f>MID(P2255,7,2)</f>
        <v/>
      </c>
      <c r="S2255" s="6" t="inlineStr">
        <is>
          <t>G2G</t>
        </is>
      </c>
      <c r="T2255" s="1" t="inlineStr">
        <is>
          <t>P4 - PEIPL</t>
        </is>
      </c>
      <c r="U2255" s="2" t="inlineStr">
        <is>
          <t xml:space="preserve">physically damaged </t>
        </is>
      </c>
      <c r="V2255" s="1" t="inlineStr">
        <is>
          <t>Inspection</t>
        </is>
      </c>
      <c r="W2255" s="1" t="inlineStr">
        <is>
          <t>Rejected</t>
        </is>
      </c>
      <c r="X2255" s="5">
        <f>Z2255</f>
        <v/>
      </c>
      <c r="Y2255" s="1">
        <f>X2255-A2255</f>
        <v/>
      </c>
      <c r="Z2255" s="5" t="n">
        <v>46198</v>
      </c>
      <c r="AA2255" s="3" t="n"/>
      <c r="AB2255" s="3" t="n"/>
      <c r="AE2255" s="146">
        <f>IF(AND(F2255="Closed",X2255&gt;=DATE(2026,6,1),X2255&lt;=DATE(2026,6,30)),"Closed in June","other")</f>
        <v/>
      </c>
    </row>
    <row r="2256" hidden="1">
      <c r="A2256" s="49" t="n">
        <v>46177</v>
      </c>
      <c r="B2256" s="1" t="n">
        <v>2026</v>
      </c>
      <c r="C2256" s="8" t="inlineStr">
        <is>
          <t>Ayana</t>
        </is>
      </c>
      <c r="D2256" s="11" t="inlineStr">
        <is>
          <t>Utility and C&amp;I</t>
        </is>
      </c>
      <c r="E2256" s="1" t="n"/>
      <c r="F2256" s="1" t="inlineStr">
        <is>
          <t>Closed</t>
        </is>
      </c>
      <c r="G2256" s="11" t="inlineStr">
        <is>
          <t>Vasu.N</t>
        </is>
      </c>
      <c r="H2256" s="8" t="n">
        <v>9578099893</v>
      </c>
      <c r="I2256" s="10" t="inlineStr">
        <is>
          <t>PE04062601</t>
        </is>
      </c>
      <c r="J2256" s="28" t="inlineStr">
        <is>
          <t>Module burnt</t>
        </is>
      </c>
      <c r="K2256" s="8" t="inlineStr">
        <is>
          <t>Zura</t>
        </is>
      </c>
      <c r="L2256" s="39" t="inlineStr">
        <is>
          <t>Gujarat</t>
        </is>
      </c>
      <c r="M2256" s="2" t="inlineStr">
        <is>
          <t xml:space="preserve">damage </t>
        </is>
      </c>
      <c r="N2256" s="6" t="inlineStr">
        <is>
          <t>Module Breakage</t>
        </is>
      </c>
      <c r="O2256" s="32" t="n">
        <v>590</v>
      </c>
      <c r="P2256" s="2" t="inlineStr">
        <is>
          <t>NSMI24110799059</t>
        </is>
      </c>
      <c r="Q2256" s="29">
        <f>MID(P2256,5,2)</f>
        <v/>
      </c>
      <c r="R2256" s="14">
        <f>MID(P2256,7,2)</f>
        <v/>
      </c>
      <c r="S2256" s="6" t="inlineStr">
        <is>
          <t>G2G</t>
        </is>
      </c>
      <c r="T2256" s="1" t="inlineStr">
        <is>
          <t>P4 - PEIPL</t>
        </is>
      </c>
      <c r="U2256" s="2" t="inlineStr">
        <is>
          <t xml:space="preserve">physically damaged </t>
        </is>
      </c>
      <c r="V2256" s="1" t="inlineStr">
        <is>
          <t>Inspection</t>
        </is>
      </c>
      <c r="W2256" s="1" t="inlineStr">
        <is>
          <t>Rejected</t>
        </is>
      </c>
      <c r="X2256" s="5">
        <f>Z2256</f>
        <v/>
      </c>
      <c r="Y2256" s="1">
        <f>X2256-A2256</f>
        <v/>
      </c>
      <c r="Z2256" s="5" t="n">
        <v>46198</v>
      </c>
      <c r="AA2256" s="3" t="n"/>
      <c r="AB2256" s="3" t="n"/>
      <c r="AE2256" s="146">
        <f>IF(AND(F2256="Closed",X2256&gt;=DATE(2026,6,1),X2256&lt;=DATE(2026,6,30)),"Closed in June","other")</f>
        <v/>
      </c>
    </row>
    <row r="2257" hidden="1">
      <c r="A2257" s="49" t="n">
        <v>46177</v>
      </c>
      <c r="B2257" s="1" t="n">
        <v>2026</v>
      </c>
      <c r="C2257" s="8" t="inlineStr">
        <is>
          <t>Ayana</t>
        </is>
      </c>
      <c r="D2257" s="11" t="inlineStr">
        <is>
          <t>Utility and C&amp;I</t>
        </is>
      </c>
      <c r="E2257" s="1" t="n"/>
      <c r="F2257" s="1" t="inlineStr">
        <is>
          <t>Closed</t>
        </is>
      </c>
      <c r="G2257" s="11" t="inlineStr">
        <is>
          <t>Vasu.N</t>
        </is>
      </c>
      <c r="H2257" s="8" t="n">
        <v>9578099893</v>
      </c>
      <c r="I2257" s="10" t="inlineStr">
        <is>
          <t>PE04062601</t>
        </is>
      </c>
      <c r="J2257" s="28" t="inlineStr">
        <is>
          <t>Module burnt</t>
        </is>
      </c>
      <c r="K2257" s="8" t="inlineStr">
        <is>
          <t>Zura</t>
        </is>
      </c>
      <c r="L2257" s="39" t="inlineStr">
        <is>
          <t>Gujarat</t>
        </is>
      </c>
      <c r="M2257" s="2" t="inlineStr">
        <is>
          <t xml:space="preserve">damage </t>
        </is>
      </c>
      <c r="N2257" s="6" t="inlineStr">
        <is>
          <t>Module Breakage</t>
        </is>
      </c>
      <c r="O2257" s="32" t="n">
        <v>590</v>
      </c>
      <c r="P2257" s="2" t="inlineStr">
        <is>
          <t>NSMI24100689183</t>
        </is>
      </c>
      <c r="Q2257" s="29">
        <f>MID(P2257,5,2)</f>
        <v/>
      </c>
      <c r="R2257" s="14">
        <f>MID(P2257,7,2)</f>
        <v/>
      </c>
      <c r="S2257" s="6" t="inlineStr">
        <is>
          <t>G2G</t>
        </is>
      </c>
      <c r="T2257" s="1" t="inlineStr">
        <is>
          <t>P4 - PEIPL</t>
        </is>
      </c>
      <c r="U2257" s="2" t="inlineStr">
        <is>
          <t xml:space="preserve">physically damaged </t>
        </is>
      </c>
      <c r="V2257" s="1" t="inlineStr">
        <is>
          <t>Inspection</t>
        </is>
      </c>
      <c r="W2257" s="1" t="inlineStr">
        <is>
          <t>Rejected</t>
        </is>
      </c>
      <c r="X2257" s="5">
        <f>Z2257</f>
        <v/>
      </c>
      <c r="Y2257" s="1">
        <f>X2257-A2257</f>
        <v/>
      </c>
      <c r="Z2257" s="5" t="n">
        <v>46198</v>
      </c>
      <c r="AA2257" s="3" t="n"/>
      <c r="AB2257" s="3" t="n"/>
      <c r="AE2257" s="146">
        <f>IF(AND(F2257="Closed",X2257&gt;=DATE(2026,6,1),X2257&lt;=DATE(2026,6,30)),"Closed in June","other")</f>
        <v/>
      </c>
    </row>
    <row r="2258" hidden="1">
      <c r="A2258" s="49" t="n">
        <v>46177</v>
      </c>
      <c r="B2258" s="1" t="n">
        <v>2026</v>
      </c>
      <c r="C2258" s="8" t="inlineStr">
        <is>
          <t>Ayana</t>
        </is>
      </c>
      <c r="D2258" s="11" t="inlineStr">
        <is>
          <t>Utility and C&amp;I</t>
        </is>
      </c>
      <c r="E2258" s="1" t="n"/>
      <c r="F2258" s="1" t="inlineStr">
        <is>
          <t>Closed</t>
        </is>
      </c>
      <c r="G2258" s="11" t="inlineStr">
        <is>
          <t>Vasu.N</t>
        </is>
      </c>
      <c r="H2258" s="8" t="n">
        <v>9578099893</v>
      </c>
      <c r="I2258" s="10" t="inlineStr">
        <is>
          <t>PE04062601</t>
        </is>
      </c>
      <c r="J2258" s="28" t="inlineStr">
        <is>
          <t>Module burnt</t>
        </is>
      </c>
      <c r="K2258" s="8" t="inlineStr">
        <is>
          <t>Zura</t>
        </is>
      </c>
      <c r="L2258" s="39" t="inlineStr">
        <is>
          <t>Gujarat</t>
        </is>
      </c>
      <c r="M2258" s="2" t="inlineStr">
        <is>
          <t xml:space="preserve">damage </t>
        </is>
      </c>
      <c r="N2258" s="6" t="inlineStr">
        <is>
          <t>Module Breakage</t>
        </is>
      </c>
      <c r="O2258" s="32" t="n">
        <v>590</v>
      </c>
      <c r="P2258" s="2" t="inlineStr">
        <is>
          <t>NSMI24110794701</t>
        </is>
      </c>
      <c r="Q2258" s="29">
        <f>MID(P2258,5,2)</f>
        <v/>
      </c>
      <c r="R2258" s="14">
        <f>MID(P2258,7,2)</f>
        <v/>
      </c>
      <c r="S2258" s="6" t="inlineStr">
        <is>
          <t>G2G</t>
        </is>
      </c>
      <c r="T2258" s="1" t="inlineStr">
        <is>
          <t>P4 - PEIPL</t>
        </is>
      </c>
      <c r="U2258" s="2" t="inlineStr">
        <is>
          <t xml:space="preserve">physically damaged </t>
        </is>
      </c>
      <c r="V2258" s="1" t="inlineStr">
        <is>
          <t>Inspection</t>
        </is>
      </c>
      <c r="W2258" s="1" t="inlineStr">
        <is>
          <t>Rejected</t>
        </is>
      </c>
      <c r="X2258" s="5">
        <f>Z2258</f>
        <v/>
      </c>
      <c r="Y2258" s="1">
        <f>X2258-A2258</f>
        <v/>
      </c>
      <c r="Z2258" s="5" t="n">
        <v>46198</v>
      </c>
      <c r="AA2258" s="3" t="n"/>
      <c r="AB2258" s="3" t="n"/>
      <c r="AE2258" s="146">
        <f>IF(AND(F2258="Closed",X2258&gt;=DATE(2026,6,1),X2258&lt;=DATE(2026,6,30)),"Closed in June","other")</f>
        <v/>
      </c>
    </row>
    <row r="2259" hidden="1">
      <c r="A2259" s="49" t="n">
        <v>46177</v>
      </c>
      <c r="B2259" s="1" t="n">
        <v>2026</v>
      </c>
      <c r="C2259" s="8" t="inlineStr">
        <is>
          <t>Ayana</t>
        </is>
      </c>
      <c r="D2259" s="11" t="inlineStr">
        <is>
          <t>Utility and C&amp;I</t>
        </is>
      </c>
      <c r="E2259" s="1" t="n"/>
      <c r="F2259" s="1" t="inlineStr">
        <is>
          <t>Closed</t>
        </is>
      </c>
      <c r="G2259" s="11" t="inlineStr">
        <is>
          <t>Vasu.N</t>
        </is>
      </c>
      <c r="H2259" s="8" t="n">
        <v>9578099893</v>
      </c>
      <c r="I2259" s="10" t="inlineStr">
        <is>
          <t>PE04062601</t>
        </is>
      </c>
      <c r="J2259" s="28" t="inlineStr">
        <is>
          <t>Module burnt</t>
        </is>
      </c>
      <c r="K2259" s="8" t="inlineStr">
        <is>
          <t>Zura</t>
        </is>
      </c>
      <c r="L2259" s="39" t="inlineStr">
        <is>
          <t>Gujarat</t>
        </is>
      </c>
      <c r="M2259" s="2" t="inlineStr">
        <is>
          <t xml:space="preserve">damage </t>
        </is>
      </c>
      <c r="N2259" s="6" t="inlineStr">
        <is>
          <t>Module Breakage</t>
        </is>
      </c>
      <c r="O2259" s="32" t="n">
        <v>590</v>
      </c>
      <c r="P2259" s="2" t="inlineStr">
        <is>
          <t>NSMI24100632952</t>
        </is>
      </c>
      <c r="Q2259" s="29">
        <f>MID(P2259,5,2)</f>
        <v/>
      </c>
      <c r="R2259" s="14">
        <f>MID(P2259,7,2)</f>
        <v/>
      </c>
      <c r="S2259" s="6" t="inlineStr">
        <is>
          <t>G2G</t>
        </is>
      </c>
      <c r="T2259" s="1" t="inlineStr">
        <is>
          <t>P4 - PEIPL</t>
        </is>
      </c>
      <c r="U2259" s="2" t="inlineStr">
        <is>
          <t xml:space="preserve">physically damaged </t>
        </is>
      </c>
      <c r="V2259" s="1" t="inlineStr">
        <is>
          <t>Inspection</t>
        </is>
      </c>
      <c r="W2259" s="1" t="inlineStr">
        <is>
          <t>Rejected</t>
        </is>
      </c>
      <c r="X2259" s="5">
        <f>Z2259</f>
        <v/>
      </c>
      <c r="Y2259" s="1">
        <f>X2259-A2259</f>
        <v/>
      </c>
      <c r="Z2259" s="5" t="n">
        <v>46198</v>
      </c>
      <c r="AA2259" s="3" t="n"/>
      <c r="AB2259" s="3" t="n"/>
      <c r="AE2259" s="146">
        <f>IF(AND(F2259="Closed",X2259&gt;=DATE(2026,6,1),X2259&lt;=DATE(2026,6,30)),"Closed in June","other")</f>
        <v/>
      </c>
    </row>
    <row r="2260" hidden="1">
      <c r="A2260" s="49" t="n">
        <v>46177</v>
      </c>
      <c r="B2260" s="1" t="n">
        <v>2026</v>
      </c>
      <c r="C2260" s="8" t="inlineStr">
        <is>
          <t>Ayana</t>
        </is>
      </c>
      <c r="D2260" s="11" t="inlineStr">
        <is>
          <t>Utility and C&amp;I</t>
        </is>
      </c>
      <c r="E2260" s="1" t="n"/>
      <c r="F2260" s="1" t="inlineStr">
        <is>
          <t>Closed</t>
        </is>
      </c>
      <c r="G2260" s="11" t="inlineStr">
        <is>
          <t>Vasu.N</t>
        </is>
      </c>
      <c r="H2260" s="8" t="n">
        <v>9578099893</v>
      </c>
      <c r="I2260" s="10" t="inlineStr">
        <is>
          <t>PE04062601</t>
        </is>
      </c>
      <c r="J2260" s="28" t="inlineStr">
        <is>
          <t>Module burnt</t>
        </is>
      </c>
      <c r="K2260" s="8" t="inlineStr">
        <is>
          <t>Zura</t>
        </is>
      </c>
      <c r="L2260" s="39" t="inlineStr">
        <is>
          <t>Gujarat</t>
        </is>
      </c>
      <c r="M2260" s="2" t="inlineStr">
        <is>
          <t xml:space="preserve">damage </t>
        </is>
      </c>
      <c r="N2260" s="6" t="inlineStr">
        <is>
          <t>Module Breakage</t>
        </is>
      </c>
      <c r="O2260" s="32" t="n">
        <v>590</v>
      </c>
      <c r="P2260" s="2" t="inlineStr">
        <is>
          <t>NSMI24100632937</t>
        </is>
      </c>
      <c r="Q2260" s="29">
        <f>MID(P2260,5,2)</f>
        <v/>
      </c>
      <c r="R2260" s="14">
        <f>MID(P2260,7,2)</f>
        <v/>
      </c>
      <c r="S2260" s="6" t="inlineStr">
        <is>
          <t>G2G</t>
        </is>
      </c>
      <c r="T2260" s="1" t="inlineStr">
        <is>
          <t>P4 - PEIPL</t>
        </is>
      </c>
      <c r="U2260" s="2" t="inlineStr">
        <is>
          <t xml:space="preserve">physically damaged </t>
        </is>
      </c>
      <c r="V2260" s="1" t="inlineStr">
        <is>
          <t>Inspection</t>
        </is>
      </c>
      <c r="W2260" s="1" t="inlineStr">
        <is>
          <t>Rejected</t>
        </is>
      </c>
      <c r="X2260" s="5">
        <f>Z2260</f>
        <v/>
      </c>
      <c r="Y2260" s="1">
        <f>X2260-A2260</f>
        <v/>
      </c>
      <c r="Z2260" s="5" t="n">
        <v>46198</v>
      </c>
      <c r="AA2260" s="3" t="n"/>
      <c r="AB2260" s="3" t="n"/>
      <c r="AE2260" s="146">
        <f>IF(AND(F2260="Closed",X2260&gt;=DATE(2026,6,1),X2260&lt;=DATE(2026,6,30)),"Closed in June","other")</f>
        <v/>
      </c>
    </row>
    <row r="2261" hidden="1">
      <c r="A2261" s="49" t="n">
        <v>46177</v>
      </c>
      <c r="B2261" s="1" t="n">
        <v>2026</v>
      </c>
      <c r="C2261" s="8" t="inlineStr">
        <is>
          <t>Ayana</t>
        </is>
      </c>
      <c r="D2261" s="11" t="inlineStr">
        <is>
          <t>Utility and C&amp;I</t>
        </is>
      </c>
      <c r="E2261" s="1" t="n"/>
      <c r="F2261" s="1" t="inlineStr">
        <is>
          <t>Closed</t>
        </is>
      </c>
      <c r="G2261" s="11" t="inlineStr">
        <is>
          <t>Vasu.N</t>
        </is>
      </c>
      <c r="H2261" s="8" t="n">
        <v>9578099893</v>
      </c>
      <c r="I2261" s="10" t="inlineStr">
        <is>
          <t>PE04062601</t>
        </is>
      </c>
      <c r="J2261" s="28" t="inlineStr">
        <is>
          <t>Module burnt</t>
        </is>
      </c>
      <c r="K2261" s="8" t="inlineStr">
        <is>
          <t>Zura</t>
        </is>
      </c>
      <c r="L2261" s="39" t="inlineStr">
        <is>
          <t>Gujarat</t>
        </is>
      </c>
      <c r="M2261" s="2" t="inlineStr">
        <is>
          <t xml:space="preserve">damage </t>
        </is>
      </c>
      <c r="N2261" s="6" t="inlineStr">
        <is>
          <t>Module Breakage</t>
        </is>
      </c>
      <c r="O2261" s="32" t="n">
        <v>590</v>
      </c>
      <c r="P2261" s="2" t="inlineStr">
        <is>
          <t>NSMI24100571132</t>
        </is>
      </c>
      <c r="Q2261" s="29">
        <f>MID(P2261,5,2)</f>
        <v/>
      </c>
      <c r="R2261" s="14">
        <f>MID(P2261,7,2)</f>
        <v/>
      </c>
      <c r="S2261" s="6" t="inlineStr">
        <is>
          <t>G2G</t>
        </is>
      </c>
      <c r="T2261" s="1" t="inlineStr">
        <is>
          <t>P4 - PEIPL</t>
        </is>
      </c>
      <c r="U2261" s="2" t="inlineStr">
        <is>
          <t xml:space="preserve">physically damaged </t>
        </is>
      </c>
      <c r="V2261" s="1" t="inlineStr">
        <is>
          <t>Inspection</t>
        </is>
      </c>
      <c r="W2261" s="1" t="inlineStr">
        <is>
          <t>Rejected</t>
        </is>
      </c>
      <c r="X2261" s="5">
        <f>Z2261</f>
        <v/>
      </c>
      <c r="Y2261" s="1">
        <f>X2261-A2261</f>
        <v/>
      </c>
      <c r="Z2261" s="5" t="n">
        <v>46198</v>
      </c>
      <c r="AA2261" s="3" t="n"/>
      <c r="AB2261" s="3" t="n"/>
      <c r="AE2261" s="146">
        <f>IF(AND(F2261="Closed",X2261&gt;=DATE(2026,6,1),X2261&lt;=DATE(2026,6,30)),"Closed in June","other")</f>
        <v/>
      </c>
    </row>
    <row r="2262" hidden="1">
      <c r="A2262" s="49" t="n">
        <v>46177</v>
      </c>
      <c r="B2262" s="1" t="n">
        <v>2026</v>
      </c>
      <c r="C2262" s="8" t="inlineStr">
        <is>
          <t>Ayana</t>
        </is>
      </c>
      <c r="D2262" s="11" t="inlineStr">
        <is>
          <t>Utility and C&amp;I</t>
        </is>
      </c>
      <c r="E2262" s="1" t="n"/>
      <c r="F2262" s="1" t="inlineStr">
        <is>
          <t>Closed</t>
        </is>
      </c>
      <c r="G2262" s="11" t="inlineStr">
        <is>
          <t>Vasu.N</t>
        </is>
      </c>
      <c r="H2262" s="8" t="n">
        <v>9578099893</v>
      </c>
      <c r="I2262" s="10" t="inlineStr">
        <is>
          <t>PE04062601</t>
        </is>
      </c>
      <c r="J2262" s="28" t="inlineStr">
        <is>
          <t>Module burnt</t>
        </is>
      </c>
      <c r="K2262" s="8" t="inlineStr">
        <is>
          <t>Zura</t>
        </is>
      </c>
      <c r="L2262" s="39" t="inlineStr">
        <is>
          <t>Gujarat</t>
        </is>
      </c>
      <c r="M2262" s="2" t="inlineStr">
        <is>
          <t xml:space="preserve">damage </t>
        </is>
      </c>
      <c r="N2262" s="6" t="inlineStr">
        <is>
          <t>Module Breakage</t>
        </is>
      </c>
      <c r="O2262" s="32" t="n">
        <v>590</v>
      </c>
      <c r="P2262" s="2" t="inlineStr">
        <is>
          <t>NSMI24100588447</t>
        </is>
      </c>
      <c r="Q2262" s="29">
        <f>MID(P2262,5,2)</f>
        <v/>
      </c>
      <c r="R2262" s="14">
        <f>MID(P2262,7,2)</f>
        <v/>
      </c>
      <c r="S2262" s="6" t="inlineStr">
        <is>
          <t>G2G</t>
        </is>
      </c>
      <c r="T2262" s="1" t="inlineStr">
        <is>
          <t>P4 - PEIPL</t>
        </is>
      </c>
      <c r="U2262" s="2" t="inlineStr">
        <is>
          <t xml:space="preserve">physically damaged </t>
        </is>
      </c>
      <c r="V2262" s="1" t="inlineStr">
        <is>
          <t>Inspection</t>
        </is>
      </c>
      <c r="W2262" s="1" t="inlineStr">
        <is>
          <t>Rejected</t>
        </is>
      </c>
      <c r="X2262" s="5">
        <f>Z2262</f>
        <v/>
      </c>
      <c r="Y2262" s="1">
        <f>X2262-A2262</f>
        <v/>
      </c>
      <c r="Z2262" s="5" t="n">
        <v>46198</v>
      </c>
      <c r="AA2262" s="3" t="n"/>
      <c r="AB2262" s="3" t="n"/>
      <c r="AE2262" s="146">
        <f>IF(AND(F2262="Closed",X2262&gt;=DATE(2026,6,1),X2262&lt;=DATE(2026,6,30)),"Closed in June","other")</f>
        <v/>
      </c>
    </row>
    <row r="2263" hidden="1">
      <c r="A2263" s="49" t="n">
        <v>46177</v>
      </c>
      <c r="B2263" s="1" t="n">
        <v>2026</v>
      </c>
      <c r="C2263" s="8" t="inlineStr">
        <is>
          <t>Ayana</t>
        </is>
      </c>
      <c r="D2263" s="11" t="inlineStr">
        <is>
          <t>Utility and C&amp;I</t>
        </is>
      </c>
      <c r="E2263" s="1" t="n"/>
      <c r="F2263" s="1" t="inlineStr">
        <is>
          <t>Closed</t>
        </is>
      </c>
      <c r="G2263" s="11" t="inlineStr">
        <is>
          <t>Vasu.N</t>
        </is>
      </c>
      <c r="H2263" s="8" t="n">
        <v>9578099893</v>
      </c>
      <c r="I2263" s="10" t="inlineStr">
        <is>
          <t>PE04062601</t>
        </is>
      </c>
      <c r="J2263" s="28" t="inlineStr">
        <is>
          <t>Module burnt</t>
        </is>
      </c>
      <c r="K2263" s="8" t="inlineStr">
        <is>
          <t>Zura</t>
        </is>
      </c>
      <c r="L2263" s="39" t="inlineStr">
        <is>
          <t>Gujarat</t>
        </is>
      </c>
      <c r="M2263" s="2" t="inlineStr">
        <is>
          <t xml:space="preserve">damage </t>
        </is>
      </c>
      <c r="N2263" s="6" t="inlineStr">
        <is>
          <t>Module Breakage</t>
        </is>
      </c>
      <c r="O2263" s="32" t="n">
        <v>590</v>
      </c>
      <c r="P2263" s="2" t="inlineStr">
        <is>
          <t>NSMI24100686907</t>
        </is>
      </c>
      <c r="Q2263" s="29">
        <f>MID(P2263,5,2)</f>
        <v/>
      </c>
      <c r="R2263" s="14">
        <f>MID(P2263,7,2)</f>
        <v/>
      </c>
      <c r="S2263" s="6" t="inlineStr">
        <is>
          <t>G2G</t>
        </is>
      </c>
      <c r="T2263" s="1" t="inlineStr">
        <is>
          <t>P4 - PEIPL</t>
        </is>
      </c>
      <c r="U2263" s="2" t="inlineStr">
        <is>
          <t xml:space="preserve">physically damaged </t>
        </is>
      </c>
      <c r="V2263" s="1" t="inlineStr">
        <is>
          <t>Inspection</t>
        </is>
      </c>
      <c r="W2263" s="1" t="inlineStr">
        <is>
          <t>Rejected</t>
        </is>
      </c>
      <c r="X2263" s="5">
        <f>Z2263</f>
        <v/>
      </c>
      <c r="Y2263" s="1">
        <f>X2263-A2263</f>
        <v/>
      </c>
      <c r="Z2263" s="5" t="n">
        <v>46198</v>
      </c>
      <c r="AA2263" s="3" t="n"/>
      <c r="AB2263" s="3" t="n"/>
      <c r="AE2263" s="146">
        <f>IF(AND(F2263="Closed",X2263&gt;=DATE(2026,6,1),X2263&lt;=DATE(2026,6,30)),"Closed in June","other")</f>
        <v/>
      </c>
    </row>
    <row r="2264" hidden="1">
      <c r="A2264" s="49" t="n">
        <v>46177</v>
      </c>
      <c r="B2264" s="1" t="n">
        <v>2026</v>
      </c>
      <c r="C2264" s="8" t="inlineStr">
        <is>
          <t>Ayana</t>
        </is>
      </c>
      <c r="D2264" s="11" t="inlineStr">
        <is>
          <t>Utility and C&amp;I</t>
        </is>
      </c>
      <c r="E2264" s="1" t="n"/>
      <c r="F2264" s="1" t="inlineStr">
        <is>
          <t>Closed</t>
        </is>
      </c>
      <c r="G2264" s="11" t="inlineStr">
        <is>
          <t>Vasu.N</t>
        </is>
      </c>
      <c r="H2264" s="8" t="n">
        <v>9578099893</v>
      </c>
      <c r="I2264" s="10" t="inlineStr">
        <is>
          <t>PE04062601</t>
        </is>
      </c>
      <c r="J2264" s="28" t="inlineStr">
        <is>
          <t>Module burnt</t>
        </is>
      </c>
      <c r="K2264" s="8" t="inlineStr">
        <is>
          <t>Zura</t>
        </is>
      </c>
      <c r="L2264" s="39" t="inlineStr">
        <is>
          <t>Gujarat</t>
        </is>
      </c>
      <c r="M2264" s="2" t="inlineStr">
        <is>
          <t xml:space="preserve">damage </t>
        </is>
      </c>
      <c r="N2264" s="6" t="inlineStr">
        <is>
          <t>Module Breakage</t>
        </is>
      </c>
      <c r="O2264" s="32" t="n">
        <v>590</v>
      </c>
      <c r="P2264" s="2" t="inlineStr">
        <is>
          <t>NSMI24100588431</t>
        </is>
      </c>
      <c r="Q2264" s="29">
        <f>MID(P2264,5,2)</f>
        <v/>
      </c>
      <c r="R2264" s="14">
        <f>MID(P2264,7,2)</f>
        <v/>
      </c>
      <c r="S2264" s="6" t="inlineStr">
        <is>
          <t>G2G</t>
        </is>
      </c>
      <c r="T2264" s="1" t="inlineStr">
        <is>
          <t>P4 - PEIPL</t>
        </is>
      </c>
      <c r="U2264" s="2" t="inlineStr">
        <is>
          <t xml:space="preserve">physically damaged </t>
        </is>
      </c>
      <c r="V2264" s="1" t="inlineStr">
        <is>
          <t>Inspection</t>
        </is>
      </c>
      <c r="W2264" s="1" t="inlineStr">
        <is>
          <t>Rejected</t>
        </is>
      </c>
      <c r="X2264" s="5">
        <f>Z2264</f>
        <v/>
      </c>
      <c r="Y2264" s="1">
        <f>X2264-A2264</f>
        <v/>
      </c>
      <c r="Z2264" s="5" t="n">
        <v>46198</v>
      </c>
      <c r="AA2264" s="3" t="n"/>
      <c r="AB2264" s="3" t="n"/>
      <c r="AE2264" s="146">
        <f>IF(AND(F2264="Closed",X2264&gt;=DATE(2026,6,1),X2264&lt;=DATE(2026,6,30)),"Closed in June","other")</f>
        <v/>
      </c>
    </row>
    <row r="2265" hidden="1">
      <c r="A2265" s="49" t="n">
        <v>46177</v>
      </c>
      <c r="B2265" s="1" t="n">
        <v>2026</v>
      </c>
      <c r="C2265" s="8" t="inlineStr">
        <is>
          <t>Ayana</t>
        </is>
      </c>
      <c r="D2265" s="11" t="inlineStr">
        <is>
          <t>Utility and C&amp;I</t>
        </is>
      </c>
      <c r="E2265" s="1" t="n"/>
      <c r="F2265" s="1" t="inlineStr">
        <is>
          <t>Closed</t>
        </is>
      </c>
      <c r="G2265" s="11" t="inlineStr">
        <is>
          <t>Vasu.N</t>
        </is>
      </c>
      <c r="H2265" s="8" t="n">
        <v>9578099893</v>
      </c>
      <c r="I2265" s="10" t="inlineStr">
        <is>
          <t>PE04062601</t>
        </is>
      </c>
      <c r="J2265" s="28" t="inlineStr">
        <is>
          <t>Module burnt</t>
        </is>
      </c>
      <c r="K2265" s="8" t="inlineStr">
        <is>
          <t>Zura</t>
        </is>
      </c>
      <c r="L2265" s="39" t="inlineStr">
        <is>
          <t>Gujarat</t>
        </is>
      </c>
      <c r="M2265" s="2" t="inlineStr">
        <is>
          <t xml:space="preserve">damage </t>
        </is>
      </c>
      <c r="N2265" s="6" t="inlineStr">
        <is>
          <t>Module Breakage</t>
        </is>
      </c>
      <c r="O2265" s="32" t="n">
        <v>590</v>
      </c>
      <c r="P2265" s="2" t="inlineStr">
        <is>
          <t>NSMI24110797790</t>
        </is>
      </c>
      <c r="Q2265" s="29">
        <f>MID(P2265,5,2)</f>
        <v/>
      </c>
      <c r="R2265" s="14">
        <f>MID(P2265,7,2)</f>
        <v/>
      </c>
      <c r="S2265" s="6" t="inlineStr">
        <is>
          <t>G2G</t>
        </is>
      </c>
      <c r="T2265" s="1" t="inlineStr">
        <is>
          <t>P4 - PEIPL</t>
        </is>
      </c>
      <c r="U2265" s="2" t="inlineStr">
        <is>
          <t xml:space="preserve">physically damaged </t>
        </is>
      </c>
      <c r="V2265" s="1" t="inlineStr">
        <is>
          <t>Inspection</t>
        </is>
      </c>
      <c r="W2265" s="1" t="inlineStr">
        <is>
          <t>Rejected</t>
        </is>
      </c>
      <c r="X2265" s="5">
        <f>Z2265</f>
        <v/>
      </c>
      <c r="Y2265" s="1">
        <f>X2265-A2265</f>
        <v/>
      </c>
      <c r="Z2265" s="5" t="n">
        <v>46198</v>
      </c>
      <c r="AA2265" s="3" t="n"/>
      <c r="AB2265" s="3" t="n"/>
      <c r="AE2265" s="146">
        <f>IF(AND(F2265="Closed",X2265&gt;=DATE(2026,6,1),X2265&lt;=DATE(2026,6,30)),"Closed in June","other")</f>
        <v/>
      </c>
    </row>
    <row r="2266" hidden="1">
      <c r="A2266" s="49" t="n">
        <v>46177</v>
      </c>
      <c r="B2266" s="1" t="n">
        <v>2026</v>
      </c>
      <c r="C2266" s="8" t="inlineStr">
        <is>
          <t>Ayana</t>
        </is>
      </c>
      <c r="D2266" s="11" t="inlineStr">
        <is>
          <t>Utility and C&amp;I</t>
        </is>
      </c>
      <c r="E2266" s="1" t="n"/>
      <c r="F2266" s="1" t="inlineStr">
        <is>
          <t>Closed</t>
        </is>
      </c>
      <c r="G2266" s="11" t="inlineStr">
        <is>
          <t>Vasu.N</t>
        </is>
      </c>
      <c r="H2266" s="8" t="n">
        <v>9578099893</v>
      </c>
      <c r="I2266" s="10" t="inlineStr">
        <is>
          <t>PE04062601</t>
        </is>
      </c>
      <c r="J2266" s="28" t="inlineStr">
        <is>
          <t>Module burnt</t>
        </is>
      </c>
      <c r="K2266" s="8" t="inlineStr">
        <is>
          <t>Zura</t>
        </is>
      </c>
      <c r="L2266" s="39" t="inlineStr">
        <is>
          <t>Gujarat</t>
        </is>
      </c>
      <c r="M2266" s="2" t="inlineStr">
        <is>
          <t xml:space="preserve">damage </t>
        </is>
      </c>
      <c r="N2266" s="6" t="inlineStr">
        <is>
          <t>Module Breakage</t>
        </is>
      </c>
      <c r="O2266" s="32" t="n">
        <v>590</v>
      </c>
      <c r="P2266" s="2" t="inlineStr">
        <is>
          <t>NSMI24110800569</t>
        </is>
      </c>
      <c r="Q2266" s="29">
        <f>MID(P2266,5,2)</f>
        <v/>
      </c>
      <c r="R2266" s="14">
        <f>MID(P2266,7,2)</f>
        <v/>
      </c>
      <c r="S2266" s="6" t="inlineStr">
        <is>
          <t>G2G</t>
        </is>
      </c>
      <c r="T2266" s="1" t="inlineStr">
        <is>
          <t>P4 - PEIPL</t>
        </is>
      </c>
      <c r="U2266" s="2" t="inlineStr">
        <is>
          <t xml:space="preserve">physically damaged </t>
        </is>
      </c>
      <c r="V2266" s="1" t="inlineStr">
        <is>
          <t>Inspection</t>
        </is>
      </c>
      <c r="W2266" s="1" t="inlineStr">
        <is>
          <t>Rejected</t>
        </is>
      </c>
      <c r="X2266" s="5">
        <f>Z2266</f>
        <v/>
      </c>
      <c r="Y2266" s="1">
        <f>X2266-A2266</f>
        <v/>
      </c>
      <c r="Z2266" s="5" t="n">
        <v>46198</v>
      </c>
      <c r="AA2266" s="3" t="n"/>
      <c r="AB2266" s="3" t="n"/>
      <c r="AE2266" s="146">
        <f>IF(AND(F2266="Closed",X2266&gt;=DATE(2026,6,1),X2266&lt;=DATE(2026,6,30)),"Closed in June","other")</f>
        <v/>
      </c>
    </row>
    <row r="2267" hidden="1">
      <c r="A2267" s="49" t="n">
        <v>46177</v>
      </c>
      <c r="B2267" s="1" t="n">
        <v>2026</v>
      </c>
      <c r="C2267" s="8" t="inlineStr">
        <is>
          <t>Ayana</t>
        </is>
      </c>
      <c r="D2267" s="11" t="inlineStr">
        <is>
          <t>Utility and C&amp;I</t>
        </is>
      </c>
      <c r="E2267" s="1" t="n"/>
      <c r="F2267" s="1" t="inlineStr">
        <is>
          <t>Closed</t>
        </is>
      </c>
      <c r="G2267" s="11" t="inlineStr">
        <is>
          <t>Vasu.N</t>
        </is>
      </c>
      <c r="H2267" s="8" t="n">
        <v>9578099893</v>
      </c>
      <c r="I2267" s="10" t="inlineStr">
        <is>
          <t>PE04062601</t>
        </is>
      </c>
      <c r="J2267" s="28" t="inlineStr">
        <is>
          <t>Module burnt</t>
        </is>
      </c>
      <c r="K2267" s="8" t="inlineStr">
        <is>
          <t>Zura</t>
        </is>
      </c>
      <c r="L2267" s="39" t="inlineStr">
        <is>
          <t>Gujarat</t>
        </is>
      </c>
      <c r="M2267" s="2" t="inlineStr">
        <is>
          <t xml:space="preserve">damage </t>
        </is>
      </c>
      <c r="N2267" s="6" t="inlineStr">
        <is>
          <t>Module Breakage</t>
        </is>
      </c>
      <c r="O2267" s="32" t="n">
        <v>590</v>
      </c>
      <c r="P2267" s="2" t="inlineStr">
        <is>
          <t>NSMI24100571185</t>
        </is>
      </c>
      <c r="Q2267" s="29">
        <f>MID(P2267,5,2)</f>
        <v/>
      </c>
      <c r="R2267" s="14">
        <f>MID(P2267,7,2)</f>
        <v/>
      </c>
      <c r="S2267" s="6" t="inlineStr">
        <is>
          <t>G2G</t>
        </is>
      </c>
      <c r="T2267" s="1" t="inlineStr">
        <is>
          <t>P4 - PEIPL</t>
        </is>
      </c>
      <c r="U2267" s="2" t="inlineStr">
        <is>
          <t xml:space="preserve">physically damaged </t>
        </is>
      </c>
      <c r="V2267" s="1" t="inlineStr">
        <is>
          <t>Inspection</t>
        </is>
      </c>
      <c r="W2267" s="1" t="inlineStr">
        <is>
          <t>Rejected</t>
        </is>
      </c>
      <c r="X2267" s="5">
        <f>Z2267</f>
        <v/>
      </c>
      <c r="Y2267" s="1">
        <f>X2267-A2267</f>
        <v/>
      </c>
      <c r="Z2267" s="5" t="n">
        <v>46198</v>
      </c>
      <c r="AA2267" s="3" t="n"/>
      <c r="AB2267" s="3" t="n"/>
      <c r="AE2267" s="146">
        <f>IF(AND(F2267="Closed",X2267&gt;=DATE(2026,6,1),X2267&lt;=DATE(2026,6,30)),"Closed in June","other")</f>
        <v/>
      </c>
    </row>
    <row r="2268" hidden="1">
      <c r="A2268" s="49" t="n">
        <v>46177</v>
      </c>
      <c r="B2268" s="1" t="n">
        <v>2026</v>
      </c>
      <c r="C2268" s="8" t="inlineStr">
        <is>
          <t>Ayana</t>
        </is>
      </c>
      <c r="D2268" s="11" t="inlineStr">
        <is>
          <t>Utility and C&amp;I</t>
        </is>
      </c>
      <c r="E2268" s="1" t="n"/>
      <c r="F2268" s="1" t="inlineStr">
        <is>
          <t>Closed</t>
        </is>
      </c>
      <c r="G2268" s="11" t="inlineStr">
        <is>
          <t>Vasu.N</t>
        </is>
      </c>
      <c r="H2268" s="8" t="n">
        <v>9578099893</v>
      </c>
      <c r="I2268" s="10" t="inlineStr">
        <is>
          <t>PE04062601</t>
        </is>
      </c>
      <c r="J2268" s="28" t="inlineStr">
        <is>
          <t>Module burnt</t>
        </is>
      </c>
      <c r="K2268" s="8" t="inlineStr">
        <is>
          <t>Zura</t>
        </is>
      </c>
      <c r="L2268" s="39" t="inlineStr">
        <is>
          <t>Gujarat</t>
        </is>
      </c>
      <c r="M2268" s="2" t="inlineStr">
        <is>
          <t xml:space="preserve">damage </t>
        </is>
      </c>
      <c r="N2268" s="6" t="inlineStr">
        <is>
          <t>Module Breakage</t>
        </is>
      </c>
      <c r="O2268" s="32" t="n">
        <v>590</v>
      </c>
      <c r="P2268" s="2" t="inlineStr">
        <is>
          <t>NSMI24100571158</t>
        </is>
      </c>
      <c r="Q2268" s="29">
        <f>MID(P2268,5,2)</f>
        <v/>
      </c>
      <c r="R2268" s="14">
        <f>MID(P2268,7,2)</f>
        <v/>
      </c>
      <c r="S2268" s="6" t="inlineStr">
        <is>
          <t>G2G</t>
        </is>
      </c>
      <c r="T2268" s="1" t="inlineStr">
        <is>
          <t>P4 - PEIPL</t>
        </is>
      </c>
      <c r="U2268" s="2" t="inlineStr">
        <is>
          <t xml:space="preserve">physically damaged </t>
        </is>
      </c>
      <c r="V2268" s="1" t="inlineStr">
        <is>
          <t>Inspection</t>
        </is>
      </c>
      <c r="W2268" s="1" t="inlineStr">
        <is>
          <t>Rejected</t>
        </is>
      </c>
      <c r="X2268" s="5">
        <f>Z2268</f>
        <v/>
      </c>
      <c r="Y2268" s="1">
        <f>X2268-A2268</f>
        <v/>
      </c>
      <c r="Z2268" s="5" t="n">
        <v>46198</v>
      </c>
      <c r="AA2268" s="3" t="n"/>
      <c r="AB2268" s="3" t="n"/>
      <c r="AE2268" s="146">
        <f>IF(AND(F2268="Closed",X2268&gt;=DATE(2026,6,1),X2268&lt;=DATE(2026,6,30)),"Closed in June","other")</f>
        <v/>
      </c>
    </row>
    <row r="2269" hidden="1">
      <c r="A2269" s="49" t="n">
        <v>46177</v>
      </c>
      <c r="B2269" s="1" t="n">
        <v>2026</v>
      </c>
      <c r="C2269" s="8" t="inlineStr">
        <is>
          <t>Ayana</t>
        </is>
      </c>
      <c r="D2269" s="11" t="inlineStr">
        <is>
          <t>Utility and C&amp;I</t>
        </is>
      </c>
      <c r="E2269" s="1" t="n"/>
      <c r="F2269" s="1" t="inlineStr">
        <is>
          <t>Closed</t>
        </is>
      </c>
      <c r="G2269" s="11" t="inlineStr">
        <is>
          <t>Vasu.N</t>
        </is>
      </c>
      <c r="H2269" s="8" t="n">
        <v>9578099893</v>
      </c>
      <c r="I2269" s="10" t="inlineStr">
        <is>
          <t>PE04062601</t>
        </is>
      </c>
      <c r="J2269" s="28" t="inlineStr">
        <is>
          <t>Module burnt</t>
        </is>
      </c>
      <c r="K2269" s="8" t="inlineStr">
        <is>
          <t>Zura</t>
        </is>
      </c>
      <c r="L2269" s="39" t="inlineStr">
        <is>
          <t>Gujarat</t>
        </is>
      </c>
      <c r="M2269" s="2" t="inlineStr">
        <is>
          <t xml:space="preserve">damage </t>
        </is>
      </c>
      <c r="N2269" s="6" t="inlineStr">
        <is>
          <t>Module Breakage</t>
        </is>
      </c>
      <c r="O2269" s="32" t="n">
        <v>590</v>
      </c>
      <c r="P2269" s="2" t="inlineStr">
        <is>
          <t>NSMI24110796739</t>
        </is>
      </c>
      <c r="Q2269" s="29">
        <f>MID(P2269,5,2)</f>
        <v/>
      </c>
      <c r="R2269" s="14">
        <f>MID(P2269,7,2)</f>
        <v/>
      </c>
      <c r="S2269" s="6" t="inlineStr">
        <is>
          <t>G2G</t>
        </is>
      </c>
      <c r="T2269" s="1" t="inlineStr">
        <is>
          <t>P4 - PEIPL</t>
        </is>
      </c>
      <c r="U2269" s="2" t="inlineStr">
        <is>
          <t xml:space="preserve">physically damaged </t>
        </is>
      </c>
      <c r="V2269" s="1" t="inlineStr">
        <is>
          <t>Inspection</t>
        </is>
      </c>
      <c r="W2269" s="1" t="inlineStr">
        <is>
          <t>Rejected</t>
        </is>
      </c>
      <c r="X2269" s="5">
        <f>Z2269</f>
        <v/>
      </c>
      <c r="Y2269" s="1">
        <f>X2269-A2269</f>
        <v/>
      </c>
      <c r="Z2269" s="5" t="n">
        <v>46198</v>
      </c>
      <c r="AA2269" s="3" t="n"/>
      <c r="AB2269" s="3" t="n"/>
      <c r="AE2269" s="146">
        <f>IF(AND(F2269="Closed",X2269&gt;=DATE(2026,6,1),X2269&lt;=DATE(2026,6,30)),"Closed in June","other")</f>
        <v/>
      </c>
    </row>
    <row r="2270" hidden="1">
      <c r="A2270" s="49" t="n">
        <v>46177</v>
      </c>
      <c r="B2270" s="1" t="n">
        <v>2026</v>
      </c>
      <c r="C2270" s="8" t="inlineStr">
        <is>
          <t>Ayana</t>
        </is>
      </c>
      <c r="D2270" s="11" t="inlineStr">
        <is>
          <t>Utility and C&amp;I</t>
        </is>
      </c>
      <c r="E2270" s="1" t="n"/>
      <c r="F2270" s="1" t="inlineStr">
        <is>
          <t>Closed</t>
        </is>
      </c>
      <c r="G2270" s="11" t="inlineStr">
        <is>
          <t>Vasu.N</t>
        </is>
      </c>
      <c r="H2270" s="8" t="n">
        <v>9578099893</v>
      </c>
      <c r="I2270" s="10" t="inlineStr">
        <is>
          <t>PE04062601</t>
        </is>
      </c>
      <c r="J2270" s="28" t="inlineStr">
        <is>
          <t>Module burnt</t>
        </is>
      </c>
      <c r="K2270" s="8" t="inlineStr">
        <is>
          <t>Zura</t>
        </is>
      </c>
      <c r="L2270" s="39" t="inlineStr">
        <is>
          <t>Gujarat</t>
        </is>
      </c>
      <c r="M2270" s="2" t="inlineStr">
        <is>
          <t xml:space="preserve">damage </t>
        </is>
      </c>
      <c r="N2270" s="6" t="inlineStr">
        <is>
          <t>Module Breakage</t>
        </is>
      </c>
      <c r="O2270" s="32" t="n">
        <v>590</v>
      </c>
      <c r="P2270" s="2" t="inlineStr">
        <is>
          <t>NSMI24100646280</t>
        </is>
      </c>
      <c r="Q2270" s="29">
        <f>MID(P2270,5,2)</f>
        <v/>
      </c>
      <c r="R2270" s="14">
        <f>MID(P2270,7,2)</f>
        <v/>
      </c>
      <c r="S2270" s="6" t="inlineStr">
        <is>
          <t>G2G</t>
        </is>
      </c>
      <c r="T2270" s="1" t="inlineStr">
        <is>
          <t>P4 - PEIPL</t>
        </is>
      </c>
      <c r="U2270" s="2" t="inlineStr">
        <is>
          <t xml:space="preserve">physically damaged </t>
        </is>
      </c>
      <c r="V2270" s="1" t="inlineStr">
        <is>
          <t>Inspection</t>
        </is>
      </c>
      <c r="W2270" s="1" t="inlineStr">
        <is>
          <t>Rejected</t>
        </is>
      </c>
      <c r="X2270" s="5">
        <f>Z2270</f>
        <v/>
      </c>
      <c r="Y2270" s="1">
        <f>X2270-A2270</f>
        <v/>
      </c>
      <c r="Z2270" s="5" t="n">
        <v>46198</v>
      </c>
      <c r="AA2270" s="3" t="n"/>
      <c r="AB2270" s="3" t="n"/>
      <c r="AE2270" s="146">
        <f>IF(AND(F2270="Closed",X2270&gt;=DATE(2026,6,1),X2270&lt;=DATE(2026,6,30)),"Closed in June","other")</f>
        <v/>
      </c>
    </row>
    <row r="2271" hidden="1">
      <c r="A2271" s="49" t="n">
        <v>46177</v>
      </c>
      <c r="B2271" s="1" t="n">
        <v>2026</v>
      </c>
      <c r="C2271" s="8" t="inlineStr">
        <is>
          <t>Ayana</t>
        </is>
      </c>
      <c r="D2271" s="11" t="inlineStr">
        <is>
          <t>Utility and C&amp;I</t>
        </is>
      </c>
      <c r="E2271" s="1" t="n"/>
      <c r="F2271" s="1" t="inlineStr">
        <is>
          <t>Closed</t>
        </is>
      </c>
      <c r="G2271" s="11" t="inlineStr">
        <is>
          <t>Vasu.N</t>
        </is>
      </c>
      <c r="H2271" s="8" t="n">
        <v>9578099893</v>
      </c>
      <c r="I2271" s="10" t="inlineStr">
        <is>
          <t>PE04062601</t>
        </is>
      </c>
      <c r="J2271" s="28" t="inlineStr">
        <is>
          <t>Module burnt</t>
        </is>
      </c>
      <c r="K2271" s="8" t="inlineStr">
        <is>
          <t>Zura</t>
        </is>
      </c>
      <c r="L2271" s="39" t="inlineStr">
        <is>
          <t>Gujarat</t>
        </is>
      </c>
      <c r="M2271" s="2" t="inlineStr">
        <is>
          <t xml:space="preserve">damage </t>
        </is>
      </c>
      <c r="N2271" s="6" t="inlineStr">
        <is>
          <t>Module Breakage</t>
        </is>
      </c>
      <c r="O2271" s="32" t="n">
        <v>590</v>
      </c>
      <c r="P2271" s="2" t="inlineStr">
        <is>
          <t>NSMI24100640975</t>
        </is>
      </c>
      <c r="Q2271" s="29">
        <f>MID(P2271,5,2)</f>
        <v/>
      </c>
      <c r="R2271" s="14">
        <f>MID(P2271,7,2)</f>
        <v/>
      </c>
      <c r="S2271" s="6" t="inlineStr">
        <is>
          <t>G2G</t>
        </is>
      </c>
      <c r="T2271" s="1" t="inlineStr">
        <is>
          <t>P4 - PEIPL</t>
        </is>
      </c>
      <c r="U2271" s="2" t="inlineStr">
        <is>
          <t xml:space="preserve">physically damaged </t>
        </is>
      </c>
      <c r="V2271" s="1" t="inlineStr">
        <is>
          <t>Inspection</t>
        </is>
      </c>
      <c r="W2271" s="1" t="inlineStr">
        <is>
          <t>Rejected</t>
        </is>
      </c>
      <c r="X2271" s="5">
        <f>Z2271</f>
        <v/>
      </c>
      <c r="Y2271" s="1">
        <f>X2271-A2271</f>
        <v/>
      </c>
      <c r="Z2271" s="5" t="n">
        <v>46198</v>
      </c>
      <c r="AA2271" s="3" t="n"/>
      <c r="AB2271" s="3" t="n"/>
      <c r="AE2271" s="146">
        <f>IF(AND(F2271="Closed",X2271&gt;=DATE(2026,6,1),X2271&lt;=DATE(2026,6,30)),"Closed in June","other")</f>
        <v/>
      </c>
    </row>
    <row r="2272" hidden="1">
      <c r="A2272" s="49" t="n">
        <v>46177</v>
      </c>
      <c r="B2272" s="1" t="n">
        <v>2026</v>
      </c>
      <c r="C2272" s="8" t="inlineStr">
        <is>
          <t>Ayana</t>
        </is>
      </c>
      <c r="D2272" s="11" t="inlineStr">
        <is>
          <t>Utility and C&amp;I</t>
        </is>
      </c>
      <c r="E2272" s="1" t="n"/>
      <c r="F2272" s="1" t="inlineStr">
        <is>
          <t>Closed</t>
        </is>
      </c>
      <c r="G2272" s="11" t="inlineStr">
        <is>
          <t>Vasu.N</t>
        </is>
      </c>
      <c r="H2272" s="8" t="n">
        <v>9578099893</v>
      </c>
      <c r="I2272" s="10" t="inlineStr">
        <is>
          <t>PE04062601</t>
        </is>
      </c>
      <c r="J2272" s="28" t="inlineStr">
        <is>
          <t>Module burnt</t>
        </is>
      </c>
      <c r="K2272" s="8" t="inlineStr">
        <is>
          <t>Zura</t>
        </is>
      </c>
      <c r="L2272" s="39" t="inlineStr">
        <is>
          <t>Gujarat</t>
        </is>
      </c>
      <c r="M2272" s="2" t="inlineStr">
        <is>
          <t xml:space="preserve">damage </t>
        </is>
      </c>
      <c r="N2272" s="6" t="inlineStr">
        <is>
          <t>Module Breakage</t>
        </is>
      </c>
      <c r="O2272" s="32" t="n">
        <v>590</v>
      </c>
      <c r="P2272" s="2" t="inlineStr">
        <is>
          <t>NSMI24110821363</t>
        </is>
      </c>
      <c r="Q2272" s="29">
        <f>MID(P2272,5,2)</f>
        <v/>
      </c>
      <c r="R2272" s="14">
        <f>MID(P2272,7,2)</f>
        <v/>
      </c>
      <c r="S2272" s="6" t="inlineStr">
        <is>
          <t>G2G</t>
        </is>
      </c>
      <c r="T2272" s="1" t="inlineStr">
        <is>
          <t>P4 - PEIPL</t>
        </is>
      </c>
      <c r="U2272" s="2" t="inlineStr">
        <is>
          <t xml:space="preserve">physically damaged </t>
        </is>
      </c>
      <c r="V2272" s="1" t="inlineStr">
        <is>
          <t>Inspection</t>
        </is>
      </c>
      <c r="W2272" s="1" t="inlineStr">
        <is>
          <t>Rejected</t>
        </is>
      </c>
      <c r="X2272" s="5">
        <f>Z2272</f>
        <v/>
      </c>
      <c r="Y2272" s="1">
        <f>X2272-A2272</f>
        <v/>
      </c>
      <c r="Z2272" s="5" t="n">
        <v>46198</v>
      </c>
      <c r="AA2272" s="3" t="n"/>
      <c r="AB2272" s="3" t="n"/>
      <c r="AE2272" s="146">
        <f>IF(AND(F2272="Closed",X2272&gt;=DATE(2026,6,1),X2272&lt;=DATE(2026,6,30)),"Closed in June","other")</f>
        <v/>
      </c>
    </row>
    <row r="2273" hidden="1">
      <c r="A2273" s="49" t="n">
        <v>46177</v>
      </c>
      <c r="B2273" s="1" t="n">
        <v>2026</v>
      </c>
      <c r="C2273" s="8" t="inlineStr">
        <is>
          <t>Ayana</t>
        </is>
      </c>
      <c r="D2273" s="11" t="inlineStr">
        <is>
          <t>Utility and C&amp;I</t>
        </is>
      </c>
      <c r="E2273" s="1" t="n"/>
      <c r="F2273" s="1" t="inlineStr">
        <is>
          <t>Closed</t>
        </is>
      </c>
      <c r="G2273" s="11" t="inlineStr">
        <is>
          <t>Vasu.N</t>
        </is>
      </c>
      <c r="H2273" s="8" t="n">
        <v>9578099893</v>
      </c>
      <c r="I2273" s="10" t="inlineStr">
        <is>
          <t>PE04062601</t>
        </is>
      </c>
      <c r="J2273" s="28" t="inlineStr">
        <is>
          <t>Module burnt</t>
        </is>
      </c>
      <c r="K2273" s="8" t="inlineStr">
        <is>
          <t>Zura</t>
        </is>
      </c>
      <c r="L2273" s="39" t="inlineStr">
        <is>
          <t>Gujarat</t>
        </is>
      </c>
      <c r="M2273" s="2" t="inlineStr">
        <is>
          <t xml:space="preserve">damage </t>
        </is>
      </c>
      <c r="N2273" s="6" t="inlineStr">
        <is>
          <t>Module Breakage</t>
        </is>
      </c>
      <c r="O2273" s="32" t="n">
        <v>590</v>
      </c>
      <c r="P2273" s="2" t="inlineStr">
        <is>
          <t>NSMI24110836939</t>
        </is>
      </c>
      <c r="Q2273" s="29">
        <f>MID(P2273,5,2)</f>
        <v/>
      </c>
      <c r="R2273" s="14">
        <f>MID(P2273,7,2)</f>
        <v/>
      </c>
      <c r="S2273" s="6" t="inlineStr">
        <is>
          <t>G2G</t>
        </is>
      </c>
      <c r="T2273" s="1" t="inlineStr">
        <is>
          <t>P4 - PEIPL</t>
        </is>
      </c>
      <c r="U2273" s="2" t="inlineStr">
        <is>
          <t xml:space="preserve">physically damaged </t>
        </is>
      </c>
      <c r="V2273" s="1" t="inlineStr">
        <is>
          <t>Inspection</t>
        </is>
      </c>
      <c r="W2273" s="1" t="inlineStr">
        <is>
          <t>Rejected</t>
        </is>
      </c>
      <c r="X2273" s="5">
        <f>Z2273</f>
        <v/>
      </c>
      <c r="Y2273" s="1">
        <f>X2273-A2273</f>
        <v/>
      </c>
      <c r="Z2273" s="5" t="n">
        <v>46198</v>
      </c>
      <c r="AA2273" s="3" t="n"/>
      <c r="AB2273" s="3" t="n"/>
      <c r="AE2273" s="146">
        <f>IF(AND(F2273="Closed",X2273&gt;=DATE(2026,6,1),X2273&lt;=DATE(2026,6,30)),"Closed in June","other")</f>
        <v/>
      </c>
    </row>
    <row r="2274" hidden="1">
      <c r="A2274" s="49" t="n">
        <v>46177</v>
      </c>
      <c r="B2274" s="1" t="n">
        <v>2026</v>
      </c>
      <c r="C2274" s="8" t="inlineStr">
        <is>
          <t>Ayana</t>
        </is>
      </c>
      <c r="D2274" s="11" t="inlineStr">
        <is>
          <t>Utility and C&amp;I</t>
        </is>
      </c>
      <c r="E2274" s="1" t="n"/>
      <c r="F2274" s="1" t="inlineStr">
        <is>
          <t>Closed</t>
        </is>
      </c>
      <c r="G2274" s="11" t="inlineStr">
        <is>
          <t>Vasu.N</t>
        </is>
      </c>
      <c r="H2274" s="8" t="n">
        <v>9578099893</v>
      </c>
      <c r="I2274" s="10" t="inlineStr">
        <is>
          <t>PE04062601</t>
        </is>
      </c>
      <c r="J2274" s="28" t="inlineStr">
        <is>
          <t>Module burnt</t>
        </is>
      </c>
      <c r="K2274" s="8" t="inlineStr">
        <is>
          <t>Zura</t>
        </is>
      </c>
      <c r="L2274" s="39" t="inlineStr">
        <is>
          <t>Gujarat</t>
        </is>
      </c>
      <c r="M2274" s="2" t="inlineStr">
        <is>
          <t xml:space="preserve">damage </t>
        </is>
      </c>
      <c r="N2274" s="6" t="inlineStr">
        <is>
          <t>Module Breakage</t>
        </is>
      </c>
      <c r="O2274" s="32" t="n">
        <v>590</v>
      </c>
      <c r="P2274" s="2" t="inlineStr">
        <is>
          <t>NSMI24110821410</t>
        </is>
      </c>
      <c r="Q2274" s="29">
        <f>MID(P2274,5,2)</f>
        <v/>
      </c>
      <c r="R2274" s="14">
        <f>MID(P2274,7,2)</f>
        <v/>
      </c>
      <c r="S2274" s="6" t="inlineStr">
        <is>
          <t>G2G</t>
        </is>
      </c>
      <c r="T2274" s="1" t="inlineStr">
        <is>
          <t>P4 - PEIPL</t>
        </is>
      </c>
      <c r="U2274" s="2" t="inlineStr">
        <is>
          <t xml:space="preserve">physically damaged </t>
        </is>
      </c>
      <c r="V2274" s="1" t="inlineStr">
        <is>
          <t>Inspection</t>
        </is>
      </c>
      <c r="W2274" s="1" t="inlineStr">
        <is>
          <t>Rejected</t>
        </is>
      </c>
      <c r="X2274" s="5">
        <f>Z2274</f>
        <v/>
      </c>
      <c r="Y2274" s="1">
        <f>X2274-A2274</f>
        <v/>
      </c>
      <c r="Z2274" s="5" t="n">
        <v>46198</v>
      </c>
      <c r="AA2274" s="3" t="n"/>
      <c r="AB2274" s="3" t="n"/>
      <c r="AE2274" s="146">
        <f>IF(AND(F2274="Closed",X2274&gt;=DATE(2026,6,1),X2274&lt;=DATE(2026,6,30)),"Closed in June","other")</f>
        <v/>
      </c>
    </row>
    <row r="2275" hidden="1">
      <c r="A2275" s="49" t="n">
        <v>46177</v>
      </c>
      <c r="B2275" s="1" t="n">
        <v>2026</v>
      </c>
      <c r="C2275" s="8" t="inlineStr">
        <is>
          <t>Ayana</t>
        </is>
      </c>
      <c r="D2275" s="11" t="inlineStr">
        <is>
          <t>Utility and C&amp;I</t>
        </is>
      </c>
      <c r="E2275" s="1" t="n"/>
      <c r="F2275" s="1" t="inlineStr">
        <is>
          <t>Closed</t>
        </is>
      </c>
      <c r="G2275" s="11" t="inlineStr">
        <is>
          <t>Vasu.N</t>
        </is>
      </c>
      <c r="H2275" s="8" t="n">
        <v>9578099893</v>
      </c>
      <c r="I2275" s="10" t="inlineStr">
        <is>
          <t>PE04062601</t>
        </is>
      </c>
      <c r="J2275" s="28" t="inlineStr">
        <is>
          <t>Module burnt</t>
        </is>
      </c>
      <c r="K2275" s="8" t="inlineStr">
        <is>
          <t>Zura</t>
        </is>
      </c>
      <c r="L2275" s="39" t="inlineStr">
        <is>
          <t>Gujarat</t>
        </is>
      </c>
      <c r="M2275" s="2" t="inlineStr">
        <is>
          <t xml:space="preserve">damage </t>
        </is>
      </c>
      <c r="N2275" s="6" t="inlineStr">
        <is>
          <t>Module Breakage</t>
        </is>
      </c>
      <c r="O2275" s="32" t="n">
        <v>590</v>
      </c>
      <c r="P2275" s="2" t="inlineStr">
        <is>
          <t>NSMI24110821361</t>
        </is>
      </c>
      <c r="Q2275" s="29">
        <f>MID(P2275,5,2)</f>
        <v/>
      </c>
      <c r="R2275" s="14">
        <f>MID(P2275,7,2)</f>
        <v/>
      </c>
      <c r="S2275" s="6" t="inlineStr">
        <is>
          <t>G2G</t>
        </is>
      </c>
      <c r="T2275" s="1" t="inlineStr">
        <is>
          <t>P4 - PEIPL</t>
        </is>
      </c>
      <c r="U2275" s="2" t="inlineStr">
        <is>
          <t xml:space="preserve">physically damaged </t>
        </is>
      </c>
      <c r="V2275" s="1" t="inlineStr">
        <is>
          <t>Inspection</t>
        </is>
      </c>
      <c r="W2275" s="1" t="inlineStr">
        <is>
          <t>Rejected</t>
        </is>
      </c>
      <c r="X2275" s="5">
        <f>Z2275</f>
        <v/>
      </c>
      <c r="Y2275" s="1">
        <f>X2275-A2275</f>
        <v/>
      </c>
      <c r="Z2275" s="5" t="n">
        <v>46198</v>
      </c>
      <c r="AA2275" s="3" t="n"/>
      <c r="AB2275" s="3" t="n"/>
      <c r="AE2275" s="146">
        <f>IF(AND(F2275="Closed",X2275&gt;=DATE(2026,6,1),X2275&lt;=DATE(2026,6,30)),"Closed in June","other")</f>
        <v/>
      </c>
    </row>
    <row r="2276" hidden="1">
      <c r="A2276" s="49" t="n">
        <v>46177</v>
      </c>
      <c r="B2276" s="1" t="n">
        <v>2026</v>
      </c>
      <c r="C2276" s="8" t="inlineStr">
        <is>
          <t>Ayana</t>
        </is>
      </c>
      <c r="D2276" s="11" t="inlineStr">
        <is>
          <t>Utility and C&amp;I</t>
        </is>
      </c>
      <c r="E2276" s="1" t="n"/>
      <c r="F2276" s="1" t="inlineStr">
        <is>
          <t>Closed</t>
        </is>
      </c>
      <c r="G2276" s="11" t="inlineStr">
        <is>
          <t>Vasu.N</t>
        </is>
      </c>
      <c r="H2276" s="8" t="n">
        <v>9578099893</v>
      </c>
      <c r="I2276" s="10" t="inlineStr">
        <is>
          <t>PE04062601</t>
        </is>
      </c>
      <c r="J2276" s="28" t="inlineStr">
        <is>
          <t>Module burnt</t>
        </is>
      </c>
      <c r="K2276" s="8" t="inlineStr">
        <is>
          <t>Zura</t>
        </is>
      </c>
      <c r="L2276" s="39" t="inlineStr">
        <is>
          <t>Gujarat</t>
        </is>
      </c>
      <c r="M2276" s="2" t="inlineStr">
        <is>
          <t xml:space="preserve">damage </t>
        </is>
      </c>
      <c r="N2276" s="6" t="inlineStr">
        <is>
          <t>Module Breakage</t>
        </is>
      </c>
      <c r="O2276" s="32" t="n">
        <v>590</v>
      </c>
      <c r="P2276" s="2" t="inlineStr">
        <is>
          <t>NSMI24110847863</t>
        </is>
      </c>
      <c r="Q2276" s="29">
        <f>MID(P2276,5,2)</f>
        <v/>
      </c>
      <c r="R2276" s="14">
        <f>MID(P2276,7,2)</f>
        <v/>
      </c>
      <c r="S2276" s="6" t="inlineStr">
        <is>
          <t>G2G</t>
        </is>
      </c>
      <c r="T2276" s="1" t="inlineStr">
        <is>
          <t>P4 - PEIPL</t>
        </is>
      </c>
      <c r="U2276" s="2" t="inlineStr">
        <is>
          <t xml:space="preserve">physically damaged </t>
        </is>
      </c>
      <c r="V2276" s="1" t="inlineStr">
        <is>
          <t>Inspection</t>
        </is>
      </c>
      <c r="W2276" s="1" t="inlineStr">
        <is>
          <t>Rejected</t>
        </is>
      </c>
      <c r="X2276" s="5">
        <f>Z2276</f>
        <v/>
      </c>
      <c r="Y2276" s="1">
        <f>X2276-A2276</f>
        <v/>
      </c>
      <c r="Z2276" s="5" t="n">
        <v>46198</v>
      </c>
      <c r="AA2276" s="3" t="n"/>
      <c r="AB2276" s="3" t="n"/>
      <c r="AE2276" s="146">
        <f>IF(AND(F2276="Closed",X2276&gt;=DATE(2026,6,1),X2276&lt;=DATE(2026,6,30)),"Closed in June","other")</f>
        <v/>
      </c>
    </row>
    <row r="2277" hidden="1">
      <c r="A2277" s="49" t="n">
        <v>46177</v>
      </c>
      <c r="B2277" s="1" t="n">
        <v>2026</v>
      </c>
      <c r="C2277" s="8" t="inlineStr">
        <is>
          <t>Ayana</t>
        </is>
      </c>
      <c r="D2277" s="11" t="inlineStr">
        <is>
          <t>Utility and C&amp;I</t>
        </is>
      </c>
      <c r="E2277" s="1" t="n"/>
      <c r="F2277" s="1" t="inlineStr">
        <is>
          <t>Closed</t>
        </is>
      </c>
      <c r="G2277" s="11" t="inlineStr">
        <is>
          <t>Vasu.N</t>
        </is>
      </c>
      <c r="H2277" s="8" t="n">
        <v>9578099893</v>
      </c>
      <c r="I2277" s="10" t="inlineStr">
        <is>
          <t>PE04062601</t>
        </is>
      </c>
      <c r="J2277" s="28" t="inlineStr">
        <is>
          <t>Module burnt</t>
        </is>
      </c>
      <c r="K2277" s="8" t="inlineStr">
        <is>
          <t>Zura</t>
        </is>
      </c>
      <c r="L2277" s="39" t="inlineStr">
        <is>
          <t>Gujarat</t>
        </is>
      </c>
      <c r="M2277" s="2" t="inlineStr">
        <is>
          <t xml:space="preserve">damage </t>
        </is>
      </c>
      <c r="N2277" s="6" t="inlineStr">
        <is>
          <t>Module Breakage</t>
        </is>
      </c>
      <c r="O2277" s="32" t="n">
        <v>590</v>
      </c>
      <c r="P2277" s="2" t="inlineStr">
        <is>
          <t>NSMI24100610777</t>
        </is>
      </c>
      <c r="Q2277" s="29">
        <f>MID(P2277,5,2)</f>
        <v/>
      </c>
      <c r="R2277" s="14">
        <f>MID(P2277,7,2)</f>
        <v/>
      </c>
      <c r="S2277" s="6" t="inlineStr">
        <is>
          <t>G2G</t>
        </is>
      </c>
      <c r="T2277" s="1" t="inlineStr">
        <is>
          <t>P4 - PEIPL</t>
        </is>
      </c>
      <c r="U2277" s="2" t="inlineStr">
        <is>
          <t xml:space="preserve">physically damaged </t>
        </is>
      </c>
      <c r="V2277" s="1" t="inlineStr">
        <is>
          <t>Inspection</t>
        </is>
      </c>
      <c r="W2277" s="1" t="inlineStr">
        <is>
          <t>Rejected</t>
        </is>
      </c>
      <c r="X2277" s="5">
        <f>Z2277</f>
        <v/>
      </c>
      <c r="Y2277" s="1">
        <f>X2277-A2277</f>
        <v/>
      </c>
      <c r="Z2277" s="5" t="n">
        <v>46198</v>
      </c>
      <c r="AA2277" s="3" t="n"/>
      <c r="AB2277" s="3" t="n"/>
      <c r="AE2277" s="146">
        <f>IF(AND(F2277="Closed",X2277&gt;=DATE(2026,6,1),X2277&lt;=DATE(2026,6,30)),"Closed in June","other")</f>
        <v/>
      </c>
    </row>
    <row r="2278" hidden="1">
      <c r="A2278" s="49" t="n">
        <v>46177</v>
      </c>
      <c r="B2278" s="1" t="n">
        <v>2026</v>
      </c>
      <c r="C2278" s="8" t="inlineStr">
        <is>
          <t>Ayana</t>
        </is>
      </c>
      <c r="D2278" s="11" t="inlineStr">
        <is>
          <t>Utility and C&amp;I</t>
        </is>
      </c>
      <c r="E2278" s="1" t="n"/>
      <c r="F2278" s="1" t="inlineStr">
        <is>
          <t>Closed</t>
        </is>
      </c>
      <c r="G2278" s="11" t="inlineStr">
        <is>
          <t>Vasu.N</t>
        </is>
      </c>
      <c r="H2278" s="8" t="n">
        <v>9578099893</v>
      </c>
      <c r="I2278" s="10" t="inlineStr">
        <is>
          <t>PE04062601</t>
        </is>
      </c>
      <c r="J2278" s="28" t="inlineStr">
        <is>
          <t>Module burnt</t>
        </is>
      </c>
      <c r="K2278" s="8" t="inlineStr">
        <is>
          <t>Zura</t>
        </is>
      </c>
      <c r="L2278" s="39" t="inlineStr">
        <is>
          <t>Gujarat</t>
        </is>
      </c>
      <c r="M2278" s="2" t="inlineStr">
        <is>
          <t xml:space="preserve">damage </t>
        </is>
      </c>
      <c r="N2278" s="6" t="inlineStr">
        <is>
          <t>Module Breakage</t>
        </is>
      </c>
      <c r="O2278" s="32" t="n">
        <v>590</v>
      </c>
      <c r="P2278" s="2" t="inlineStr">
        <is>
          <t>NSMI24110795715</t>
        </is>
      </c>
      <c r="Q2278" s="29">
        <f>MID(P2278,5,2)</f>
        <v/>
      </c>
      <c r="R2278" s="14">
        <f>MID(P2278,7,2)</f>
        <v/>
      </c>
      <c r="S2278" s="6" t="inlineStr">
        <is>
          <t>G2G</t>
        </is>
      </c>
      <c r="T2278" s="1" t="inlineStr">
        <is>
          <t>P4 - PEIPL</t>
        </is>
      </c>
      <c r="U2278" s="2" t="inlineStr">
        <is>
          <t xml:space="preserve">physically damaged </t>
        </is>
      </c>
      <c r="V2278" s="1" t="inlineStr">
        <is>
          <t>Inspection</t>
        </is>
      </c>
      <c r="W2278" s="1" t="inlineStr">
        <is>
          <t>Rejected</t>
        </is>
      </c>
      <c r="X2278" s="5">
        <f>Z2278</f>
        <v/>
      </c>
      <c r="Y2278" s="1">
        <f>X2278-A2278</f>
        <v/>
      </c>
      <c r="Z2278" s="5" t="n">
        <v>46198</v>
      </c>
      <c r="AA2278" s="3" t="n"/>
      <c r="AB2278" s="3" t="n"/>
      <c r="AE2278" s="146">
        <f>IF(AND(F2278="Closed",X2278&gt;=DATE(2026,6,1),X2278&lt;=DATE(2026,6,30)),"Closed in June","other")</f>
        <v/>
      </c>
    </row>
    <row r="2279" hidden="1">
      <c r="A2279" s="49" t="n">
        <v>46177</v>
      </c>
      <c r="B2279" s="1" t="n">
        <v>2026</v>
      </c>
      <c r="C2279" s="8" t="inlineStr">
        <is>
          <t>Ayana</t>
        </is>
      </c>
      <c r="D2279" s="11" t="inlineStr">
        <is>
          <t>Utility and C&amp;I</t>
        </is>
      </c>
      <c r="E2279" s="1" t="n"/>
      <c r="F2279" s="1" t="inlineStr">
        <is>
          <t>Closed</t>
        </is>
      </c>
      <c r="G2279" s="11" t="inlineStr">
        <is>
          <t>Vasu.N</t>
        </is>
      </c>
      <c r="H2279" s="8" t="n">
        <v>9578099893</v>
      </c>
      <c r="I2279" s="10" t="inlineStr">
        <is>
          <t>PE04062601</t>
        </is>
      </c>
      <c r="J2279" s="28" t="inlineStr">
        <is>
          <t>Module burnt</t>
        </is>
      </c>
      <c r="K2279" s="8" t="inlineStr">
        <is>
          <t>Zura</t>
        </is>
      </c>
      <c r="L2279" s="39" t="inlineStr">
        <is>
          <t>Gujarat</t>
        </is>
      </c>
      <c r="M2279" s="2" t="inlineStr">
        <is>
          <t xml:space="preserve">damage </t>
        </is>
      </c>
      <c r="N2279" s="6" t="inlineStr">
        <is>
          <t>Module Breakage</t>
        </is>
      </c>
      <c r="O2279" s="32" t="n">
        <v>590</v>
      </c>
      <c r="P2279" s="2" t="inlineStr">
        <is>
          <t>NSMI24090429784</t>
        </is>
      </c>
      <c r="Q2279" s="29">
        <f>MID(P2279,5,2)</f>
        <v/>
      </c>
      <c r="R2279" s="14">
        <f>MID(P2279,7,2)</f>
        <v/>
      </c>
      <c r="S2279" s="6" t="inlineStr">
        <is>
          <t>G2G</t>
        </is>
      </c>
      <c r="T2279" s="1" t="inlineStr">
        <is>
          <t>P4 - PEIPL</t>
        </is>
      </c>
      <c r="U2279" s="2" t="inlineStr">
        <is>
          <t xml:space="preserve">physically damaged </t>
        </is>
      </c>
      <c r="V2279" s="1" t="inlineStr">
        <is>
          <t>Inspection</t>
        </is>
      </c>
      <c r="W2279" s="1" t="inlineStr">
        <is>
          <t>Rejected</t>
        </is>
      </c>
      <c r="X2279" s="5">
        <f>Z2279</f>
        <v/>
      </c>
      <c r="Y2279" s="1">
        <f>X2279-A2279</f>
        <v/>
      </c>
      <c r="Z2279" s="5" t="n">
        <v>46198</v>
      </c>
      <c r="AA2279" s="3" t="n"/>
      <c r="AB2279" s="3" t="n"/>
      <c r="AE2279" s="146">
        <f>IF(AND(F2279="Closed",X2279&gt;=DATE(2026,6,1),X2279&lt;=DATE(2026,6,30)),"Closed in June","other")</f>
        <v/>
      </c>
    </row>
    <row r="2280" hidden="1">
      <c r="A2280" s="49" t="n">
        <v>46177</v>
      </c>
      <c r="B2280" s="1" t="n">
        <v>2026</v>
      </c>
      <c r="C2280" s="8" t="inlineStr">
        <is>
          <t>Ayana</t>
        </is>
      </c>
      <c r="D2280" s="11" t="inlineStr">
        <is>
          <t>Utility and C&amp;I</t>
        </is>
      </c>
      <c r="E2280" s="1" t="n"/>
      <c r="F2280" s="1" t="inlineStr">
        <is>
          <t>Closed</t>
        </is>
      </c>
      <c r="G2280" s="11" t="inlineStr">
        <is>
          <t>Vasu.N</t>
        </is>
      </c>
      <c r="H2280" s="8" t="n">
        <v>9578099893</v>
      </c>
      <c r="I2280" s="10" t="inlineStr">
        <is>
          <t>PE04062601</t>
        </is>
      </c>
      <c r="J2280" s="28" t="inlineStr">
        <is>
          <t>Module burnt</t>
        </is>
      </c>
      <c r="K2280" s="8" t="inlineStr">
        <is>
          <t>Zura</t>
        </is>
      </c>
      <c r="L2280" s="39" t="inlineStr">
        <is>
          <t>Gujarat</t>
        </is>
      </c>
      <c r="M2280" s="2" t="inlineStr">
        <is>
          <t xml:space="preserve">damage </t>
        </is>
      </c>
      <c r="N2280" s="6" t="inlineStr">
        <is>
          <t>Module Breakage</t>
        </is>
      </c>
      <c r="O2280" s="32" t="n">
        <v>590</v>
      </c>
      <c r="P2280" s="2" t="inlineStr">
        <is>
          <t>NSMI24110813857</t>
        </is>
      </c>
      <c r="Q2280" s="29">
        <f>MID(P2280,5,2)</f>
        <v/>
      </c>
      <c r="R2280" s="14">
        <f>MID(P2280,7,2)</f>
        <v/>
      </c>
      <c r="S2280" s="6" t="inlineStr">
        <is>
          <t>G2G</t>
        </is>
      </c>
      <c r="T2280" s="1" t="inlineStr">
        <is>
          <t>P4 - PEIPL</t>
        </is>
      </c>
      <c r="U2280" s="2" t="inlineStr">
        <is>
          <t xml:space="preserve">physically damaged </t>
        </is>
      </c>
      <c r="V2280" s="1" t="inlineStr">
        <is>
          <t>Inspection</t>
        </is>
      </c>
      <c r="W2280" s="1" t="inlineStr">
        <is>
          <t>Rejected</t>
        </is>
      </c>
      <c r="X2280" s="5">
        <f>Z2280</f>
        <v/>
      </c>
      <c r="Y2280" s="1">
        <f>X2280-A2280</f>
        <v/>
      </c>
      <c r="Z2280" s="5" t="n">
        <v>46198</v>
      </c>
      <c r="AA2280" s="3" t="n"/>
      <c r="AB2280" s="3" t="n"/>
      <c r="AE2280" s="146">
        <f>IF(AND(F2280="Closed",X2280&gt;=DATE(2026,6,1),X2280&lt;=DATE(2026,6,30)),"Closed in June","other")</f>
        <v/>
      </c>
    </row>
    <row r="2281" hidden="1">
      <c r="A2281" s="49" t="n">
        <v>46177</v>
      </c>
      <c r="B2281" s="1" t="n">
        <v>2026</v>
      </c>
      <c r="C2281" s="8" t="inlineStr">
        <is>
          <t>Ayana</t>
        </is>
      </c>
      <c r="D2281" s="11" t="inlineStr">
        <is>
          <t>Utility and C&amp;I</t>
        </is>
      </c>
      <c r="E2281" s="1" t="n"/>
      <c r="F2281" s="1" t="inlineStr">
        <is>
          <t>Closed</t>
        </is>
      </c>
      <c r="G2281" s="11" t="inlineStr">
        <is>
          <t>Vasu.N</t>
        </is>
      </c>
      <c r="H2281" s="8" t="n">
        <v>9578099893</v>
      </c>
      <c r="I2281" s="10" t="inlineStr">
        <is>
          <t>PE04062601</t>
        </is>
      </c>
      <c r="J2281" s="28" t="inlineStr">
        <is>
          <t>Module burnt</t>
        </is>
      </c>
      <c r="K2281" s="8" t="inlineStr">
        <is>
          <t>Zura</t>
        </is>
      </c>
      <c r="L2281" s="39" t="inlineStr">
        <is>
          <t>Gujarat</t>
        </is>
      </c>
      <c r="M2281" s="2" t="inlineStr">
        <is>
          <t xml:space="preserve">damage </t>
        </is>
      </c>
      <c r="N2281" s="6" t="inlineStr">
        <is>
          <t>Module Breakage</t>
        </is>
      </c>
      <c r="O2281" s="32" t="n">
        <v>590</v>
      </c>
      <c r="P2281" s="2" t="inlineStr">
        <is>
          <t>NSMI24100584168</t>
        </is>
      </c>
      <c r="Q2281" s="29">
        <f>MID(P2281,5,2)</f>
        <v/>
      </c>
      <c r="R2281" s="14">
        <f>MID(P2281,7,2)</f>
        <v/>
      </c>
      <c r="S2281" s="6" t="inlineStr">
        <is>
          <t>G2G</t>
        </is>
      </c>
      <c r="T2281" s="1" t="inlineStr">
        <is>
          <t>P4 - PEIPL</t>
        </is>
      </c>
      <c r="U2281" s="2" t="inlineStr">
        <is>
          <t xml:space="preserve">physically damaged </t>
        </is>
      </c>
      <c r="V2281" s="1" t="inlineStr">
        <is>
          <t>Inspection</t>
        </is>
      </c>
      <c r="W2281" s="1" t="inlineStr">
        <is>
          <t>Rejected</t>
        </is>
      </c>
      <c r="X2281" s="5">
        <f>Z2281</f>
        <v/>
      </c>
      <c r="Y2281" s="1">
        <f>X2281-A2281</f>
        <v/>
      </c>
      <c r="Z2281" s="5" t="n">
        <v>46198</v>
      </c>
      <c r="AA2281" s="3" t="n"/>
      <c r="AB2281" s="3" t="n"/>
      <c r="AE2281" s="146">
        <f>IF(AND(F2281="Closed",X2281&gt;=DATE(2026,6,1),X2281&lt;=DATE(2026,6,30)),"Closed in June","other")</f>
        <v/>
      </c>
    </row>
    <row r="2282" hidden="1">
      <c r="A2282" s="49" t="n">
        <v>46177</v>
      </c>
      <c r="B2282" s="1" t="n">
        <v>2026</v>
      </c>
      <c r="C2282" s="8" t="inlineStr">
        <is>
          <t>Ayana</t>
        </is>
      </c>
      <c r="D2282" s="11" t="inlineStr">
        <is>
          <t>Utility and C&amp;I</t>
        </is>
      </c>
      <c r="E2282" s="1" t="n"/>
      <c r="F2282" s="1" t="inlineStr">
        <is>
          <t>Closed</t>
        </is>
      </c>
      <c r="G2282" s="11" t="inlineStr">
        <is>
          <t>Vasu.N</t>
        </is>
      </c>
      <c r="H2282" s="8" t="n">
        <v>9578099893</v>
      </c>
      <c r="I2282" s="10" t="inlineStr">
        <is>
          <t>PE04062601</t>
        </is>
      </c>
      <c r="J2282" s="28" t="inlineStr">
        <is>
          <t>Module burnt</t>
        </is>
      </c>
      <c r="K2282" s="8" t="inlineStr">
        <is>
          <t>Zura</t>
        </is>
      </c>
      <c r="L2282" s="39" t="inlineStr">
        <is>
          <t>Gujarat</t>
        </is>
      </c>
      <c r="M2282" s="2" t="inlineStr">
        <is>
          <t xml:space="preserve">damage </t>
        </is>
      </c>
      <c r="N2282" s="6" t="inlineStr">
        <is>
          <t>Module Breakage</t>
        </is>
      </c>
      <c r="O2282" s="32" t="n">
        <v>590</v>
      </c>
      <c r="P2282" s="2" t="inlineStr">
        <is>
          <t>NSMI24100629107</t>
        </is>
      </c>
      <c r="Q2282" s="29">
        <f>MID(P2282,5,2)</f>
        <v/>
      </c>
      <c r="R2282" s="14">
        <f>MID(P2282,7,2)</f>
        <v/>
      </c>
      <c r="S2282" s="6" t="inlineStr">
        <is>
          <t>G2G</t>
        </is>
      </c>
      <c r="T2282" s="1" t="inlineStr">
        <is>
          <t>P4 - PEIPL</t>
        </is>
      </c>
      <c r="U2282" s="2" t="inlineStr">
        <is>
          <t xml:space="preserve">physically damaged </t>
        </is>
      </c>
      <c r="V2282" s="1" t="inlineStr">
        <is>
          <t>Inspection</t>
        </is>
      </c>
      <c r="W2282" s="1" t="inlineStr">
        <is>
          <t>Rejected</t>
        </is>
      </c>
      <c r="X2282" s="5">
        <f>Z2282</f>
        <v/>
      </c>
      <c r="Y2282" s="1">
        <f>X2282-A2282</f>
        <v/>
      </c>
      <c r="Z2282" s="5" t="n">
        <v>46198</v>
      </c>
      <c r="AA2282" s="3" t="n"/>
      <c r="AB2282" s="3" t="n"/>
      <c r="AE2282" s="146">
        <f>IF(AND(F2282="Closed",X2282&gt;=DATE(2026,6,1),X2282&lt;=DATE(2026,6,30)),"Closed in June","other")</f>
        <v/>
      </c>
    </row>
    <row r="2283" hidden="1">
      <c r="A2283" s="49" t="n">
        <v>46177</v>
      </c>
      <c r="B2283" s="1" t="n">
        <v>2026</v>
      </c>
      <c r="C2283" s="8" t="inlineStr">
        <is>
          <t>Ayana</t>
        </is>
      </c>
      <c r="D2283" s="11" t="inlineStr">
        <is>
          <t>Utility and C&amp;I</t>
        </is>
      </c>
      <c r="E2283" s="1" t="n"/>
      <c r="F2283" s="1" t="inlineStr">
        <is>
          <t>Closed</t>
        </is>
      </c>
      <c r="G2283" s="11" t="inlineStr">
        <is>
          <t>Vasu.N</t>
        </is>
      </c>
      <c r="H2283" s="8" t="n">
        <v>9578099893</v>
      </c>
      <c r="I2283" s="10" t="inlineStr">
        <is>
          <t>PE04062601</t>
        </is>
      </c>
      <c r="J2283" s="28" t="inlineStr">
        <is>
          <t>Module burnt</t>
        </is>
      </c>
      <c r="K2283" s="8" t="inlineStr">
        <is>
          <t>Zura</t>
        </is>
      </c>
      <c r="L2283" s="39" t="inlineStr">
        <is>
          <t>Gujarat</t>
        </is>
      </c>
      <c r="M2283" s="2" t="inlineStr">
        <is>
          <t xml:space="preserve">damage </t>
        </is>
      </c>
      <c r="N2283" s="6" t="inlineStr">
        <is>
          <t>Module Breakage</t>
        </is>
      </c>
      <c r="O2283" s="32" t="n">
        <v>590</v>
      </c>
      <c r="P2283" s="2" t="inlineStr">
        <is>
          <t>NSMI24090517261</t>
        </is>
      </c>
      <c r="Q2283" s="29">
        <f>MID(P2283,5,2)</f>
        <v/>
      </c>
      <c r="R2283" s="14">
        <f>MID(P2283,7,2)</f>
        <v/>
      </c>
      <c r="S2283" s="6" t="inlineStr">
        <is>
          <t>G2G</t>
        </is>
      </c>
      <c r="T2283" s="1" t="inlineStr">
        <is>
          <t>P4 - PEIPL</t>
        </is>
      </c>
      <c r="U2283" s="2" t="inlineStr">
        <is>
          <t xml:space="preserve">physically damaged </t>
        </is>
      </c>
      <c r="V2283" s="1" t="inlineStr">
        <is>
          <t>Inspection</t>
        </is>
      </c>
      <c r="W2283" s="1" t="inlineStr">
        <is>
          <t>Rejected</t>
        </is>
      </c>
      <c r="X2283" s="5">
        <f>Z2283</f>
        <v/>
      </c>
      <c r="Y2283" s="1">
        <f>X2283-A2283</f>
        <v/>
      </c>
      <c r="Z2283" s="5" t="n">
        <v>46198</v>
      </c>
      <c r="AA2283" s="3" t="n"/>
      <c r="AB2283" s="3" t="n"/>
      <c r="AE2283" s="146">
        <f>IF(AND(F2283="Closed",X2283&gt;=DATE(2026,6,1),X2283&lt;=DATE(2026,6,30)),"Closed in June","other")</f>
        <v/>
      </c>
    </row>
    <row r="2284" hidden="1">
      <c r="A2284" s="49" t="n">
        <v>46177</v>
      </c>
      <c r="B2284" s="1" t="n">
        <v>2026</v>
      </c>
      <c r="C2284" s="8" t="inlineStr">
        <is>
          <t>Ayana</t>
        </is>
      </c>
      <c r="D2284" s="11" t="inlineStr">
        <is>
          <t>Utility and C&amp;I</t>
        </is>
      </c>
      <c r="E2284" s="1" t="n"/>
      <c r="F2284" s="1" t="inlineStr">
        <is>
          <t>Closed</t>
        </is>
      </c>
      <c r="G2284" s="11" t="inlineStr">
        <is>
          <t>Vasu.N</t>
        </is>
      </c>
      <c r="H2284" s="8" t="n">
        <v>9578099893</v>
      </c>
      <c r="I2284" s="10" t="inlineStr">
        <is>
          <t>PE04062601</t>
        </is>
      </c>
      <c r="J2284" s="28" t="inlineStr">
        <is>
          <t>Module burnt</t>
        </is>
      </c>
      <c r="K2284" s="8" t="inlineStr">
        <is>
          <t>Zura</t>
        </is>
      </c>
      <c r="L2284" s="39" t="inlineStr">
        <is>
          <t>Gujarat</t>
        </is>
      </c>
      <c r="M2284" s="2" t="inlineStr">
        <is>
          <t xml:space="preserve">damage </t>
        </is>
      </c>
      <c r="N2284" s="6" t="inlineStr">
        <is>
          <t>Module Breakage</t>
        </is>
      </c>
      <c r="O2284" s="32" t="n">
        <v>590</v>
      </c>
      <c r="P2284" s="2" t="inlineStr">
        <is>
          <t>NSMI24110813851</t>
        </is>
      </c>
      <c r="Q2284" s="29">
        <f>MID(P2284,5,2)</f>
        <v/>
      </c>
      <c r="R2284" s="14">
        <f>MID(P2284,7,2)</f>
        <v/>
      </c>
      <c r="S2284" s="6" t="inlineStr">
        <is>
          <t>G2G</t>
        </is>
      </c>
      <c r="T2284" s="1" t="inlineStr">
        <is>
          <t>P4 - PEIPL</t>
        </is>
      </c>
      <c r="U2284" s="2" t="inlineStr">
        <is>
          <t xml:space="preserve">physically damaged </t>
        </is>
      </c>
      <c r="V2284" s="1" t="inlineStr">
        <is>
          <t>Inspection</t>
        </is>
      </c>
      <c r="W2284" s="1" t="inlineStr">
        <is>
          <t>Rejected</t>
        </is>
      </c>
      <c r="X2284" s="5">
        <f>Z2284</f>
        <v/>
      </c>
      <c r="Y2284" s="1">
        <f>X2284-A2284</f>
        <v/>
      </c>
      <c r="Z2284" s="5" t="n">
        <v>46198</v>
      </c>
      <c r="AA2284" s="3" t="n"/>
      <c r="AB2284" s="3" t="n"/>
      <c r="AE2284" s="146">
        <f>IF(AND(F2284="Closed",X2284&gt;=DATE(2026,6,1),X2284&lt;=DATE(2026,6,30)),"Closed in June","other")</f>
        <v/>
      </c>
    </row>
    <row r="2285" hidden="1">
      <c r="A2285" s="49" t="n">
        <v>46177</v>
      </c>
      <c r="B2285" s="1" t="n">
        <v>2026</v>
      </c>
      <c r="C2285" s="8" t="inlineStr">
        <is>
          <t>Ayana</t>
        </is>
      </c>
      <c r="D2285" s="11" t="inlineStr">
        <is>
          <t>Utility and C&amp;I</t>
        </is>
      </c>
      <c r="E2285" s="1" t="n"/>
      <c r="F2285" s="1" t="inlineStr">
        <is>
          <t>Closed</t>
        </is>
      </c>
      <c r="G2285" s="11" t="inlineStr">
        <is>
          <t>Vasu.N</t>
        </is>
      </c>
      <c r="H2285" s="8" t="n">
        <v>9578099893</v>
      </c>
      <c r="I2285" s="10" t="inlineStr">
        <is>
          <t>PE04062601</t>
        </is>
      </c>
      <c r="J2285" s="28" t="inlineStr">
        <is>
          <t>Module burnt</t>
        </is>
      </c>
      <c r="K2285" s="8" t="inlineStr">
        <is>
          <t>Zura</t>
        </is>
      </c>
      <c r="L2285" s="39" t="inlineStr">
        <is>
          <t>Gujarat</t>
        </is>
      </c>
      <c r="M2285" s="2" t="inlineStr">
        <is>
          <t xml:space="preserve">damage </t>
        </is>
      </c>
      <c r="N2285" s="6" t="inlineStr">
        <is>
          <t>Module Breakage</t>
        </is>
      </c>
      <c r="O2285" s="32" t="n">
        <v>590</v>
      </c>
      <c r="P2285" s="2" t="inlineStr">
        <is>
          <t>NSMI24100668131</t>
        </is>
      </c>
      <c r="Q2285" s="29">
        <f>MID(P2285,5,2)</f>
        <v/>
      </c>
      <c r="R2285" s="14">
        <f>MID(P2285,7,2)</f>
        <v/>
      </c>
      <c r="S2285" s="6" t="inlineStr">
        <is>
          <t>G2G</t>
        </is>
      </c>
      <c r="T2285" s="1" t="inlineStr">
        <is>
          <t>P4 - PEIPL</t>
        </is>
      </c>
      <c r="U2285" s="2" t="inlineStr">
        <is>
          <t xml:space="preserve">physically damaged </t>
        </is>
      </c>
      <c r="V2285" s="1" t="inlineStr">
        <is>
          <t>Inspection</t>
        </is>
      </c>
      <c r="W2285" s="1" t="inlineStr">
        <is>
          <t>Rejected</t>
        </is>
      </c>
      <c r="X2285" s="5">
        <f>Z2285</f>
        <v/>
      </c>
      <c r="Y2285" s="1">
        <f>X2285-A2285</f>
        <v/>
      </c>
      <c r="Z2285" s="5" t="n">
        <v>46198</v>
      </c>
      <c r="AA2285" s="3" t="n"/>
      <c r="AB2285" s="3" t="n"/>
      <c r="AE2285" s="146">
        <f>IF(AND(F2285="Closed",X2285&gt;=DATE(2026,6,1),X2285&lt;=DATE(2026,6,30)),"Closed in June","other")</f>
        <v/>
      </c>
    </row>
    <row r="2286" hidden="1">
      <c r="A2286" s="49" t="n">
        <v>46177</v>
      </c>
      <c r="B2286" s="1" t="n">
        <v>2026</v>
      </c>
      <c r="C2286" s="8" t="inlineStr">
        <is>
          <t>Ayana</t>
        </is>
      </c>
      <c r="D2286" s="11" t="inlineStr">
        <is>
          <t>Utility and C&amp;I</t>
        </is>
      </c>
      <c r="E2286" s="1" t="n"/>
      <c r="F2286" s="1" t="inlineStr">
        <is>
          <t>Closed</t>
        </is>
      </c>
      <c r="G2286" s="11" t="inlineStr">
        <is>
          <t>Vasu.N</t>
        </is>
      </c>
      <c r="H2286" s="8" t="n">
        <v>9578099893</v>
      </c>
      <c r="I2286" s="10" t="inlineStr">
        <is>
          <t>PE04062601</t>
        </is>
      </c>
      <c r="J2286" s="28" t="inlineStr">
        <is>
          <t>Module burnt</t>
        </is>
      </c>
      <c r="K2286" s="8" t="inlineStr">
        <is>
          <t>Zura</t>
        </is>
      </c>
      <c r="L2286" s="39" t="inlineStr">
        <is>
          <t>Gujarat</t>
        </is>
      </c>
      <c r="M2286" s="2" t="inlineStr">
        <is>
          <t xml:space="preserve">damage </t>
        </is>
      </c>
      <c r="N2286" s="6" t="inlineStr">
        <is>
          <t>Module Breakage</t>
        </is>
      </c>
      <c r="O2286" s="32" t="n">
        <v>590</v>
      </c>
      <c r="P2286" s="2" t="inlineStr">
        <is>
          <t>NSMI24100686670</t>
        </is>
      </c>
      <c r="Q2286" s="29">
        <f>MID(P2286,5,2)</f>
        <v/>
      </c>
      <c r="R2286" s="14">
        <f>MID(P2286,7,2)</f>
        <v/>
      </c>
      <c r="S2286" s="6" t="inlineStr">
        <is>
          <t>G2G</t>
        </is>
      </c>
      <c r="T2286" s="1" t="inlineStr">
        <is>
          <t>P4 - PEIPL</t>
        </is>
      </c>
      <c r="U2286" s="2" t="inlineStr">
        <is>
          <t xml:space="preserve">physically damaged </t>
        </is>
      </c>
      <c r="V2286" s="1" t="inlineStr">
        <is>
          <t>Inspection</t>
        </is>
      </c>
      <c r="W2286" s="1" t="inlineStr">
        <is>
          <t>Rejected</t>
        </is>
      </c>
      <c r="X2286" s="5">
        <f>Z2286</f>
        <v/>
      </c>
      <c r="Y2286" s="1">
        <f>X2286-A2286</f>
        <v/>
      </c>
      <c r="Z2286" s="5" t="n">
        <v>46198</v>
      </c>
      <c r="AA2286" s="3" t="n"/>
      <c r="AB2286" s="3" t="n"/>
      <c r="AE2286" s="146">
        <f>IF(AND(F2286="Closed",X2286&gt;=DATE(2026,6,1),X2286&lt;=DATE(2026,6,30)),"Closed in June","other")</f>
        <v/>
      </c>
    </row>
    <row r="2287" hidden="1">
      <c r="A2287" s="49" t="n">
        <v>46177</v>
      </c>
      <c r="B2287" s="1" t="n">
        <v>2026</v>
      </c>
      <c r="C2287" s="8" t="inlineStr">
        <is>
          <t>Ayana</t>
        </is>
      </c>
      <c r="D2287" s="11" t="inlineStr">
        <is>
          <t>Utility and C&amp;I</t>
        </is>
      </c>
      <c r="E2287" s="1" t="n"/>
      <c r="F2287" s="1" t="inlineStr">
        <is>
          <t>Closed</t>
        </is>
      </c>
      <c r="G2287" s="11" t="inlineStr">
        <is>
          <t>Vasu.N</t>
        </is>
      </c>
      <c r="H2287" s="8" t="n">
        <v>9578099893</v>
      </c>
      <c r="I2287" s="10" t="inlineStr">
        <is>
          <t>PE04062601</t>
        </is>
      </c>
      <c r="J2287" s="28" t="inlineStr">
        <is>
          <t>Module burnt</t>
        </is>
      </c>
      <c r="K2287" s="8" t="inlineStr">
        <is>
          <t>Zura</t>
        </is>
      </c>
      <c r="L2287" s="39" t="inlineStr">
        <is>
          <t>Gujarat</t>
        </is>
      </c>
      <c r="M2287" s="2" t="inlineStr">
        <is>
          <t xml:space="preserve">damage </t>
        </is>
      </c>
      <c r="N2287" s="6" t="inlineStr">
        <is>
          <t>Module Breakage</t>
        </is>
      </c>
      <c r="O2287" s="32" t="n">
        <v>590</v>
      </c>
      <c r="P2287" s="2" t="inlineStr">
        <is>
          <t>NSMI24100686656</t>
        </is>
      </c>
      <c r="Q2287" s="29">
        <f>MID(P2287,5,2)</f>
        <v/>
      </c>
      <c r="R2287" s="14">
        <f>MID(P2287,7,2)</f>
        <v/>
      </c>
      <c r="S2287" s="6" t="inlineStr">
        <is>
          <t>G2G</t>
        </is>
      </c>
      <c r="T2287" s="1" t="inlineStr">
        <is>
          <t>P4 - PEIPL</t>
        </is>
      </c>
      <c r="U2287" s="2" t="inlineStr">
        <is>
          <t xml:space="preserve">physically damaged </t>
        </is>
      </c>
      <c r="V2287" s="1" t="inlineStr">
        <is>
          <t>Inspection</t>
        </is>
      </c>
      <c r="W2287" s="1" t="inlineStr">
        <is>
          <t>Rejected</t>
        </is>
      </c>
      <c r="X2287" s="5">
        <f>Z2287</f>
        <v/>
      </c>
      <c r="Y2287" s="1">
        <f>X2287-A2287</f>
        <v/>
      </c>
      <c r="Z2287" s="5" t="n">
        <v>46198</v>
      </c>
      <c r="AA2287" s="3" t="n"/>
      <c r="AB2287" s="3" t="n"/>
      <c r="AE2287" s="146">
        <f>IF(AND(F2287="Closed",X2287&gt;=DATE(2026,6,1),X2287&lt;=DATE(2026,6,30)),"Closed in June","other")</f>
        <v/>
      </c>
    </row>
    <row r="2288" hidden="1">
      <c r="A2288" s="49" t="n">
        <v>46177</v>
      </c>
      <c r="B2288" s="1" t="n">
        <v>2026</v>
      </c>
      <c r="C2288" s="8" t="inlineStr">
        <is>
          <t>Ayana</t>
        </is>
      </c>
      <c r="D2288" s="11" t="inlineStr">
        <is>
          <t>Utility and C&amp;I</t>
        </is>
      </c>
      <c r="E2288" s="1" t="n"/>
      <c r="F2288" s="1" t="inlineStr">
        <is>
          <t>Closed</t>
        </is>
      </c>
      <c r="G2288" s="11" t="inlineStr">
        <is>
          <t>Vasu.N</t>
        </is>
      </c>
      <c r="H2288" s="8" t="n">
        <v>9578099893</v>
      </c>
      <c r="I2288" s="10" t="inlineStr">
        <is>
          <t>PE04062601</t>
        </is>
      </c>
      <c r="J2288" s="28" t="inlineStr">
        <is>
          <t>Module burnt</t>
        </is>
      </c>
      <c r="K2288" s="8" t="inlineStr">
        <is>
          <t>Zura</t>
        </is>
      </c>
      <c r="L2288" s="39" t="inlineStr">
        <is>
          <t>Gujarat</t>
        </is>
      </c>
      <c r="M2288" s="2" t="inlineStr">
        <is>
          <t xml:space="preserve">damage </t>
        </is>
      </c>
      <c r="N2288" s="6" t="inlineStr">
        <is>
          <t>Module Breakage</t>
        </is>
      </c>
      <c r="O2288" s="32" t="n">
        <v>590</v>
      </c>
      <c r="P2288" s="2" t="inlineStr">
        <is>
          <t>NSMI24100657225</t>
        </is>
      </c>
      <c r="Q2288" s="29">
        <f>MID(P2288,5,2)</f>
        <v/>
      </c>
      <c r="R2288" s="14">
        <f>MID(P2288,7,2)</f>
        <v/>
      </c>
      <c r="S2288" s="6" t="inlineStr">
        <is>
          <t>G2G</t>
        </is>
      </c>
      <c r="T2288" s="1" t="inlineStr">
        <is>
          <t>P4 - PEIPL</t>
        </is>
      </c>
      <c r="U2288" s="2" t="inlineStr">
        <is>
          <t xml:space="preserve">physically damaged </t>
        </is>
      </c>
      <c r="V2288" s="1" t="inlineStr">
        <is>
          <t>Inspection</t>
        </is>
      </c>
      <c r="W2288" s="1" t="inlineStr">
        <is>
          <t>Rejected</t>
        </is>
      </c>
      <c r="X2288" s="5">
        <f>Z2288</f>
        <v/>
      </c>
      <c r="Y2288" s="1">
        <f>X2288-A2288</f>
        <v/>
      </c>
      <c r="Z2288" s="5" t="n">
        <v>46198</v>
      </c>
      <c r="AA2288" s="3" t="n"/>
      <c r="AB2288" s="3" t="n"/>
      <c r="AE2288" s="146">
        <f>IF(AND(F2288="Closed",X2288&gt;=DATE(2026,6,1),X2288&lt;=DATE(2026,6,30)),"Closed in June","other")</f>
        <v/>
      </c>
    </row>
    <row r="2289" hidden="1">
      <c r="A2289" s="49" t="n">
        <v>46177</v>
      </c>
      <c r="B2289" s="1" t="n">
        <v>2026</v>
      </c>
      <c r="C2289" s="8" t="inlineStr">
        <is>
          <t>Ayana</t>
        </is>
      </c>
      <c r="D2289" s="11" t="inlineStr">
        <is>
          <t>Utility and C&amp;I</t>
        </is>
      </c>
      <c r="E2289" s="1" t="n"/>
      <c r="F2289" s="1" t="inlineStr">
        <is>
          <t>Closed</t>
        </is>
      </c>
      <c r="G2289" s="11" t="inlineStr">
        <is>
          <t>Vasu.N</t>
        </is>
      </c>
      <c r="H2289" s="8" t="n">
        <v>9578099893</v>
      </c>
      <c r="I2289" s="10" t="inlineStr">
        <is>
          <t>PE04062601</t>
        </is>
      </c>
      <c r="J2289" s="28" t="inlineStr">
        <is>
          <t>Module burnt</t>
        </is>
      </c>
      <c r="K2289" s="8" t="inlineStr">
        <is>
          <t>Zura</t>
        </is>
      </c>
      <c r="L2289" s="8" t="inlineStr">
        <is>
          <t>Gujarat</t>
        </is>
      </c>
      <c r="M2289" s="2" t="inlineStr">
        <is>
          <t xml:space="preserve">damage </t>
        </is>
      </c>
      <c r="N2289" s="6" t="inlineStr">
        <is>
          <t>Module Breakage</t>
        </is>
      </c>
      <c r="O2289" s="32" t="n">
        <v>590</v>
      </c>
      <c r="P2289" s="2" t="inlineStr">
        <is>
          <t>NSMI24110794705</t>
        </is>
      </c>
      <c r="Q2289" s="29">
        <f>MID(P2289,5,2)</f>
        <v/>
      </c>
      <c r="R2289" s="14">
        <f>MID(P2289,7,2)</f>
        <v/>
      </c>
      <c r="S2289" s="6" t="inlineStr">
        <is>
          <t>G2G</t>
        </is>
      </c>
      <c r="T2289" s="1" t="inlineStr">
        <is>
          <t>P4 - PEIPL</t>
        </is>
      </c>
      <c r="U2289" s="2" t="inlineStr">
        <is>
          <t xml:space="preserve">physically damaged </t>
        </is>
      </c>
      <c r="V2289" s="1" t="inlineStr">
        <is>
          <t>Inspection</t>
        </is>
      </c>
      <c r="W2289" s="1" t="inlineStr">
        <is>
          <t>Rejected</t>
        </is>
      </c>
      <c r="X2289" s="5">
        <f>Z2289</f>
        <v/>
      </c>
      <c r="Y2289" s="1">
        <f>X2289-A2289</f>
        <v/>
      </c>
      <c r="Z2289" s="5" t="n">
        <v>46198</v>
      </c>
      <c r="AA2289" s="3" t="n"/>
      <c r="AB2289" s="3" t="n"/>
      <c r="AE2289" s="146">
        <f>IF(AND(F2289="Closed",X2289&gt;=DATE(2026,6,1),X2289&lt;=DATE(2026,6,30)),"Closed in June","other")</f>
        <v/>
      </c>
    </row>
    <row r="2290" hidden="1">
      <c r="A2290" s="55" t="n">
        <v>46169</v>
      </c>
      <c r="B2290" s="56" t="n">
        <v>2026</v>
      </c>
      <c r="C2290" s="57" t="inlineStr">
        <is>
          <t>Solaark Renewables Pvt. Ltd</t>
        </is>
      </c>
      <c r="D2290" s="58" t="inlineStr">
        <is>
          <t>Channel Sales</t>
        </is>
      </c>
      <c r="E2290" s="56" t="n"/>
      <c r="F2290" s="56" t="inlineStr">
        <is>
          <t>WIP</t>
        </is>
      </c>
      <c r="G2290" s="58" t="inlineStr">
        <is>
          <t>Jagadish Chandra Shetty</t>
        </is>
      </c>
      <c r="H2290" s="58" t="n">
        <v>9611274274</v>
      </c>
      <c r="I2290" s="65" t="inlineStr">
        <is>
          <t>PE27052602</t>
        </is>
      </c>
      <c r="J2290" s="58" t="inlineStr">
        <is>
          <t>Burn mark</t>
        </is>
      </c>
      <c r="K2290" s="58" t="inlineStr">
        <is>
          <t>Bangalore</t>
        </is>
      </c>
      <c r="L2290" s="58" t="inlineStr">
        <is>
          <t>Karnataka</t>
        </is>
      </c>
      <c r="M2290" s="59" t="inlineStr">
        <is>
          <t>Hotspot Issue</t>
        </is>
      </c>
      <c r="N2290" s="6" t="inlineStr">
        <is>
          <t>Module Breakage</t>
        </is>
      </c>
      <c r="O2290" s="32" t="n">
        <v>590</v>
      </c>
      <c r="P2290" s="31" t="inlineStr">
        <is>
          <t>NSME25060000463</t>
        </is>
      </c>
      <c r="Q2290" s="29">
        <f>MID(P2290,5,2)</f>
        <v/>
      </c>
      <c r="R2290" s="14">
        <f>MID(P2290,7,2)</f>
        <v/>
      </c>
      <c r="S2290" s="6" t="inlineStr">
        <is>
          <t>G2G</t>
        </is>
      </c>
      <c r="T2290" s="1" t="inlineStr">
        <is>
          <t>P5 - PEGPL</t>
        </is>
      </c>
      <c r="U2290" s="8" t="inlineStr">
        <is>
          <t>Other Issue</t>
        </is>
      </c>
      <c r="V2290" s="47" t="inlineStr">
        <is>
          <t>WIP</t>
        </is>
      </c>
      <c r="W2290" s="1" t="inlineStr">
        <is>
          <t>Inspection</t>
        </is>
      </c>
      <c r="X2290" s="12" t="n"/>
      <c r="Y2290" s="1">
        <f>IF(X2290="","",X2290-A2290)</f>
        <v/>
      </c>
      <c r="Z2290" s="5" t="n">
        <v>46199</v>
      </c>
      <c r="AA2290" s="3" t="n"/>
      <c r="AB2290" s="3" t="n"/>
      <c r="AE2290" s="146">
        <f>IF(AND(F2290="Closed",X2290&gt;=DATE(2026,6,1),X2290&lt;=DATE(2026,6,30)),"Closed in June","other")</f>
        <v/>
      </c>
    </row>
    <row r="2291" hidden="1">
      <c r="A2291" s="49" t="n">
        <v>46177</v>
      </c>
      <c r="B2291" s="1" t="n">
        <v>2026</v>
      </c>
      <c r="C2291" s="8" t="inlineStr">
        <is>
          <t>Ayana</t>
        </is>
      </c>
      <c r="D2291" s="11" t="inlineStr">
        <is>
          <t>Utility and C&amp;I</t>
        </is>
      </c>
      <c r="E2291" s="1" t="n"/>
      <c r="F2291" s="1" t="inlineStr">
        <is>
          <t>Closed</t>
        </is>
      </c>
      <c r="G2291" s="11" t="inlineStr">
        <is>
          <t>Vasu.N</t>
        </is>
      </c>
      <c r="H2291" s="8" t="n">
        <v>9578099893</v>
      </c>
      <c r="I2291" s="10" t="inlineStr">
        <is>
          <t>PE04062601</t>
        </is>
      </c>
      <c r="J2291" s="28" t="inlineStr">
        <is>
          <t>Module burnt</t>
        </is>
      </c>
      <c r="K2291" s="8" t="inlineStr">
        <is>
          <t>Zura</t>
        </is>
      </c>
      <c r="L2291" s="8" t="inlineStr">
        <is>
          <t>Gujarat</t>
        </is>
      </c>
      <c r="M2291" s="2" t="inlineStr">
        <is>
          <t xml:space="preserve">damage </t>
        </is>
      </c>
      <c r="N2291" s="6" t="inlineStr">
        <is>
          <t>Module Breakage</t>
        </is>
      </c>
      <c r="O2291" s="32" t="n">
        <v>590</v>
      </c>
      <c r="P2291" s="2" t="inlineStr">
        <is>
          <t>NSMI24110803999</t>
        </is>
      </c>
      <c r="Q2291" s="29">
        <f>MID(P2291,5,2)</f>
        <v/>
      </c>
      <c r="R2291" s="14">
        <f>MID(P2291,7,2)</f>
        <v/>
      </c>
      <c r="S2291" s="6" t="inlineStr">
        <is>
          <t>G2G</t>
        </is>
      </c>
      <c r="T2291" s="1" t="inlineStr">
        <is>
          <t>P4 - PEIPL</t>
        </is>
      </c>
      <c r="U2291" s="2" t="inlineStr">
        <is>
          <t xml:space="preserve">physically damaged </t>
        </is>
      </c>
      <c r="V2291" s="1" t="inlineStr">
        <is>
          <t>Inspection</t>
        </is>
      </c>
      <c r="W2291" s="1" t="inlineStr">
        <is>
          <t>Rejected</t>
        </is>
      </c>
      <c r="X2291" s="5">
        <f>Z2291</f>
        <v/>
      </c>
      <c r="Y2291" s="1">
        <f>X2291-A2291</f>
        <v/>
      </c>
      <c r="Z2291" s="5" t="n">
        <v>46199</v>
      </c>
      <c r="AA2291" s="3" t="n"/>
      <c r="AB2291" s="3" t="n"/>
      <c r="AE2291" s="146">
        <f>IF(AND(F2291="Closed",X2291&gt;=DATE(2026,6,1),X2291&lt;=DATE(2026,6,30)),"Closed in June","other")</f>
        <v/>
      </c>
    </row>
    <row r="2292" hidden="1">
      <c r="A2292" s="49" t="n">
        <v>46177</v>
      </c>
      <c r="B2292" s="1" t="n">
        <v>2026</v>
      </c>
      <c r="C2292" s="8" t="inlineStr">
        <is>
          <t>Ayana</t>
        </is>
      </c>
      <c r="D2292" s="11" t="inlineStr">
        <is>
          <t>Utility and C&amp;I</t>
        </is>
      </c>
      <c r="E2292" s="1" t="n"/>
      <c r="F2292" s="1" t="inlineStr">
        <is>
          <t>Closed</t>
        </is>
      </c>
      <c r="G2292" s="11" t="inlineStr">
        <is>
          <t>Vasu.N</t>
        </is>
      </c>
      <c r="H2292" s="8" t="n">
        <v>9578099893</v>
      </c>
      <c r="I2292" s="10" t="inlineStr">
        <is>
          <t>PE04062601</t>
        </is>
      </c>
      <c r="J2292" s="28" t="inlineStr">
        <is>
          <t>Module burnt</t>
        </is>
      </c>
      <c r="K2292" s="8" t="inlineStr">
        <is>
          <t>Zura</t>
        </is>
      </c>
      <c r="L2292" s="8" t="inlineStr">
        <is>
          <t>Gujarat</t>
        </is>
      </c>
      <c r="M2292" s="2" t="inlineStr">
        <is>
          <t xml:space="preserve">damage </t>
        </is>
      </c>
      <c r="N2292" s="6" t="inlineStr">
        <is>
          <t>Module Breakage</t>
        </is>
      </c>
      <c r="O2292" s="32" t="n">
        <v>590</v>
      </c>
      <c r="P2292" s="2" t="inlineStr">
        <is>
          <t>NSMI24110854259</t>
        </is>
      </c>
      <c r="Q2292" s="29">
        <f>MID(P2292,5,2)</f>
        <v/>
      </c>
      <c r="R2292" s="14">
        <f>MID(P2292,7,2)</f>
        <v/>
      </c>
      <c r="S2292" s="6" t="inlineStr">
        <is>
          <t>G2G</t>
        </is>
      </c>
      <c r="T2292" s="1" t="inlineStr">
        <is>
          <t>P4 - PEIPL</t>
        </is>
      </c>
      <c r="U2292" s="2" t="inlineStr">
        <is>
          <t xml:space="preserve">physically damaged </t>
        </is>
      </c>
      <c r="V2292" s="1" t="inlineStr">
        <is>
          <t>Inspection</t>
        </is>
      </c>
      <c r="W2292" s="1" t="inlineStr">
        <is>
          <t>Rejected</t>
        </is>
      </c>
      <c r="X2292" s="5">
        <f>Z2292</f>
        <v/>
      </c>
      <c r="Y2292" s="1">
        <f>X2292-A2292</f>
        <v/>
      </c>
      <c r="Z2292" s="5" t="n">
        <v>46199</v>
      </c>
      <c r="AA2292" s="3" t="n"/>
      <c r="AB2292" s="3" t="n"/>
      <c r="AE2292" s="146">
        <f>IF(AND(F2292="Closed",X2292&gt;=DATE(2026,6,1),X2292&lt;=DATE(2026,6,30)),"Closed in June","other")</f>
        <v/>
      </c>
    </row>
    <row r="2293" hidden="1">
      <c r="A2293" s="49" t="n">
        <v>46177</v>
      </c>
      <c r="B2293" s="1" t="n">
        <v>2026</v>
      </c>
      <c r="C2293" s="8" t="inlineStr">
        <is>
          <t>Ayana</t>
        </is>
      </c>
      <c r="D2293" s="11" t="inlineStr">
        <is>
          <t>Utility and C&amp;I</t>
        </is>
      </c>
      <c r="E2293" s="1" t="n"/>
      <c r="F2293" s="1" t="inlineStr">
        <is>
          <t>Closed</t>
        </is>
      </c>
      <c r="G2293" s="11" t="inlineStr">
        <is>
          <t>Vasu.N</t>
        </is>
      </c>
      <c r="H2293" s="8" t="n">
        <v>9578099893</v>
      </c>
      <c r="I2293" s="10" t="inlineStr">
        <is>
          <t>PE04062601</t>
        </is>
      </c>
      <c r="J2293" s="28" t="inlineStr">
        <is>
          <t>Module burnt</t>
        </is>
      </c>
      <c r="K2293" s="8" t="inlineStr">
        <is>
          <t>Zura</t>
        </is>
      </c>
      <c r="L2293" s="8" t="inlineStr">
        <is>
          <t>Gujarat</t>
        </is>
      </c>
      <c r="M2293" s="2" t="inlineStr">
        <is>
          <t xml:space="preserve">damage </t>
        </is>
      </c>
      <c r="N2293" s="6" t="inlineStr">
        <is>
          <t>Module Breakage</t>
        </is>
      </c>
      <c r="O2293" s="32" t="n">
        <v>590</v>
      </c>
      <c r="P2293" s="2" t="inlineStr">
        <is>
          <t>NSMI24110803281</t>
        </is>
      </c>
      <c r="Q2293" s="29">
        <f>MID(P2293,5,2)</f>
        <v/>
      </c>
      <c r="R2293" s="14">
        <f>MID(P2293,7,2)</f>
        <v/>
      </c>
      <c r="S2293" s="6" t="inlineStr">
        <is>
          <t>G2G</t>
        </is>
      </c>
      <c r="T2293" s="1" t="inlineStr">
        <is>
          <t>P4 - PEIPL</t>
        </is>
      </c>
      <c r="U2293" s="2" t="inlineStr">
        <is>
          <t xml:space="preserve">physically damaged </t>
        </is>
      </c>
      <c r="V2293" s="1" t="inlineStr">
        <is>
          <t>Inspection</t>
        </is>
      </c>
      <c r="W2293" s="1" t="inlineStr">
        <is>
          <t>Rejected</t>
        </is>
      </c>
      <c r="X2293" s="5">
        <f>Z2293</f>
        <v/>
      </c>
      <c r="Y2293" s="1">
        <f>X2293-A2293</f>
        <v/>
      </c>
      <c r="Z2293" s="5" t="n">
        <v>46199</v>
      </c>
      <c r="AA2293" s="3" t="n"/>
      <c r="AB2293" s="3" t="n"/>
      <c r="AE2293" s="146">
        <f>IF(AND(F2293="Closed",X2293&gt;=DATE(2026,6,1),X2293&lt;=DATE(2026,6,30)),"Closed in June","other")</f>
        <v/>
      </c>
    </row>
    <row r="2294" hidden="1">
      <c r="A2294" s="49" t="n">
        <v>46177</v>
      </c>
      <c r="B2294" s="1" t="n">
        <v>2026</v>
      </c>
      <c r="C2294" s="8" t="inlineStr">
        <is>
          <t>Ayana</t>
        </is>
      </c>
      <c r="D2294" s="11" t="inlineStr">
        <is>
          <t>Utility and C&amp;I</t>
        </is>
      </c>
      <c r="E2294" s="1" t="n"/>
      <c r="F2294" s="1" t="inlineStr">
        <is>
          <t>Closed</t>
        </is>
      </c>
      <c r="G2294" s="11" t="inlineStr">
        <is>
          <t>Vasu.N</t>
        </is>
      </c>
      <c r="H2294" s="8" t="n">
        <v>9578099893</v>
      </c>
      <c r="I2294" s="10" t="inlineStr">
        <is>
          <t>PE04062601</t>
        </is>
      </c>
      <c r="J2294" s="28" t="inlineStr">
        <is>
          <t>Module burnt</t>
        </is>
      </c>
      <c r="K2294" s="8" t="inlineStr">
        <is>
          <t>Zura</t>
        </is>
      </c>
      <c r="L2294" s="8" t="inlineStr">
        <is>
          <t>Gujarat</t>
        </is>
      </c>
      <c r="M2294" s="2" t="inlineStr">
        <is>
          <t xml:space="preserve">damage </t>
        </is>
      </c>
      <c r="N2294" s="6" t="inlineStr">
        <is>
          <t>Module Breakage</t>
        </is>
      </c>
      <c r="O2294" s="32" t="n">
        <v>590</v>
      </c>
      <c r="P2294" s="2" t="inlineStr">
        <is>
          <t>NSMI24110846124</t>
        </is>
      </c>
      <c r="Q2294" s="29">
        <f>MID(P2294,5,2)</f>
        <v/>
      </c>
      <c r="R2294" s="14">
        <f>MID(P2294,7,2)</f>
        <v/>
      </c>
      <c r="S2294" s="6" t="inlineStr">
        <is>
          <t>G2G</t>
        </is>
      </c>
      <c r="T2294" s="1" t="inlineStr">
        <is>
          <t>P4 - PEIPL</t>
        </is>
      </c>
      <c r="U2294" s="2" t="inlineStr">
        <is>
          <t xml:space="preserve">physically damaged </t>
        </is>
      </c>
      <c r="V2294" s="1" t="inlineStr">
        <is>
          <t>Inspection</t>
        </is>
      </c>
      <c r="W2294" s="1" t="inlineStr">
        <is>
          <t>Rejected</t>
        </is>
      </c>
      <c r="X2294" s="5">
        <f>Z2294</f>
        <v/>
      </c>
      <c r="Y2294" s="1">
        <f>X2294-A2294</f>
        <v/>
      </c>
      <c r="Z2294" s="5" t="n">
        <v>46199</v>
      </c>
      <c r="AA2294" s="3" t="n"/>
      <c r="AB2294" s="3" t="n"/>
      <c r="AE2294" s="146">
        <f>IF(AND(F2294="Closed",X2294&gt;=DATE(2026,6,1),X2294&lt;=DATE(2026,6,30)),"Closed in June","other")</f>
        <v/>
      </c>
    </row>
    <row r="2295" hidden="1">
      <c r="A2295" s="49" t="n">
        <v>46177</v>
      </c>
      <c r="B2295" s="1" t="n">
        <v>2026</v>
      </c>
      <c r="C2295" s="8" t="inlineStr">
        <is>
          <t>Ayana</t>
        </is>
      </c>
      <c r="D2295" s="11" t="inlineStr">
        <is>
          <t>Utility and C&amp;I</t>
        </is>
      </c>
      <c r="E2295" s="1" t="n"/>
      <c r="F2295" s="1" t="inlineStr">
        <is>
          <t>Closed</t>
        </is>
      </c>
      <c r="G2295" s="11" t="inlineStr">
        <is>
          <t>Vasu.N</t>
        </is>
      </c>
      <c r="H2295" s="8" t="n">
        <v>9578099893</v>
      </c>
      <c r="I2295" s="10" t="inlineStr">
        <is>
          <t>PE04062601</t>
        </is>
      </c>
      <c r="J2295" s="28" t="inlineStr">
        <is>
          <t>Module burnt</t>
        </is>
      </c>
      <c r="K2295" s="8" t="inlineStr">
        <is>
          <t>Zura</t>
        </is>
      </c>
      <c r="L2295" s="8" t="inlineStr">
        <is>
          <t>Gujarat</t>
        </is>
      </c>
      <c r="M2295" s="2" t="inlineStr">
        <is>
          <t xml:space="preserve">damage </t>
        </is>
      </c>
      <c r="N2295" s="6" t="inlineStr">
        <is>
          <t>Module Breakage</t>
        </is>
      </c>
      <c r="O2295" s="32" t="n">
        <v>590</v>
      </c>
      <c r="P2295" s="2" t="inlineStr">
        <is>
          <t>NSMI24110845324</t>
        </is>
      </c>
      <c r="Q2295" s="29">
        <f>MID(P2295,5,2)</f>
        <v/>
      </c>
      <c r="R2295" s="14">
        <f>MID(P2295,7,2)</f>
        <v/>
      </c>
      <c r="S2295" s="6" t="inlineStr">
        <is>
          <t>G2G</t>
        </is>
      </c>
      <c r="T2295" s="1" t="inlineStr">
        <is>
          <t>P4 - PEIPL</t>
        </is>
      </c>
      <c r="U2295" s="2" t="inlineStr">
        <is>
          <t xml:space="preserve">physically damaged </t>
        </is>
      </c>
      <c r="V2295" s="1" t="inlineStr">
        <is>
          <t>Inspection</t>
        </is>
      </c>
      <c r="W2295" s="1" t="inlineStr">
        <is>
          <t>Rejected</t>
        </is>
      </c>
      <c r="X2295" s="5">
        <f>Z2295</f>
        <v/>
      </c>
      <c r="Y2295" s="1">
        <f>X2295-A2295</f>
        <v/>
      </c>
      <c r="Z2295" s="5" t="n">
        <v>46199</v>
      </c>
      <c r="AA2295" s="3" t="n"/>
      <c r="AB2295" s="3" t="n"/>
      <c r="AE2295" s="146">
        <f>IF(AND(F2295="Closed",X2295&gt;=DATE(2026,6,1),X2295&lt;=DATE(2026,6,30)),"Closed in June","other")</f>
        <v/>
      </c>
    </row>
    <row r="2296" hidden="1">
      <c r="A2296" s="49" t="n">
        <v>46177</v>
      </c>
      <c r="B2296" s="1" t="n">
        <v>2026</v>
      </c>
      <c r="C2296" s="8" t="inlineStr">
        <is>
          <t>Ayana</t>
        </is>
      </c>
      <c r="D2296" s="11" t="inlineStr">
        <is>
          <t>Utility and C&amp;I</t>
        </is>
      </c>
      <c r="E2296" s="1" t="n"/>
      <c r="F2296" s="1" t="inlineStr">
        <is>
          <t>Closed</t>
        </is>
      </c>
      <c r="G2296" s="11" t="inlineStr">
        <is>
          <t>Vasu.N</t>
        </is>
      </c>
      <c r="H2296" s="8" t="n">
        <v>9578099893</v>
      </c>
      <c r="I2296" s="10" t="inlineStr">
        <is>
          <t>PE04062601</t>
        </is>
      </c>
      <c r="J2296" s="28" t="inlineStr">
        <is>
          <t>Module burnt</t>
        </is>
      </c>
      <c r="K2296" s="8" t="inlineStr">
        <is>
          <t>Zura</t>
        </is>
      </c>
      <c r="L2296" s="8" t="inlineStr">
        <is>
          <t>Gujarat</t>
        </is>
      </c>
      <c r="M2296" s="2" t="inlineStr">
        <is>
          <t xml:space="preserve">damage </t>
        </is>
      </c>
      <c r="N2296" s="6" t="inlineStr">
        <is>
          <t>Module Breakage</t>
        </is>
      </c>
      <c r="O2296" s="32" t="n">
        <v>590</v>
      </c>
      <c r="P2296" s="2" t="inlineStr">
        <is>
          <t>NSMI24100636962</t>
        </is>
      </c>
      <c r="Q2296" s="29">
        <f>MID(P2296,5,2)</f>
        <v/>
      </c>
      <c r="R2296" s="14">
        <f>MID(P2296,7,2)</f>
        <v/>
      </c>
      <c r="S2296" s="6" t="inlineStr">
        <is>
          <t>G2G</t>
        </is>
      </c>
      <c r="T2296" s="1" t="inlineStr">
        <is>
          <t>P4 - PEIPL</t>
        </is>
      </c>
      <c r="U2296" s="2" t="inlineStr">
        <is>
          <t xml:space="preserve">physically damaged </t>
        </is>
      </c>
      <c r="V2296" s="1" t="inlineStr">
        <is>
          <t>Inspection</t>
        </is>
      </c>
      <c r="W2296" s="1" t="inlineStr">
        <is>
          <t>Rejected</t>
        </is>
      </c>
      <c r="X2296" s="5">
        <f>Z2296</f>
        <v/>
      </c>
      <c r="Y2296" s="1">
        <f>X2296-A2296</f>
        <v/>
      </c>
      <c r="Z2296" s="5" t="n">
        <v>46199</v>
      </c>
      <c r="AA2296" s="3" t="n"/>
      <c r="AB2296" s="3" t="n"/>
      <c r="AE2296" s="146">
        <f>IF(AND(F2296="Closed",X2296&gt;=DATE(2026,6,1),X2296&lt;=DATE(2026,6,30)),"Closed in June","other")</f>
        <v/>
      </c>
    </row>
    <row r="2297" hidden="1">
      <c r="A2297" s="49" t="n">
        <v>46177</v>
      </c>
      <c r="B2297" s="1" t="n">
        <v>2026</v>
      </c>
      <c r="C2297" s="8" t="inlineStr">
        <is>
          <t>Ayana</t>
        </is>
      </c>
      <c r="D2297" s="11" t="inlineStr">
        <is>
          <t>Utility and C&amp;I</t>
        </is>
      </c>
      <c r="E2297" s="1" t="n"/>
      <c r="F2297" s="1" t="inlineStr">
        <is>
          <t>Closed</t>
        </is>
      </c>
      <c r="G2297" s="11" t="inlineStr">
        <is>
          <t>Vasu.N</t>
        </is>
      </c>
      <c r="H2297" s="8" t="n">
        <v>9578099893</v>
      </c>
      <c r="I2297" s="10" t="inlineStr">
        <is>
          <t>PE04062601</t>
        </is>
      </c>
      <c r="J2297" s="28" t="inlineStr">
        <is>
          <t>Module burnt</t>
        </is>
      </c>
      <c r="K2297" s="8" t="inlineStr">
        <is>
          <t>Zura</t>
        </is>
      </c>
      <c r="L2297" s="8" t="inlineStr">
        <is>
          <t>Gujarat</t>
        </is>
      </c>
      <c r="M2297" s="2" t="inlineStr">
        <is>
          <t xml:space="preserve">damage </t>
        </is>
      </c>
      <c r="N2297" s="6" t="inlineStr">
        <is>
          <t>Module Breakage</t>
        </is>
      </c>
      <c r="O2297" s="32" t="n">
        <v>590</v>
      </c>
      <c r="P2297" s="2" t="inlineStr">
        <is>
          <t>NSMI24100609325</t>
        </is>
      </c>
      <c r="Q2297" s="29">
        <f>MID(P2297,5,2)</f>
        <v/>
      </c>
      <c r="R2297" s="14">
        <f>MID(P2297,7,2)</f>
        <v/>
      </c>
      <c r="S2297" s="6" t="inlineStr">
        <is>
          <t>G2G</t>
        </is>
      </c>
      <c r="T2297" s="1" t="inlineStr">
        <is>
          <t>P4 - PEIPL</t>
        </is>
      </c>
      <c r="U2297" s="2" t="inlineStr">
        <is>
          <t xml:space="preserve">physically damaged </t>
        </is>
      </c>
      <c r="V2297" s="1" t="inlineStr">
        <is>
          <t>Inspection</t>
        </is>
      </c>
      <c r="W2297" s="1" t="inlineStr">
        <is>
          <t>Rejected</t>
        </is>
      </c>
      <c r="X2297" s="5">
        <f>Z2297</f>
        <v/>
      </c>
      <c r="Y2297" s="1">
        <f>X2297-A2297</f>
        <v/>
      </c>
      <c r="Z2297" s="5" t="n">
        <v>46199</v>
      </c>
      <c r="AA2297" s="3" t="n"/>
      <c r="AB2297" s="3" t="n"/>
      <c r="AE2297" s="146">
        <f>IF(AND(F2297="Closed",X2297&gt;=DATE(2026,6,1),X2297&lt;=DATE(2026,6,30)),"Closed in June","other")</f>
        <v/>
      </c>
    </row>
    <row r="2298" hidden="1">
      <c r="A2298" s="49" t="n">
        <v>46177</v>
      </c>
      <c r="B2298" s="1" t="n">
        <v>2026</v>
      </c>
      <c r="C2298" s="8" t="inlineStr">
        <is>
          <t>Ayana</t>
        </is>
      </c>
      <c r="D2298" s="11" t="inlineStr">
        <is>
          <t>Utility and C&amp;I</t>
        </is>
      </c>
      <c r="E2298" s="1" t="n"/>
      <c r="F2298" s="1" t="inlineStr">
        <is>
          <t>Closed</t>
        </is>
      </c>
      <c r="G2298" s="11" t="inlineStr">
        <is>
          <t>Vasu.N</t>
        </is>
      </c>
      <c r="H2298" s="8" t="n">
        <v>9578099893</v>
      </c>
      <c r="I2298" s="10" t="inlineStr">
        <is>
          <t>PE04062601</t>
        </is>
      </c>
      <c r="J2298" s="28" t="inlineStr">
        <is>
          <t>Module burnt</t>
        </is>
      </c>
      <c r="K2298" s="8" t="inlineStr">
        <is>
          <t>Zura</t>
        </is>
      </c>
      <c r="L2298" s="8" t="inlineStr">
        <is>
          <t>Gujarat</t>
        </is>
      </c>
      <c r="M2298" s="2" t="inlineStr">
        <is>
          <t xml:space="preserve">damage </t>
        </is>
      </c>
      <c r="N2298" s="6" t="inlineStr">
        <is>
          <t>Module Breakage</t>
        </is>
      </c>
      <c r="O2298" s="32" t="n">
        <v>590</v>
      </c>
      <c r="P2298" s="2" t="inlineStr">
        <is>
          <t>NSMI24110851621</t>
        </is>
      </c>
      <c r="Q2298" s="29">
        <f>MID(P2298,5,2)</f>
        <v/>
      </c>
      <c r="R2298" s="14">
        <f>MID(P2298,7,2)</f>
        <v/>
      </c>
      <c r="S2298" s="6" t="inlineStr">
        <is>
          <t>G2G</t>
        </is>
      </c>
      <c r="T2298" s="1" t="inlineStr">
        <is>
          <t>P4 - PEIPL</t>
        </is>
      </c>
      <c r="U2298" s="2" t="inlineStr">
        <is>
          <t xml:space="preserve">physically damaged </t>
        </is>
      </c>
      <c r="V2298" s="1" t="inlineStr">
        <is>
          <t>Inspection</t>
        </is>
      </c>
      <c r="W2298" s="1" t="inlineStr">
        <is>
          <t>Rejected</t>
        </is>
      </c>
      <c r="X2298" s="5">
        <f>Z2298</f>
        <v/>
      </c>
      <c r="Y2298" s="1">
        <f>X2298-A2298</f>
        <v/>
      </c>
      <c r="Z2298" s="5" t="n">
        <v>46199</v>
      </c>
      <c r="AA2298" s="3" t="n"/>
      <c r="AB2298" s="3" t="n"/>
      <c r="AE2298" s="146">
        <f>IF(AND(F2298="Closed",X2298&gt;=DATE(2026,6,1),X2298&lt;=DATE(2026,6,30)),"Closed in June","other")</f>
        <v/>
      </c>
    </row>
    <row r="2299" hidden="1">
      <c r="A2299" s="49" t="n">
        <v>46177</v>
      </c>
      <c r="B2299" s="1" t="n">
        <v>2026</v>
      </c>
      <c r="C2299" s="8" t="inlineStr">
        <is>
          <t>Ayana</t>
        </is>
      </c>
      <c r="D2299" s="11" t="inlineStr">
        <is>
          <t>Utility and C&amp;I</t>
        </is>
      </c>
      <c r="E2299" s="1" t="n"/>
      <c r="F2299" s="1" t="inlineStr">
        <is>
          <t>Closed</t>
        </is>
      </c>
      <c r="G2299" s="11" t="inlineStr">
        <is>
          <t>Vasu.N</t>
        </is>
      </c>
      <c r="H2299" s="8" t="n">
        <v>9578099893</v>
      </c>
      <c r="I2299" s="10" t="inlineStr">
        <is>
          <t>PE04062601</t>
        </is>
      </c>
      <c r="J2299" s="28" t="inlineStr">
        <is>
          <t>Module burnt</t>
        </is>
      </c>
      <c r="K2299" s="8" t="inlineStr">
        <is>
          <t>Zura</t>
        </is>
      </c>
      <c r="L2299" s="8" t="inlineStr">
        <is>
          <t>Gujarat</t>
        </is>
      </c>
      <c r="M2299" s="2" t="inlineStr">
        <is>
          <t xml:space="preserve">damage </t>
        </is>
      </c>
      <c r="N2299" s="6" t="inlineStr">
        <is>
          <t>Module Breakage</t>
        </is>
      </c>
      <c r="O2299" s="32" t="n">
        <v>590</v>
      </c>
      <c r="P2299" s="2" t="inlineStr">
        <is>
          <t>NSMI24110851627</t>
        </is>
      </c>
      <c r="Q2299" s="29">
        <f>MID(P2299,5,2)</f>
        <v/>
      </c>
      <c r="R2299" s="14">
        <f>MID(P2299,7,2)</f>
        <v/>
      </c>
      <c r="S2299" s="6" t="inlineStr">
        <is>
          <t>G2G</t>
        </is>
      </c>
      <c r="T2299" s="1" t="inlineStr">
        <is>
          <t>P4 - PEIPL</t>
        </is>
      </c>
      <c r="U2299" s="2" t="inlineStr">
        <is>
          <t xml:space="preserve">physically damaged </t>
        </is>
      </c>
      <c r="V2299" s="1" t="inlineStr">
        <is>
          <t>Inspection</t>
        </is>
      </c>
      <c r="W2299" s="1" t="inlineStr">
        <is>
          <t>Rejected</t>
        </is>
      </c>
      <c r="X2299" s="5">
        <f>Z2299</f>
        <v/>
      </c>
      <c r="Y2299" s="1">
        <f>X2299-A2299</f>
        <v/>
      </c>
      <c r="Z2299" s="5" t="n">
        <v>46199</v>
      </c>
      <c r="AA2299" s="3" t="n"/>
      <c r="AB2299" s="3" t="n"/>
      <c r="AE2299" s="146">
        <f>IF(AND(F2299="Closed",X2299&gt;=DATE(2026,6,1),X2299&lt;=DATE(2026,6,30)),"Closed in June","other")</f>
        <v/>
      </c>
    </row>
    <row r="2300" hidden="1">
      <c r="A2300" s="49" t="n">
        <v>46177</v>
      </c>
      <c r="B2300" s="1" t="n">
        <v>2026</v>
      </c>
      <c r="C2300" s="8" t="inlineStr">
        <is>
          <t>Ayana</t>
        </is>
      </c>
      <c r="D2300" s="11" t="inlineStr">
        <is>
          <t>Utility and C&amp;I</t>
        </is>
      </c>
      <c r="E2300" s="1" t="n"/>
      <c r="F2300" s="1" t="inlineStr">
        <is>
          <t>Closed</t>
        </is>
      </c>
      <c r="G2300" s="11" t="inlineStr">
        <is>
          <t>Vasu.N</t>
        </is>
      </c>
      <c r="H2300" s="8" t="n">
        <v>9578099893</v>
      </c>
      <c r="I2300" s="10" t="inlineStr">
        <is>
          <t>PE04062601</t>
        </is>
      </c>
      <c r="J2300" s="28" t="inlineStr">
        <is>
          <t>Module burnt</t>
        </is>
      </c>
      <c r="K2300" s="8" t="inlineStr">
        <is>
          <t>Zura</t>
        </is>
      </c>
      <c r="L2300" s="8" t="inlineStr">
        <is>
          <t>Gujarat</t>
        </is>
      </c>
      <c r="M2300" s="2" t="inlineStr">
        <is>
          <t xml:space="preserve">damage </t>
        </is>
      </c>
      <c r="N2300" s="6" t="inlineStr">
        <is>
          <t>Module Breakage</t>
        </is>
      </c>
      <c r="O2300" s="32" t="n">
        <v>590</v>
      </c>
      <c r="P2300" s="2" t="inlineStr">
        <is>
          <t>NSMI24110851698</t>
        </is>
      </c>
      <c r="Q2300" s="29">
        <f>MID(P2300,5,2)</f>
        <v/>
      </c>
      <c r="R2300" s="14">
        <f>MID(P2300,7,2)</f>
        <v/>
      </c>
      <c r="S2300" s="6" t="inlineStr">
        <is>
          <t>G2G</t>
        </is>
      </c>
      <c r="T2300" s="1" t="inlineStr">
        <is>
          <t>P4 - PEIPL</t>
        </is>
      </c>
      <c r="U2300" s="2" t="inlineStr">
        <is>
          <t xml:space="preserve">physically damaged </t>
        </is>
      </c>
      <c r="V2300" s="1" t="inlineStr">
        <is>
          <t>Inspection</t>
        </is>
      </c>
      <c r="W2300" s="1" t="inlineStr">
        <is>
          <t>Rejected</t>
        </is>
      </c>
      <c r="X2300" s="5">
        <f>Z2300</f>
        <v/>
      </c>
      <c r="Y2300" s="1">
        <f>X2300-A2300</f>
        <v/>
      </c>
      <c r="Z2300" s="5" t="n">
        <v>46199</v>
      </c>
      <c r="AA2300" s="3" t="n"/>
      <c r="AB2300" s="3" t="n"/>
      <c r="AE2300" s="146">
        <f>IF(AND(F2300="Closed",X2300&gt;=DATE(2026,6,1),X2300&lt;=DATE(2026,6,30)),"Closed in June","other")</f>
        <v/>
      </c>
    </row>
    <row r="2301" hidden="1">
      <c r="A2301" s="49" t="n">
        <v>46177</v>
      </c>
      <c r="B2301" s="1" t="n">
        <v>2026</v>
      </c>
      <c r="C2301" s="8" t="inlineStr">
        <is>
          <t>Ayana</t>
        </is>
      </c>
      <c r="D2301" s="11" t="inlineStr">
        <is>
          <t>Utility and C&amp;I</t>
        </is>
      </c>
      <c r="E2301" s="1" t="n"/>
      <c r="F2301" s="1" t="inlineStr">
        <is>
          <t>Closed</t>
        </is>
      </c>
      <c r="G2301" s="11" t="inlineStr">
        <is>
          <t>Vasu.N</t>
        </is>
      </c>
      <c r="H2301" s="8" t="n">
        <v>9578099893</v>
      </c>
      <c r="I2301" s="10" t="inlineStr">
        <is>
          <t>PE04062601</t>
        </is>
      </c>
      <c r="J2301" s="28" t="inlineStr">
        <is>
          <t>Module burnt</t>
        </is>
      </c>
      <c r="K2301" s="8" t="inlineStr">
        <is>
          <t>Zura</t>
        </is>
      </c>
      <c r="L2301" s="8" t="inlineStr">
        <is>
          <t>Gujarat</t>
        </is>
      </c>
      <c r="M2301" s="2" t="inlineStr">
        <is>
          <t xml:space="preserve">damage </t>
        </is>
      </c>
      <c r="N2301" s="6" t="inlineStr">
        <is>
          <t>Module Breakage</t>
        </is>
      </c>
      <c r="O2301" s="32" t="n">
        <v>590</v>
      </c>
      <c r="P2301" s="2" t="inlineStr">
        <is>
          <t>NSMI24110851679</t>
        </is>
      </c>
      <c r="Q2301" s="29">
        <f>MID(P2301,5,2)</f>
        <v/>
      </c>
      <c r="R2301" s="14">
        <f>MID(P2301,7,2)</f>
        <v/>
      </c>
      <c r="S2301" s="6" t="inlineStr">
        <is>
          <t>G2G</t>
        </is>
      </c>
      <c r="T2301" s="1" t="inlineStr">
        <is>
          <t>P4 - PEIPL</t>
        </is>
      </c>
      <c r="U2301" s="2" t="inlineStr">
        <is>
          <t xml:space="preserve">physically damaged </t>
        </is>
      </c>
      <c r="V2301" s="1" t="inlineStr">
        <is>
          <t>Inspection</t>
        </is>
      </c>
      <c r="W2301" s="1" t="inlineStr">
        <is>
          <t>Rejected</t>
        </is>
      </c>
      <c r="X2301" s="5">
        <f>Z2301</f>
        <v/>
      </c>
      <c r="Y2301" s="1">
        <f>X2301-A2301</f>
        <v/>
      </c>
      <c r="Z2301" s="5" t="n">
        <v>46199</v>
      </c>
      <c r="AA2301" s="3" t="n"/>
      <c r="AB2301" s="3" t="n"/>
      <c r="AE2301" s="146">
        <f>IF(AND(F2301="Closed",X2301&gt;=DATE(2026,6,1),X2301&lt;=DATE(2026,6,30)),"Closed in June","other")</f>
        <v/>
      </c>
    </row>
    <row r="2302" hidden="1">
      <c r="A2302" s="49" t="n">
        <v>46177</v>
      </c>
      <c r="B2302" s="1" t="n">
        <v>2026</v>
      </c>
      <c r="C2302" s="8" t="inlineStr">
        <is>
          <t>Ayana</t>
        </is>
      </c>
      <c r="D2302" s="11" t="inlineStr">
        <is>
          <t>Utility and C&amp;I</t>
        </is>
      </c>
      <c r="E2302" s="1" t="n"/>
      <c r="F2302" s="1" t="inlineStr">
        <is>
          <t>Closed</t>
        </is>
      </c>
      <c r="G2302" s="11" t="inlineStr">
        <is>
          <t>Vasu.N</t>
        </is>
      </c>
      <c r="H2302" s="8" t="n">
        <v>9578099893</v>
      </c>
      <c r="I2302" s="10" t="inlineStr">
        <is>
          <t>PE04062601</t>
        </is>
      </c>
      <c r="J2302" s="28" t="inlineStr">
        <is>
          <t>Module burnt</t>
        </is>
      </c>
      <c r="K2302" s="8" t="inlineStr">
        <is>
          <t>Zura</t>
        </is>
      </c>
      <c r="L2302" s="8" t="inlineStr">
        <is>
          <t>Gujarat</t>
        </is>
      </c>
      <c r="M2302" s="2" t="inlineStr">
        <is>
          <t xml:space="preserve">damage </t>
        </is>
      </c>
      <c r="N2302" s="6" t="inlineStr">
        <is>
          <t>Module Breakage</t>
        </is>
      </c>
      <c r="O2302" s="32" t="n">
        <v>590</v>
      </c>
      <c r="P2302" s="2" t="inlineStr">
        <is>
          <t>NSMI24110851696</t>
        </is>
      </c>
      <c r="Q2302" s="29">
        <f>MID(P2302,5,2)</f>
        <v/>
      </c>
      <c r="R2302" s="14">
        <f>MID(P2302,7,2)</f>
        <v/>
      </c>
      <c r="S2302" s="6" t="inlineStr">
        <is>
          <t>G2G</t>
        </is>
      </c>
      <c r="T2302" s="1" t="inlineStr">
        <is>
          <t>P4 - PEIPL</t>
        </is>
      </c>
      <c r="U2302" s="2" t="inlineStr">
        <is>
          <t xml:space="preserve">physically damaged </t>
        </is>
      </c>
      <c r="V2302" s="1" t="inlineStr">
        <is>
          <t>Inspection</t>
        </is>
      </c>
      <c r="W2302" s="1" t="inlineStr">
        <is>
          <t>Rejected</t>
        </is>
      </c>
      <c r="X2302" s="5">
        <f>Z2302</f>
        <v/>
      </c>
      <c r="Y2302" s="1">
        <f>X2302-A2302</f>
        <v/>
      </c>
      <c r="Z2302" s="5" t="n">
        <v>46199</v>
      </c>
      <c r="AA2302" s="3" t="n"/>
      <c r="AB2302" s="3" t="n"/>
      <c r="AE2302" s="146">
        <f>IF(AND(F2302="Closed",X2302&gt;=DATE(2026,6,1),X2302&lt;=DATE(2026,6,30)),"Closed in June","other")</f>
        <v/>
      </c>
    </row>
    <row r="2303" hidden="1">
      <c r="A2303" s="49" t="n">
        <v>46177</v>
      </c>
      <c r="B2303" s="1" t="n">
        <v>2026</v>
      </c>
      <c r="C2303" s="8" t="inlineStr">
        <is>
          <t>Ayana</t>
        </is>
      </c>
      <c r="D2303" s="11" t="inlineStr">
        <is>
          <t>Utility and C&amp;I</t>
        </is>
      </c>
      <c r="E2303" s="1" t="n"/>
      <c r="F2303" s="1" t="inlineStr">
        <is>
          <t>Closed</t>
        </is>
      </c>
      <c r="G2303" s="11" t="inlineStr">
        <is>
          <t>Vasu.N</t>
        </is>
      </c>
      <c r="H2303" s="8" t="n">
        <v>9578099893</v>
      </c>
      <c r="I2303" s="10" t="inlineStr">
        <is>
          <t>PE04062601</t>
        </is>
      </c>
      <c r="J2303" s="28" t="inlineStr">
        <is>
          <t>Module burnt</t>
        </is>
      </c>
      <c r="K2303" s="8" t="inlineStr">
        <is>
          <t>Zura</t>
        </is>
      </c>
      <c r="L2303" s="8" t="inlineStr">
        <is>
          <t>Gujarat</t>
        </is>
      </c>
      <c r="M2303" s="2" t="inlineStr">
        <is>
          <t xml:space="preserve">damage </t>
        </is>
      </c>
      <c r="N2303" s="6" t="inlineStr">
        <is>
          <t>Module Breakage</t>
        </is>
      </c>
      <c r="O2303" s="32" t="n">
        <v>590</v>
      </c>
      <c r="P2303" s="2" t="inlineStr">
        <is>
          <t>NSMI24110851649</t>
        </is>
      </c>
      <c r="Q2303" s="29">
        <f>MID(P2303,5,2)</f>
        <v/>
      </c>
      <c r="R2303" s="14">
        <f>MID(P2303,7,2)</f>
        <v/>
      </c>
      <c r="S2303" s="6" t="inlineStr">
        <is>
          <t>G2G</t>
        </is>
      </c>
      <c r="T2303" s="1" t="inlineStr">
        <is>
          <t>P4 - PEIPL</t>
        </is>
      </c>
      <c r="U2303" s="2" t="inlineStr">
        <is>
          <t xml:space="preserve">physically damaged </t>
        </is>
      </c>
      <c r="V2303" s="1" t="inlineStr">
        <is>
          <t>Inspection</t>
        </is>
      </c>
      <c r="W2303" s="1" t="inlineStr">
        <is>
          <t>Rejected</t>
        </is>
      </c>
      <c r="X2303" s="5">
        <f>Z2303</f>
        <v/>
      </c>
      <c r="Y2303" s="1">
        <f>X2303-A2303</f>
        <v/>
      </c>
      <c r="Z2303" s="5" t="n">
        <v>46199</v>
      </c>
      <c r="AA2303" s="3" t="n"/>
      <c r="AB2303" s="3" t="n"/>
      <c r="AE2303" s="146">
        <f>IF(AND(F2303="Closed",X2303&gt;=DATE(2026,6,1),X2303&lt;=DATE(2026,6,30)),"Closed in June","other")</f>
        <v/>
      </c>
    </row>
    <row r="2304" hidden="1">
      <c r="A2304" s="49" t="n">
        <v>46177</v>
      </c>
      <c r="B2304" s="1" t="n">
        <v>2026</v>
      </c>
      <c r="C2304" s="8" t="inlineStr">
        <is>
          <t>Ayana</t>
        </is>
      </c>
      <c r="D2304" s="11" t="inlineStr">
        <is>
          <t>Utility and C&amp;I</t>
        </is>
      </c>
      <c r="E2304" s="1" t="n"/>
      <c r="F2304" s="1" t="inlineStr">
        <is>
          <t>Closed</t>
        </is>
      </c>
      <c r="G2304" s="11" t="inlineStr">
        <is>
          <t>Vasu.N</t>
        </is>
      </c>
      <c r="H2304" s="8" t="n">
        <v>9578099893</v>
      </c>
      <c r="I2304" s="10" t="inlineStr">
        <is>
          <t>PE04062601</t>
        </is>
      </c>
      <c r="J2304" s="28" t="inlineStr">
        <is>
          <t>Module burnt</t>
        </is>
      </c>
      <c r="K2304" s="8" t="inlineStr">
        <is>
          <t>Zura</t>
        </is>
      </c>
      <c r="L2304" s="8" t="inlineStr">
        <is>
          <t>Gujarat</t>
        </is>
      </c>
      <c r="M2304" s="2" t="inlineStr">
        <is>
          <t xml:space="preserve">damage </t>
        </is>
      </c>
      <c r="N2304" s="6" t="inlineStr">
        <is>
          <t>Module Breakage</t>
        </is>
      </c>
      <c r="O2304" s="32" t="n">
        <v>590</v>
      </c>
      <c r="P2304" s="2" t="inlineStr">
        <is>
          <t>NSMI24110851685</t>
        </is>
      </c>
      <c r="Q2304" s="29">
        <f>MID(P2304,5,2)</f>
        <v/>
      </c>
      <c r="R2304" s="14">
        <f>MID(P2304,7,2)</f>
        <v/>
      </c>
      <c r="S2304" s="6" t="inlineStr">
        <is>
          <t>G2G</t>
        </is>
      </c>
      <c r="T2304" s="1" t="inlineStr">
        <is>
          <t>P4 - PEIPL</t>
        </is>
      </c>
      <c r="U2304" s="2" t="inlineStr">
        <is>
          <t xml:space="preserve">physically damaged </t>
        </is>
      </c>
      <c r="V2304" s="1" t="inlineStr">
        <is>
          <t>Inspection</t>
        </is>
      </c>
      <c r="W2304" s="1" t="inlineStr">
        <is>
          <t>Rejected</t>
        </is>
      </c>
      <c r="X2304" s="5">
        <f>Z2304</f>
        <v/>
      </c>
      <c r="Y2304" s="1">
        <f>X2304-A2304</f>
        <v/>
      </c>
      <c r="Z2304" s="5" t="n">
        <v>46199</v>
      </c>
      <c r="AA2304" s="3" t="n"/>
      <c r="AB2304" s="3" t="n"/>
      <c r="AE2304" s="146">
        <f>IF(AND(F2304="Closed",X2304&gt;=DATE(2026,6,1),X2304&lt;=DATE(2026,6,30)),"Closed in June","other")</f>
        <v/>
      </c>
    </row>
    <row r="2305" hidden="1">
      <c r="A2305" s="49" t="n">
        <v>46177</v>
      </c>
      <c r="B2305" s="1" t="n">
        <v>2026</v>
      </c>
      <c r="C2305" s="8" t="inlineStr">
        <is>
          <t>Ayana</t>
        </is>
      </c>
      <c r="D2305" s="11" t="inlineStr">
        <is>
          <t>Utility and C&amp;I</t>
        </is>
      </c>
      <c r="E2305" s="1" t="n"/>
      <c r="F2305" s="1" t="inlineStr">
        <is>
          <t>Closed</t>
        </is>
      </c>
      <c r="G2305" s="11" t="inlineStr">
        <is>
          <t>Vasu.N</t>
        </is>
      </c>
      <c r="H2305" s="8" t="n">
        <v>9578099893</v>
      </c>
      <c r="I2305" s="10" t="inlineStr">
        <is>
          <t>PE04062601</t>
        </is>
      </c>
      <c r="J2305" s="28" t="inlineStr">
        <is>
          <t>Module burnt</t>
        </is>
      </c>
      <c r="K2305" s="8" t="inlineStr">
        <is>
          <t>Zura</t>
        </is>
      </c>
      <c r="L2305" s="8" t="inlineStr">
        <is>
          <t>Gujarat</t>
        </is>
      </c>
      <c r="M2305" s="2" t="inlineStr">
        <is>
          <t xml:space="preserve">damage </t>
        </is>
      </c>
      <c r="N2305" s="6" t="inlineStr">
        <is>
          <t>Module Breakage</t>
        </is>
      </c>
      <c r="O2305" s="32" t="n">
        <v>590</v>
      </c>
      <c r="P2305" s="2" t="inlineStr">
        <is>
          <t>NSMI24110849192</t>
        </is>
      </c>
      <c r="Q2305" s="29">
        <f>MID(P2305,5,2)</f>
        <v/>
      </c>
      <c r="R2305" s="14">
        <f>MID(P2305,7,2)</f>
        <v/>
      </c>
      <c r="S2305" s="6" t="inlineStr">
        <is>
          <t>G2G</t>
        </is>
      </c>
      <c r="T2305" s="1" t="inlineStr">
        <is>
          <t>P4 - PEIPL</t>
        </is>
      </c>
      <c r="U2305" s="2" t="inlineStr">
        <is>
          <t xml:space="preserve">physically damaged </t>
        </is>
      </c>
      <c r="V2305" s="1" t="inlineStr">
        <is>
          <t>Inspection</t>
        </is>
      </c>
      <c r="W2305" s="1" t="inlineStr">
        <is>
          <t>Rejected</t>
        </is>
      </c>
      <c r="X2305" s="5">
        <f>Z2305</f>
        <v/>
      </c>
      <c r="Y2305" s="1">
        <f>X2305-A2305</f>
        <v/>
      </c>
      <c r="Z2305" s="5" t="n">
        <v>46199</v>
      </c>
      <c r="AA2305" s="3" t="n"/>
      <c r="AB2305" s="3" t="n"/>
      <c r="AE2305" s="146">
        <f>IF(AND(F2305="Closed",X2305&gt;=DATE(2026,6,1),X2305&lt;=DATE(2026,6,30)),"Closed in June","other")</f>
        <v/>
      </c>
    </row>
    <row r="2306" hidden="1">
      <c r="A2306" s="49" t="n">
        <v>46177</v>
      </c>
      <c r="B2306" s="1" t="n">
        <v>2026</v>
      </c>
      <c r="C2306" s="8" t="inlineStr">
        <is>
          <t>Ayana</t>
        </is>
      </c>
      <c r="D2306" s="11" t="inlineStr">
        <is>
          <t>Utility and C&amp;I</t>
        </is>
      </c>
      <c r="E2306" s="1" t="n"/>
      <c r="F2306" s="1" t="inlineStr">
        <is>
          <t>Closed</t>
        </is>
      </c>
      <c r="G2306" s="11" t="inlineStr">
        <is>
          <t>Vasu.N</t>
        </is>
      </c>
      <c r="H2306" s="8" t="n">
        <v>9578099893</v>
      </c>
      <c r="I2306" s="10" t="inlineStr">
        <is>
          <t>PE04062601</t>
        </is>
      </c>
      <c r="J2306" s="28" t="inlineStr">
        <is>
          <t>Module burnt</t>
        </is>
      </c>
      <c r="K2306" s="8" t="inlineStr">
        <is>
          <t>Zura</t>
        </is>
      </c>
      <c r="L2306" s="8" t="inlineStr">
        <is>
          <t>Gujarat</t>
        </is>
      </c>
      <c r="M2306" s="2" t="inlineStr">
        <is>
          <t xml:space="preserve">damage </t>
        </is>
      </c>
      <c r="N2306" s="6" t="inlineStr">
        <is>
          <t>Module Breakage</t>
        </is>
      </c>
      <c r="O2306" s="32" t="n">
        <v>590</v>
      </c>
      <c r="P2306" s="2" t="inlineStr">
        <is>
          <t>NSMI24110851603</t>
        </is>
      </c>
      <c r="Q2306" s="29">
        <f>MID(P2306,5,2)</f>
        <v/>
      </c>
      <c r="R2306" s="14">
        <f>MID(P2306,7,2)</f>
        <v/>
      </c>
      <c r="S2306" s="6" t="inlineStr">
        <is>
          <t>G2G</t>
        </is>
      </c>
      <c r="T2306" s="1" t="inlineStr">
        <is>
          <t>P4 - PEIPL</t>
        </is>
      </c>
      <c r="U2306" s="2" t="inlineStr">
        <is>
          <t xml:space="preserve">physically damaged </t>
        </is>
      </c>
      <c r="V2306" s="1" t="inlineStr">
        <is>
          <t>Inspection</t>
        </is>
      </c>
      <c r="W2306" s="1" t="inlineStr">
        <is>
          <t>Rejected</t>
        </is>
      </c>
      <c r="X2306" s="5">
        <f>Z2306</f>
        <v/>
      </c>
      <c r="Y2306" s="1">
        <f>X2306-A2306</f>
        <v/>
      </c>
      <c r="Z2306" s="5" t="n">
        <v>46199</v>
      </c>
      <c r="AA2306" s="3" t="n"/>
      <c r="AB2306" s="3" t="n"/>
      <c r="AE2306" s="146">
        <f>IF(AND(F2306="Closed",X2306&gt;=DATE(2026,6,1),X2306&lt;=DATE(2026,6,30)),"Closed in June","other")</f>
        <v/>
      </c>
    </row>
    <row r="2307" hidden="1">
      <c r="A2307" s="49" t="n">
        <v>46177</v>
      </c>
      <c r="B2307" s="1" t="n">
        <v>2026</v>
      </c>
      <c r="C2307" s="8" t="inlineStr">
        <is>
          <t>Ayana</t>
        </is>
      </c>
      <c r="D2307" s="11" t="inlineStr">
        <is>
          <t>Utility and C&amp;I</t>
        </is>
      </c>
      <c r="E2307" s="1" t="n"/>
      <c r="F2307" s="1" t="inlineStr">
        <is>
          <t>Closed</t>
        </is>
      </c>
      <c r="G2307" s="11" t="inlineStr">
        <is>
          <t>Vasu.N</t>
        </is>
      </c>
      <c r="H2307" s="8" t="n">
        <v>9578099893</v>
      </c>
      <c r="I2307" s="10" t="inlineStr">
        <is>
          <t>PE04062601</t>
        </is>
      </c>
      <c r="J2307" s="28" t="inlineStr">
        <is>
          <t>Module burnt</t>
        </is>
      </c>
      <c r="K2307" s="8" t="inlineStr">
        <is>
          <t>Zura</t>
        </is>
      </c>
      <c r="L2307" s="8" t="inlineStr">
        <is>
          <t>Gujarat</t>
        </is>
      </c>
      <c r="M2307" s="2" t="inlineStr">
        <is>
          <t xml:space="preserve">damage </t>
        </is>
      </c>
      <c r="N2307" s="6" t="inlineStr">
        <is>
          <t>Module Breakage</t>
        </is>
      </c>
      <c r="O2307" s="32" t="n">
        <v>590</v>
      </c>
      <c r="P2307" s="2" t="inlineStr">
        <is>
          <t>NSMI24110851604</t>
        </is>
      </c>
      <c r="Q2307" s="29">
        <f>MID(P2307,5,2)</f>
        <v/>
      </c>
      <c r="R2307" s="14">
        <f>MID(P2307,7,2)</f>
        <v/>
      </c>
      <c r="S2307" s="6" t="inlineStr">
        <is>
          <t>G2G</t>
        </is>
      </c>
      <c r="T2307" s="1" t="inlineStr">
        <is>
          <t>P4 - PEIPL</t>
        </is>
      </c>
      <c r="U2307" s="2" t="inlineStr">
        <is>
          <t xml:space="preserve">physically damaged </t>
        </is>
      </c>
      <c r="V2307" s="1" t="inlineStr">
        <is>
          <t>Inspection</t>
        </is>
      </c>
      <c r="W2307" s="1" t="inlineStr">
        <is>
          <t>Rejected</t>
        </is>
      </c>
      <c r="X2307" s="5">
        <f>Z2307</f>
        <v/>
      </c>
      <c r="Y2307" s="1">
        <f>X2307-A2307</f>
        <v/>
      </c>
      <c r="Z2307" s="5" t="n">
        <v>46199</v>
      </c>
      <c r="AA2307" s="3" t="n"/>
      <c r="AB2307" s="3" t="n"/>
      <c r="AE2307" s="146">
        <f>IF(AND(F2307="Closed",X2307&gt;=DATE(2026,6,1),X2307&lt;=DATE(2026,6,30)),"Closed in June","other")</f>
        <v/>
      </c>
    </row>
    <row r="2308" hidden="1">
      <c r="A2308" s="49" t="n">
        <v>46177</v>
      </c>
      <c r="B2308" s="1" t="n">
        <v>2026</v>
      </c>
      <c r="C2308" s="8" t="inlineStr">
        <is>
          <t>Ayana</t>
        </is>
      </c>
      <c r="D2308" s="11" t="inlineStr">
        <is>
          <t>Utility and C&amp;I</t>
        </is>
      </c>
      <c r="E2308" s="1" t="n"/>
      <c r="F2308" s="1" t="inlineStr">
        <is>
          <t>Closed</t>
        </is>
      </c>
      <c r="G2308" s="11" t="inlineStr">
        <is>
          <t>Vasu.N</t>
        </is>
      </c>
      <c r="H2308" s="8" t="n">
        <v>9578099893</v>
      </c>
      <c r="I2308" s="10" t="inlineStr">
        <is>
          <t>PE04062601</t>
        </is>
      </c>
      <c r="J2308" s="28" t="inlineStr">
        <is>
          <t>Module burnt</t>
        </is>
      </c>
      <c r="K2308" s="8" t="inlineStr">
        <is>
          <t>Zura</t>
        </is>
      </c>
      <c r="L2308" s="8" t="inlineStr">
        <is>
          <t>Gujarat</t>
        </is>
      </c>
      <c r="M2308" s="2" t="inlineStr">
        <is>
          <t xml:space="preserve">damage </t>
        </is>
      </c>
      <c r="N2308" s="6" t="inlineStr">
        <is>
          <t>Module Breakage</t>
        </is>
      </c>
      <c r="O2308" s="32" t="n">
        <v>590</v>
      </c>
      <c r="P2308" s="2" t="inlineStr">
        <is>
          <t>NSMI24110851663</t>
        </is>
      </c>
      <c r="Q2308" s="29">
        <f>MID(P2308,5,2)</f>
        <v/>
      </c>
      <c r="R2308" s="14">
        <f>MID(P2308,7,2)</f>
        <v/>
      </c>
      <c r="S2308" s="6" t="inlineStr">
        <is>
          <t>G2G</t>
        </is>
      </c>
      <c r="T2308" s="1" t="inlineStr">
        <is>
          <t>P4 - PEIPL</t>
        </is>
      </c>
      <c r="U2308" s="2" t="inlineStr">
        <is>
          <t xml:space="preserve">physically damaged </t>
        </is>
      </c>
      <c r="V2308" s="1" t="inlineStr">
        <is>
          <t>Inspection</t>
        </is>
      </c>
      <c r="W2308" s="1" t="inlineStr">
        <is>
          <t>Rejected</t>
        </is>
      </c>
      <c r="X2308" s="5">
        <f>Z2308</f>
        <v/>
      </c>
      <c r="Y2308" s="1">
        <f>X2308-A2308</f>
        <v/>
      </c>
      <c r="Z2308" s="5" t="n">
        <v>46199</v>
      </c>
      <c r="AA2308" s="3" t="n"/>
      <c r="AB2308" s="3" t="n"/>
      <c r="AE2308" s="146">
        <f>IF(AND(F2308="Closed",X2308&gt;=DATE(2026,6,1),X2308&lt;=DATE(2026,6,30)),"Closed in June","other")</f>
        <v/>
      </c>
    </row>
    <row r="2309" hidden="1">
      <c r="A2309" s="49" t="n">
        <v>46177</v>
      </c>
      <c r="B2309" s="1" t="n">
        <v>2026</v>
      </c>
      <c r="C2309" s="8" t="inlineStr">
        <is>
          <t>Ayana</t>
        </is>
      </c>
      <c r="D2309" s="11" t="inlineStr">
        <is>
          <t>Utility and C&amp;I</t>
        </is>
      </c>
      <c r="E2309" s="1" t="n"/>
      <c r="F2309" s="1" t="inlineStr">
        <is>
          <t>Closed</t>
        </is>
      </c>
      <c r="G2309" s="11" t="inlineStr">
        <is>
          <t>Vasu.N</t>
        </is>
      </c>
      <c r="H2309" s="8" t="n">
        <v>9578099893</v>
      </c>
      <c r="I2309" s="10" t="inlineStr">
        <is>
          <t>PE04062601</t>
        </is>
      </c>
      <c r="J2309" s="28" t="inlineStr">
        <is>
          <t>Module burnt</t>
        </is>
      </c>
      <c r="K2309" s="8" t="inlineStr">
        <is>
          <t>Zura</t>
        </is>
      </c>
      <c r="L2309" s="8" t="inlineStr">
        <is>
          <t>Gujarat</t>
        </is>
      </c>
      <c r="M2309" s="2" t="inlineStr">
        <is>
          <t xml:space="preserve">damage </t>
        </is>
      </c>
      <c r="N2309" s="6" t="inlineStr">
        <is>
          <t>Module Breakage</t>
        </is>
      </c>
      <c r="O2309" s="32" t="n">
        <v>590</v>
      </c>
      <c r="P2309" s="2" t="inlineStr">
        <is>
          <t>NSMI24110851664</t>
        </is>
      </c>
      <c r="Q2309" s="29">
        <f>MID(P2309,5,2)</f>
        <v/>
      </c>
      <c r="R2309" s="14">
        <f>MID(P2309,7,2)</f>
        <v/>
      </c>
      <c r="S2309" s="6" t="inlineStr">
        <is>
          <t>G2G</t>
        </is>
      </c>
      <c r="T2309" s="1" t="inlineStr">
        <is>
          <t>P4 - PEIPL</t>
        </is>
      </c>
      <c r="U2309" s="2" t="inlineStr">
        <is>
          <t xml:space="preserve">physically damaged </t>
        </is>
      </c>
      <c r="V2309" s="1" t="inlineStr">
        <is>
          <t>Inspection</t>
        </is>
      </c>
      <c r="W2309" s="1" t="inlineStr">
        <is>
          <t>Rejected</t>
        </is>
      </c>
      <c r="X2309" s="5">
        <f>Z2309</f>
        <v/>
      </c>
      <c r="Y2309" s="1">
        <f>X2309-A2309</f>
        <v/>
      </c>
      <c r="Z2309" s="5" t="n">
        <v>46199</v>
      </c>
      <c r="AA2309" s="3" t="n"/>
      <c r="AB2309" s="3" t="n"/>
      <c r="AE2309" s="146">
        <f>IF(AND(F2309="Closed",X2309&gt;=DATE(2026,6,1),X2309&lt;=DATE(2026,6,30)),"Closed in June","other")</f>
        <v/>
      </c>
    </row>
    <row r="2310" hidden="1">
      <c r="A2310" s="49" t="n">
        <v>46177</v>
      </c>
      <c r="B2310" s="1" t="n">
        <v>2026</v>
      </c>
      <c r="C2310" s="8" t="inlineStr">
        <is>
          <t>Ayana</t>
        </is>
      </c>
      <c r="D2310" s="11" t="inlineStr">
        <is>
          <t>Utility and C&amp;I</t>
        </is>
      </c>
      <c r="E2310" s="1" t="n"/>
      <c r="F2310" s="1" t="inlineStr">
        <is>
          <t>Closed</t>
        </is>
      </c>
      <c r="G2310" s="11" t="inlineStr">
        <is>
          <t>Vasu.N</t>
        </is>
      </c>
      <c r="H2310" s="8" t="n">
        <v>9578099893</v>
      </c>
      <c r="I2310" s="10" t="inlineStr">
        <is>
          <t>PE04062601</t>
        </is>
      </c>
      <c r="J2310" s="28" t="inlineStr">
        <is>
          <t>Module burnt</t>
        </is>
      </c>
      <c r="K2310" s="8" t="inlineStr">
        <is>
          <t>Zura</t>
        </is>
      </c>
      <c r="L2310" s="8" t="inlineStr">
        <is>
          <t>Gujarat</t>
        </is>
      </c>
      <c r="M2310" s="2" t="inlineStr">
        <is>
          <t xml:space="preserve">damage </t>
        </is>
      </c>
      <c r="N2310" s="6" t="inlineStr">
        <is>
          <t>Module Breakage</t>
        </is>
      </c>
      <c r="O2310" s="32" t="n">
        <v>590</v>
      </c>
      <c r="P2310" s="2" t="inlineStr">
        <is>
          <t>NSMI24110844331</t>
        </is>
      </c>
      <c r="Q2310" s="29">
        <f>MID(P2310,5,2)</f>
        <v/>
      </c>
      <c r="R2310" s="14">
        <f>MID(P2310,7,2)</f>
        <v/>
      </c>
      <c r="S2310" s="6" t="inlineStr">
        <is>
          <t>G2G</t>
        </is>
      </c>
      <c r="T2310" s="1" t="inlineStr">
        <is>
          <t>P4 - PEIPL</t>
        </is>
      </c>
      <c r="U2310" s="2" t="inlineStr">
        <is>
          <t xml:space="preserve">physically damaged </t>
        </is>
      </c>
      <c r="V2310" s="1" t="inlineStr">
        <is>
          <t>Inspection</t>
        </is>
      </c>
      <c r="W2310" s="1" t="inlineStr">
        <is>
          <t>Rejected</t>
        </is>
      </c>
      <c r="X2310" s="5">
        <f>Z2310</f>
        <v/>
      </c>
      <c r="Y2310" s="1">
        <f>X2310-A2310</f>
        <v/>
      </c>
      <c r="Z2310" s="5" t="n">
        <v>46199</v>
      </c>
      <c r="AA2310" s="3" t="n"/>
      <c r="AB2310" s="3" t="n"/>
      <c r="AE2310" s="146">
        <f>IF(AND(F2310="Closed",X2310&gt;=DATE(2026,6,1),X2310&lt;=DATE(2026,6,30)),"Closed in June","other")</f>
        <v/>
      </c>
    </row>
    <row r="2311" hidden="1">
      <c r="A2311" s="49" t="n">
        <v>46177</v>
      </c>
      <c r="B2311" s="1" t="n">
        <v>2026</v>
      </c>
      <c r="C2311" s="8" t="inlineStr">
        <is>
          <t>Ayana</t>
        </is>
      </c>
      <c r="D2311" s="11" t="inlineStr">
        <is>
          <t>Utility and C&amp;I</t>
        </is>
      </c>
      <c r="E2311" s="1" t="n"/>
      <c r="F2311" s="1" t="inlineStr">
        <is>
          <t>Closed</t>
        </is>
      </c>
      <c r="G2311" s="11" t="inlineStr">
        <is>
          <t>Vasu.N</t>
        </is>
      </c>
      <c r="H2311" s="8" t="n">
        <v>9578099893</v>
      </c>
      <c r="I2311" s="10" t="inlineStr">
        <is>
          <t>PE04062601</t>
        </is>
      </c>
      <c r="J2311" s="28" t="inlineStr">
        <is>
          <t>Module burnt</t>
        </is>
      </c>
      <c r="K2311" s="8" t="inlineStr">
        <is>
          <t>Zura</t>
        </is>
      </c>
      <c r="L2311" s="8" t="inlineStr">
        <is>
          <t>Gujarat</t>
        </is>
      </c>
      <c r="M2311" s="2" t="inlineStr">
        <is>
          <t xml:space="preserve">damage </t>
        </is>
      </c>
      <c r="N2311" s="6" t="inlineStr">
        <is>
          <t>Module Breakage</t>
        </is>
      </c>
      <c r="O2311" s="32" t="n">
        <v>590</v>
      </c>
      <c r="P2311" s="2" t="inlineStr">
        <is>
          <t>NSMI24110824426</t>
        </is>
      </c>
      <c r="Q2311" s="29">
        <f>MID(P2311,5,2)</f>
        <v/>
      </c>
      <c r="R2311" s="14">
        <f>MID(P2311,7,2)</f>
        <v/>
      </c>
      <c r="S2311" s="6" t="inlineStr">
        <is>
          <t>G2G</t>
        </is>
      </c>
      <c r="T2311" s="1" t="inlineStr">
        <is>
          <t>P4 - PEIPL</t>
        </is>
      </c>
      <c r="U2311" s="2" t="inlineStr">
        <is>
          <t xml:space="preserve">physically damaged </t>
        </is>
      </c>
      <c r="V2311" s="1" t="inlineStr">
        <is>
          <t>Inspection</t>
        </is>
      </c>
      <c r="W2311" s="1" t="inlineStr">
        <is>
          <t>Rejected</t>
        </is>
      </c>
      <c r="X2311" s="5">
        <f>Z2311</f>
        <v/>
      </c>
      <c r="Y2311" s="1">
        <f>X2311-A2311</f>
        <v/>
      </c>
      <c r="Z2311" s="5" t="n">
        <v>46199</v>
      </c>
      <c r="AA2311" s="3" t="n"/>
      <c r="AB2311" s="3" t="n"/>
      <c r="AE2311" s="146">
        <f>IF(AND(F2311="Closed",X2311&gt;=DATE(2026,6,1),X2311&lt;=DATE(2026,6,30)),"Closed in June","other")</f>
        <v/>
      </c>
    </row>
    <row r="2312" hidden="1">
      <c r="A2312" s="49" t="n">
        <v>46177</v>
      </c>
      <c r="B2312" s="1" t="n">
        <v>2026</v>
      </c>
      <c r="C2312" s="8" t="inlineStr">
        <is>
          <t>Ayana</t>
        </is>
      </c>
      <c r="D2312" s="11" t="inlineStr">
        <is>
          <t>Utility and C&amp;I</t>
        </is>
      </c>
      <c r="E2312" s="1" t="n"/>
      <c r="F2312" s="1" t="inlineStr">
        <is>
          <t>Closed</t>
        </is>
      </c>
      <c r="G2312" s="11" t="inlineStr">
        <is>
          <t>Vasu.N</t>
        </is>
      </c>
      <c r="H2312" s="8" t="n">
        <v>9578099893</v>
      </c>
      <c r="I2312" s="10" t="inlineStr">
        <is>
          <t>PE04062601</t>
        </is>
      </c>
      <c r="J2312" s="28" t="inlineStr">
        <is>
          <t>Module burnt</t>
        </is>
      </c>
      <c r="K2312" s="8" t="inlineStr">
        <is>
          <t>Zura</t>
        </is>
      </c>
      <c r="L2312" s="8" t="inlineStr">
        <is>
          <t>Gujarat</t>
        </is>
      </c>
      <c r="M2312" s="2" t="inlineStr">
        <is>
          <t xml:space="preserve">damage </t>
        </is>
      </c>
      <c r="N2312" s="6" t="inlineStr">
        <is>
          <t>Module Breakage</t>
        </is>
      </c>
      <c r="O2312" s="32" t="n">
        <v>590</v>
      </c>
      <c r="P2312" s="2" t="inlineStr">
        <is>
          <t>NSMI24110821614</t>
        </is>
      </c>
      <c r="Q2312" s="29">
        <f>MID(P2312,5,2)</f>
        <v/>
      </c>
      <c r="R2312" s="14">
        <f>MID(P2312,7,2)</f>
        <v/>
      </c>
      <c r="S2312" s="6" t="inlineStr">
        <is>
          <t>G2G</t>
        </is>
      </c>
      <c r="T2312" s="1" t="inlineStr">
        <is>
          <t>P4 - PEIPL</t>
        </is>
      </c>
      <c r="U2312" s="2" t="inlineStr">
        <is>
          <t xml:space="preserve">physically damaged </t>
        </is>
      </c>
      <c r="V2312" s="1" t="inlineStr">
        <is>
          <t>Inspection</t>
        </is>
      </c>
      <c r="W2312" s="1" t="inlineStr">
        <is>
          <t>Rejected</t>
        </is>
      </c>
      <c r="X2312" s="5">
        <f>Z2312</f>
        <v/>
      </c>
      <c r="Y2312" s="1">
        <f>X2312-A2312</f>
        <v/>
      </c>
      <c r="Z2312" s="5" t="n">
        <v>46199</v>
      </c>
      <c r="AA2312" s="3" t="n"/>
      <c r="AB2312" s="3" t="n"/>
      <c r="AE2312" s="146">
        <f>IF(AND(F2312="Closed",X2312&gt;=DATE(2026,6,1),X2312&lt;=DATE(2026,6,30)),"Closed in June","other")</f>
        <v/>
      </c>
    </row>
    <row r="2313" hidden="1">
      <c r="A2313" s="49" t="n">
        <v>46177</v>
      </c>
      <c r="B2313" s="1" t="n">
        <v>2026</v>
      </c>
      <c r="C2313" s="8" t="inlineStr">
        <is>
          <t>Ayana</t>
        </is>
      </c>
      <c r="D2313" s="11" t="inlineStr">
        <is>
          <t>Utility and C&amp;I</t>
        </is>
      </c>
      <c r="E2313" s="1" t="n"/>
      <c r="F2313" s="1" t="inlineStr">
        <is>
          <t>Closed</t>
        </is>
      </c>
      <c r="G2313" s="11" t="inlineStr">
        <is>
          <t>Vasu.N</t>
        </is>
      </c>
      <c r="H2313" s="8" t="n">
        <v>9578099893</v>
      </c>
      <c r="I2313" s="10" t="inlineStr">
        <is>
          <t>PE04062601</t>
        </is>
      </c>
      <c r="J2313" s="28" t="inlineStr">
        <is>
          <t>Module burnt</t>
        </is>
      </c>
      <c r="K2313" s="8" t="inlineStr">
        <is>
          <t>Zura</t>
        </is>
      </c>
      <c r="L2313" s="8" t="inlineStr">
        <is>
          <t>Gujarat</t>
        </is>
      </c>
      <c r="M2313" s="2" t="inlineStr">
        <is>
          <t xml:space="preserve">damage </t>
        </is>
      </c>
      <c r="N2313" s="6" t="inlineStr">
        <is>
          <t>Module Breakage</t>
        </is>
      </c>
      <c r="O2313" s="32" t="n">
        <v>590</v>
      </c>
      <c r="P2313" s="2" t="inlineStr">
        <is>
          <t>NSMI24110826827</t>
        </is>
      </c>
      <c r="Q2313" s="29">
        <f>MID(P2313,5,2)</f>
        <v/>
      </c>
      <c r="R2313" s="14">
        <f>MID(P2313,7,2)</f>
        <v/>
      </c>
      <c r="S2313" s="6" t="inlineStr">
        <is>
          <t>G2G</t>
        </is>
      </c>
      <c r="T2313" s="1" t="inlineStr">
        <is>
          <t>P4 - PEIPL</t>
        </is>
      </c>
      <c r="U2313" s="2" t="inlineStr">
        <is>
          <t xml:space="preserve">physically damaged </t>
        </is>
      </c>
      <c r="V2313" s="1" t="inlineStr">
        <is>
          <t>Inspection</t>
        </is>
      </c>
      <c r="W2313" s="1" t="inlineStr">
        <is>
          <t>Rejected</t>
        </is>
      </c>
      <c r="X2313" s="5">
        <f>Z2313</f>
        <v/>
      </c>
      <c r="Y2313" s="1">
        <f>X2313-A2313</f>
        <v/>
      </c>
      <c r="Z2313" s="5" t="n">
        <v>46199</v>
      </c>
      <c r="AA2313" s="3" t="n"/>
      <c r="AB2313" s="3" t="n"/>
      <c r="AE2313" s="146">
        <f>IF(AND(F2313="Closed",X2313&gt;=DATE(2026,6,1),X2313&lt;=DATE(2026,6,30)),"Closed in June","other")</f>
        <v/>
      </c>
    </row>
    <row r="2314" hidden="1">
      <c r="A2314" s="49" t="n">
        <v>46177</v>
      </c>
      <c r="B2314" s="1" t="n">
        <v>2026</v>
      </c>
      <c r="C2314" s="8" t="inlineStr">
        <is>
          <t>Ayana</t>
        </is>
      </c>
      <c r="D2314" s="11" t="inlineStr">
        <is>
          <t>Utility and C&amp;I</t>
        </is>
      </c>
      <c r="E2314" s="1" t="n"/>
      <c r="F2314" s="1" t="inlineStr">
        <is>
          <t>Closed</t>
        </is>
      </c>
      <c r="G2314" s="11" t="inlineStr">
        <is>
          <t>Vasu.N</t>
        </is>
      </c>
      <c r="H2314" s="8" t="n">
        <v>9578099893</v>
      </c>
      <c r="I2314" s="10" t="inlineStr">
        <is>
          <t>PE04062601</t>
        </is>
      </c>
      <c r="J2314" s="28" t="inlineStr">
        <is>
          <t>Module burnt</t>
        </is>
      </c>
      <c r="K2314" s="8" t="inlineStr">
        <is>
          <t>Zura</t>
        </is>
      </c>
      <c r="L2314" s="8" t="inlineStr">
        <is>
          <t>Gujarat</t>
        </is>
      </c>
      <c r="M2314" s="2" t="inlineStr">
        <is>
          <t xml:space="preserve">damage </t>
        </is>
      </c>
      <c r="N2314" s="6" t="inlineStr">
        <is>
          <t>Module Breakage</t>
        </is>
      </c>
      <c r="O2314" s="32" t="n">
        <v>590</v>
      </c>
      <c r="P2314" s="2" t="inlineStr">
        <is>
          <t>NSMI24110813950</t>
        </is>
      </c>
      <c r="Q2314" s="29">
        <f>MID(P2314,5,2)</f>
        <v/>
      </c>
      <c r="R2314" s="14">
        <f>MID(P2314,7,2)</f>
        <v/>
      </c>
      <c r="S2314" s="6" t="inlineStr">
        <is>
          <t>G2G</t>
        </is>
      </c>
      <c r="T2314" s="1" t="inlineStr">
        <is>
          <t>P4 - PEIPL</t>
        </is>
      </c>
      <c r="U2314" s="2" t="inlineStr">
        <is>
          <t xml:space="preserve">physically damaged </t>
        </is>
      </c>
      <c r="V2314" s="1" t="inlineStr">
        <is>
          <t>Inspection</t>
        </is>
      </c>
      <c r="W2314" s="1" t="inlineStr">
        <is>
          <t>Rejected</t>
        </is>
      </c>
      <c r="X2314" s="5">
        <f>Z2314</f>
        <v/>
      </c>
      <c r="Y2314" s="1">
        <f>X2314-A2314</f>
        <v/>
      </c>
      <c r="Z2314" s="5" t="n">
        <v>46199</v>
      </c>
      <c r="AA2314" s="3" t="n"/>
      <c r="AB2314" s="3" t="n"/>
      <c r="AE2314" s="146">
        <f>IF(AND(F2314="Closed",X2314&gt;=DATE(2026,6,1),X2314&lt;=DATE(2026,6,30)),"Closed in June","other")</f>
        <v/>
      </c>
    </row>
    <row r="2315" hidden="1">
      <c r="A2315" s="49" t="n">
        <v>46177</v>
      </c>
      <c r="B2315" s="1" t="n">
        <v>2026</v>
      </c>
      <c r="C2315" s="8" t="inlineStr">
        <is>
          <t>Ayana</t>
        </is>
      </c>
      <c r="D2315" s="11" t="inlineStr">
        <is>
          <t>Utility and C&amp;I</t>
        </is>
      </c>
      <c r="E2315" s="1" t="n"/>
      <c r="F2315" s="1" t="inlineStr">
        <is>
          <t>WIP</t>
        </is>
      </c>
      <c r="G2315" s="11" t="inlineStr">
        <is>
          <t>Vasu.N</t>
        </is>
      </c>
      <c r="H2315" s="8" t="n">
        <v>9578099893</v>
      </c>
      <c r="I2315" s="10" t="inlineStr">
        <is>
          <t>PE04062601</t>
        </is>
      </c>
      <c r="J2315" s="28" t="inlineStr">
        <is>
          <t>Module burnt</t>
        </is>
      </c>
      <c r="K2315" s="8" t="inlineStr">
        <is>
          <t>Zura</t>
        </is>
      </c>
      <c r="L2315" s="8" t="inlineStr">
        <is>
          <t>Gujarat</t>
        </is>
      </c>
      <c r="M2315" s="2" t="inlineStr">
        <is>
          <t xml:space="preserve">damage </t>
        </is>
      </c>
      <c r="N2315" s="6" t="inlineStr">
        <is>
          <t>Module Breakage</t>
        </is>
      </c>
      <c r="O2315" s="32" t="n">
        <v>590</v>
      </c>
      <c r="P2315" s="2" t="inlineStr">
        <is>
          <t>NSMI24110851258</t>
        </is>
      </c>
      <c r="Q2315" s="29">
        <f>MID(P2315,5,2)</f>
        <v/>
      </c>
      <c r="R2315" s="14">
        <f>MID(P2315,7,2)</f>
        <v/>
      </c>
      <c r="S2315" s="6" t="inlineStr">
        <is>
          <t>G2G</t>
        </is>
      </c>
      <c r="T2315" s="1" t="inlineStr">
        <is>
          <t>P4 - PEIPL</t>
        </is>
      </c>
      <c r="U2315" s="2" t="inlineStr">
        <is>
          <t>Frame Damaged</t>
        </is>
      </c>
      <c r="V2315" s="47" t="inlineStr">
        <is>
          <t>WIP</t>
        </is>
      </c>
      <c r="W2315" s="1" t="inlineStr">
        <is>
          <t>WIP</t>
        </is>
      </c>
      <c r="X2315" s="12" t="n"/>
      <c r="Y2315" s="1">
        <f>IF(X2315="","",X2315-A2315)</f>
        <v/>
      </c>
      <c r="Z2315" s="5" t="n">
        <v>46199</v>
      </c>
      <c r="AA2315" s="3" t="n"/>
      <c r="AB2315" s="3" t="n"/>
      <c r="AE2315" s="146">
        <f>IF(AND(F2315="Closed",X2315&gt;=DATE(2026,6,1),X2315&lt;=DATE(2026,6,30)),"Closed in June","other")</f>
        <v/>
      </c>
    </row>
    <row r="2316" hidden="1">
      <c r="A2316" s="49" t="n">
        <v>46177</v>
      </c>
      <c r="B2316" s="1" t="n">
        <v>2026</v>
      </c>
      <c r="C2316" s="8" t="inlineStr">
        <is>
          <t>Ayana</t>
        </is>
      </c>
      <c r="D2316" s="11" t="inlineStr">
        <is>
          <t>Utility and C&amp;I</t>
        </is>
      </c>
      <c r="E2316" s="1" t="n"/>
      <c r="F2316" s="1" t="inlineStr">
        <is>
          <t>Closed</t>
        </is>
      </c>
      <c r="G2316" s="11" t="inlineStr">
        <is>
          <t>Vasu.N</t>
        </is>
      </c>
      <c r="H2316" s="8" t="n">
        <v>9578099893</v>
      </c>
      <c r="I2316" s="10" t="inlineStr">
        <is>
          <t>PE04062601</t>
        </is>
      </c>
      <c r="J2316" s="28" t="inlineStr">
        <is>
          <t>Module burnt</t>
        </is>
      </c>
      <c r="K2316" s="8" t="inlineStr">
        <is>
          <t>Zura</t>
        </is>
      </c>
      <c r="L2316" s="8" t="inlineStr">
        <is>
          <t>Gujarat</t>
        </is>
      </c>
      <c r="M2316" s="2" t="inlineStr">
        <is>
          <t xml:space="preserve">damage </t>
        </is>
      </c>
      <c r="N2316" s="6" t="inlineStr">
        <is>
          <t>Module Breakage</t>
        </is>
      </c>
      <c r="O2316" s="32" t="n">
        <v>590</v>
      </c>
      <c r="P2316" s="2" t="inlineStr">
        <is>
          <t>NSMI24110802195</t>
        </is>
      </c>
      <c r="Q2316" s="29">
        <f>MID(P2316,5,2)</f>
        <v/>
      </c>
      <c r="R2316" s="14">
        <f>MID(P2316,7,2)</f>
        <v/>
      </c>
      <c r="S2316" s="6" t="inlineStr">
        <is>
          <t>G2G</t>
        </is>
      </c>
      <c r="T2316" s="1" t="inlineStr">
        <is>
          <t>P4 - PEIPL</t>
        </is>
      </c>
      <c r="U2316" s="2" t="inlineStr">
        <is>
          <t xml:space="preserve">physically damaged </t>
        </is>
      </c>
      <c r="V2316" s="1" t="inlineStr">
        <is>
          <t>Inspection</t>
        </is>
      </c>
      <c r="W2316" s="1" t="inlineStr">
        <is>
          <t>Rejected</t>
        </is>
      </c>
      <c r="X2316" s="5">
        <f>Z2316</f>
        <v/>
      </c>
      <c r="Y2316" s="1">
        <f>X2316-A2316</f>
        <v/>
      </c>
      <c r="Z2316" s="5" t="n">
        <v>46199</v>
      </c>
      <c r="AA2316" s="3" t="n"/>
      <c r="AB2316" s="3" t="n"/>
      <c r="AE2316" s="146">
        <f>IF(AND(F2316="Closed",X2316&gt;=DATE(2026,6,1),X2316&lt;=DATE(2026,6,30)),"Closed in June","other")</f>
        <v/>
      </c>
    </row>
    <row r="2317" hidden="1">
      <c r="A2317" s="49" t="n">
        <v>46177</v>
      </c>
      <c r="B2317" s="1" t="n">
        <v>2026</v>
      </c>
      <c r="C2317" s="8" t="inlineStr">
        <is>
          <t>Ayana</t>
        </is>
      </c>
      <c r="D2317" s="11" t="inlineStr">
        <is>
          <t>Utility and C&amp;I</t>
        </is>
      </c>
      <c r="E2317" s="1" t="n"/>
      <c r="F2317" s="1" t="inlineStr">
        <is>
          <t>Closed</t>
        </is>
      </c>
      <c r="G2317" s="11" t="inlineStr">
        <is>
          <t>Vasu.N</t>
        </is>
      </c>
      <c r="H2317" s="8" t="n">
        <v>9578099893</v>
      </c>
      <c r="I2317" s="10" t="inlineStr">
        <is>
          <t>PE04062601</t>
        </is>
      </c>
      <c r="J2317" s="28" t="inlineStr">
        <is>
          <t>Module burnt</t>
        </is>
      </c>
      <c r="K2317" s="8" t="inlineStr">
        <is>
          <t>Zura</t>
        </is>
      </c>
      <c r="L2317" s="8" t="inlineStr">
        <is>
          <t>Gujarat</t>
        </is>
      </c>
      <c r="M2317" s="2" t="inlineStr">
        <is>
          <t xml:space="preserve">damage </t>
        </is>
      </c>
      <c r="N2317" s="6" t="inlineStr">
        <is>
          <t>Module Breakage</t>
        </is>
      </c>
      <c r="O2317" s="32" t="n">
        <v>590</v>
      </c>
      <c r="P2317" s="2" t="inlineStr">
        <is>
          <t>NSMI24110801145</t>
        </is>
      </c>
      <c r="Q2317" s="29">
        <f>MID(P2317,5,2)</f>
        <v/>
      </c>
      <c r="R2317" s="14">
        <f>MID(P2317,7,2)</f>
        <v/>
      </c>
      <c r="S2317" s="6" t="inlineStr">
        <is>
          <t>G2G</t>
        </is>
      </c>
      <c r="T2317" s="1" t="inlineStr">
        <is>
          <t>P4 - PEIPL</t>
        </is>
      </c>
      <c r="U2317" s="2" t="inlineStr">
        <is>
          <t xml:space="preserve">physically damaged </t>
        </is>
      </c>
      <c r="V2317" s="1" t="inlineStr">
        <is>
          <t>Inspection</t>
        </is>
      </c>
      <c r="W2317" s="1" t="inlineStr">
        <is>
          <t>Rejected</t>
        </is>
      </c>
      <c r="X2317" s="5">
        <f>Z2317</f>
        <v/>
      </c>
      <c r="Y2317" s="1">
        <f>X2317-A2317</f>
        <v/>
      </c>
      <c r="Z2317" s="5" t="n">
        <v>46199</v>
      </c>
      <c r="AA2317" s="3" t="n"/>
      <c r="AB2317" s="3" t="n"/>
      <c r="AE2317" s="146">
        <f>IF(AND(F2317="Closed",X2317&gt;=DATE(2026,6,1),X2317&lt;=DATE(2026,6,30)),"Closed in June","other")</f>
        <v/>
      </c>
    </row>
    <row r="2318" hidden="1">
      <c r="A2318" s="49" t="n">
        <v>46177</v>
      </c>
      <c r="B2318" s="1" t="n">
        <v>2026</v>
      </c>
      <c r="C2318" s="8" t="inlineStr">
        <is>
          <t>Ayana</t>
        </is>
      </c>
      <c r="D2318" s="11" t="inlineStr">
        <is>
          <t>Utility and C&amp;I</t>
        </is>
      </c>
      <c r="E2318" s="1" t="n"/>
      <c r="F2318" s="1" t="inlineStr">
        <is>
          <t>Closed</t>
        </is>
      </c>
      <c r="G2318" s="11" t="inlineStr">
        <is>
          <t>Vasu.N</t>
        </is>
      </c>
      <c r="H2318" s="8" t="n">
        <v>9578099893</v>
      </c>
      <c r="I2318" s="10" t="inlineStr">
        <is>
          <t>PE04062601</t>
        </is>
      </c>
      <c r="J2318" s="28" t="inlineStr">
        <is>
          <t>Module burnt</t>
        </is>
      </c>
      <c r="K2318" s="8" t="inlineStr">
        <is>
          <t>Zura</t>
        </is>
      </c>
      <c r="L2318" s="8" t="inlineStr">
        <is>
          <t>Gujarat</t>
        </is>
      </c>
      <c r="M2318" s="2" t="inlineStr">
        <is>
          <t xml:space="preserve">damage </t>
        </is>
      </c>
      <c r="N2318" s="6" t="inlineStr">
        <is>
          <t>Module Breakage</t>
        </is>
      </c>
      <c r="O2318" s="32" t="n">
        <v>590</v>
      </c>
      <c r="P2318" s="2" t="inlineStr">
        <is>
          <t>NSMI24090427087</t>
        </is>
      </c>
      <c r="Q2318" s="29">
        <f>MID(P2318,5,2)</f>
        <v/>
      </c>
      <c r="R2318" s="14">
        <f>MID(P2318,7,2)</f>
        <v/>
      </c>
      <c r="S2318" s="6" t="inlineStr">
        <is>
          <t>G2G</t>
        </is>
      </c>
      <c r="T2318" s="1" t="inlineStr">
        <is>
          <t>P4 - PEIPL</t>
        </is>
      </c>
      <c r="U2318" s="2" t="inlineStr">
        <is>
          <t xml:space="preserve">physically damaged </t>
        </is>
      </c>
      <c r="V2318" s="1" t="inlineStr">
        <is>
          <t>Inspection</t>
        </is>
      </c>
      <c r="W2318" s="1" t="inlineStr">
        <is>
          <t>Rejected</t>
        </is>
      </c>
      <c r="X2318" s="5">
        <f>Z2318</f>
        <v/>
      </c>
      <c r="Y2318" s="1">
        <f>X2318-A2318</f>
        <v/>
      </c>
      <c r="Z2318" s="5" t="n">
        <v>46199</v>
      </c>
      <c r="AA2318" s="3" t="n"/>
      <c r="AB2318" s="3" t="n"/>
      <c r="AE2318" s="146">
        <f>IF(AND(F2318="Closed",X2318&gt;=DATE(2026,6,1),X2318&lt;=DATE(2026,6,30)),"Closed in June","other")</f>
        <v/>
      </c>
    </row>
    <row r="2319" hidden="1">
      <c r="A2319" s="49" t="n">
        <v>46177</v>
      </c>
      <c r="B2319" s="1" t="n">
        <v>2026</v>
      </c>
      <c r="C2319" s="8" t="inlineStr">
        <is>
          <t>Ayana</t>
        </is>
      </c>
      <c r="D2319" s="11" t="inlineStr">
        <is>
          <t>Utility and C&amp;I</t>
        </is>
      </c>
      <c r="E2319" s="1" t="n"/>
      <c r="F2319" s="1" t="inlineStr">
        <is>
          <t>Closed</t>
        </is>
      </c>
      <c r="G2319" s="11" t="inlineStr">
        <is>
          <t>Vasu.N</t>
        </is>
      </c>
      <c r="H2319" s="8" t="n">
        <v>9578099893</v>
      </c>
      <c r="I2319" s="10" t="inlineStr">
        <is>
          <t>PE04062601</t>
        </is>
      </c>
      <c r="J2319" s="28" t="inlineStr">
        <is>
          <t>Module burnt</t>
        </is>
      </c>
      <c r="K2319" s="8" t="inlineStr">
        <is>
          <t>Zura</t>
        </is>
      </c>
      <c r="L2319" s="8" t="inlineStr">
        <is>
          <t>Gujarat</t>
        </is>
      </c>
      <c r="M2319" s="2" t="inlineStr">
        <is>
          <t xml:space="preserve">damage </t>
        </is>
      </c>
      <c r="N2319" s="6" t="inlineStr">
        <is>
          <t>Module Breakage</t>
        </is>
      </c>
      <c r="O2319" s="32" t="n">
        <v>590</v>
      </c>
      <c r="P2319" s="2" t="inlineStr">
        <is>
          <t>NSMI24090427138</t>
        </is>
      </c>
      <c r="Q2319" s="29">
        <f>MID(P2319,5,2)</f>
        <v/>
      </c>
      <c r="R2319" s="14">
        <f>MID(P2319,7,2)</f>
        <v/>
      </c>
      <c r="S2319" s="6" t="inlineStr">
        <is>
          <t>G2G</t>
        </is>
      </c>
      <c r="T2319" s="1" t="inlineStr">
        <is>
          <t>P4 - PEIPL</t>
        </is>
      </c>
      <c r="U2319" s="2" t="inlineStr">
        <is>
          <t xml:space="preserve">physically damaged </t>
        </is>
      </c>
      <c r="V2319" s="1" t="inlineStr">
        <is>
          <t>Inspection</t>
        </is>
      </c>
      <c r="W2319" s="1" t="inlineStr">
        <is>
          <t>Rejected</t>
        </is>
      </c>
      <c r="X2319" s="5">
        <f>Z2319</f>
        <v/>
      </c>
      <c r="Y2319" s="1">
        <f>X2319-A2319</f>
        <v/>
      </c>
      <c r="Z2319" s="5" t="n">
        <v>46199</v>
      </c>
      <c r="AA2319" s="3" t="n"/>
      <c r="AB2319" s="3" t="n"/>
      <c r="AE2319" s="146">
        <f>IF(AND(F2319="Closed",X2319&gt;=DATE(2026,6,1),X2319&lt;=DATE(2026,6,30)),"Closed in June","other")</f>
        <v/>
      </c>
    </row>
    <row r="2320" hidden="1">
      <c r="A2320" s="49" t="n">
        <v>46177</v>
      </c>
      <c r="B2320" s="1" t="n">
        <v>2026</v>
      </c>
      <c r="C2320" s="8" t="inlineStr">
        <is>
          <t>Ayana</t>
        </is>
      </c>
      <c r="D2320" s="11" t="inlineStr">
        <is>
          <t>Utility and C&amp;I</t>
        </is>
      </c>
      <c r="E2320" s="1" t="n"/>
      <c r="F2320" s="1" t="inlineStr">
        <is>
          <t>Closed</t>
        </is>
      </c>
      <c r="G2320" s="11" t="inlineStr">
        <is>
          <t>Vasu.N</t>
        </is>
      </c>
      <c r="H2320" s="8" t="n">
        <v>9578099893</v>
      </c>
      <c r="I2320" s="10" t="inlineStr">
        <is>
          <t>PE04062601</t>
        </is>
      </c>
      <c r="J2320" s="28" t="inlineStr">
        <is>
          <t>Module burnt</t>
        </is>
      </c>
      <c r="K2320" s="8" t="inlineStr">
        <is>
          <t>Zura</t>
        </is>
      </c>
      <c r="L2320" s="8" t="inlineStr">
        <is>
          <t>Gujarat</t>
        </is>
      </c>
      <c r="M2320" s="2" t="inlineStr">
        <is>
          <t xml:space="preserve">damage </t>
        </is>
      </c>
      <c r="N2320" s="6" t="inlineStr">
        <is>
          <t>Module Breakage</t>
        </is>
      </c>
      <c r="O2320" s="32" t="n">
        <v>590</v>
      </c>
      <c r="P2320" s="2" t="inlineStr">
        <is>
          <t>NSMI24090427115</t>
        </is>
      </c>
      <c r="Q2320" s="29">
        <f>MID(P2320,5,2)</f>
        <v/>
      </c>
      <c r="R2320" s="14">
        <f>MID(P2320,7,2)</f>
        <v/>
      </c>
      <c r="S2320" s="6" t="inlineStr">
        <is>
          <t>G2G</t>
        </is>
      </c>
      <c r="T2320" s="1" t="inlineStr">
        <is>
          <t>P4 - PEIPL</t>
        </is>
      </c>
      <c r="U2320" s="2" t="inlineStr">
        <is>
          <t xml:space="preserve">physically damaged </t>
        </is>
      </c>
      <c r="V2320" s="1" t="inlineStr">
        <is>
          <t>Inspection</t>
        </is>
      </c>
      <c r="W2320" s="1" t="inlineStr">
        <is>
          <t>Rejected</t>
        </is>
      </c>
      <c r="X2320" s="5">
        <f>Z2320</f>
        <v/>
      </c>
      <c r="Y2320" s="1">
        <f>X2320-A2320</f>
        <v/>
      </c>
      <c r="Z2320" s="5" t="n">
        <v>46199</v>
      </c>
      <c r="AA2320" s="3" t="n"/>
      <c r="AB2320" s="3" t="n"/>
      <c r="AE2320" s="146">
        <f>IF(AND(F2320="Closed",X2320&gt;=DATE(2026,6,1),X2320&lt;=DATE(2026,6,30)),"Closed in June","other")</f>
        <v/>
      </c>
    </row>
    <row r="2321" hidden="1">
      <c r="A2321" s="49" t="n">
        <v>46177</v>
      </c>
      <c r="B2321" s="1" t="n">
        <v>2026</v>
      </c>
      <c r="C2321" s="8" t="inlineStr">
        <is>
          <t>Ayana</t>
        </is>
      </c>
      <c r="D2321" s="11" t="inlineStr">
        <is>
          <t>Utility and C&amp;I</t>
        </is>
      </c>
      <c r="E2321" s="1" t="n"/>
      <c r="F2321" s="1" t="inlineStr">
        <is>
          <t>Closed</t>
        </is>
      </c>
      <c r="G2321" s="11" t="inlineStr">
        <is>
          <t>Vasu.N</t>
        </is>
      </c>
      <c r="H2321" s="8" t="n">
        <v>9578099893</v>
      </c>
      <c r="I2321" s="10" t="inlineStr">
        <is>
          <t>PE04062601</t>
        </is>
      </c>
      <c r="J2321" s="28" t="inlineStr">
        <is>
          <t>Module burnt</t>
        </is>
      </c>
      <c r="K2321" s="8" t="inlineStr">
        <is>
          <t>Zura</t>
        </is>
      </c>
      <c r="L2321" s="8" t="inlineStr">
        <is>
          <t>Gujarat</t>
        </is>
      </c>
      <c r="M2321" s="2" t="inlineStr">
        <is>
          <t xml:space="preserve">damage </t>
        </is>
      </c>
      <c r="N2321" s="6" t="inlineStr">
        <is>
          <t>Module Breakage</t>
        </is>
      </c>
      <c r="O2321" s="32" t="n">
        <v>590</v>
      </c>
      <c r="P2321" s="2" t="inlineStr">
        <is>
          <t>NSMI24090427120</t>
        </is>
      </c>
      <c r="Q2321" s="29">
        <f>MID(P2321,5,2)</f>
        <v/>
      </c>
      <c r="R2321" s="14">
        <f>MID(P2321,7,2)</f>
        <v/>
      </c>
      <c r="S2321" s="6" t="inlineStr">
        <is>
          <t>G2G</t>
        </is>
      </c>
      <c r="T2321" s="1" t="inlineStr">
        <is>
          <t>P4 - PEIPL</t>
        </is>
      </c>
      <c r="U2321" s="2" t="inlineStr">
        <is>
          <t xml:space="preserve">physically damaged </t>
        </is>
      </c>
      <c r="V2321" s="1" t="inlineStr">
        <is>
          <t>Inspection</t>
        </is>
      </c>
      <c r="W2321" s="1" t="inlineStr">
        <is>
          <t>Rejected</t>
        </is>
      </c>
      <c r="X2321" s="5">
        <f>Z2321</f>
        <v/>
      </c>
      <c r="Y2321" s="1">
        <f>X2321-A2321</f>
        <v/>
      </c>
      <c r="Z2321" s="5" t="n">
        <v>46199</v>
      </c>
      <c r="AA2321" s="3" t="n"/>
      <c r="AB2321" s="3" t="n"/>
      <c r="AE2321" s="146">
        <f>IF(AND(F2321="Closed",X2321&gt;=DATE(2026,6,1),X2321&lt;=DATE(2026,6,30)),"Closed in June","other")</f>
        <v/>
      </c>
    </row>
    <row r="2322" hidden="1">
      <c r="A2322" s="49" t="n">
        <v>46177</v>
      </c>
      <c r="B2322" s="1" t="n">
        <v>2026</v>
      </c>
      <c r="C2322" s="8" t="inlineStr">
        <is>
          <t>Ayana</t>
        </is>
      </c>
      <c r="D2322" s="11" t="inlineStr">
        <is>
          <t>Utility and C&amp;I</t>
        </is>
      </c>
      <c r="E2322" s="1" t="n"/>
      <c r="F2322" s="1" t="inlineStr">
        <is>
          <t>Closed</t>
        </is>
      </c>
      <c r="G2322" s="11" t="inlineStr">
        <is>
          <t>Vasu.N</t>
        </is>
      </c>
      <c r="H2322" s="8" t="n">
        <v>9578099893</v>
      </c>
      <c r="I2322" s="10" t="inlineStr">
        <is>
          <t>PE04062601</t>
        </is>
      </c>
      <c r="J2322" s="28" t="inlineStr">
        <is>
          <t>Module burnt</t>
        </is>
      </c>
      <c r="K2322" s="8" t="inlineStr">
        <is>
          <t>Zura</t>
        </is>
      </c>
      <c r="L2322" s="8" t="inlineStr">
        <is>
          <t>Gujarat</t>
        </is>
      </c>
      <c r="M2322" s="2" t="inlineStr">
        <is>
          <t xml:space="preserve">damage </t>
        </is>
      </c>
      <c r="N2322" s="6" t="inlineStr">
        <is>
          <t>Module Breakage</t>
        </is>
      </c>
      <c r="O2322" s="32" t="n">
        <v>590</v>
      </c>
      <c r="P2322" s="2" t="inlineStr">
        <is>
          <t>NSMI24090504983</t>
        </is>
      </c>
      <c r="Q2322" s="29">
        <f>MID(P2322,5,2)</f>
        <v/>
      </c>
      <c r="R2322" s="14">
        <f>MID(P2322,7,2)</f>
        <v/>
      </c>
      <c r="S2322" s="6" t="inlineStr">
        <is>
          <t>G2G</t>
        </is>
      </c>
      <c r="T2322" s="1" t="inlineStr">
        <is>
          <t>P4 - PEIPL</t>
        </is>
      </c>
      <c r="U2322" s="2" t="inlineStr">
        <is>
          <t xml:space="preserve">physically damaged </t>
        </is>
      </c>
      <c r="V2322" s="1" t="inlineStr">
        <is>
          <t>Inspection</t>
        </is>
      </c>
      <c r="W2322" s="1" t="inlineStr">
        <is>
          <t>Rejected</t>
        </is>
      </c>
      <c r="X2322" s="5">
        <f>Z2322</f>
        <v/>
      </c>
      <c r="Y2322" s="1">
        <f>X2322-A2322</f>
        <v/>
      </c>
      <c r="Z2322" s="5" t="n">
        <v>46199</v>
      </c>
      <c r="AA2322" s="3" t="n"/>
      <c r="AB2322" s="3" t="n"/>
      <c r="AE2322" s="146">
        <f>IF(AND(F2322="Closed",X2322&gt;=DATE(2026,6,1),X2322&lt;=DATE(2026,6,30)),"Closed in June","other")</f>
        <v/>
      </c>
    </row>
    <row r="2323" hidden="1">
      <c r="A2323" s="49" t="n">
        <v>46177</v>
      </c>
      <c r="B2323" s="1" t="n">
        <v>2026</v>
      </c>
      <c r="C2323" s="8" t="inlineStr">
        <is>
          <t>Ayana</t>
        </is>
      </c>
      <c r="D2323" s="11" t="inlineStr">
        <is>
          <t>Utility and C&amp;I</t>
        </is>
      </c>
      <c r="E2323" s="1" t="n"/>
      <c r="F2323" s="1" t="inlineStr">
        <is>
          <t>Closed</t>
        </is>
      </c>
      <c r="G2323" s="11" t="inlineStr">
        <is>
          <t>Vasu.N</t>
        </is>
      </c>
      <c r="H2323" s="8" t="n">
        <v>9578099893</v>
      </c>
      <c r="I2323" s="10" t="inlineStr">
        <is>
          <t>PE04062601</t>
        </is>
      </c>
      <c r="J2323" s="28" t="inlineStr">
        <is>
          <t>Module burnt</t>
        </is>
      </c>
      <c r="K2323" s="8" t="inlineStr">
        <is>
          <t>Zura</t>
        </is>
      </c>
      <c r="L2323" s="8" t="inlineStr">
        <is>
          <t>Gujarat</t>
        </is>
      </c>
      <c r="M2323" s="2" t="inlineStr">
        <is>
          <t xml:space="preserve">damage </t>
        </is>
      </c>
      <c r="N2323" s="6" t="inlineStr">
        <is>
          <t>Module Breakage</t>
        </is>
      </c>
      <c r="O2323" s="32" t="n">
        <v>590</v>
      </c>
      <c r="P2323" s="2" t="inlineStr">
        <is>
          <t>NSMI24110804715</t>
        </is>
      </c>
      <c r="Q2323" s="29">
        <f>MID(P2323,5,2)</f>
        <v/>
      </c>
      <c r="R2323" s="14">
        <f>MID(P2323,7,2)</f>
        <v/>
      </c>
      <c r="S2323" s="6" t="inlineStr">
        <is>
          <t>G2G</t>
        </is>
      </c>
      <c r="T2323" s="1" t="inlineStr">
        <is>
          <t>P4 - PEIPL</t>
        </is>
      </c>
      <c r="U2323" s="2" t="inlineStr">
        <is>
          <t xml:space="preserve">physically damaged </t>
        </is>
      </c>
      <c r="V2323" s="1" t="inlineStr">
        <is>
          <t>Inspection</t>
        </is>
      </c>
      <c r="W2323" s="1" t="inlineStr">
        <is>
          <t>Rejected</t>
        </is>
      </c>
      <c r="X2323" s="5">
        <f>Z2323</f>
        <v/>
      </c>
      <c r="Y2323" s="1">
        <f>X2323-A2323</f>
        <v/>
      </c>
      <c r="Z2323" s="5" t="n">
        <v>46199</v>
      </c>
      <c r="AA2323" s="3" t="n"/>
      <c r="AB2323" s="3" t="n"/>
      <c r="AE2323" s="146">
        <f>IF(AND(F2323="Closed",X2323&gt;=DATE(2026,6,1),X2323&lt;=DATE(2026,6,30)),"Closed in June","other")</f>
        <v/>
      </c>
    </row>
    <row r="2324" hidden="1">
      <c r="A2324" s="49" t="n">
        <v>46177</v>
      </c>
      <c r="B2324" s="1" t="n">
        <v>2026</v>
      </c>
      <c r="C2324" s="8" t="inlineStr">
        <is>
          <t>Ayana</t>
        </is>
      </c>
      <c r="D2324" s="11" t="inlineStr">
        <is>
          <t>Utility and C&amp;I</t>
        </is>
      </c>
      <c r="E2324" s="1" t="n"/>
      <c r="F2324" s="1" t="inlineStr">
        <is>
          <t>Closed</t>
        </is>
      </c>
      <c r="G2324" s="11" t="inlineStr">
        <is>
          <t>Vasu.N</t>
        </is>
      </c>
      <c r="H2324" s="8" t="n">
        <v>9578099893</v>
      </c>
      <c r="I2324" s="10" t="inlineStr">
        <is>
          <t>PE04062601</t>
        </is>
      </c>
      <c r="J2324" s="28" t="inlineStr">
        <is>
          <t>Module burnt</t>
        </is>
      </c>
      <c r="K2324" s="8" t="inlineStr">
        <is>
          <t>Zura</t>
        </is>
      </c>
      <c r="L2324" s="8" t="inlineStr">
        <is>
          <t>Gujarat</t>
        </is>
      </c>
      <c r="M2324" s="2" t="inlineStr">
        <is>
          <t xml:space="preserve">damage </t>
        </is>
      </c>
      <c r="N2324" s="6" t="inlineStr">
        <is>
          <t>Module Breakage</t>
        </is>
      </c>
      <c r="O2324" s="32" t="n">
        <v>590</v>
      </c>
      <c r="P2324" s="2" t="inlineStr">
        <is>
          <t>NSMI24100634319</t>
        </is>
      </c>
      <c r="Q2324" s="29">
        <f>MID(P2324,5,2)</f>
        <v/>
      </c>
      <c r="R2324" s="14">
        <f>MID(P2324,7,2)</f>
        <v/>
      </c>
      <c r="S2324" s="6" t="inlineStr">
        <is>
          <t>G2G</t>
        </is>
      </c>
      <c r="T2324" s="1" t="inlineStr">
        <is>
          <t>P4 - PEIPL</t>
        </is>
      </c>
      <c r="U2324" s="2" t="inlineStr">
        <is>
          <t xml:space="preserve">physically damaged </t>
        </is>
      </c>
      <c r="V2324" s="1" t="inlineStr">
        <is>
          <t>Inspection</t>
        </is>
      </c>
      <c r="W2324" s="1" t="inlineStr">
        <is>
          <t>Rejected</t>
        </is>
      </c>
      <c r="X2324" s="5">
        <f>Z2324</f>
        <v/>
      </c>
      <c r="Y2324" s="1">
        <f>X2324-A2324</f>
        <v/>
      </c>
      <c r="Z2324" s="5" t="n">
        <v>46199</v>
      </c>
      <c r="AA2324" s="3" t="n"/>
      <c r="AB2324" s="3" t="n"/>
      <c r="AE2324" s="146">
        <f>IF(AND(F2324="Closed",X2324&gt;=DATE(2026,6,1),X2324&lt;=DATE(2026,6,30)),"Closed in June","other")</f>
        <v/>
      </c>
    </row>
    <row r="2325" hidden="1">
      <c r="A2325" s="49" t="n">
        <v>46177</v>
      </c>
      <c r="B2325" s="1" t="n">
        <v>2026</v>
      </c>
      <c r="C2325" s="8" t="inlineStr">
        <is>
          <t>Ayana</t>
        </is>
      </c>
      <c r="D2325" s="11" t="inlineStr">
        <is>
          <t>Utility and C&amp;I</t>
        </is>
      </c>
      <c r="E2325" s="1" t="n"/>
      <c r="F2325" s="1" t="inlineStr">
        <is>
          <t>Closed</t>
        </is>
      </c>
      <c r="G2325" s="11" t="inlineStr">
        <is>
          <t>Vasu.N</t>
        </is>
      </c>
      <c r="H2325" s="8" t="n">
        <v>9578099893</v>
      </c>
      <c r="I2325" s="10" t="inlineStr">
        <is>
          <t>PE04062601</t>
        </is>
      </c>
      <c r="J2325" s="28" t="inlineStr">
        <is>
          <t>Module burnt</t>
        </is>
      </c>
      <c r="K2325" s="8" t="inlineStr">
        <is>
          <t>Zura</t>
        </is>
      </c>
      <c r="L2325" s="8" t="inlineStr">
        <is>
          <t>Gujarat</t>
        </is>
      </c>
      <c r="M2325" s="2" t="inlineStr">
        <is>
          <t xml:space="preserve">damage </t>
        </is>
      </c>
      <c r="N2325" s="6" t="inlineStr">
        <is>
          <t>Module Breakage</t>
        </is>
      </c>
      <c r="O2325" s="32" t="n">
        <v>590</v>
      </c>
      <c r="P2325" s="2" t="inlineStr">
        <is>
          <t>NSMI24100634307</t>
        </is>
      </c>
      <c r="Q2325" s="29">
        <f>MID(P2325,5,2)</f>
        <v/>
      </c>
      <c r="R2325" s="14">
        <f>MID(P2325,7,2)</f>
        <v/>
      </c>
      <c r="S2325" s="6" t="inlineStr">
        <is>
          <t>G2G</t>
        </is>
      </c>
      <c r="T2325" s="1" t="inlineStr">
        <is>
          <t>P4 - PEIPL</t>
        </is>
      </c>
      <c r="U2325" s="2" t="inlineStr">
        <is>
          <t xml:space="preserve">physically damaged </t>
        </is>
      </c>
      <c r="V2325" s="1" t="inlineStr">
        <is>
          <t>Inspection</t>
        </is>
      </c>
      <c r="W2325" s="1" t="inlineStr">
        <is>
          <t>Rejected</t>
        </is>
      </c>
      <c r="X2325" s="5">
        <f>Z2325</f>
        <v/>
      </c>
      <c r="Y2325" s="1">
        <f>X2325-A2325</f>
        <v/>
      </c>
      <c r="Z2325" s="5" t="n">
        <v>46199</v>
      </c>
      <c r="AA2325" s="3" t="n"/>
      <c r="AB2325" s="3" t="n"/>
      <c r="AE2325" s="146">
        <f>IF(AND(F2325="Closed",X2325&gt;=DATE(2026,6,1),X2325&lt;=DATE(2026,6,30)),"Closed in June","other")</f>
        <v/>
      </c>
    </row>
    <row r="2326" hidden="1">
      <c r="A2326" s="49" t="n">
        <v>46177</v>
      </c>
      <c r="B2326" s="1" t="n">
        <v>2026</v>
      </c>
      <c r="C2326" s="8" t="inlineStr">
        <is>
          <t>Ayana</t>
        </is>
      </c>
      <c r="D2326" s="11" t="inlineStr">
        <is>
          <t>Utility and C&amp;I</t>
        </is>
      </c>
      <c r="E2326" s="1" t="n"/>
      <c r="F2326" s="1" t="inlineStr">
        <is>
          <t>Closed</t>
        </is>
      </c>
      <c r="G2326" s="11" t="inlineStr">
        <is>
          <t>Vasu.N</t>
        </is>
      </c>
      <c r="H2326" s="8" t="n">
        <v>9578099893</v>
      </c>
      <c r="I2326" s="10" t="inlineStr">
        <is>
          <t>PE04062601</t>
        </is>
      </c>
      <c r="J2326" s="28" t="inlineStr">
        <is>
          <t>Module burnt</t>
        </is>
      </c>
      <c r="K2326" s="8" t="inlineStr">
        <is>
          <t>Zura</t>
        </is>
      </c>
      <c r="L2326" s="8" t="inlineStr">
        <is>
          <t>Gujarat</t>
        </is>
      </c>
      <c r="M2326" s="2" t="inlineStr">
        <is>
          <t xml:space="preserve">damage </t>
        </is>
      </c>
      <c r="N2326" s="6" t="inlineStr">
        <is>
          <t>Module Breakage</t>
        </is>
      </c>
      <c r="O2326" s="32" t="n">
        <v>590</v>
      </c>
      <c r="P2326" s="2" t="inlineStr">
        <is>
          <t>NSMI24090504652</t>
        </is>
      </c>
      <c r="Q2326" s="29">
        <f>MID(P2326,5,2)</f>
        <v/>
      </c>
      <c r="R2326" s="14">
        <f>MID(P2326,7,2)</f>
        <v/>
      </c>
      <c r="S2326" s="6" t="inlineStr">
        <is>
          <t>G2G</t>
        </is>
      </c>
      <c r="T2326" s="1" t="inlineStr">
        <is>
          <t>P4 - PEIPL</t>
        </is>
      </c>
      <c r="U2326" s="2" t="inlineStr">
        <is>
          <t xml:space="preserve">physically damaged </t>
        </is>
      </c>
      <c r="V2326" s="1" t="inlineStr">
        <is>
          <t>Inspection</t>
        </is>
      </c>
      <c r="W2326" s="1" t="inlineStr">
        <is>
          <t>Rejected</t>
        </is>
      </c>
      <c r="X2326" s="5">
        <f>Z2326</f>
        <v/>
      </c>
      <c r="Y2326" s="1">
        <f>X2326-A2326</f>
        <v/>
      </c>
      <c r="Z2326" s="5" t="n">
        <v>46199</v>
      </c>
      <c r="AA2326" s="3" t="n"/>
      <c r="AB2326" s="3" t="n"/>
      <c r="AE2326" s="146">
        <f>IF(AND(F2326="Closed",X2326&gt;=DATE(2026,6,1),X2326&lt;=DATE(2026,6,30)),"Closed in June","other")</f>
        <v/>
      </c>
    </row>
    <row r="2327" hidden="1">
      <c r="A2327" s="49" t="n">
        <v>46177</v>
      </c>
      <c r="B2327" s="1" t="n">
        <v>2026</v>
      </c>
      <c r="C2327" s="8" t="inlineStr">
        <is>
          <t>Ayana</t>
        </is>
      </c>
      <c r="D2327" s="11" t="inlineStr">
        <is>
          <t>Utility and C&amp;I</t>
        </is>
      </c>
      <c r="E2327" s="1" t="n"/>
      <c r="F2327" s="1" t="inlineStr">
        <is>
          <t>Closed</t>
        </is>
      </c>
      <c r="G2327" s="11" t="inlineStr">
        <is>
          <t>Vasu.N</t>
        </is>
      </c>
      <c r="H2327" s="8" t="n">
        <v>9578099893</v>
      </c>
      <c r="I2327" s="10" t="inlineStr">
        <is>
          <t>PE04062601</t>
        </is>
      </c>
      <c r="J2327" s="28" t="inlineStr">
        <is>
          <t>Module burnt</t>
        </is>
      </c>
      <c r="K2327" s="8" t="inlineStr">
        <is>
          <t>Zura</t>
        </is>
      </c>
      <c r="L2327" s="8" t="inlineStr">
        <is>
          <t>Gujarat</t>
        </is>
      </c>
      <c r="M2327" s="2" t="inlineStr">
        <is>
          <t xml:space="preserve">damage </t>
        </is>
      </c>
      <c r="N2327" s="6" t="inlineStr">
        <is>
          <t>Module Breakage</t>
        </is>
      </c>
      <c r="O2327" s="32" t="n">
        <v>590</v>
      </c>
      <c r="P2327" s="2" t="inlineStr">
        <is>
          <t>NSMI24090504507</t>
        </is>
      </c>
      <c r="Q2327" s="29">
        <f>MID(P2327,5,2)</f>
        <v/>
      </c>
      <c r="R2327" s="14">
        <f>MID(P2327,7,2)</f>
        <v/>
      </c>
      <c r="S2327" s="6" t="inlineStr">
        <is>
          <t>G2G</t>
        </is>
      </c>
      <c r="T2327" s="1" t="inlineStr">
        <is>
          <t>P4 - PEIPL</t>
        </is>
      </c>
      <c r="U2327" s="2" t="inlineStr">
        <is>
          <t xml:space="preserve">physically damaged </t>
        </is>
      </c>
      <c r="V2327" s="1" t="inlineStr">
        <is>
          <t>Inspection</t>
        </is>
      </c>
      <c r="W2327" s="1" t="inlineStr">
        <is>
          <t>Rejected</t>
        </is>
      </c>
      <c r="X2327" s="5">
        <f>Z2327</f>
        <v/>
      </c>
      <c r="Y2327" s="1">
        <f>X2327-A2327</f>
        <v/>
      </c>
      <c r="Z2327" s="5" t="n">
        <v>46199</v>
      </c>
      <c r="AA2327" s="3" t="n"/>
      <c r="AB2327" s="3" t="n"/>
      <c r="AE2327" s="146">
        <f>IF(AND(F2327="Closed",X2327&gt;=DATE(2026,6,1),X2327&lt;=DATE(2026,6,30)),"Closed in June","other")</f>
        <v/>
      </c>
    </row>
    <row r="2328" hidden="1">
      <c r="A2328" s="49" t="n">
        <v>46177</v>
      </c>
      <c r="B2328" s="1" t="n">
        <v>2026</v>
      </c>
      <c r="C2328" s="8" t="inlineStr">
        <is>
          <t>Ayana</t>
        </is>
      </c>
      <c r="D2328" s="11" t="inlineStr">
        <is>
          <t>Utility and C&amp;I</t>
        </is>
      </c>
      <c r="E2328" s="1" t="n"/>
      <c r="F2328" s="1" t="inlineStr">
        <is>
          <t>Closed</t>
        </is>
      </c>
      <c r="G2328" s="11" t="inlineStr">
        <is>
          <t>Vasu.N</t>
        </is>
      </c>
      <c r="H2328" s="8" t="n">
        <v>9578099893</v>
      </c>
      <c r="I2328" s="10" t="inlineStr">
        <is>
          <t>PE04062601</t>
        </is>
      </c>
      <c r="J2328" s="28" t="inlineStr">
        <is>
          <t>Module burnt</t>
        </is>
      </c>
      <c r="K2328" s="8" t="inlineStr">
        <is>
          <t>Zura</t>
        </is>
      </c>
      <c r="L2328" s="8" t="inlineStr">
        <is>
          <t>Gujarat</t>
        </is>
      </c>
      <c r="M2328" s="2" t="inlineStr">
        <is>
          <t xml:space="preserve">damage </t>
        </is>
      </c>
      <c r="N2328" s="6" t="inlineStr">
        <is>
          <t>Module Breakage</t>
        </is>
      </c>
      <c r="O2328" s="32" t="n">
        <v>590</v>
      </c>
      <c r="P2328" s="2" t="inlineStr">
        <is>
          <t>NSMI24110815962</t>
        </is>
      </c>
      <c r="Q2328" s="29">
        <f>MID(P2328,5,2)</f>
        <v/>
      </c>
      <c r="R2328" s="14">
        <f>MID(P2328,7,2)</f>
        <v/>
      </c>
      <c r="S2328" s="6" t="inlineStr">
        <is>
          <t>G2G</t>
        </is>
      </c>
      <c r="T2328" s="1" t="inlineStr">
        <is>
          <t>P4 - PEIPL</t>
        </is>
      </c>
      <c r="U2328" s="2" t="inlineStr">
        <is>
          <t xml:space="preserve">physically damaged </t>
        </is>
      </c>
      <c r="V2328" s="1" t="inlineStr">
        <is>
          <t>Inspection</t>
        </is>
      </c>
      <c r="W2328" s="1" t="inlineStr">
        <is>
          <t>Rejected</t>
        </is>
      </c>
      <c r="X2328" s="5">
        <f>Z2328</f>
        <v/>
      </c>
      <c r="Y2328" s="1">
        <f>X2328-A2328</f>
        <v/>
      </c>
      <c r="Z2328" s="5" t="n">
        <v>46199</v>
      </c>
      <c r="AA2328" s="3" t="n"/>
      <c r="AB2328" s="3" t="n"/>
      <c r="AE2328" s="146">
        <f>IF(AND(F2328="Closed",X2328&gt;=DATE(2026,6,1),X2328&lt;=DATE(2026,6,30)),"Closed in June","other")</f>
        <v/>
      </c>
    </row>
    <row r="2329" hidden="1">
      <c r="A2329" s="49" t="n">
        <v>46177</v>
      </c>
      <c r="B2329" s="1" t="n">
        <v>2026</v>
      </c>
      <c r="C2329" s="8" t="inlineStr">
        <is>
          <t>Ayana</t>
        </is>
      </c>
      <c r="D2329" s="11" t="inlineStr">
        <is>
          <t>Utility and C&amp;I</t>
        </is>
      </c>
      <c r="E2329" s="1" t="n"/>
      <c r="F2329" s="1" t="inlineStr">
        <is>
          <t>Closed</t>
        </is>
      </c>
      <c r="G2329" s="11" t="inlineStr">
        <is>
          <t>Vasu.N</t>
        </is>
      </c>
      <c r="H2329" s="8" t="n">
        <v>9578099893</v>
      </c>
      <c r="I2329" s="10" t="inlineStr">
        <is>
          <t>PE04062601</t>
        </is>
      </c>
      <c r="J2329" s="28" t="inlineStr">
        <is>
          <t>Module burnt</t>
        </is>
      </c>
      <c r="K2329" s="8" t="inlineStr">
        <is>
          <t>Zura</t>
        </is>
      </c>
      <c r="L2329" s="8" t="inlineStr">
        <is>
          <t>Gujarat</t>
        </is>
      </c>
      <c r="M2329" s="2" t="inlineStr">
        <is>
          <t xml:space="preserve">damage </t>
        </is>
      </c>
      <c r="N2329" s="6" t="inlineStr">
        <is>
          <t>Module Breakage</t>
        </is>
      </c>
      <c r="O2329" s="32" t="n">
        <v>590</v>
      </c>
      <c r="P2329" s="2" t="inlineStr">
        <is>
          <t>NSMI24110815153</t>
        </is>
      </c>
      <c r="Q2329" s="29">
        <f>MID(P2329,5,2)</f>
        <v/>
      </c>
      <c r="R2329" s="14">
        <f>MID(P2329,7,2)</f>
        <v/>
      </c>
      <c r="S2329" s="6" t="inlineStr">
        <is>
          <t>G2G</t>
        </is>
      </c>
      <c r="T2329" s="1" t="inlineStr">
        <is>
          <t>P4 - PEIPL</t>
        </is>
      </c>
      <c r="U2329" s="2" t="inlineStr">
        <is>
          <t xml:space="preserve">physically damaged </t>
        </is>
      </c>
      <c r="V2329" s="1" t="inlineStr">
        <is>
          <t>Inspection</t>
        </is>
      </c>
      <c r="W2329" s="1" t="inlineStr">
        <is>
          <t>Rejected</t>
        </is>
      </c>
      <c r="X2329" s="5">
        <f>Z2329</f>
        <v/>
      </c>
      <c r="Y2329" s="1">
        <f>X2329-A2329</f>
        <v/>
      </c>
      <c r="Z2329" s="5" t="n">
        <v>46199</v>
      </c>
      <c r="AA2329" s="3" t="n"/>
      <c r="AB2329" s="3" t="n"/>
      <c r="AE2329" s="146">
        <f>IF(AND(F2329="Closed",X2329&gt;=DATE(2026,6,1),X2329&lt;=DATE(2026,6,30)),"Closed in June","other")</f>
        <v/>
      </c>
    </row>
    <row r="2330" hidden="1">
      <c r="A2330" s="49" t="n">
        <v>46177</v>
      </c>
      <c r="B2330" s="1" t="n">
        <v>2026</v>
      </c>
      <c r="C2330" s="8" t="inlineStr">
        <is>
          <t>Ayana</t>
        </is>
      </c>
      <c r="D2330" s="11" t="inlineStr">
        <is>
          <t>Utility and C&amp;I</t>
        </is>
      </c>
      <c r="E2330" s="1" t="n"/>
      <c r="F2330" s="1" t="inlineStr">
        <is>
          <t>Closed</t>
        </is>
      </c>
      <c r="G2330" s="11" t="inlineStr">
        <is>
          <t>Vasu.N</t>
        </is>
      </c>
      <c r="H2330" s="8" t="n">
        <v>9578099893</v>
      </c>
      <c r="I2330" s="10" t="inlineStr">
        <is>
          <t>PE04062601</t>
        </is>
      </c>
      <c r="J2330" s="28" t="inlineStr">
        <is>
          <t>Module burnt</t>
        </is>
      </c>
      <c r="K2330" s="8" t="inlineStr">
        <is>
          <t>Zura</t>
        </is>
      </c>
      <c r="L2330" s="8" t="inlineStr">
        <is>
          <t>Gujarat</t>
        </is>
      </c>
      <c r="M2330" s="2" t="inlineStr">
        <is>
          <t xml:space="preserve">damage </t>
        </is>
      </c>
      <c r="N2330" s="6" t="inlineStr">
        <is>
          <t>Module Breakage</t>
        </is>
      </c>
      <c r="O2330" s="32" t="n">
        <v>590</v>
      </c>
      <c r="P2330" s="2" t="inlineStr">
        <is>
          <t>NSMI24100609283</t>
        </is>
      </c>
      <c r="Q2330" s="29">
        <f>MID(P2330,5,2)</f>
        <v/>
      </c>
      <c r="R2330" s="14">
        <f>MID(P2330,7,2)</f>
        <v/>
      </c>
      <c r="S2330" s="6" t="inlineStr">
        <is>
          <t>G2G</t>
        </is>
      </c>
      <c r="T2330" s="1" t="inlineStr">
        <is>
          <t>P4 - PEIPL</t>
        </is>
      </c>
      <c r="U2330" s="2" t="inlineStr">
        <is>
          <t xml:space="preserve">physically damaged </t>
        </is>
      </c>
      <c r="V2330" s="1" t="inlineStr">
        <is>
          <t>Inspection</t>
        </is>
      </c>
      <c r="W2330" s="1" t="inlineStr">
        <is>
          <t>Rejected</t>
        </is>
      </c>
      <c r="X2330" s="5">
        <f>Z2330</f>
        <v/>
      </c>
      <c r="Y2330" s="1">
        <f>X2330-A2330</f>
        <v/>
      </c>
      <c r="Z2330" s="5" t="n">
        <v>46199</v>
      </c>
      <c r="AA2330" s="3" t="n"/>
      <c r="AB2330" s="3" t="n"/>
      <c r="AE2330" s="146">
        <f>IF(AND(F2330="Closed",X2330&gt;=DATE(2026,6,1),X2330&lt;=DATE(2026,6,30)),"Closed in June","other")</f>
        <v/>
      </c>
    </row>
    <row r="2331" hidden="1">
      <c r="A2331" s="49" t="n">
        <v>46177</v>
      </c>
      <c r="B2331" s="1" t="n">
        <v>2026</v>
      </c>
      <c r="C2331" s="8" t="inlineStr">
        <is>
          <t>Ayana</t>
        </is>
      </c>
      <c r="D2331" s="11" t="inlineStr">
        <is>
          <t>Utility and C&amp;I</t>
        </is>
      </c>
      <c r="E2331" s="1" t="n"/>
      <c r="F2331" s="1" t="inlineStr">
        <is>
          <t>WIP</t>
        </is>
      </c>
      <c r="G2331" s="11" t="inlineStr">
        <is>
          <t>Vasu.N</t>
        </is>
      </c>
      <c r="H2331" s="8" t="n">
        <v>9578099893</v>
      </c>
      <c r="I2331" s="10" t="inlineStr">
        <is>
          <t>PE04062601</t>
        </is>
      </c>
      <c r="J2331" s="28" t="inlineStr">
        <is>
          <t>Module burnt</t>
        </is>
      </c>
      <c r="K2331" s="8" t="inlineStr">
        <is>
          <t>Zura</t>
        </is>
      </c>
      <c r="L2331" s="8" t="inlineStr">
        <is>
          <t>Gujarat</t>
        </is>
      </c>
      <c r="M2331" s="2" t="inlineStr">
        <is>
          <t xml:space="preserve">damage </t>
        </is>
      </c>
      <c r="N2331" s="6" t="inlineStr">
        <is>
          <t>Module Breakage</t>
        </is>
      </c>
      <c r="O2331" s="32" t="n">
        <v>590</v>
      </c>
      <c r="P2331" s="2" t="inlineStr">
        <is>
          <t>NSMI24110851572</t>
        </is>
      </c>
      <c r="Q2331" s="29">
        <f>MID(P2331,5,2)</f>
        <v/>
      </c>
      <c r="R2331" s="14">
        <f>MID(P2331,7,2)</f>
        <v/>
      </c>
      <c r="S2331" s="6" t="inlineStr">
        <is>
          <t>G2G</t>
        </is>
      </c>
      <c r="T2331" s="1" t="inlineStr">
        <is>
          <t>P4 - PEIPL</t>
        </is>
      </c>
      <c r="U2331" s="2" t="inlineStr">
        <is>
          <t>Frame Damaged</t>
        </is>
      </c>
      <c r="V2331" s="47" t="inlineStr">
        <is>
          <t>WIP</t>
        </is>
      </c>
      <c r="W2331" s="1" t="inlineStr">
        <is>
          <t>WIP</t>
        </is>
      </c>
      <c r="X2331" s="12" t="n"/>
      <c r="Y2331" s="1">
        <f>IF(X2331="","",X2331-A2331)</f>
        <v/>
      </c>
      <c r="Z2331" s="5" t="n">
        <v>46199</v>
      </c>
      <c r="AA2331" s="3" t="n"/>
      <c r="AB2331" s="3" t="n"/>
      <c r="AE2331" s="146">
        <f>IF(AND(F2331="Closed",X2331&gt;=DATE(2026,6,1),X2331&lt;=DATE(2026,6,30)),"Closed in June","other")</f>
        <v/>
      </c>
    </row>
    <row r="2332" hidden="1">
      <c r="A2332" s="49" t="n">
        <v>46177</v>
      </c>
      <c r="B2332" s="1" t="n">
        <v>2026</v>
      </c>
      <c r="C2332" s="8" t="inlineStr">
        <is>
          <t>Ayana</t>
        </is>
      </c>
      <c r="D2332" s="11" t="inlineStr">
        <is>
          <t>Utility and C&amp;I</t>
        </is>
      </c>
      <c r="E2332" s="1" t="n"/>
      <c r="F2332" s="1" t="inlineStr">
        <is>
          <t>Closed</t>
        </is>
      </c>
      <c r="G2332" s="11" t="inlineStr">
        <is>
          <t>Vasu.N</t>
        </is>
      </c>
      <c r="H2332" s="8" t="n">
        <v>9578099893</v>
      </c>
      <c r="I2332" s="10" t="inlineStr">
        <is>
          <t>PE04062601</t>
        </is>
      </c>
      <c r="J2332" s="28" t="inlineStr">
        <is>
          <t>Module burnt</t>
        </is>
      </c>
      <c r="K2332" s="8" t="inlineStr">
        <is>
          <t>Zura</t>
        </is>
      </c>
      <c r="L2332" s="8" t="inlineStr">
        <is>
          <t>Gujarat</t>
        </is>
      </c>
      <c r="M2332" s="2" t="inlineStr">
        <is>
          <t xml:space="preserve">damage </t>
        </is>
      </c>
      <c r="N2332" s="6" t="inlineStr">
        <is>
          <t>Module Breakage</t>
        </is>
      </c>
      <c r="O2332" s="32" t="n">
        <v>590</v>
      </c>
      <c r="P2332" s="2" t="inlineStr">
        <is>
          <t>NSMI24100633230</t>
        </is>
      </c>
      <c r="Q2332" s="29">
        <f>MID(P2332,5,2)</f>
        <v/>
      </c>
      <c r="R2332" s="14">
        <f>MID(P2332,7,2)</f>
        <v/>
      </c>
      <c r="S2332" s="6" t="inlineStr">
        <is>
          <t>G2G</t>
        </is>
      </c>
      <c r="T2332" s="1" t="inlineStr">
        <is>
          <t>P4 - PEIPL</t>
        </is>
      </c>
      <c r="U2332" s="2" t="inlineStr">
        <is>
          <t xml:space="preserve">physically damaged </t>
        </is>
      </c>
      <c r="V2332" s="1" t="inlineStr">
        <is>
          <t>Inspection</t>
        </is>
      </c>
      <c r="W2332" s="1" t="inlineStr">
        <is>
          <t>Rejected</t>
        </is>
      </c>
      <c r="X2332" s="5">
        <f>Z2332</f>
        <v/>
      </c>
      <c r="Y2332" s="1">
        <f>X2332-A2332</f>
        <v/>
      </c>
      <c r="Z2332" s="5" t="n">
        <v>46199</v>
      </c>
      <c r="AA2332" s="3" t="n"/>
      <c r="AB2332" s="3" t="n"/>
      <c r="AE2332" s="146">
        <f>IF(AND(F2332="Closed",X2332&gt;=DATE(2026,6,1),X2332&lt;=DATE(2026,6,30)),"Closed in June","other")</f>
        <v/>
      </c>
    </row>
    <row r="2333" hidden="1">
      <c r="A2333" s="49" t="n">
        <v>46177</v>
      </c>
      <c r="B2333" s="1" t="n">
        <v>2026</v>
      </c>
      <c r="C2333" s="8" t="inlineStr">
        <is>
          <t>Ayana</t>
        </is>
      </c>
      <c r="D2333" s="11" t="inlineStr">
        <is>
          <t>Utility and C&amp;I</t>
        </is>
      </c>
      <c r="E2333" s="1" t="n"/>
      <c r="F2333" s="1" t="inlineStr">
        <is>
          <t>Closed</t>
        </is>
      </c>
      <c r="G2333" s="11" t="inlineStr">
        <is>
          <t>Vasu.N</t>
        </is>
      </c>
      <c r="H2333" s="8" t="n">
        <v>9578099893</v>
      </c>
      <c r="I2333" s="10" t="inlineStr">
        <is>
          <t>PE04062601</t>
        </is>
      </c>
      <c r="J2333" s="28" t="inlineStr">
        <is>
          <t>Module burnt</t>
        </is>
      </c>
      <c r="K2333" s="8" t="inlineStr">
        <is>
          <t>Zura</t>
        </is>
      </c>
      <c r="L2333" s="8" t="inlineStr">
        <is>
          <t>Gujarat</t>
        </is>
      </c>
      <c r="M2333" s="2" t="inlineStr">
        <is>
          <t xml:space="preserve">damage </t>
        </is>
      </c>
      <c r="N2333" s="6" t="inlineStr">
        <is>
          <t>Module Breakage</t>
        </is>
      </c>
      <c r="O2333" s="32" t="n">
        <v>590</v>
      </c>
      <c r="P2333" s="2" t="inlineStr">
        <is>
          <t>NSMI24110851616</t>
        </is>
      </c>
      <c r="Q2333" s="29">
        <f>MID(P2333,5,2)</f>
        <v/>
      </c>
      <c r="R2333" s="14">
        <f>MID(P2333,7,2)</f>
        <v/>
      </c>
      <c r="S2333" s="6" t="inlineStr">
        <is>
          <t>G2G</t>
        </is>
      </c>
      <c r="T2333" s="1" t="inlineStr">
        <is>
          <t>P4 - PEIPL</t>
        </is>
      </c>
      <c r="U2333" s="2" t="inlineStr">
        <is>
          <t xml:space="preserve">physically damaged </t>
        </is>
      </c>
      <c r="V2333" s="1" t="inlineStr">
        <is>
          <t>Inspection</t>
        </is>
      </c>
      <c r="W2333" s="1" t="inlineStr">
        <is>
          <t>Rejected</t>
        </is>
      </c>
      <c r="X2333" s="5">
        <f>Z2333</f>
        <v/>
      </c>
      <c r="Y2333" s="1">
        <f>X2333-A2333</f>
        <v/>
      </c>
      <c r="Z2333" s="5" t="n">
        <v>46199</v>
      </c>
      <c r="AA2333" s="3" t="n"/>
      <c r="AB2333" s="3" t="n"/>
      <c r="AE2333" s="146">
        <f>IF(AND(F2333="Closed",X2333&gt;=DATE(2026,6,1),X2333&lt;=DATE(2026,6,30)),"Closed in June","other")</f>
        <v/>
      </c>
    </row>
    <row r="2334" hidden="1">
      <c r="A2334" s="49" t="n">
        <v>46177</v>
      </c>
      <c r="B2334" s="1" t="n">
        <v>2026</v>
      </c>
      <c r="C2334" s="8" t="inlineStr">
        <is>
          <t>Ayana</t>
        </is>
      </c>
      <c r="D2334" s="11" t="inlineStr">
        <is>
          <t>Utility and C&amp;I</t>
        </is>
      </c>
      <c r="E2334" s="1" t="n"/>
      <c r="F2334" s="1" t="inlineStr">
        <is>
          <t>Closed</t>
        </is>
      </c>
      <c r="G2334" s="11" t="inlineStr">
        <is>
          <t>Vasu.N</t>
        </is>
      </c>
      <c r="H2334" s="8" t="n">
        <v>9578099893</v>
      </c>
      <c r="I2334" s="10" t="inlineStr">
        <is>
          <t>PE04062601</t>
        </is>
      </c>
      <c r="J2334" s="28" t="inlineStr">
        <is>
          <t>Module burnt</t>
        </is>
      </c>
      <c r="K2334" s="8" t="inlineStr">
        <is>
          <t>Zura</t>
        </is>
      </c>
      <c r="L2334" s="8" t="inlineStr">
        <is>
          <t>Gujarat</t>
        </is>
      </c>
      <c r="M2334" s="2" t="inlineStr">
        <is>
          <t xml:space="preserve">damage </t>
        </is>
      </c>
      <c r="N2334" s="6" t="inlineStr">
        <is>
          <t>Module Breakage</t>
        </is>
      </c>
      <c r="O2334" s="32" t="n">
        <v>590</v>
      </c>
      <c r="P2334" s="2" t="inlineStr">
        <is>
          <t>NSMI24110851616</t>
        </is>
      </c>
      <c r="Q2334" s="29">
        <f>MID(P2334,5,2)</f>
        <v/>
      </c>
      <c r="R2334" s="14">
        <f>MID(P2334,7,2)</f>
        <v/>
      </c>
      <c r="S2334" s="6" t="inlineStr">
        <is>
          <t>G2G</t>
        </is>
      </c>
      <c r="T2334" s="1" t="inlineStr">
        <is>
          <t>P4 - PEIPL</t>
        </is>
      </c>
      <c r="U2334" s="2" t="inlineStr">
        <is>
          <t xml:space="preserve">physically damaged </t>
        </is>
      </c>
      <c r="V2334" s="1" t="inlineStr">
        <is>
          <t>Inspection</t>
        </is>
      </c>
      <c r="W2334" s="1" t="inlineStr">
        <is>
          <t>Rejected</t>
        </is>
      </c>
      <c r="X2334" s="5">
        <f>Z2334</f>
        <v/>
      </c>
      <c r="Y2334" s="1">
        <f>X2334-A2334</f>
        <v/>
      </c>
      <c r="Z2334" s="5" t="n">
        <v>46199</v>
      </c>
      <c r="AA2334" s="3" t="n"/>
      <c r="AB2334" s="3" t="n"/>
      <c r="AE2334" s="146">
        <f>IF(AND(F2334="Closed",X2334&gt;=DATE(2026,6,1),X2334&lt;=DATE(2026,6,30)),"Closed in June","other")</f>
        <v/>
      </c>
    </row>
    <row r="2335" hidden="1">
      <c r="A2335" s="49" t="n">
        <v>46177</v>
      </c>
      <c r="B2335" s="1" t="n">
        <v>2026</v>
      </c>
      <c r="C2335" s="8" t="inlineStr">
        <is>
          <t>Ayana</t>
        </is>
      </c>
      <c r="D2335" s="11" t="inlineStr">
        <is>
          <t>Utility and C&amp;I</t>
        </is>
      </c>
      <c r="E2335" s="1" t="n"/>
      <c r="F2335" s="1" t="inlineStr">
        <is>
          <t>Closed</t>
        </is>
      </c>
      <c r="G2335" s="11" t="inlineStr">
        <is>
          <t>Vasu.N</t>
        </is>
      </c>
      <c r="H2335" s="8" t="n">
        <v>9578099893</v>
      </c>
      <c r="I2335" s="10" t="inlineStr">
        <is>
          <t>PE04062601</t>
        </is>
      </c>
      <c r="J2335" s="28" t="inlineStr">
        <is>
          <t>Module burnt</t>
        </is>
      </c>
      <c r="K2335" s="8" t="inlineStr">
        <is>
          <t>Zura</t>
        </is>
      </c>
      <c r="L2335" s="8" t="inlineStr">
        <is>
          <t>Gujarat</t>
        </is>
      </c>
      <c r="M2335" s="2" t="inlineStr">
        <is>
          <t xml:space="preserve">damage </t>
        </is>
      </c>
      <c r="N2335" s="6" t="inlineStr">
        <is>
          <t>Module Breakage</t>
        </is>
      </c>
      <c r="O2335" s="32" t="n">
        <v>590</v>
      </c>
      <c r="P2335" s="2" t="inlineStr">
        <is>
          <t>NSMI24110851643</t>
        </is>
      </c>
      <c r="Q2335" s="29">
        <f>MID(P2335,5,2)</f>
        <v/>
      </c>
      <c r="R2335" s="14">
        <f>MID(P2335,7,2)</f>
        <v/>
      </c>
      <c r="S2335" s="6" t="inlineStr">
        <is>
          <t>G2G</t>
        </is>
      </c>
      <c r="T2335" s="1" t="inlineStr">
        <is>
          <t>P4 - PEIPL</t>
        </is>
      </c>
      <c r="U2335" s="2" t="inlineStr">
        <is>
          <t xml:space="preserve">physically damaged </t>
        </is>
      </c>
      <c r="V2335" s="1" t="inlineStr">
        <is>
          <t>Inspection</t>
        </is>
      </c>
      <c r="W2335" s="1" t="inlineStr">
        <is>
          <t>Rejected</t>
        </is>
      </c>
      <c r="X2335" s="5">
        <f>Z2335</f>
        <v/>
      </c>
      <c r="Y2335" s="1">
        <f>X2335-A2335</f>
        <v/>
      </c>
      <c r="Z2335" s="5" t="n">
        <v>46199</v>
      </c>
      <c r="AA2335" s="3" t="n"/>
      <c r="AB2335" s="3" t="n"/>
      <c r="AE2335" s="146">
        <f>IF(AND(F2335="Closed",X2335&gt;=DATE(2026,6,1),X2335&lt;=DATE(2026,6,30)),"Closed in June","other")</f>
        <v/>
      </c>
    </row>
    <row r="2336" hidden="1">
      <c r="A2336" s="49" t="n">
        <v>46177</v>
      </c>
      <c r="B2336" s="1" t="n">
        <v>2026</v>
      </c>
      <c r="C2336" s="8" t="inlineStr">
        <is>
          <t>Ayana</t>
        </is>
      </c>
      <c r="D2336" s="11" t="inlineStr">
        <is>
          <t>Utility and C&amp;I</t>
        </is>
      </c>
      <c r="E2336" s="1" t="n"/>
      <c r="F2336" s="1" t="inlineStr">
        <is>
          <t>Closed</t>
        </is>
      </c>
      <c r="G2336" s="11" t="inlineStr">
        <is>
          <t>Vasu.N</t>
        </is>
      </c>
      <c r="H2336" s="8" t="n">
        <v>9578099893</v>
      </c>
      <c r="I2336" s="10" t="inlineStr">
        <is>
          <t>PE04062601</t>
        </is>
      </c>
      <c r="J2336" s="28" t="inlineStr">
        <is>
          <t>Module burnt</t>
        </is>
      </c>
      <c r="K2336" s="8" t="inlineStr">
        <is>
          <t>Zura</t>
        </is>
      </c>
      <c r="L2336" s="8" t="inlineStr">
        <is>
          <t>Gujarat</t>
        </is>
      </c>
      <c r="M2336" s="2" t="inlineStr">
        <is>
          <t xml:space="preserve">damage </t>
        </is>
      </c>
      <c r="N2336" s="6" t="inlineStr">
        <is>
          <t>Module Breakage</t>
        </is>
      </c>
      <c r="O2336" s="32" t="n">
        <v>590</v>
      </c>
      <c r="P2336" s="2" t="inlineStr">
        <is>
          <t>NSMI24110851628</t>
        </is>
      </c>
      <c r="Q2336" s="29">
        <f>MID(P2336,5,2)</f>
        <v/>
      </c>
      <c r="R2336" s="14">
        <f>MID(P2336,7,2)</f>
        <v/>
      </c>
      <c r="S2336" s="6" t="inlineStr">
        <is>
          <t>G2G</t>
        </is>
      </c>
      <c r="T2336" s="1" t="inlineStr">
        <is>
          <t>P4 - PEIPL</t>
        </is>
      </c>
      <c r="U2336" s="2" t="inlineStr">
        <is>
          <t xml:space="preserve">physically damaged </t>
        </is>
      </c>
      <c r="V2336" s="1" t="inlineStr">
        <is>
          <t>Inspection</t>
        </is>
      </c>
      <c r="W2336" s="1" t="inlineStr">
        <is>
          <t>Rejected</t>
        </is>
      </c>
      <c r="X2336" s="5">
        <f>Z2336</f>
        <v/>
      </c>
      <c r="Y2336" s="1">
        <f>X2336-A2336</f>
        <v/>
      </c>
      <c r="Z2336" s="5" t="n">
        <v>46199</v>
      </c>
      <c r="AA2336" s="3" t="n"/>
      <c r="AB2336" s="3" t="n"/>
      <c r="AE2336" s="146">
        <f>IF(AND(F2336="Closed",X2336&gt;=DATE(2026,6,1),X2336&lt;=DATE(2026,6,30)),"Closed in June","other")</f>
        <v/>
      </c>
    </row>
    <row r="2337" hidden="1">
      <c r="A2337" s="49" t="n">
        <v>46177</v>
      </c>
      <c r="B2337" s="1" t="n">
        <v>2026</v>
      </c>
      <c r="C2337" s="8" t="inlineStr">
        <is>
          <t>Ayana</t>
        </is>
      </c>
      <c r="D2337" s="11" t="inlineStr">
        <is>
          <t>Utility and C&amp;I</t>
        </is>
      </c>
      <c r="E2337" s="1" t="n"/>
      <c r="F2337" s="1" t="inlineStr">
        <is>
          <t>Closed</t>
        </is>
      </c>
      <c r="G2337" s="11" t="inlineStr">
        <is>
          <t>Vasu.N</t>
        </is>
      </c>
      <c r="H2337" s="8" t="n">
        <v>9578099893</v>
      </c>
      <c r="I2337" s="10" t="inlineStr">
        <is>
          <t>PE04062601</t>
        </is>
      </c>
      <c r="J2337" s="28" t="inlineStr">
        <is>
          <t>Module burnt</t>
        </is>
      </c>
      <c r="K2337" s="8" t="inlineStr">
        <is>
          <t>Zura</t>
        </is>
      </c>
      <c r="L2337" s="8" t="inlineStr">
        <is>
          <t>Gujarat</t>
        </is>
      </c>
      <c r="M2337" s="2" t="inlineStr">
        <is>
          <t xml:space="preserve">damage </t>
        </is>
      </c>
      <c r="N2337" s="6" t="inlineStr">
        <is>
          <t>Module Breakage</t>
        </is>
      </c>
      <c r="O2337" s="32" t="n">
        <v>590</v>
      </c>
      <c r="P2337" s="2" t="inlineStr">
        <is>
          <t>NSMI24100633248</t>
        </is>
      </c>
      <c r="Q2337" s="29">
        <f>MID(P2337,5,2)</f>
        <v/>
      </c>
      <c r="R2337" s="14">
        <f>MID(P2337,7,2)</f>
        <v/>
      </c>
      <c r="S2337" s="6" t="inlineStr">
        <is>
          <t>G2G</t>
        </is>
      </c>
      <c r="T2337" s="1" t="inlineStr">
        <is>
          <t>P4 - PEIPL</t>
        </is>
      </c>
      <c r="U2337" s="2" t="inlineStr">
        <is>
          <t xml:space="preserve">physically damaged </t>
        </is>
      </c>
      <c r="V2337" s="1" t="inlineStr">
        <is>
          <t>Inspection</t>
        </is>
      </c>
      <c r="W2337" s="1" t="inlineStr">
        <is>
          <t>Rejected</t>
        </is>
      </c>
      <c r="X2337" s="5">
        <f>Z2337</f>
        <v/>
      </c>
      <c r="Y2337" s="1">
        <f>X2337-A2337</f>
        <v/>
      </c>
      <c r="Z2337" s="5" t="n">
        <v>46199</v>
      </c>
      <c r="AA2337" s="3" t="n"/>
      <c r="AB2337" s="3" t="n"/>
      <c r="AE2337" s="146">
        <f>IF(AND(F2337="Closed",X2337&gt;=DATE(2026,6,1),X2337&lt;=DATE(2026,6,30)),"Closed in June","other")</f>
        <v/>
      </c>
    </row>
    <row r="2338" hidden="1">
      <c r="A2338" s="49" t="n">
        <v>46177</v>
      </c>
      <c r="B2338" s="1" t="n">
        <v>2026</v>
      </c>
      <c r="C2338" s="8" t="inlineStr">
        <is>
          <t>Ayana</t>
        </is>
      </c>
      <c r="D2338" s="11" t="inlineStr">
        <is>
          <t>Utility and C&amp;I</t>
        </is>
      </c>
      <c r="E2338" s="1" t="n"/>
      <c r="F2338" s="1" t="inlineStr">
        <is>
          <t>Closed</t>
        </is>
      </c>
      <c r="G2338" s="11" t="inlineStr">
        <is>
          <t>Vasu.N</t>
        </is>
      </c>
      <c r="H2338" s="8" t="n">
        <v>9578099893</v>
      </c>
      <c r="I2338" s="10" t="inlineStr">
        <is>
          <t>PE04062601</t>
        </is>
      </c>
      <c r="J2338" s="28" t="inlineStr">
        <is>
          <t>Module burnt</t>
        </is>
      </c>
      <c r="K2338" s="8" t="inlineStr">
        <is>
          <t>Zura</t>
        </is>
      </c>
      <c r="L2338" s="8" t="inlineStr">
        <is>
          <t>Gujarat</t>
        </is>
      </c>
      <c r="M2338" s="2" t="inlineStr">
        <is>
          <t xml:space="preserve">damage </t>
        </is>
      </c>
      <c r="N2338" s="6" t="inlineStr">
        <is>
          <t>Module Breakage</t>
        </is>
      </c>
      <c r="O2338" s="32" t="n">
        <v>590</v>
      </c>
      <c r="P2338" s="2" t="inlineStr">
        <is>
          <t>NSMI24110851692</t>
        </is>
      </c>
      <c r="Q2338" s="29">
        <f>MID(P2338,5,2)</f>
        <v/>
      </c>
      <c r="R2338" s="14">
        <f>MID(P2338,7,2)</f>
        <v/>
      </c>
      <c r="S2338" s="6" t="inlineStr">
        <is>
          <t>G2G</t>
        </is>
      </c>
      <c r="T2338" s="1" t="inlineStr">
        <is>
          <t>P4 - PEIPL</t>
        </is>
      </c>
      <c r="U2338" s="2" t="inlineStr">
        <is>
          <t xml:space="preserve">physically damaged </t>
        </is>
      </c>
      <c r="V2338" s="1" t="inlineStr">
        <is>
          <t>Inspection</t>
        </is>
      </c>
      <c r="W2338" s="1" t="inlineStr">
        <is>
          <t>Rejected</t>
        </is>
      </c>
      <c r="X2338" s="5">
        <f>Z2338</f>
        <v/>
      </c>
      <c r="Y2338" s="1">
        <f>X2338-A2338</f>
        <v/>
      </c>
      <c r="Z2338" s="5" t="n">
        <v>46199</v>
      </c>
      <c r="AA2338" s="3" t="n"/>
      <c r="AB2338" s="3" t="n"/>
      <c r="AE2338" s="146">
        <f>IF(AND(F2338="Closed",X2338&gt;=DATE(2026,6,1),X2338&lt;=DATE(2026,6,30)),"Closed in June","other")</f>
        <v/>
      </c>
    </row>
    <row r="2339" hidden="1">
      <c r="A2339" s="49" t="n">
        <v>46177</v>
      </c>
      <c r="B2339" s="1" t="n">
        <v>2026</v>
      </c>
      <c r="C2339" s="8" t="inlineStr">
        <is>
          <t>Ayana</t>
        </is>
      </c>
      <c r="D2339" s="11" t="inlineStr">
        <is>
          <t>Utility and C&amp;I</t>
        </is>
      </c>
      <c r="E2339" s="1" t="n"/>
      <c r="F2339" s="1" t="inlineStr">
        <is>
          <t>Closed</t>
        </is>
      </c>
      <c r="G2339" s="11" t="inlineStr">
        <is>
          <t>Vasu.N</t>
        </is>
      </c>
      <c r="H2339" s="8" t="n">
        <v>9578099893</v>
      </c>
      <c r="I2339" s="10" t="inlineStr">
        <is>
          <t>PE04062601</t>
        </is>
      </c>
      <c r="J2339" s="28" t="inlineStr">
        <is>
          <t>Module burnt</t>
        </is>
      </c>
      <c r="K2339" s="8" t="inlineStr">
        <is>
          <t>Zura</t>
        </is>
      </c>
      <c r="L2339" s="8" t="inlineStr">
        <is>
          <t>Gujarat</t>
        </is>
      </c>
      <c r="M2339" s="2" t="inlineStr">
        <is>
          <t xml:space="preserve">damage </t>
        </is>
      </c>
      <c r="N2339" s="6" t="inlineStr">
        <is>
          <t>Module Breakage</t>
        </is>
      </c>
      <c r="O2339" s="32" t="n">
        <v>590</v>
      </c>
      <c r="P2339" s="2" t="inlineStr">
        <is>
          <t>NSMI24110851569</t>
        </is>
      </c>
      <c r="Q2339" s="29">
        <f>MID(P2339,5,2)</f>
        <v/>
      </c>
      <c r="R2339" s="14">
        <f>MID(P2339,7,2)</f>
        <v/>
      </c>
      <c r="S2339" s="6" t="inlineStr">
        <is>
          <t>G2G</t>
        </is>
      </c>
      <c r="T2339" s="1" t="inlineStr">
        <is>
          <t>P4 - PEIPL</t>
        </is>
      </c>
      <c r="U2339" s="2" t="inlineStr">
        <is>
          <t xml:space="preserve">physically damaged </t>
        </is>
      </c>
      <c r="V2339" s="1" t="inlineStr">
        <is>
          <t>Inspection</t>
        </is>
      </c>
      <c r="W2339" s="1" t="inlineStr">
        <is>
          <t>Rejected</t>
        </is>
      </c>
      <c r="X2339" s="5">
        <f>Z2339</f>
        <v/>
      </c>
      <c r="Y2339" s="1">
        <f>X2339-A2339</f>
        <v/>
      </c>
      <c r="Z2339" s="5" t="n">
        <v>46199</v>
      </c>
      <c r="AA2339" s="3" t="n"/>
      <c r="AB2339" s="3" t="n"/>
      <c r="AE2339" s="146">
        <f>IF(AND(F2339="Closed",X2339&gt;=DATE(2026,6,1),X2339&lt;=DATE(2026,6,30)),"Closed in June","other")</f>
        <v/>
      </c>
    </row>
    <row r="2340" hidden="1">
      <c r="A2340" s="49" t="n">
        <v>46177</v>
      </c>
      <c r="B2340" s="1" t="n">
        <v>2026</v>
      </c>
      <c r="C2340" s="8" t="inlineStr">
        <is>
          <t>Ayana</t>
        </is>
      </c>
      <c r="D2340" s="11" t="inlineStr">
        <is>
          <t>Utility and C&amp;I</t>
        </is>
      </c>
      <c r="E2340" s="1" t="n"/>
      <c r="F2340" s="1" t="inlineStr">
        <is>
          <t>Closed</t>
        </is>
      </c>
      <c r="G2340" s="11" t="inlineStr">
        <is>
          <t>Vasu.N</t>
        </is>
      </c>
      <c r="H2340" s="8" t="n">
        <v>9578099893</v>
      </c>
      <c r="I2340" s="10" t="inlineStr">
        <is>
          <t>PE04062601</t>
        </is>
      </c>
      <c r="J2340" s="28" t="inlineStr">
        <is>
          <t>Module burnt</t>
        </is>
      </c>
      <c r="K2340" s="8" t="inlineStr">
        <is>
          <t>Zura</t>
        </is>
      </c>
      <c r="L2340" s="8" t="inlineStr">
        <is>
          <t>Gujarat</t>
        </is>
      </c>
      <c r="M2340" s="2" t="inlineStr">
        <is>
          <t xml:space="preserve">damage </t>
        </is>
      </c>
      <c r="N2340" s="6" t="inlineStr">
        <is>
          <t>Module Breakage</t>
        </is>
      </c>
      <c r="O2340" s="32" t="n">
        <v>590</v>
      </c>
      <c r="P2340" s="2" t="inlineStr">
        <is>
          <t>NSMI24110851573</t>
        </is>
      </c>
      <c r="Q2340" s="29">
        <f>MID(P2340,5,2)</f>
        <v/>
      </c>
      <c r="R2340" s="14">
        <f>MID(P2340,7,2)</f>
        <v/>
      </c>
      <c r="S2340" s="6" t="inlineStr">
        <is>
          <t>G2G</t>
        </is>
      </c>
      <c r="T2340" s="1" t="inlineStr">
        <is>
          <t>P4 - PEIPL</t>
        </is>
      </c>
      <c r="U2340" s="2" t="inlineStr">
        <is>
          <t xml:space="preserve">physically damaged </t>
        </is>
      </c>
      <c r="V2340" s="1" t="inlineStr">
        <is>
          <t>Inspection</t>
        </is>
      </c>
      <c r="W2340" s="1" t="inlineStr">
        <is>
          <t>Rejected</t>
        </is>
      </c>
      <c r="X2340" s="5">
        <f>Z2340</f>
        <v/>
      </c>
      <c r="Y2340" s="1">
        <f>X2340-A2340</f>
        <v/>
      </c>
      <c r="Z2340" s="5" t="n">
        <v>46199</v>
      </c>
      <c r="AA2340" s="3" t="n"/>
      <c r="AB2340" s="3" t="n"/>
      <c r="AE2340" s="146">
        <f>IF(AND(F2340="Closed",X2340&gt;=DATE(2026,6,1),X2340&lt;=DATE(2026,6,30)),"Closed in June","other")</f>
        <v/>
      </c>
    </row>
    <row r="2341" hidden="1">
      <c r="A2341" s="49" t="n">
        <v>46177</v>
      </c>
      <c r="B2341" s="1" t="n">
        <v>2026</v>
      </c>
      <c r="C2341" s="8" t="inlineStr">
        <is>
          <t>Ayana</t>
        </is>
      </c>
      <c r="D2341" s="11" t="inlineStr">
        <is>
          <t>Utility and C&amp;I</t>
        </is>
      </c>
      <c r="E2341" s="1" t="n"/>
      <c r="F2341" s="1" t="inlineStr">
        <is>
          <t>Closed</t>
        </is>
      </c>
      <c r="G2341" s="11" t="inlineStr">
        <is>
          <t>Vasu.N</t>
        </is>
      </c>
      <c r="H2341" s="8" t="n">
        <v>9578099893</v>
      </c>
      <c r="I2341" s="10" t="inlineStr">
        <is>
          <t>PE04062601</t>
        </is>
      </c>
      <c r="J2341" s="28" t="inlineStr">
        <is>
          <t>Module burnt</t>
        </is>
      </c>
      <c r="K2341" s="8" t="inlineStr">
        <is>
          <t>Zura</t>
        </is>
      </c>
      <c r="L2341" s="8" t="inlineStr">
        <is>
          <t>Gujarat</t>
        </is>
      </c>
      <c r="M2341" s="2" t="inlineStr">
        <is>
          <t xml:space="preserve">damage </t>
        </is>
      </c>
      <c r="N2341" s="6" t="inlineStr">
        <is>
          <t>Module Breakage</t>
        </is>
      </c>
      <c r="O2341" s="32" t="n">
        <v>590</v>
      </c>
      <c r="P2341" s="2" t="inlineStr">
        <is>
          <t>NSMI24110824774</t>
        </is>
      </c>
      <c r="Q2341" s="29">
        <f>MID(P2341,5,2)</f>
        <v/>
      </c>
      <c r="R2341" s="14">
        <f>MID(P2341,7,2)</f>
        <v/>
      </c>
      <c r="S2341" s="6" t="inlineStr">
        <is>
          <t>G2G</t>
        </is>
      </c>
      <c r="T2341" s="1" t="inlineStr">
        <is>
          <t>P4 - PEIPL</t>
        </is>
      </c>
      <c r="U2341" s="2" t="inlineStr">
        <is>
          <t xml:space="preserve">physically damaged </t>
        </is>
      </c>
      <c r="V2341" s="1" t="inlineStr">
        <is>
          <t>Inspection</t>
        </is>
      </c>
      <c r="W2341" s="1" t="inlineStr">
        <is>
          <t>Rejected</t>
        </is>
      </c>
      <c r="X2341" s="5">
        <f>Z2341</f>
        <v/>
      </c>
      <c r="Y2341" s="1">
        <f>X2341-A2341</f>
        <v/>
      </c>
      <c r="Z2341" s="5" t="n">
        <v>46199</v>
      </c>
      <c r="AA2341" s="3" t="n"/>
      <c r="AB2341" s="3" t="n"/>
      <c r="AE2341" s="146">
        <f>IF(AND(F2341="Closed",X2341&gt;=DATE(2026,6,1),X2341&lt;=DATE(2026,6,30)),"Closed in June","other")</f>
        <v/>
      </c>
    </row>
    <row r="2342" hidden="1">
      <c r="A2342" s="49" t="n">
        <v>46177</v>
      </c>
      <c r="B2342" s="1" t="n">
        <v>2026</v>
      </c>
      <c r="C2342" s="8" t="inlineStr">
        <is>
          <t>Ayana</t>
        </is>
      </c>
      <c r="D2342" s="11" t="inlineStr">
        <is>
          <t>Utility and C&amp;I</t>
        </is>
      </c>
      <c r="E2342" s="1" t="n"/>
      <c r="F2342" s="1" t="inlineStr">
        <is>
          <t>Closed</t>
        </is>
      </c>
      <c r="G2342" s="11" t="inlineStr">
        <is>
          <t>Vasu.N</t>
        </is>
      </c>
      <c r="H2342" s="8" t="n">
        <v>9578099893</v>
      </c>
      <c r="I2342" s="10" t="inlineStr">
        <is>
          <t>PE04062601</t>
        </is>
      </c>
      <c r="J2342" s="28" t="inlineStr">
        <is>
          <t>Module burnt</t>
        </is>
      </c>
      <c r="K2342" s="8" t="inlineStr">
        <is>
          <t>Zura</t>
        </is>
      </c>
      <c r="L2342" s="8" t="inlineStr">
        <is>
          <t>Gujarat</t>
        </is>
      </c>
      <c r="M2342" s="2" t="inlineStr">
        <is>
          <t xml:space="preserve">damage </t>
        </is>
      </c>
      <c r="N2342" s="6" t="inlineStr">
        <is>
          <t>Module Breakage</t>
        </is>
      </c>
      <c r="O2342" s="32" t="n">
        <v>590</v>
      </c>
      <c r="P2342" s="2" t="inlineStr">
        <is>
          <t>NSMI24110824757</t>
        </is>
      </c>
      <c r="Q2342" s="29">
        <f>MID(P2342,5,2)</f>
        <v/>
      </c>
      <c r="R2342" s="14">
        <f>MID(P2342,7,2)</f>
        <v/>
      </c>
      <c r="S2342" s="6" t="inlineStr">
        <is>
          <t>G2G</t>
        </is>
      </c>
      <c r="T2342" s="1" t="inlineStr">
        <is>
          <t>P4 - PEIPL</t>
        </is>
      </c>
      <c r="U2342" s="2" t="inlineStr">
        <is>
          <t xml:space="preserve">physically damaged </t>
        </is>
      </c>
      <c r="V2342" s="1" t="inlineStr">
        <is>
          <t>Inspection</t>
        </is>
      </c>
      <c r="W2342" s="1" t="inlineStr">
        <is>
          <t>Rejected</t>
        </is>
      </c>
      <c r="X2342" s="5">
        <f>Z2342</f>
        <v/>
      </c>
      <c r="Y2342" s="1">
        <f>X2342-A2342</f>
        <v/>
      </c>
      <c r="Z2342" s="5" t="n">
        <v>46199</v>
      </c>
      <c r="AA2342" s="3" t="n"/>
      <c r="AB2342" s="3" t="n"/>
      <c r="AE2342" s="146">
        <f>IF(AND(F2342="Closed",X2342&gt;=DATE(2026,6,1),X2342&lt;=DATE(2026,6,30)),"Closed in June","other")</f>
        <v/>
      </c>
    </row>
    <row r="2343" hidden="1">
      <c r="A2343" s="49" t="n">
        <v>46177</v>
      </c>
      <c r="B2343" s="1" t="n">
        <v>2026</v>
      </c>
      <c r="C2343" s="8" t="inlineStr">
        <is>
          <t>Ayana</t>
        </is>
      </c>
      <c r="D2343" s="11" t="inlineStr">
        <is>
          <t>Utility and C&amp;I</t>
        </is>
      </c>
      <c r="E2343" s="1" t="n"/>
      <c r="F2343" s="1" t="inlineStr">
        <is>
          <t>Closed</t>
        </is>
      </c>
      <c r="G2343" s="11" t="inlineStr">
        <is>
          <t>Vasu.N</t>
        </is>
      </c>
      <c r="H2343" s="8" t="n">
        <v>9578099893</v>
      </c>
      <c r="I2343" s="10" t="inlineStr">
        <is>
          <t>PE04062601</t>
        </is>
      </c>
      <c r="J2343" s="28" t="inlineStr">
        <is>
          <t>Module burnt</t>
        </is>
      </c>
      <c r="K2343" s="8" t="inlineStr">
        <is>
          <t>Zura</t>
        </is>
      </c>
      <c r="L2343" s="8" t="inlineStr">
        <is>
          <t>Gujarat</t>
        </is>
      </c>
      <c r="M2343" s="2" t="inlineStr">
        <is>
          <t xml:space="preserve">damage </t>
        </is>
      </c>
      <c r="N2343" s="6" t="inlineStr">
        <is>
          <t>Module Breakage</t>
        </is>
      </c>
      <c r="O2343" s="32" t="n">
        <v>590</v>
      </c>
      <c r="P2343" s="2" t="inlineStr">
        <is>
          <t>NSMI24100638079</t>
        </is>
      </c>
      <c r="Q2343" s="29">
        <f>MID(P2343,5,2)</f>
        <v/>
      </c>
      <c r="R2343" s="14">
        <f>MID(P2343,7,2)</f>
        <v/>
      </c>
      <c r="S2343" s="6" t="inlineStr">
        <is>
          <t>G2G</t>
        </is>
      </c>
      <c r="T2343" s="1" t="inlineStr">
        <is>
          <t>P4 - PEIPL</t>
        </is>
      </c>
      <c r="U2343" s="2" t="inlineStr">
        <is>
          <t xml:space="preserve">physically damaged </t>
        </is>
      </c>
      <c r="V2343" s="1" t="inlineStr">
        <is>
          <t>Inspection</t>
        </is>
      </c>
      <c r="W2343" s="1" t="inlineStr">
        <is>
          <t>Rejected</t>
        </is>
      </c>
      <c r="X2343" s="5">
        <f>Z2343</f>
        <v/>
      </c>
      <c r="Y2343" s="1">
        <f>X2343-A2343</f>
        <v/>
      </c>
      <c r="Z2343" s="5" t="n">
        <v>46199</v>
      </c>
      <c r="AA2343" s="3" t="n"/>
      <c r="AB2343" s="3" t="n"/>
      <c r="AE2343" s="146">
        <f>IF(AND(F2343="Closed",X2343&gt;=DATE(2026,6,1),X2343&lt;=DATE(2026,6,30)),"Closed in June","other")</f>
        <v/>
      </c>
    </row>
    <row r="2344" hidden="1">
      <c r="A2344" s="49" t="n">
        <v>46177</v>
      </c>
      <c r="B2344" s="1" t="n">
        <v>2026</v>
      </c>
      <c r="C2344" s="8" t="inlineStr">
        <is>
          <t>Ayana</t>
        </is>
      </c>
      <c r="D2344" s="11" t="inlineStr">
        <is>
          <t>Utility and C&amp;I</t>
        </is>
      </c>
      <c r="E2344" s="1" t="n"/>
      <c r="F2344" s="1" t="inlineStr">
        <is>
          <t>Closed</t>
        </is>
      </c>
      <c r="G2344" s="11" t="inlineStr">
        <is>
          <t>Vasu.N</t>
        </is>
      </c>
      <c r="H2344" s="8" t="n">
        <v>9578099893</v>
      </c>
      <c r="I2344" s="10" t="inlineStr">
        <is>
          <t>PE04062601</t>
        </is>
      </c>
      <c r="J2344" s="28" t="inlineStr">
        <is>
          <t>Module burnt</t>
        </is>
      </c>
      <c r="K2344" s="8" t="inlineStr">
        <is>
          <t>Zura</t>
        </is>
      </c>
      <c r="L2344" s="8" t="inlineStr">
        <is>
          <t>Gujarat</t>
        </is>
      </c>
      <c r="M2344" s="2" t="inlineStr">
        <is>
          <t xml:space="preserve">damage </t>
        </is>
      </c>
      <c r="N2344" s="6" t="inlineStr">
        <is>
          <t>Module Breakage</t>
        </is>
      </c>
      <c r="O2344" s="32" t="n">
        <v>590</v>
      </c>
      <c r="P2344" s="2" t="inlineStr">
        <is>
          <t>NSMI24100595184</t>
        </is>
      </c>
      <c r="Q2344" s="29">
        <f>MID(P2344,5,2)</f>
        <v/>
      </c>
      <c r="R2344" s="14">
        <f>MID(P2344,7,2)</f>
        <v/>
      </c>
      <c r="S2344" s="6" t="inlineStr">
        <is>
          <t>G2G</t>
        </is>
      </c>
      <c r="T2344" s="1" t="inlineStr">
        <is>
          <t>P4 - PEIPL</t>
        </is>
      </c>
      <c r="U2344" s="2" t="inlineStr">
        <is>
          <t xml:space="preserve">physically damaged </t>
        </is>
      </c>
      <c r="V2344" s="1" t="inlineStr">
        <is>
          <t>Inspection</t>
        </is>
      </c>
      <c r="W2344" s="1" t="inlineStr">
        <is>
          <t>Rejected</t>
        </is>
      </c>
      <c r="X2344" s="5">
        <f>Z2344</f>
        <v/>
      </c>
      <c r="Y2344" s="1">
        <f>X2344-A2344</f>
        <v/>
      </c>
      <c r="Z2344" s="5" t="n">
        <v>46199</v>
      </c>
      <c r="AA2344" s="3" t="n"/>
      <c r="AB2344" s="3" t="n"/>
      <c r="AE2344" s="146">
        <f>IF(AND(F2344="Closed",X2344&gt;=DATE(2026,6,1),X2344&lt;=DATE(2026,6,30)),"Closed in June","other")</f>
        <v/>
      </c>
    </row>
    <row r="2345" hidden="1">
      <c r="A2345" s="49" t="n">
        <v>46177</v>
      </c>
      <c r="B2345" s="1" t="n">
        <v>2026</v>
      </c>
      <c r="C2345" s="8" t="inlineStr">
        <is>
          <t>Ayana</t>
        </is>
      </c>
      <c r="D2345" s="11" t="inlineStr">
        <is>
          <t>Utility and C&amp;I</t>
        </is>
      </c>
      <c r="E2345" s="1" t="n"/>
      <c r="F2345" s="1" t="inlineStr">
        <is>
          <t>Closed</t>
        </is>
      </c>
      <c r="G2345" s="11" t="inlineStr">
        <is>
          <t>Vasu.N</t>
        </is>
      </c>
      <c r="H2345" s="8" t="n">
        <v>9578099893</v>
      </c>
      <c r="I2345" s="10" t="inlineStr">
        <is>
          <t>PE04062601</t>
        </is>
      </c>
      <c r="J2345" s="28" t="inlineStr">
        <is>
          <t>Module burnt</t>
        </is>
      </c>
      <c r="K2345" s="8" t="inlineStr">
        <is>
          <t>Zura</t>
        </is>
      </c>
      <c r="L2345" s="8" t="inlineStr">
        <is>
          <t>Gujarat</t>
        </is>
      </c>
      <c r="M2345" s="2" t="inlineStr">
        <is>
          <t xml:space="preserve">damage </t>
        </is>
      </c>
      <c r="N2345" s="6" t="inlineStr">
        <is>
          <t>Module Breakage</t>
        </is>
      </c>
      <c r="O2345" s="32" t="n">
        <v>590</v>
      </c>
      <c r="P2345" s="2" t="inlineStr">
        <is>
          <t>NSMI24100597910</t>
        </is>
      </c>
      <c r="Q2345" s="29">
        <f>MID(P2345,5,2)</f>
        <v/>
      </c>
      <c r="R2345" s="14">
        <f>MID(P2345,7,2)</f>
        <v/>
      </c>
      <c r="S2345" s="6" t="inlineStr">
        <is>
          <t>G2G</t>
        </is>
      </c>
      <c r="T2345" s="1" t="inlineStr">
        <is>
          <t>P4 - PEIPL</t>
        </is>
      </c>
      <c r="U2345" s="2" t="inlineStr">
        <is>
          <t xml:space="preserve">physically damaged </t>
        </is>
      </c>
      <c r="V2345" s="1" t="inlineStr">
        <is>
          <t>Inspection</t>
        </is>
      </c>
      <c r="W2345" s="1" t="inlineStr">
        <is>
          <t>Rejected</t>
        </is>
      </c>
      <c r="X2345" s="5">
        <f>Z2345</f>
        <v/>
      </c>
      <c r="Y2345" s="1">
        <f>X2345-A2345</f>
        <v/>
      </c>
      <c r="Z2345" s="5" t="n">
        <v>46199</v>
      </c>
      <c r="AA2345" s="3" t="n"/>
      <c r="AB2345" s="3" t="n"/>
      <c r="AE2345" s="146">
        <f>IF(AND(F2345="Closed",X2345&gt;=DATE(2026,6,1),X2345&lt;=DATE(2026,6,30)),"Closed in June","other")</f>
        <v/>
      </c>
    </row>
    <row r="2346" hidden="1">
      <c r="A2346" s="49" t="n">
        <v>46177</v>
      </c>
      <c r="B2346" s="1" t="n">
        <v>2026</v>
      </c>
      <c r="C2346" s="8" t="inlineStr">
        <is>
          <t>Ayana</t>
        </is>
      </c>
      <c r="D2346" s="11" t="inlineStr">
        <is>
          <t>Utility and C&amp;I</t>
        </is>
      </c>
      <c r="E2346" s="1" t="n"/>
      <c r="F2346" s="1" t="inlineStr">
        <is>
          <t>Closed</t>
        </is>
      </c>
      <c r="G2346" s="11" t="inlineStr">
        <is>
          <t>Vasu.N</t>
        </is>
      </c>
      <c r="H2346" s="8" t="n">
        <v>9578099893</v>
      </c>
      <c r="I2346" s="10" t="inlineStr">
        <is>
          <t>PE04062601</t>
        </is>
      </c>
      <c r="J2346" s="28" t="inlineStr">
        <is>
          <t>Module burnt</t>
        </is>
      </c>
      <c r="K2346" s="8" t="inlineStr">
        <is>
          <t>Zura</t>
        </is>
      </c>
      <c r="L2346" s="8" t="inlineStr">
        <is>
          <t>Gujarat</t>
        </is>
      </c>
      <c r="M2346" s="2" t="inlineStr">
        <is>
          <t xml:space="preserve">damage </t>
        </is>
      </c>
      <c r="N2346" s="6" t="inlineStr">
        <is>
          <t>Module Breakage</t>
        </is>
      </c>
      <c r="O2346" s="32" t="n">
        <v>590</v>
      </c>
      <c r="P2346" s="2" t="inlineStr">
        <is>
          <t>NSMI24110847020</t>
        </is>
      </c>
      <c r="Q2346" s="29">
        <f>MID(P2346,5,2)</f>
        <v/>
      </c>
      <c r="R2346" s="14">
        <f>MID(P2346,7,2)</f>
        <v/>
      </c>
      <c r="S2346" s="6" t="inlineStr">
        <is>
          <t>G2G</t>
        </is>
      </c>
      <c r="T2346" s="1" t="inlineStr">
        <is>
          <t>P4 - PEIPL</t>
        </is>
      </c>
      <c r="U2346" s="2" t="inlineStr">
        <is>
          <t xml:space="preserve">physically damaged </t>
        </is>
      </c>
      <c r="V2346" s="1" t="inlineStr">
        <is>
          <t>Inspection</t>
        </is>
      </c>
      <c r="W2346" s="1" t="inlineStr">
        <is>
          <t>Rejected</t>
        </is>
      </c>
      <c r="X2346" s="5">
        <f>Z2346</f>
        <v/>
      </c>
      <c r="Y2346" s="1">
        <f>X2346-A2346</f>
        <v/>
      </c>
      <c r="Z2346" s="5" t="n">
        <v>46199</v>
      </c>
      <c r="AA2346" s="3" t="n"/>
      <c r="AB2346" s="3" t="n"/>
      <c r="AE2346" s="146">
        <f>IF(AND(F2346="Closed",X2346&gt;=DATE(2026,6,1),X2346&lt;=DATE(2026,6,30)),"Closed in June","other")</f>
        <v/>
      </c>
    </row>
    <row r="2347" hidden="1">
      <c r="A2347" s="49" t="n">
        <v>46177</v>
      </c>
      <c r="B2347" s="1" t="n">
        <v>2026</v>
      </c>
      <c r="C2347" s="8" t="inlineStr">
        <is>
          <t>Ayana</t>
        </is>
      </c>
      <c r="D2347" s="11" t="inlineStr">
        <is>
          <t>Utility and C&amp;I</t>
        </is>
      </c>
      <c r="E2347" s="1" t="n"/>
      <c r="F2347" s="1" t="inlineStr">
        <is>
          <t>Closed</t>
        </is>
      </c>
      <c r="G2347" s="11" t="inlineStr">
        <is>
          <t>Vasu.N</t>
        </is>
      </c>
      <c r="H2347" s="8" t="n">
        <v>9578099893</v>
      </c>
      <c r="I2347" s="10" t="inlineStr">
        <is>
          <t>PE04062601</t>
        </is>
      </c>
      <c r="J2347" s="28" t="inlineStr">
        <is>
          <t>Module burnt</t>
        </is>
      </c>
      <c r="K2347" s="8" t="inlineStr">
        <is>
          <t>Zura</t>
        </is>
      </c>
      <c r="L2347" s="8" t="inlineStr">
        <is>
          <t>Gujarat</t>
        </is>
      </c>
      <c r="M2347" s="2" t="inlineStr">
        <is>
          <t xml:space="preserve">damage </t>
        </is>
      </c>
      <c r="N2347" s="6" t="inlineStr">
        <is>
          <t>Module Breakage</t>
        </is>
      </c>
      <c r="O2347" s="32" t="n">
        <v>590</v>
      </c>
      <c r="P2347" s="2" t="inlineStr">
        <is>
          <t>NSMI24110814990</t>
        </is>
      </c>
      <c r="Q2347" s="29">
        <f>MID(P2347,5,2)</f>
        <v/>
      </c>
      <c r="R2347" s="14">
        <f>MID(P2347,7,2)</f>
        <v/>
      </c>
      <c r="S2347" s="6" t="inlineStr">
        <is>
          <t>G2G</t>
        </is>
      </c>
      <c r="T2347" s="1" t="inlineStr">
        <is>
          <t>P4 - PEIPL</t>
        </is>
      </c>
      <c r="U2347" s="2" t="inlineStr">
        <is>
          <t xml:space="preserve">physically damaged </t>
        </is>
      </c>
      <c r="V2347" s="1" t="inlineStr">
        <is>
          <t>Inspection</t>
        </is>
      </c>
      <c r="W2347" s="1" t="inlineStr">
        <is>
          <t>Rejected</t>
        </is>
      </c>
      <c r="X2347" s="5">
        <f>Z2347</f>
        <v/>
      </c>
      <c r="Y2347" s="1">
        <f>X2347-A2347</f>
        <v/>
      </c>
      <c r="Z2347" s="5" t="n">
        <v>46199</v>
      </c>
      <c r="AA2347" s="3" t="n"/>
      <c r="AB2347" s="3" t="n"/>
      <c r="AE2347" s="146">
        <f>IF(AND(F2347="Closed",X2347&gt;=DATE(2026,6,1),X2347&lt;=DATE(2026,6,30)),"Closed in June","other")</f>
        <v/>
      </c>
    </row>
    <row r="2348" hidden="1">
      <c r="A2348" s="49" t="n">
        <v>46177</v>
      </c>
      <c r="B2348" s="1" t="n">
        <v>2026</v>
      </c>
      <c r="C2348" s="8" t="inlineStr">
        <is>
          <t>Ayana</t>
        </is>
      </c>
      <c r="D2348" s="11" t="inlineStr">
        <is>
          <t>Utility and C&amp;I</t>
        </is>
      </c>
      <c r="E2348" s="1" t="n"/>
      <c r="F2348" s="1" t="inlineStr">
        <is>
          <t>Closed</t>
        </is>
      </c>
      <c r="G2348" s="11" t="inlineStr">
        <is>
          <t>Vasu.N</t>
        </is>
      </c>
      <c r="H2348" s="8" t="n">
        <v>9578099893</v>
      </c>
      <c r="I2348" s="10" t="inlineStr">
        <is>
          <t>PE04062601</t>
        </is>
      </c>
      <c r="J2348" s="28" t="inlineStr">
        <is>
          <t>Module burnt</t>
        </is>
      </c>
      <c r="K2348" s="8" t="inlineStr">
        <is>
          <t>Zura</t>
        </is>
      </c>
      <c r="L2348" s="8" t="inlineStr">
        <is>
          <t>Gujarat</t>
        </is>
      </c>
      <c r="M2348" s="2" t="inlineStr">
        <is>
          <t xml:space="preserve">damage </t>
        </is>
      </c>
      <c r="N2348" s="6" t="inlineStr">
        <is>
          <t>Module Breakage</t>
        </is>
      </c>
      <c r="O2348" s="32" t="n">
        <v>590</v>
      </c>
      <c r="P2348" s="2" t="inlineStr">
        <is>
          <t>NSMI24110825939</t>
        </is>
      </c>
      <c r="Q2348" s="29">
        <f>MID(P2348,5,2)</f>
        <v/>
      </c>
      <c r="R2348" s="14">
        <f>MID(P2348,7,2)</f>
        <v/>
      </c>
      <c r="S2348" s="6" t="inlineStr">
        <is>
          <t>G2G</t>
        </is>
      </c>
      <c r="T2348" s="1" t="inlineStr">
        <is>
          <t>P4 - PEIPL</t>
        </is>
      </c>
      <c r="U2348" s="2" t="inlineStr">
        <is>
          <t xml:space="preserve">physically damaged </t>
        </is>
      </c>
      <c r="V2348" s="1" t="inlineStr">
        <is>
          <t>Inspection</t>
        </is>
      </c>
      <c r="W2348" s="1" t="inlineStr">
        <is>
          <t>Rejected</t>
        </is>
      </c>
      <c r="X2348" s="5">
        <f>Z2348</f>
        <v/>
      </c>
      <c r="Y2348" s="1">
        <f>X2348-A2348</f>
        <v/>
      </c>
      <c r="Z2348" s="5" t="n">
        <v>46199</v>
      </c>
      <c r="AA2348" s="3" t="n"/>
      <c r="AB2348" s="3" t="n"/>
      <c r="AE2348" s="146">
        <f>IF(AND(F2348="Closed",X2348&gt;=DATE(2026,6,1),X2348&lt;=DATE(2026,6,30)),"Closed in June","other")</f>
        <v/>
      </c>
    </row>
    <row r="2349" hidden="1">
      <c r="A2349" s="49" t="n">
        <v>46177</v>
      </c>
      <c r="B2349" s="1" t="n">
        <v>2026</v>
      </c>
      <c r="C2349" s="8" t="inlineStr">
        <is>
          <t>Ayana</t>
        </is>
      </c>
      <c r="D2349" s="11" t="inlineStr">
        <is>
          <t>Utility and C&amp;I</t>
        </is>
      </c>
      <c r="E2349" s="1" t="n"/>
      <c r="F2349" s="1" t="inlineStr">
        <is>
          <t>Closed</t>
        </is>
      </c>
      <c r="G2349" s="11" t="inlineStr">
        <is>
          <t>Vasu.N</t>
        </is>
      </c>
      <c r="H2349" s="8" t="n">
        <v>9578099893</v>
      </c>
      <c r="I2349" s="10" t="inlineStr">
        <is>
          <t>PE04062601</t>
        </is>
      </c>
      <c r="J2349" s="28" t="inlineStr">
        <is>
          <t>Module burnt</t>
        </is>
      </c>
      <c r="K2349" s="8" t="inlineStr">
        <is>
          <t>Zura</t>
        </is>
      </c>
      <c r="L2349" s="8" t="inlineStr">
        <is>
          <t>Gujarat</t>
        </is>
      </c>
      <c r="M2349" s="2" t="inlineStr">
        <is>
          <t xml:space="preserve">damage </t>
        </is>
      </c>
      <c r="N2349" s="6" t="inlineStr">
        <is>
          <t>Module Breakage</t>
        </is>
      </c>
      <c r="O2349" s="32" t="n">
        <v>590</v>
      </c>
      <c r="P2349" s="2" t="inlineStr">
        <is>
          <t>NSMI24100592873</t>
        </is>
      </c>
      <c r="Q2349" s="29">
        <f>MID(P2349,5,2)</f>
        <v/>
      </c>
      <c r="R2349" s="14">
        <f>MID(P2349,7,2)</f>
        <v/>
      </c>
      <c r="S2349" s="6" t="inlineStr">
        <is>
          <t>G2G</t>
        </is>
      </c>
      <c r="T2349" s="1" t="inlineStr">
        <is>
          <t>P4 - PEIPL</t>
        </is>
      </c>
      <c r="U2349" s="2" t="inlineStr">
        <is>
          <t xml:space="preserve">physically damaged </t>
        </is>
      </c>
      <c r="V2349" s="1" t="inlineStr">
        <is>
          <t>Inspection</t>
        </is>
      </c>
      <c r="W2349" s="1" t="inlineStr">
        <is>
          <t>Rejected</t>
        </is>
      </c>
      <c r="X2349" s="5">
        <f>Z2349</f>
        <v/>
      </c>
      <c r="Y2349" s="1">
        <f>X2349-A2349</f>
        <v/>
      </c>
      <c r="Z2349" s="5" t="n">
        <v>46199</v>
      </c>
      <c r="AA2349" s="3" t="n"/>
      <c r="AB2349" s="3" t="n"/>
      <c r="AE2349" s="146">
        <f>IF(AND(F2349="Closed",X2349&gt;=DATE(2026,6,1),X2349&lt;=DATE(2026,6,30)),"Closed in June","other")</f>
        <v/>
      </c>
    </row>
    <row r="2350" hidden="1">
      <c r="A2350" s="49" t="n">
        <v>46177</v>
      </c>
      <c r="B2350" s="1" t="n">
        <v>2026</v>
      </c>
      <c r="C2350" s="8" t="inlineStr">
        <is>
          <t>Ayana</t>
        </is>
      </c>
      <c r="D2350" s="11" t="inlineStr">
        <is>
          <t>Utility and C&amp;I</t>
        </is>
      </c>
      <c r="E2350" s="1" t="n"/>
      <c r="F2350" s="1" t="inlineStr">
        <is>
          <t>Closed</t>
        </is>
      </c>
      <c r="G2350" s="11" t="inlineStr">
        <is>
          <t>Vasu.N</t>
        </is>
      </c>
      <c r="H2350" s="8" t="n">
        <v>9578099893</v>
      </c>
      <c r="I2350" s="10" t="inlineStr">
        <is>
          <t>PE04062601</t>
        </is>
      </c>
      <c r="J2350" s="28" t="inlineStr">
        <is>
          <t>Module burnt</t>
        </is>
      </c>
      <c r="K2350" s="8" t="inlineStr">
        <is>
          <t>Zura</t>
        </is>
      </c>
      <c r="L2350" s="8" t="inlineStr">
        <is>
          <t>Gujarat</t>
        </is>
      </c>
      <c r="M2350" s="2" t="inlineStr">
        <is>
          <t xml:space="preserve">damage </t>
        </is>
      </c>
      <c r="N2350" s="6" t="inlineStr">
        <is>
          <t>Module Breakage</t>
        </is>
      </c>
      <c r="O2350" s="32" t="n">
        <v>590</v>
      </c>
      <c r="P2350" s="2" t="inlineStr">
        <is>
          <t>NSMI24110847402</t>
        </is>
      </c>
      <c r="Q2350" s="29">
        <f>MID(P2350,5,2)</f>
        <v/>
      </c>
      <c r="R2350" s="14">
        <f>MID(P2350,7,2)</f>
        <v/>
      </c>
      <c r="S2350" s="6" t="inlineStr">
        <is>
          <t>G2G</t>
        </is>
      </c>
      <c r="T2350" s="1" t="inlineStr">
        <is>
          <t>P4 - PEIPL</t>
        </is>
      </c>
      <c r="U2350" s="2" t="inlineStr">
        <is>
          <t xml:space="preserve">physically damaged </t>
        </is>
      </c>
      <c r="V2350" s="1" t="inlineStr">
        <is>
          <t>Inspection</t>
        </is>
      </c>
      <c r="W2350" s="1" t="inlineStr">
        <is>
          <t>Rejected</t>
        </is>
      </c>
      <c r="X2350" s="5">
        <f>Z2350</f>
        <v/>
      </c>
      <c r="Y2350" s="1">
        <f>X2350-A2350</f>
        <v/>
      </c>
      <c r="Z2350" s="5" t="n">
        <v>46199</v>
      </c>
      <c r="AA2350" s="3" t="n"/>
      <c r="AB2350" s="3" t="n"/>
      <c r="AE2350" s="146">
        <f>IF(AND(F2350="Closed",X2350&gt;=DATE(2026,6,1),X2350&lt;=DATE(2026,6,30)),"Closed in June","other")</f>
        <v/>
      </c>
    </row>
    <row r="2351" hidden="1">
      <c r="A2351" s="49" t="n">
        <v>46177</v>
      </c>
      <c r="B2351" s="1" t="n">
        <v>2026</v>
      </c>
      <c r="C2351" s="8" t="inlineStr">
        <is>
          <t>Ayana</t>
        </is>
      </c>
      <c r="D2351" s="11" t="inlineStr">
        <is>
          <t>Utility and C&amp;I</t>
        </is>
      </c>
      <c r="E2351" s="1" t="n"/>
      <c r="F2351" s="1" t="inlineStr">
        <is>
          <t>Closed</t>
        </is>
      </c>
      <c r="G2351" s="11" t="inlineStr">
        <is>
          <t>Vasu.N</t>
        </is>
      </c>
      <c r="H2351" s="8" t="n">
        <v>9578099893</v>
      </c>
      <c r="I2351" s="10" t="inlineStr">
        <is>
          <t>PE04062601</t>
        </is>
      </c>
      <c r="J2351" s="28" t="inlineStr">
        <is>
          <t>Module burnt</t>
        </is>
      </c>
      <c r="K2351" s="8" t="inlineStr">
        <is>
          <t>Zura</t>
        </is>
      </c>
      <c r="L2351" s="8" t="inlineStr">
        <is>
          <t>Gujarat</t>
        </is>
      </c>
      <c r="M2351" s="2" t="inlineStr">
        <is>
          <t xml:space="preserve">damage </t>
        </is>
      </c>
      <c r="N2351" s="6" t="inlineStr">
        <is>
          <t>Module Breakage</t>
        </is>
      </c>
      <c r="O2351" s="32" t="n">
        <v>590</v>
      </c>
      <c r="P2351" s="2" t="inlineStr">
        <is>
          <t>NSMI24110847403</t>
        </is>
      </c>
      <c r="Q2351" s="29">
        <f>MID(P2351,5,2)</f>
        <v/>
      </c>
      <c r="R2351" s="14">
        <f>MID(P2351,7,2)</f>
        <v/>
      </c>
      <c r="S2351" s="6" t="inlineStr">
        <is>
          <t>G2G</t>
        </is>
      </c>
      <c r="T2351" s="1" t="inlineStr">
        <is>
          <t>P4 - PEIPL</t>
        </is>
      </c>
      <c r="U2351" s="2" t="inlineStr">
        <is>
          <t xml:space="preserve">physically damaged </t>
        </is>
      </c>
      <c r="V2351" s="1" t="inlineStr">
        <is>
          <t>Inspection</t>
        </is>
      </c>
      <c r="W2351" s="1" t="inlineStr">
        <is>
          <t>Rejected</t>
        </is>
      </c>
      <c r="X2351" s="5">
        <f>Z2351</f>
        <v/>
      </c>
      <c r="Y2351" s="1">
        <f>X2351-A2351</f>
        <v/>
      </c>
      <c r="Z2351" s="5" t="n">
        <v>46199</v>
      </c>
      <c r="AA2351" s="3" t="n"/>
      <c r="AB2351" s="3" t="n"/>
      <c r="AE2351" s="146">
        <f>IF(AND(F2351="Closed",X2351&gt;=DATE(2026,6,1),X2351&lt;=DATE(2026,6,30)),"Closed in June","other")</f>
        <v/>
      </c>
    </row>
    <row r="2352" hidden="1">
      <c r="A2352" s="49" t="n">
        <v>46177</v>
      </c>
      <c r="B2352" s="1" t="n">
        <v>2026</v>
      </c>
      <c r="C2352" s="8" t="inlineStr">
        <is>
          <t>Ayana</t>
        </is>
      </c>
      <c r="D2352" s="11" t="inlineStr">
        <is>
          <t>Utility and C&amp;I</t>
        </is>
      </c>
      <c r="E2352" s="1" t="n"/>
      <c r="F2352" s="1" t="inlineStr">
        <is>
          <t>Closed</t>
        </is>
      </c>
      <c r="G2352" s="11" t="inlineStr">
        <is>
          <t>Vasu.N</t>
        </is>
      </c>
      <c r="H2352" s="8" t="n">
        <v>9578099893</v>
      </c>
      <c r="I2352" s="10" t="inlineStr">
        <is>
          <t>PE04062601</t>
        </is>
      </c>
      <c r="J2352" s="28" t="inlineStr">
        <is>
          <t>Module burnt</t>
        </is>
      </c>
      <c r="K2352" s="8" t="inlineStr">
        <is>
          <t>Zura</t>
        </is>
      </c>
      <c r="L2352" s="8" t="inlineStr">
        <is>
          <t>Gujarat</t>
        </is>
      </c>
      <c r="M2352" s="2" t="inlineStr">
        <is>
          <t xml:space="preserve">damage </t>
        </is>
      </c>
      <c r="N2352" s="6" t="inlineStr">
        <is>
          <t>Module Breakage</t>
        </is>
      </c>
      <c r="O2352" s="32" t="n">
        <v>590</v>
      </c>
      <c r="P2352" s="2" t="inlineStr">
        <is>
          <t>NSMI24110847410</t>
        </is>
      </c>
      <c r="Q2352" s="29">
        <f>MID(P2352,5,2)</f>
        <v/>
      </c>
      <c r="R2352" s="14">
        <f>MID(P2352,7,2)</f>
        <v/>
      </c>
      <c r="S2352" s="6" t="inlineStr">
        <is>
          <t>G2G</t>
        </is>
      </c>
      <c r="T2352" s="1" t="inlineStr">
        <is>
          <t>P4 - PEIPL</t>
        </is>
      </c>
      <c r="U2352" s="2" t="inlineStr">
        <is>
          <t xml:space="preserve">physically damaged </t>
        </is>
      </c>
      <c r="V2352" s="1" t="inlineStr">
        <is>
          <t>Inspection</t>
        </is>
      </c>
      <c r="W2352" s="1" t="inlineStr">
        <is>
          <t>Rejected</t>
        </is>
      </c>
      <c r="X2352" s="5">
        <f>Z2352</f>
        <v/>
      </c>
      <c r="Y2352" s="1">
        <f>X2352-A2352</f>
        <v/>
      </c>
      <c r="Z2352" s="5" t="n">
        <v>46199</v>
      </c>
      <c r="AA2352" s="3" t="n"/>
      <c r="AB2352" s="3" t="n"/>
      <c r="AE2352" s="146">
        <f>IF(AND(F2352="Closed",X2352&gt;=DATE(2026,6,1),X2352&lt;=DATE(2026,6,30)),"Closed in June","other")</f>
        <v/>
      </c>
    </row>
    <row r="2353" hidden="1">
      <c r="A2353" s="49" t="n">
        <v>46177</v>
      </c>
      <c r="B2353" s="1" t="n">
        <v>2026</v>
      </c>
      <c r="C2353" s="8" t="inlineStr">
        <is>
          <t>Ayana</t>
        </is>
      </c>
      <c r="D2353" s="11" t="inlineStr">
        <is>
          <t>Utility and C&amp;I</t>
        </is>
      </c>
      <c r="E2353" s="1" t="n"/>
      <c r="F2353" s="1" t="inlineStr">
        <is>
          <t>Closed</t>
        </is>
      </c>
      <c r="G2353" s="11" t="inlineStr">
        <is>
          <t>Vasu.N</t>
        </is>
      </c>
      <c r="H2353" s="8" t="n">
        <v>9578099893</v>
      </c>
      <c r="I2353" s="10" t="inlineStr">
        <is>
          <t>PE04062601</t>
        </is>
      </c>
      <c r="J2353" s="28" t="inlineStr">
        <is>
          <t>Module burnt</t>
        </is>
      </c>
      <c r="K2353" s="8" t="inlineStr">
        <is>
          <t>Zura</t>
        </is>
      </c>
      <c r="L2353" s="8" t="inlineStr">
        <is>
          <t>Gujarat</t>
        </is>
      </c>
      <c r="M2353" s="2" t="inlineStr">
        <is>
          <t xml:space="preserve">damage </t>
        </is>
      </c>
      <c r="N2353" s="6" t="inlineStr">
        <is>
          <t>Module Breakage</t>
        </is>
      </c>
      <c r="O2353" s="32" t="n">
        <v>590</v>
      </c>
      <c r="P2353" s="2" t="inlineStr">
        <is>
          <t>NSMI24110847406</t>
        </is>
      </c>
      <c r="Q2353" s="29">
        <f>MID(P2353,5,2)</f>
        <v/>
      </c>
      <c r="R2353" s="14">
        <f>MID(P2353,7,2)</f>
        <v/>
      </c>
      <c r="S2353" s="6" t="inlineStr">
        <is>
          <t>G2G</t>
        </is>
      </c>
      <c r="T2353" s="1" t="inlineStr">
        <is>
          <t>P4 - PEIPL</t>
        </is>
      </c>
      <c r="U2353" s="2" t="inlineStr">
        <is>
          <t xml:space="preserve">physically damaged </t>
        </is>
      </c>
      <c r="V2353" s="1" t="inlineStr">
        <is>
          <t>Inspection</t>
        </is>
      </c>
      <c r="W2353" s="1" t="inlineStr">
        <is>
          <t>Rejected</t>
        </is>
      </c>
      <c r="X2353" s="5">
        <f>Z2353</f>
        <v/>
      </c>
      <c r="Y2353" s="1">
        <f>X2353-A2353</f>
        <v/>
      </c>
      <c r="Z2353" s="5" t="n">
        <v>46199</v>
      </c>
      <c r="AA2353" s="3" t="n"/>
      <c r="AB2353" s="3" t="n"/>
      <c r="AE2353" s="146">
        <f>IF(AND(F2353="Closed",X2353&gt;=DATE(2026,6,1),X2353&lt;=DATE(2026,6,30)),"Closed in June","other")</f>
        <v/>
      </c>
    </row>
    <row r="2354" hidden="1">
      <c r="A2354" s="49" t="n">
        <v>46177</v>
      </c>
      <c r="B2354" s="1" t="n">
        <v>2026</v>
      </c>
      <c r="C2354" s="8" t="inlineStr">
        <is>
          <t>Ayana</t>
        </is>
      </c>
      <c r="D2354" s="11" t="inlineStr">
        <is>
          <t>Utility and C&amp;I</t>
        </is>
      </c>
      <c r="E2354" s="1" t="n"/>
      <c r="F2354" s="1" t="inlineStr">
        <is>
          <t>Closed</t>
        </is>
      </c>
      <c r="G2354" s="11" t="inlineStr">
        <is>
          <t>Vasu.N</t>
        </is>
      </c>
      <c r="H2354" s="8" t="n">
        <v>9578099893</v>
      </c>
      <c r="I2354" s="10" t="inlineStr">
        <is>
          <t>PE04062601</t>
        </is>
      </c>
      <c r="J2354" s="28" t="inlineStr">
        <is>
          <t>Module burnt</t>
        </is>
      </c>
      <c r="K2354" s="8" t="inlineStr">
        <is>
          <t>Zura</t>
        </is>
      </c>
      <c r="L2354" s="8" t="inlineStr">
        <is>
          <t>Gujarat</t>
        </is>
      </c>
      <c r="M2354" s="2" t="inlineStr">
        <is>
          <t xml:space="preserve">damage </t>
        </is>
      </c>
      <c r="N2354" s="6" t="inlineStr">
        <is>
          <t>Module Breakage</t>
        </is>
      </c>
      <c r="O2354" s="32" t="n">
        <v>590</v>
      </c>
      <c r="P2354" s="2" t="inlineStr">
        <is>
          <t>NSMI24110834255</t>
        </is>
      </c>
      <c r="Q2354" s="29">
        <f>MID(P2354,5,2)</f>
        <v/>
      </c>
      <c r="R2354" s="14">
        <f>MID(P2354,7,2)</f>
        <v/>
      </c>
      <c r="S2354" s="6" t="inlineStr">
        <is>
          <t>G2G</t>
        </is>
      </c>
      <c r="T2354" s="1" t="inlineStr">
        <is>
          <t>P4 - PEIPL</t>
        </is>
      </c>
      <c r="U2354" s="2" t="inlineStr">
        <is>
          <t xml:space="preserve">physically damaged </t>
        </is>
      </c>
      <c r="V2354" s="1" t="inlineStr">
        <is>
          <t>Inspection</t>
        </is>
      </c>
      <c r="W2354" s="1" t="inlineStr">
        <is>
          <t>Rejected</t>
        </is>
      </c>
      <c r="X2354" s="5">
        <f>Z2354</f>
        <v/>
      </c>
      <c r="Y2354" s="1">
        <f>X2354-A2354</f>
        <v/>
      </c>
      <c r="Z2354" s="5" t="n">
        <v>46199</v>
      </c>
      <c r="AA2354" s="3" t="n"/>
      <c r="AB2354" s="3" t="n"/>
      <c r="AE2354" s="146">
        <f>IF(AND(F2354="Closed",X2354&gt;=DATE(2026,6,1),X2354&lt;=DATE(2026,6,30)),"Closed in June","other")</f>
        <v/>
      </c>
    </row>
    <row r="2355" hidden="1">
      <c r="A2355" s="49" t="n">
        <v>46177</v>
      </c>
      <c r="B2355" s="1" t="n">
        <v>2026</v>
      </c>
      <c r="C2355" s="8" t="inlineStr">
        <is>
          <t>Ayana</t>
        </is>
      </c>
      <c r="D2355" s="11" t="inlineStr">
        <is>
          <t>Utility and C&amp;I</t>
        </is>
      </c>
      <c r="E2355" s="1" t="n"/>
      <c r="F2355" s="1" t="inlineStr">
        <is>
          <t>Closed</t>
        </is>
      </c>
      <c r="G2355" s="11" t="inlineStr">
        <is>
          <t>Vasu.N</t>
        </is>
      </c>
      <c r="H2355" s="8" t="n">
        <v>9578099893</v>
      </c>
      <c r="I2355" s="10" t="inlineStr">
        <is>
          <t>PE04062601</t>
        </is>
      </c>
      <c r="J2355" s="28" t="inlineStr">
        <is>
          <t>Module burnt</t>
        </is>
      </c>
      <c r="K2355" s="8" t="inlineStr">
        <is>
          <t>Zura</t>
        </is>
      </c>
      <c r="L2355" s="8" t="inlineStr">
        <is>
          <t>Gujarat</t>
        </is>
      </c>
      <c r="M2355" s="2" t="inlineStr">
        <is>
          <t xml:space="preserve">damage </t>
        </is>
      </c>
      <c r="N2355" s="6" t="inlineStr">
        <is>
          <t>Module Breakage</t>
        </is>
      </c>
      <c r="O2355" s="32" t="n">
        <v>590</v>
      </c>
      <c r="P2355" s="2" t="inlineStr">
        <is>
          <t>NSMI24100626558</t>
        </is>
      </c>
      <c r="Q2355" s="29">
        <f>MID(P2355,5,2)</f>
        <v/>
      </c>
      <c r="R2355" s="14">
        <f>MID(P2355,7,2)</f>
        <v/>
      </c>
      <c r="S2355" s="6" t="inlineStr">
        <is>
          <t>G2G</t>
        </is>
      </c>
      <c r="T2355" s="1" t="inlineStr">
        <is>
          <t>P4 - PEIPL</t>
        </is>
      </c>
      <c r="U2355" s="2" t="inlineStr">
        <is>
          <t xml:space="preserve">physically damaged </t>
        </is>
      </c>
      <c r="V2355" s="1" t="inlineStr">
        <is>
          <t>Inspection</t>
        </is>
      </c>
      <c r="W2355" s="1" t="inlineStr">
        <is>
          <t>Rejected</t>
        </is>
      </c>
      <c r="X2355" s="5">
        <f>Z2355</f>
        <v/>
      </c>
      <c r="Y2355" s="1">
        <f>X2355-A2355</f>
        <v/>
      </c>
      <c r="Z2355" s="5" t="n">
        <v>46199</v>
      </c>
      <c r="AA2355" s="3" t="n"/>
      <c r="AB2355" s="3" t="n"/>
      <c r="AE2355" s="146">
        <f>IF(AND(F2355="Closed",X2355&gt;=DATE(2026,6,1),X2355&lt;=DATE(2026,6,30)),"Closed in June","other")</f>
        <v/>
      </c>
    </row>
    <row r="2356" hidden="1">
      <c r="A2356" s="49" t="n">
        <v>46177</v>
      </c>
      <c r="B2356" s="1" t="n">
        <v>2026</v>
      </c>
      <c r="C2356" s="8" t="inlineStr">
        <is>
          <t>Ayana</t>
        </is>
      </c>
      <c r="D2356" s="11" t="inlineStr">
        <is>
          <t>Utility and C&amp;I</t>
        </is>
      </c>
      <c r="E2356" s="1" t="n"/>
      <c r="F2356" s="1" t="inlineStr">
        <is>
          <t>Closed</t>
        </is>
      </c>
      <c r="G2356" s="11" t="inlineStr">
        <is>
          <t>Vasu.N</t>
        </is>
      </c>
      <c r="H2356" s="8" t="n">
        <v>9578099893</v>
      </c>
      <c r="I2356" s="10" t="inlineStr">
        <is>
          <t>PE04062601</t>
        </is>
      </c>
      <c r="J2356" s="28" t="inlineStr">
        <is>
          <t>Module burnt</t>
        </is>
      </c>
      <c r="K2356" s="8" t="inlineStr">
        <is>
          <t>Zura</t>
        </is>
      </c>
      <c r="L2356" s="8" t="inlineStr">
        <is>
          <t>Gujarat</t>
        </is>
      </c>
      <c r="M2356" s="2" t="inlineStr">
        <is>
          <t xml:space="preserve">damage </t>
        </is>
      </c>
      <c r="N2356" s="6" t="inlineStr">
        <is>
          <t>Module Breakage</t>
        </is>
      </c>
      <c r="O2356" s="32" t="n">
        <v>590</v>
      </c>
      <c r="P2356" s="2" t="inlineStr">
        <is>
          <t>NSMI24100626593</t>
        </is>
      </c>
      <c r="Q2356" s="29">
        <f>MID(P2356,5,2)</f>
        <v/>
      </c>
      <c r="R2356" s="14">
        <f>MID(P2356,7,2)</f>
        <v/>
      </c>
      <c r="S2356" s="6" t="inlineStr">
        <is>
          <t>G2G</t>
        </is>
      </c>
      <c r="T2356" s="1" t="inlineStr">
        <is>
          <t>P4 - PEIPL</t>
        </is>
      </c>
      <c r="U2356" s="2" t="inlineStr">
        <is>
          <t xml:space="preserve">physically damaged </t>
        </is>
      </c>
      <c r="V2356" s="1" t="inlineStr">
        <is>
          <t>Inspection</t>
        </is>
      </c>
      <c r="W2356" s="1" t="inlineStr">
        <is>
          <t>Rejected</t>
        </is>
      </c>
      <c r="X2356" s="5">
        <f>Z2356</f>
        <v/>
      </c>
      <c r="Y2356" s="1">
        <f>X2356-A2356</f>
        <v/>
      </c>
      <c r="Z2356" s="5" t="n">
        <v>46199</v>
      </c>
      <c r="AA2356" s="3" t="n"/>
      <c r="AB2356" s="3" t="n"/>
      <c r="AE2356" s="146">
        <f>IF(AND(F2356="Closed",X2356&gt;=DATE(2026,6,1),X2356&lt;=DATE(2026,6,30)),"Closed in June","other")</f>
        <v/>
      </c>
    </row>
    <row r="2357" hidden="1">
      <c r="A2357" s="49" t="n">
        <v>46177</v>
      </c>
      <c r="B2357" s="1" t="n">
        <v>2026</v>
      </c>
      <c r="C2357" s="8" t="inlineStr">
        <is>
          <t>Ayana</t>
        </is>
      </c>
      <c r="D2357" s="11" t="inlineStr">
        <is>
          <t>Utility and C&amp;I</t>
        </is>
      </c>
      <c r="E2357" s="1" t="n"/>
      <c r="F2357" s="1" t="inlineStr">
        <is>
          <t>Closed</t>
        </is>
      </c>
      <c r="G2357" s="11" t="inlineStr">
        <is>
          <t>Vasu.N</t>
        </is>
      </c>
      <c r="H2357" s="8" t="n">
        <v>9578099893</v>
      </c>
      <c r="I2357" s="10" t="inlineStr">
        <is>
          <t>PE04062601</t>
        </is>
      </c>
      <c r="J2357" s="28" t="inlineStr">
        <is>
          <t>Module burnt</t>
        </is>
      </c>
      <c r="K2357" s="8" t="inlineStr">
        <is>
          <t>Zura</t>
        </is>
      </c>
      <c r="L2357" s="8" t="inlineStr">
        <is>
          <t>Gujarat</t>
        </is>
      </c>
      <c r="M2357" s="2" t="inlineStr">
        <is>
          <t xml:space="preserve">damage </t>
        </is>
      </c>
      <c r="N2357" s="6" t="inlineStr">
        <is>
          <t>Module Breakage</t>
        </is>
      </c>
      <c r="O2357" s="32" t="n">
        <v>590</v>
      </c>
      <c r="P2357" s="2" t="inlineStr">
        <is>
          <t>NSMI24110791371</t>
        </is>
      </c>
      <c r="Q2357" s="29">
        <f>MID(P2357,5,2)</f>
        <v/>
      </c>
      <c r="R2357" s="14">
        <f>MID(P2357,7,2)</f>
        <v/>
      </c>
      <c r="S2357" s="6" t="inlineStr">
        <is>
          <t>G2G</t>
        </is>
      </c>
      <c r="T2357" s="1" t="inlineStr">
        <is>
          <t>P4 - PEIPL</t>
        </is>
      </c>
      <c r="U2357" s="2" t="inlineStr">
        <is>
          <t xml:space="preserve">physically damaged </t>
        </is>
      </c>
      <c r="V2357" s="1" t="inlineStr">
        <is>
          <t>Inspection</t>
        </is>
      </c>
      <c r="W2357" s="1" t="inlineStr">
        <is>
          <t>Rejected</t>
        </is>
      </c>
      <c r="X2357" s="5">
        <f>Z2357</f>
        <v/>
      </c>
      <c r="Y2357" s="1">
        <f>X2357-A2357</f>
        <v/>
      </c>
      <c r="Z2357" s="5" t="n">
        <v>46199</v>
      </c>
      <c r="AA2357" s="3" t="n"/>
      <c r="AB2357" s="3" t="n"/>
      <c r="AE2357" s="146">
        <f>IF(AND(F2357="Closed",X2357&gt;=DATE(2026,6,1),X2357&lt;=DATE(2026,6,30)),"Closed in June","other")</f>
        <v/>
      </c>
    </row>
    <row r="2358" hidden="1">
      <c r="A2358" s="49" t="n">
        <v>46177</v>
      </c>
      <c r="B2358" s="1" t="n">
        <v>2026</v>
      </c>
      <c r="C2358" s="8" t="inlineStr">
        <is>
          <t>Ayana</t>
        </is>
      </c>
      <c r="D2358" s="11" t="inlineStr">
        <is>
          <t>Utility and C&amp;I</t>
        </is>
      </c>
      <c r="E2358" s="1" t="n"/>
      <c r="F2358" s="1" t="inlineStr">
        <is>
          <t>Closed</t>
        </is>
      </c>
      <c r="G2358" s="11" t="inlineStr">
        <is>
          <t>Vasu.N</t>
        </is>
      </c>
      <c r="H2358" s="8" t="n">
        <v>9578099893</v>
      </c>
      <c r="I2358" s="10" t="inlineStr">
        <is>
          <t>PE04062601</t>
        </is>
      </c>
      <c r="J2358" s="28" t="inlineStr">
        <is>
          <t>Module burnt</t>
        </is>
      </c>
      <c r="K2358" s="8" t="inlineStr">
        <is>
          <t>Zura</t>
        </is>
      </c>
      <c r="L2358" s="8" t="inlineStr">
        <is>
          <t>Gujarat</t>
        </is>
      </c>
      <c r="M2358" s="2" t="inlineStr">
        <is>
          <t xml:space="preserve">damage </t>
        </is>
      </c>
      <c r="N2358" s="6" t="inlineStr">
        <is>
          <t>Module Breakage</t>
        </is>
      </c>
      <c r="O2358" s="32" t="n">
        <v>590</v>
      </c>
      <c r="P2358" s="2" t="inlineStr">
        <is>
          <t>NSMI24110848147</t>
        </is>
      </c>
      <c r="Q2358" s="29">
        <f>MID(P2358,5,2)</f>
        <v/>
      </c>
      <c r="R2358" s="14">
        <f>MID(P2358,7,2)</f>
        <v/>
      </c>
      <c r="S2358" s="6" t="inlineStr">
        <is>
          <t>G2G</t>
        </is>
      </c>
      <c r="T2358" s="1" t="inlineStr">
        <is>
          <t>P4 - PEIPL</t>
        </is>
      </c>
      <c r="U2358" s="2" t="inlineStr">
        <is>
          <t xml:space="preserve">physically damaged </t>
        </is>
      </c>
      <c r="V2358" s="1" t="inlineStr">
        <is>
          <t>Inspection</t>
        </is>
      </c>
      <c r="W2358" s="1" t="inlineStr">
        <is>
          <t>Rejected</t>
        </is>
      </c>
      <c r="X2358" s="5">
        <f>Z2358</f>
        <v/>
      </c>
      <c r="Y2358" s="1">
        <f>X2358-A2358</f>
        <v/>
      </c>
      <c r="Z2358" s="5" t="n">
        <v>46199</v>
      </c>
      <c r="AA2358" s="3" t="n"/>
      <c r="AB2358" s="3" t="n"/>
      <c r="AE2358" s="146">
        <f>IF(AND(F2358="Closed",X2358&gt;=DATE(2026,6,1),X2358&lt;=DATE(2026,6,30)),"Closed in June","other")</f>
        <v/>
      </c>
    </row>
    <row r="2359" hidden="1">
      <c r="A2359" s="49" t="n">
        <v>46177</v>
      </c>
      <c r="B2359" s="1" t="n">
        <v>2026</v>
      </c>
      <c r="C2359" s="8" t="inlineStr">
        <is>
          <t>Ayana</t>
        </is>
      </c>
      <c r="D2359" s="11" t="inlineStr">
        <is>
          <t>Utility and C&amp;I</t>
        </is>
      </c>
      <c r="E2359" s="1" t="n"/>
      <c r="F2359" s="1" t="inlineStr">
        <is>
          <t>Closed</t>
        </is>
      </c>
      <c r="G2359" s="11" t="inlineStr">
        <is>
          <t>Vasu.N</t>
        </is>
      </c>
      <c r="H2359" s="8" t="n">
        <v>9578099893</v>
      </c>
      <c r="I2359" s="10" t="inlineStr">
        <is>
          <t>PE04062601</t>
        </is>
      </c>
      <c r="J2359" s="28" t="inlineStr">
        <is>
          <t>Module burnt</t>
        </is>
      </c>
      <c r="K2359" s="8" t="inlineStr">
        <is>
          <t>Zura</t>
        </is>
      </c>
      <c r="L2359" s="8" t="inlineStr">
        <is>
          <t>Gujarat</t>
        </is>
      </c>
      <c r="M2359" s="2" t="inlineStr">
        <is>
          <t xml:space="preserve">damage </t>
        </is>
      </c>
      <c r="N2359" s="6" t="inlineStr">
        <is>
          <t>Module Breakage</t>
        </is>
      </c>
      <c r="O2359" s="32" t="n">
        <v>590</v>
      </c>
      <c r="P2359" s="2" t="inlineStr">
        <is>
          <t>NSMI24110826322</t>
        </is>
      </c>
      <c r="Q2359" s="29">
        <f>MID(P2359,5,2)</f>
        <v/>
      </c>
      <c r="R2359" s="14">
        <f>MID(P2359,7,2)</f>
        <v/>
      </c>
      <c r="S2359" s="6" t="inlineStr">
        <is>
          <t>G2G</t>
        </is>
      </c>
      <c r="T2359" s="1" t="inlineStr">
        <is>
          <t>P4 - PEIPL</t>
        </is>
      </c>
      <c r="U2359" s="2" t="inlineStr">
        <is>
          <t xml:space="preserve">physically damaged </t>
        </is>
      </c>
      <c r="V2359" s="1" t="inlineStr">
        <is>
          <t>Inspection</t>
        </is>
      </c>
      <c r="W2359" s="1" t="inlineStr">
        <is>
          <t>Rejected</t>
        </is>
      </c>
      <c r="X2359" s="5">
        <f>Z2359</f>
        <v/>
      </c>
      <c r="Y2359" s="1">
        <f>X2359-A2359</f>
        <v/>
      </c>
      <c r="Z2359" s="5" t="n">
        <v>46199</v>
      </c>
      <c r="AA2359" s="3" t="n"/>
      <c r="AB2359" s="3" t="n"/>
      <c r="AE2359" s="146">
        <f>IF(AND(F2359="Closed",X2359&gt;=DATE(2026,6,1),X2359&lt;=DATE(2026,6,30)),"Closed in June","other")</f>
        <v/>
      </c>
    </row>
    <row r="2360" hidden="1">
      <c r="A2360" s="49" t="n">
        <v>46177</v>
      </c>
      <c r="B2360" s="1" t="n">
        <v>2026</v>
      </c>
      <c r="C2360" s="8" t="inlineStr">
        <is>
          <t>Ayana</t>
        </is>
      </c>
      <c r="D2360" s="11" t="inlineStr">
        <is>
          <t>Utility and C&amp;I</t>
        </is>
      </c>
      <c r="E2360" s="1" t="n"/>
      <c r="F2360" s="1" t="inlineStr">
        <is>
          <t>Closed</t>
        </is>
      </c>
      <c r="G2360" s="11" t="inlineStr">
        <is>
          <t>Vasu.N</t>
        </is>
      </c>
      <c r="H2360" s="8" t="n">
        <v>9578099893</v>
      </c>
      <c r="I2360" s="10" t="inlineStr">
        <is>
          <t>PE04062601</t>
        </is>
      </c>
      <c r="J2360" s="28" t="inlineStr">
        <is>
          <t>Module burnt</t>
        </is>
      </c>
      <c r="K2360" s="8" t="inlineStr">
        <is>
          <t>Zura</t>
        </is>
      </c>
      <c r="L2360" s="8" t="inlineStr">
        <is>
          <t>Gujarat</t>
        </is>
      </c>
      <c r="M2360" s="2" t="inlineStr">
        <is>
          <t xml:space="preserve">damage </t>
        </is>
      </c>
      <c r="N2360" s="6" t="inlineStr">
        <is>
          <t>Module Breakage</t>
        </is>
      </c>
      <c r="O2360" s="32" t="n">
        <v>590</v>
      </c>
      <c r="P2360" s="2" t="inlineStr">
        <is>
          <t>NSMI24110826334</t>
        </is>
      </c>
      <c r="Q2360" s="29">
        <f>MID(P2360,5,2)</f>
        <v/>
      </c>
      <c r="R2360" s="14">
        <f>MID(P2360,7,2)</f>
        <v/>
      </c>
      <c r="S2360" s="6" t="inlineStr">
        <is>
          <t>G2G</t>
        </is>
      </c>
      <c r="T2360" s="1" t="inlineStr">
        <is>
          <t>P4 - PEIPL</t>
        </is>
      </c>
      <c r="U2360" s="2" t="inlineStr">
        <is>
          <t xml:space="preserve">physically damaged </t>
        </is>
      </c>
      <c r="V2360" s="1" t="inlineStr">
        <is>
          <t>Inspection</t>
        </is>
      </c>
      <c r="W2360" s="1" t="inlineStr">
        <is>
          <t>Rejected</t>
        </is>
      </c>
      <c r="X2360" s="5">
        <f>Z2360</f>
        <v/>
      </c>
      <c r="Y2360" s="1">
        <f>X2360-A2360</f>
        <v/>
      </c>
      <c r="Z2360" s="5" t="n">
        <v>46199</v>
      </c>
      <c r="AA2360" s="3" t="n"/>
      <c r="AB2360" s="3" t="n"/>
      <c r="AE2360" s="146">
        <f>IF(AND(F2360="Closed",X2360&gt;=DATE(2026,6,1),X2360&lt;=DATE(2026,6,30)),"Closed in June","other")</f>
        <v/>
      </c>
    </row>
    <row r="2361" hidden="1">
      <c r="A2361" s="49" t="n">
        <v>46177</v>
      </c>
      <c r="B2361" s="1" t="n">
        <v>2026</v>
      </c>
      <c r="C2361" s="8" t="inlineStr">
        <is>
          <t>Ayana</t>
        </is>
      </c>
      <c r="D2361" s="11" t="inlineStr">
        <is>
          <t>Utility and C&amp;I</t>
        </is>
      </c>
      <c r="E2361" s="1" t="n"/>
      <c r="F2361" s="1" t="inlineStr">
        <is>
          <t>Closed</t>
        </is>
      </c>
      <c r="G2361" s="11" t="inlineStr">
        <is>
          <t>Vasu.N</t>
        </is>
      </c>
      <c r="H2361" s="8" t="n">
        <v>9578099893</v>
      </c>
      <c r="I2361" s="10" t="inlineStr">
        <is>
          <t>PE04062601</t>
        </is>
      </c>
      <c r="J2361" s="28" t="inlineStr">
        <is>
          <t>Module burnt</t>
        </is>
      </c>
      <c r="K2361" s="8" t="inlineStr">
        <is>
          <t>Zura</t>
        </is>
      </c>
      <c r="L2361" s="8" t="inlineStr">
        <is>
          <t>Gujarat</t>
        </is>
      </c>
      <c r="M2361" s="2" t="inlineStr">
        <is>
          <t xml:space="preserve">damage </t>
        </is>
      </c>
      <c r="N2361" s="6" t="inlineStr">
        <is>
          <t>Module Breakage</t>
        </is>
      </c>
      <c r="O2361" s="32" t="n">
        <v>590</v>
      </c>
      <c r="P2361" s="2" t="inlineStr">
        <is>
          <t>NSMI24100634373</t>
        </is>
      </c>
      <c r="Q2361" s="29">
        <f>MID(P2361,5,2)</f>
        <v/>
      </c>
      <c r="R2361" s="14">
        <f>MID(P2361,7,2)</f>
        <v/>
      </c>
      <c r="S2361" s="6" t="inlineStr">
        <is>
          <t>G2G</t>
        </is>
      </c>
      <c r="T2361" s="1" t="inlineStr">
        <is>
          <t>P4 - PEIPL</t>
        </is>
      </c>
      <c r="U2361" s="2" t="inlineStr">
        <is>
          <t xml:space="preserve">physically damaged </t>
        </is>
      </c>
      <c r="V2361" s="1" t="inlineStr">
        <is>
          <t>Inspection</t>
        </is>
      </c>
      <c r="W2361" s="1" t="inlineStr">
        <is>
          <t>Rejected</t>
        </is>
      </c>
      <c r="X2361" s="5">
        <f>Z2361</f>
        <v/>
      </c>
      <c r="Y2361" s="1">
        <f>X2361-A2361</f>
        <v/>
      </c>
      <c r="Z2361" s="5" t="n">
        <v>46199</v>
      </c>
      <c r="AA2361" s="3" t="n"/>
      <c r="AB2361" s="3" t="n"/>
      <c r="AE2361" s="146">
        <f>IF(AND(F2361="Closed",X2361&gt;=DATE(2026,6,1),X2361&lt;=DATE(2026,6,30)),"Closed in June","other")</f>
        <v/>
      </c>
    </row>
    <row r="2362" hidden="1">
      <c r="A2362" s="49" t="n">
        <v>46177</v>
      </c>
      <c r="B2362" s="1" t="n">
        <v>2026</v>
      </c>
      <c r="C2362" s="8" t="inlineStr">
        <is>
          <t>Ayana</t>
        </is>
      </c>
      <c r="D2362" s="11" t="inlineStr">
        <is>
          <t>Utility and C&amp;I</t>
        </is>
      </c>
      <c r="E2362" s="1" t="n"/>
      <c r="F2362" s="1" t="inlineStr">
        <is>
          <t>Closed</t>
        </is>
      </c>
      <c r="G2362" s="11" t="inlineStr">
        <is>
          <t>Vasu.N</t>
        </is>
      </c>
      <c r="H2362" s="8" t="n">
        <v>9578099893</v>
      </c>
      <c r="I2362" s="10" t="inlineStr">
        <is>
          <t>PE04062601</t>
        </is>
      </c>
      <c r="J2362" s="28" t="inlineStr">
        <is>
          <t>Module burnt</t>
        </is>
      </c>
      <c r="K2362" s="8" t="inlineStr">
        <is>
          <t>Zura</t>
        </is>
      </c>
      <c r="L2362" s="8" t="inlineStr">
        <is>
          <t>Gujarat</t>
        </is>
      </c>
      <c r="M2362" s="2" t="inlineStr">
        <is>
          <t xml:space="preserve">damage </t>
        </is>
      </c>
      <c r="N2362" s="6" t="inlineStr">
        <is>
          <t>Module Breakage</t>
        </is>
      </c>
      <c r="O2362" s="32" t="n">
        <v>590</v>
      </c>
      <c r="P2362" s="2" t="inlineStr">
        <is>
          <t>NSMI24110824840</t>
        </is>
      </c>
      <c r="Q2362" s="29">
        <f>MID(P2362,5,2)</f>
        <v/>
      </c>
      <c r="R2362" s="14">
        <f>MID(P2362,7,2)</f>
        <v/>
      </c>
      <c r="S2362" s="6" t="inlineStr">
        <is>
          <t>G2G</t>
        </is>
      </c>
      <c r="T2362" s="1" t="inlineStr">
        <is>
          <t>P4 - PEIPL</t>
        </is>
      </c>
      <c r="U2362" s="2" t="inlineStr">
        <is>
          <t xml:space="preserve">physically damaged </t>
        </is>
      </c>
      <c r="V2362" s="1" t="inlineStr">
        <is>
          <t>Inspection</t>
        </is>
      </c>
      <c r="W2362" s="1" t="inlineStr">
        <is>
          <t>Rejected</t>
        </is>
      </c>
      <c r="X2362" s="5">
        <f>Z2362</f>
        <v/>
      </c>
      <c r="Y2362" s="1">
        <f>X2362-A2362</f>
        <v/>
      </c>
      <c r="Z2362" s="5" t="n">
        <v>46199</v>
      </c>
      <c r="AA2362" s="3" t="n"/>
      <c r="AB2362" s="3" t="n"/>
      <c r="AE2362" s="146">
        <f>IF(AND(F2362="Closed",X2362&gt;=DATE(2026,6,1),X2362&lt;=DATE(2026,6,30)),"Closed in June","other")</f>
        <v/>
      </c>
    </row>
    <row r="2363" hidden="1">
      <c r="A2363" s="49" t="n">
        <v>46177</v>
      </c>
      <c r="B2363" s="1" t="n">
        <v>2026</v>
      </c>
      <c r="C2363" s="8" t="inlineStr">
        <is>
          <t>Ayana</t>
        </is>
      </c>
      <c r="D2363" s="11" t="inlineStr">
        <is>
          <t>Utility and C&amp;I</t>
        </is>
      </c>
      <c r="E2363" s="1" t="n"/>
      <c r="F2363" s="1" t="inlineStr">
        <is>
          <t>Closed</t>
        </is>
      </c>
      <c r="G2363" s="11" t="inlineStr">
        <is>
          <t>Vasu.N</t>
        </is>
      </c>
      <c r="H2363" s="8" t="n">
        <v>9578099893</v>
      </c>
      <c r="I2363" s="10" t="inlineStr">
        <is>
          <t>PE04062601</t>
        </is>
      </c>
      <c r="J2363" s="28" t="inlineStr">
        <is>
          <t>Module burnt</t>
        </is>
      </c>
      <c r="K2363" s="8" t="inlineStr">
        <is>
          <t>Zura</t>
        </is>
      </c>
      <c r="L2363" s="8" t="inlineStr">
        <is>
          <t>Gujarat</t>
        </is>
      </c>
      <c r="M2363" s="2" t="inlineStr">
        <is>
          <t xml:space="preserve">damage </t>
        </is>
      </c>
      <c r="N2363" s="6" t="inlineStr">
        <is>
          <t>Module Breakage</t>
        </is>
      </c>
      <c r="O2363" s="32" t="n">
        <v>590</v>
      </c>
      <c r="P2363" s="2" t="inlineStr">
        <is>
          <t>NSMI24110824591</t>
        </is>
      </c>
      <c r="Q2363" s="29">
        <f>MID(P2363,5,2)</f>
        <v/>
      </c>
      <c r="R2363" s="14">
        <f>MID(P2363,7,2)</f>
        <v/>
      </c>
      <c r="S2363" s="6" t="inlineStr">
        <is>
          <t>G2G</t>
        </is>
      </c>
      <c r="T2363" s="1" t="inlineStr">
        <is>
          <t>P4 - PEIPL</t>
        </is>
      </c>
      <c r="U2363" s="2" t="inlineStr">
        <is>
          <t xml:space="preserve">physically damaged </t>
        </is>
      </c>
      <c r="V2363" s="1" t="inlineStr">
        <is>
          <t>Inspection</t>
        </is>
      </c>
      <c r="W2363" s="1" t="inlineStr">
        <is>
          <t>Rejected</t>
        </is>
      </c>
      <c r="X2363" s="5">
        <f>Z2363</f>
        <v/>
      </c>
      <c r="Y2363" s="1">
        <f>X2363-A2363</f>
        <v/>
      </c>
      <c r="Z2363" s="5" t="n">
        <v>46199</v>
      </c>
      <c r="AA2363" s="3" t="n"/>
      <c r="AB2363" s="3" t="n"/>
      <c r="AE2363" s="146">
        <f>IF(AND(F2363="Closed",X2363&gt;=DATE(2026,6,1),X2363&lt;=DATE(2026,6,30)),"Closed in June","other")</f>
        <v/>
      </c>
    </row>
    <row r="2364" hidden="1">
      <c r="A2364" s="49" t="n">
        <v>46177</v>
      </c>
      <c r="B2364" s="1" t="n">
        <v>2026</v>
      </c>
      <c r="C2364" s="8" t="inlineStr">
        <is>
          <t>Ayana</t>
        </is>
      </c>
      <c r="D2364" s="11" t="inlineStr">
        <is>
          <t>Utility and C&amp;I</t>
        </is>
      </c>
      <c r="E2364" s="1" t="n"/>
      <c r="F2364" s="1" t="inlineStr">
        <is>
          <t>Closed</t>
        </is>
      </c>
      <c r="G2364" s="11" t="inlineStr">
        <is>
          <t>Vasu.N</t>
        </is>
      </c>
      <c r="H2364" s="8" t="n">
        <v>9578099893</v>
      </c>
      <c r="I2364" s="10" t="inlineStr">
        <is>
          <t>PE04062601</t>
        </is>
      </c>
      <c r="J2364" s="28" t="inlineStr">
        <is>
          <t>Module burnt</t>
        </is>
      </c>
      <c r="K2364" s="8" t="inlineStr">
        <is>
          <t>Zura</t>
        </is>
      </c>
      <c r="L2364" s="8" t="inlineStr">
        <is>
          <t>Gujarat</t>
        </is>
      </c>
      <c r="M2364" s="2" t="inlineStr">
        <is>
          <t xml:space="preserve">damage </t>
        </is>
      </c>
      <c r="N2364" s="6" t="inlineStr">
        <is>
          <t>Module Breakage</t>
        </is>
      </c>
      <c r="O2364" s="32" t="n">
        <v>590</v>
      </c>
      <c r="P2364" s="2" t="inlineStr">
        <is>
          <t>NSMI24110803373</t>
        </is>
      </c>
      <c r="Q2364" s="29">
        <f>MID(P2364,5,2)</f>
        <v/>
      </c>
      <c r="R2364" s="14">
        <f>MID(P2364,7,2)</f>
        <v/>
      </c>
      <c r="S2364" s="6" t="inlineStr">
        <is>
          <t>G2G</t>
        </is>
      </c>
      <c r="T2364" s="1" t="inlineStr">
        <is>
          <t>P4 - PEIPL</t>
        </is>
      </c>
      <c r="U2364" s="2" t="inlineStr">
        <is>
          <t xml:space="preserve">physically damaged </t>
        </is>
      </c>
      <c r="V2364" s="1" t="inlineStr">
        <is>
          <t>Inspection</t>
        </is>
      </c>
      <c r="W2364" s="1" t="inlineStr">
        <is>
          <t>Rejected</t>
        </is>
      </c>
      <c r="X2364" s="5">
        <f>Z2364</f>
        <v/>
      </c>
      <c r="Y2364" s="1">
        <f>X2364-A2364</f>
        <v/>
      </c>
      <c r="Z2364" s="5" t="n">
        <v>46199</v>
      </c>
      <c r="AA2364" s="3" t="n"/>
      <c r="AB2364" s="3" t="n"/>
      <c r="AE2364" s="146">
        <f>IF(AND(F2364="Closed",X2364&gt;=DATE(2026,6,1),X2364&lt;=DATE(2026,6,30)),"Closed in June","other")</f>
        <v/>
      </c>
    </row>
    <row r="2365" hidden="1">
      <c r="A2365" s="49" t="n">
        <v>46177</v>
      </c>
      <c r="B2365" s="1" t="n">
        <v>2026</v>
      </c>
      <c r="C2365" s="8" t="inlineStr">
        <is>
          <t>Ayana</t>
        </is>
      </c>
      <c r="D2365" s="11" t="inlineStr">
        <is>
          <t>Utility and C&amp;I</t>
        </is>
      </c>
      <c r="E2365" s="1" t="n"/>
      <c r="F2365" s="1" t="inlineStr">
        <is>
          <t>Closed</t>
        </is>
      </c>
      <c r="G2365" s="11" t="inlineStr">
        <is>
          <t>Vasu.N</t>
        </is>
      </c>
      <c r="H2365" s="8" t="n">
        <v>9578099893</v>
      </c>
      <c r="I2365" s="10" t="inlineStr">
        <is>
          <t>PE04062601</t>
        </is>
      </c>
      <c r="J2365" s="28" t="inlineStr">
        <is>
          <t>Module burnt</t>
        </is>
      </c>
      <c r="K2365" s="8" t="inlineStr">
        <is>
          <t>Zura</t>
        </is>
      </c>
      <c r="L2365" s="8" t="inlineStr">
        <is>
          <t>Gujarat</t>
        </is>
      </c>
      <c r="M2365" s="2" t="inlineStr">
        <is>
          <t xml:space="preserve">damage </t>
        </is>
      </c>
      <c r="N2365" s="6" t="inlineStr">
        <is>
          <t>Module Breakage</t>
        </is>
      </c>
      <c r="O2365" s="32" t="n">
        <v>590</v>
      </c>
      <c r="P2365" s="2" t="inlineStr">
        <is>
          <t>NSMI24110834515</t>
        </is>
      </c>
      <c r="Q2365" s="29">
        <f>MID(P2365,5,2)</f>
        <v/>
      </c>
      <c r="R2365" s="14">
        <f>MID(P2365,7,2)</f>
        <v/>
      </c>
      <c r="S2365" s="6" t="inlineStr">
        <is>
          <t>G2G</t>
        </is>
      </c>
      <c r="T2365" s="1" t="inlineStr">
        <is>
          <t>P4 - PEIPL</t>
        </is>
      </c>
      <c r="U2365" s="2" t="inlineStr">
        <is>
          <t xml:space="preserve">physically damaged </t>
        </is>
      </c>
      <c r="V2365" s="1" t="inlineStr">
        <is>
          <t>Inspection</t>
        </is>
      </c>
      <c r="W2365" s="1" t="inlineStr">
        <is>
          <t>Rejected</t>
        </is>
      </c>
      <c r="X2365" s="5">
        <f>Z2365</f>
        <v/>
      </c>
      <c r="Y2365" s="1">
        <f>X2365-A2365</f>
        <v/>
      </c>
      <c r="Z2365" s="5" t="n">
        <v>46199</v>
      </c>
      <c r="AA2365" s="3" t="n"/>
      <c r="AB2365" s="3" t="n"/>
      <c r="AE2365" s="146">
        <f>IF(AND(F2365="Closed",X2365&gt;=DATE(2026,6,1),X2365&lt;=DATE(2026,6,30)),"Closed in June","other")</f>
        <v/>
      </c>
    </row>
    <row r="2366" hidden="1">
      <c r="A2366" s="49" t="n">
        <v>46177</v>
      </c>
      <c r="B2366" s="1" t="n">
        <v>2026</v>
      </c>
      <c r="C2366" s="8" t="inlineStr">
        <is>
          <t>Ayana</t>
        </is>
      </c>
      <c r="D2366" s="11" t="inlineStr">
        <is>
          <t>Utility and C&amp;I</t>
        </is>
      </c>
      <c r="E2366" s="1" t="n"/>
      <c r="F2366" s="1" t="inlineStr">
        <is>
          <t>Closed</t>
        </is>
      </c>
      <c r="G2366" s="11" t="inlineStr">
        <is>
          <t>Vasu.N</t>
        </is>
      </c>
      <c r="H2366" s="8" t="n">
        <v>9578099893</v>
      </c>
      <c r="I2366" s="10" t="inlineStr">
        <is>
          <t>PE04062601</t>
        </is>
      </c>
      <c r="J2366" s="28" t="inlineStr">
        <is>
          <t>Module burnt</t>
        </is>
      </c>
      <c r="K2366" s="8" t="inlineStr">
        <is>
          <t>Zura</t>
        </is>
      </c>
      <c r="L2366" s="8" t="inlineStr">
        <is>
          <t>Gujarat</t>
        </is>
      </c>
      <c r="M2366" s="2" t="inlineStr">
        <is>
          <t xml:space="preserve">damage </t>
        </is>
      </c>
      <c r="N2366" s="6" t="inlineStr">
        <is>
          <t>Module Breakage</t>
        </is>
      </c>
      <c r="O2366" s="32" t="n">
        <v>590</v>
      </c>
      <c r="P2366" s="2" t="inlineStr">
        <is>
          <t>NSMI24110821918</t>
        </is>
      </c>
      <c r="Q2366" s="29">
        <f>MID(P2366,5,2)</f>
        <v/>
      </c>
      <c r="R2366" s="14">
        <f>MID(P2366,7,2)</f>
        <v/>
      </c>
      <c r="S2366" s="6" t="inlineStr">
        <is>
          <t>G2G</t>
        </is>
      </c>
      <c r="T2366" s="1" t="inlineStr">
        <is>
          <t>P4 - PEIPL</t>
        </is>
      </c>
      <c r="U2366" s="2" t="inlineStr">
        <is>
          <t xml:space="preserve">physically damaged </t>
        </is>
      </c>
      <c r="V2366" s="1" t="inlineStr">
        <is>
          <t>Inspection</t>
        </is>
      </c>
      <c r="W2366" s="1" t="inlineStr">
        <is>
          <t>Rejected</t>
        </is>
      </c>
      <c r="X2366" s="5">
        <f>Z2366</f>
        <v/>
      </c>
      <c r="Y2366" s="1">
        <f>X2366-A2366</f>
        <v/>
      </c>
      <c r="Z2366" s="5" t="n">
        <v>46199</v>
      </c>
      <c r="AA2366" s="3" t="n"/>
      <c r="AB2366" s="3" t="n"/>
      <c r="AE2366" s="146">
        <f>IF(AND(F2366="Closed",X2366&gt;=DATE(2026,6,1),X2366&lt;=DATE(2026,6,30)),"Closed in June","other")</f>
        <v/>
      </c>
    </row>
    <row r="2367" hidden="1">
      <c r="A2367" s="49" t="n">
        <v>46177</v>
      </c>
      <c r="B2367" s="1" t="n">
        <v>2026</v>
      </c>
      <c r="C2367" s="8" t="inlineStr">
        <is>
          <t>Ayana</t>
        </is>
      </c>
      <c r="D2367" s="11" t="inlineStr">
        <is>
          <t>Utility and C&amp;I</t>
        </is>
      </c>
      <c r="E2367" s="1" t="n"/>
      <c r="F2367" s="1" t="inlineStr">
        <is>
          <t>Closed</t>
        </is>
      </c>
      <c r="G2367" s="11" t="inlineStr">
        <is>
          <t>Vasu.N</t>
        </is>
      </c>
      <c r="H2367" s="8" t="n">
        <v>9578099893</v>
      </c>
      <c r="I2367" s="10" t="inlineStr">
        <is>
          <t>PE04062601</t>
        </is>
      </c>
      <c r="J2367" s="28" t="inlineStr">
        <is>
          <t>Module burnt</t>
        </is>
      </c>
      <c r="K2367" s="8" t="inlineStr">
        <is>
          <t>Zura</t>
        </is>
      </c>
      <c r="L2367" s="8" t="inlineStr">
        <is>
          <t>Gujarat</t>
        </is>
      </c>
      <c r="M2367" s="2" t="inlineStr">
        <is>
          <t xml:space="preserve">damage </t>
        </is>
      </c>
      <c r="N2367" s="6" t="inlineStr">
        <is>
          <t>Module Breakage</t>
        </is>
      </c>
      <c r="O2367" s="32" t="n">
        <v>590</v>
      </c>
      <c r="P2367" s="2" t="inlineStr">
        <is>
          <t>NSMI24110936359</t>
        </is>
      </c>
      <c r="Q2367" s="29">
        <f>MID(P2367,5,2)</f>
        <v/>
      </c>
      <c r="R2367" s="14">
        <f>MID(P2367,7,2)</f>
        <v/>
      </c>
      <c r="S2367" s="6" t="inlineStr">
        <is>
          <t>G2G</t>
        </is>
      </c>
      <c r="T2367" s="1" t="inlineStr">
        <is>
          <t>P4 - PEIPL</t>
        </is>
      </c>
      <c r="U2367" s="2" t="inlineStr">
        <is>
          <t xml:space="preserve">physically damaged </t>
        </is>
      </c>
      <c r="V2367" s="1" t="inlineStr">
        <is>
          <t>Inspection</t>
        </is>
      </c>
      <c r="W2367" s="1" t="inlineStr">
        <is>
          <t>Rejected</t>
        </is>
      </c>
      <c r="X2367" s="5">
        <f>Z2367</f>
        <v/>
      </c>
      <c r="Y2367" s="1">
        <f>X2367-A2367</f>
        <v/>
      </c>
      <c r="Z2367" s="5" t="n">
        <v>46199</v>
      </c>
      <c r="AA2367" s="3" t="n"/>
      <c r="AB2367" s="3" t="n"/>
      <c r="AE2367" s="146">
        <f>IF(AND(F2367="Closed",X2367&gt;=DATE(2026,6,1),X2367&lt;=DATE(2026,6,30)),"Closed in June","other")</f>
        <v/>
      </c>
    </row>
    <row r="2368" hidden="1">
      <c r="A2368" s="49" t="n">
        <v>46177</v>
      </c>
      <c r="B2368" s="1" t="n">
        <v>2026</v>
      </c>
      <c r="C2368" s="8" t="inlineStr">
        <is>
          <t>Ayana</t>
        </is>
      </c>
      <c r="D2368" s="11" t="inlineStr">
        <is>
          <t>Utility and C&amp;I</t>
        </is>
      </c>
      <c r="E2368" s="1" t="n"/>
      <c r="F2368" s="1" t="inlineStr">
        <is>
          <t>Closed</t>
        </is>
      </c>
      <c r="G2368" s="11" t="inlineStr">
        <is>
          <t>Vasu.N</t>
        </is>
      </c>
      <c r="H2368" s="8" t="n">
        <v>9578099893</v>
      </c>
      <c r="I2368" s="10" t="inlineStr">
        <is>
          <t>PE04062601</t>
        </is>
      </c>
      <c r="J2368" s="28" t="inlineStr">
        <is>
          <t>Module burnt</t>
        </is>
      </c>
      <c r="K2368" s="8" t="inlineStr">
        <is>
          <t>Zura</t>
        </is>
      </c>
      <c r="L2368" s="8" t="inlineStr">
        <is>
          <t>Gujarat</t>
        </is>
      </c>
      <c r="M2368" s="2" t="inlineStr">
        <is>
          <t xml:space="preserve">damage </t>
        </is>
      </c>
      <c r="N2368" s="6" t="inlineStr">
        <is>
          <t>Module Breakage</t>
        </is>
      </c>
      <c r="O2368" s="32" t="n">
        <v>590</v>
      </c>
      <c r="P2368" s="2" t="inlineStr">
        <is>
          <t>NSMI24110844020</t>
        </is>
      </c>
      <c r="Q2368" s="29">
        <f>MID(P2368,5,2)</f>
        <v/>
      </c>
      <c r="R2368" s="14">
        <f>MID(P2368,7,2)</f>
        <v/>
      </c>
      <c r="S2368" s="6" t="inlineStr">
        <is>
          <t>G2G</t>
        </is>
      </c>
      <c r="T2368" s="1" t="inlineStr">
        <is>
          <t>P4 - PEIPL</t>
        </is>
      </c>
      <c r="U2368" s="2" t="inlineStr">
        <is>
          <t xml:space="preserve">physically damaged </t>
        </is>
      </c>
      <c r="V2368" s="1" t="inlineStr">
        <is>
          <t>Inspection</t>
        </is>
      </c>
      <c r="W2368" s="1" t="inlineStr">
        <is>
          <t>Rejected</t>
        </is>
      </c>
      <c r="X2368" s="5">
        <f>Z2368</f>
        <v/>
      </c>
      <c r="Y2368" s="1">
        <f>X2368-A2368</f>
        <v/>
      </c>
      <c r="Z2368" s="5" t="n">
        <v>46199</v>
      </c>
      <c r="AA2368" s="3" t="n"/>
      <c r="AB2368" s="3" t="n"/>
      <c r="AE2368" s="146">
        <f>IF(AND(F2368="Closed",X2368&gt;=DATE(2026,6,1),X2368&lt;=DATE(2026,6,30)),"Closed in June","other")</f>
        <v/>
      </c>
    </row>
    <row r="2369" hidden="1">
      <c r="A2369" s="49" t="n">
        <v>46177</v>
      </c>
      <c r="B2369" s="1" t="n">
        <v>2026</v>
      </c>
      <c r="C2369" s="8" t="inlineStr">
        <is>
          <t>Ayana</t>
        </is>
      </c>
      <c r="D2369" s="11" t="inlineStr">
        <is>
          <t>Utility and C&amp;I</t>
        </is>
      </c>
      <c r="E2369" s="1" t="n"/>
      <c r="F2369" s="1" t="inlineStr">
        <is>
          <t>Closed</t>
        </is>
      </c>
      <c r="G2369" s="11" t="inlineStr">
        <is>
          <t>Vasu.N</t>
        </is>
      </c>
      <c r="H2369" s="8" t="n">
        <v>9578099893</v>
      </c>
      <c r="I2369" s="10" t="inlineStr">
        <is>
          <t>PE04062601</t>
        </is>
      </c>
      <c r="J2369" s="28" t="inlineStr">
        <is>
          <t>Module burnt</t>
        </is>
      </c>
      <c r="K2369" s="8" t="inlineStr">
        <is>
          <t>Zura</t>
        </is>
      </c>
      <c r="L2369" s="8" t="inlineStr">
        <is>
          <t>Gujarat</t>
        </is>
      </c>
      <c r="M2369" s="2" t="inlineStr">
        <is>
          <t xml:space="preserve">damage </t>
        </is>
      </c>
      <c r="N2369" s="6" t="inlineStr">
        <is>
          <t>Module Breakage</t>
        </is>
      </c>
      <c r="O2369" s="32" t="n">
        <v>590</v>
      </c>
      <c r="P2369" s="2" t="inlineStr">
        <is>
          <t>NSMI24110817013</t>
        </is>
      </c>
      <c r="Q2369" s="29">
        <f>MID(P2369,5,2)</f>
        <v/>
      </c>
      <c r="R2369" s="14">
        <f>MID(P2369,7,2)</f>
        <v/>
      </c>
      <c r="S2369" s="6" t="inlineStr">
        <is>
          <t>G2G</t>
        </is>
      </c>
      <c r="T2369" s="1" t="inlineStr">
        <is>
          <t>P4 - PEIPL</t>
        </is>
      </c>
      <c r="U2369" s="2" t="inlineStr">
        <is>
          <t xml:space="preserve">physically damaged </t>
        </is>
      </c>
      <c r="V2369" s="1" t="inlineStr">
        <is>
          <t>Inspection</t>
        </is>
      </c>
      <c r="W2369" s="1" t="inlineStr">
        <is>
          <t>Rejected</t>
        </is>
      </c>
      <c r="X2369" s="5">
        <f>Z2369</f>
        <v/>
      </c>
      <c r="Y2369" s="1">
        <f>X2369-A2369</f>
        <v/>
      </c>
      <c r="Z2369" s="5" t="n">
        <v>46199</v>
      </c>
      <c r="AA2369" s="3" t="n"/>
      <c r="AB2369" s="3" t="n"/>
      <c r="AE2369" s="146">
        <f>IF(AND(F2369="Closed",X2369&gt;=DATE(2026,6,1),X2369&lt;=DATE(2026,6,30)),"Closed in June","other")</f>
        <v/>
      </c>
    </row>
    <row r="2370" hidden="1">
      <c r="A2370" s="49" t="n">
        <v>46177</v>
      </c>
      <c r="B2370" s="1" t="n">
        <v>2026</v>
      </c>
      <c r="C2370" s="8" t="inlineStr">
        <is>
          <t>Ayana</t>
        </is>
      </c>
      <c r="D2370" s="11" t="inlineStr">
        <is>
          <t>Utility and C&amp;I</t>
        </is>
      </c>
      <c r="E2370" s="1" t="n"/>
      <c r="F2370" s="1" t="inlineStr">
        <is>
          <t>Closed</t>
        </is>
      </c>
      <c r="G2370" s="11" t="inlineStr">
        <is>
          <t>Vasu.N</t>
        </is>
      </c>
      <c r="H2370" s="8" t="n">
        <v>9578099893</v>
      </c>
      <c r="I2370" s="10" t="inlineStr">
        <is>
          <t>PE04062601</t>
        </is>
      </c>
      <c r="J2370" s="28" t="inlineStr">
        <is>
          <t>Module burnt</t>
        </is>
      </c>
      <c r="K2370" s="8" t="inlineStr">
        <is>
          <t>Zura</t>
        </is>
      </c>
      <c r="L2370" s="8" t="inlineStr">
        <is>
          <t>Gujarat</t>
        </is>
      </c>
      <c r="M2370" s="2" t="inlineStr">
        <is>
          <t xml:space="preserve">damage </t>
        </is>
      </c>
      <c r="N2370" s="6" t="inlineStr">
        <is>
          <t>Module Breakage</t>
        </is>
      </c>
      <c r="O2370" s="32" t="n">
        <v>590</v>
      </c>
      <c r="P2370" s="2" t="inlineStr">
        <is>
          <t>NSMI24110808684</t>
        </is>
      </c>
      <c r="Q2370" s="29">
        <f>MID(P2370,5,2)</f>
        <v/>
      </c>
      <c r="R2370" s="14">
        <f>MID(P2370,7,2)</f>
        <v/>
      </c>
      <c r="S2370" s="6" t="inlineStr">
        <is>
          <t>G2G</t>
        </is>
      </c>
      <c r="T2370" s="1" t="inlineStr">
        <is>
          <t>P4 - PEIPL</t>
        </is>
      </c>
      <c r="U2370" s="2" t="inlineStr">
        <is>
          <t xml:space="preserve">physically damaged </t>
        </is>
      </c>
      <c r="V2370" s="1" t="inlineStr">
        <is>
          <t>Inspection</t>
        </is>
      </c>
      <c r="W2370" s="1" t="inlineStr">
        <is>
          <t>Rejected</t>
        </is>
      </c>
      <c r="X2370" s="5">
        <f>Z2370</f>
        <v/>
      </c>
      <c r="Y2370" s="1">
        <f>X2370-A2370</f>
        <v/>
      </c>
      <c r="Z2370" s="5" t="n">
        <v>46199</v>
      </c>
      <c r="AA2370" s="3" t="n"/>
      <c r="AB2370" s="3" t="n"/>
      <c r="AE2370" s="146">
        <f>IF(AND(F2370="Closed",X2370&gt;=DATE(2026,6,1),X2370&lt;=DATE(2026,6,30)),"Closed in June","other")</f>
        <v/>
      </c>
    </row>
    <row r="2371" hidden="1">
      <c r="A2371" s="49" t="n">
        <v>46177</v>
      </c>
      <c r="B2371" s="1" t="n">
        <v>2026</v>
      </c>
      <c r="C2371" s="8" t="inlineStr">
        <is>
          <t>Ayana</t>
        </is>
      </c>
      <c r="D2371" s="11" t="inlineStr">
        <is>
          <t>Utility and C&amp;I</t>
        </is>
      </c>
      <c r="E2371" s="1" t="n"/>
      <c r="F2371" s="1" t="inlineStr">
        <is>
          <t>Closed</t>
        </is>
      </c>
      <c r="G2371" s="11" t="inlineStr">
        <is>
          <t>Vasu.N</t>
        </is>
      </c>
      <c r="H2371" s="8" t="n">
        <v>9578099893</v>
      </c>
      <c r="I2371" s="10" t="inlineStr">
        <is>
          <t>PE04062601</t>
        </is>
      </c>
      <c r="J2371" s="28" t="inlineStr">
        <is>
          <t>Module burnt</t>
        </is>
      </c>
      <c r="K2371" s="8" t="inlineStr">
        <is>
          <t>Zura</t>
        </is>
      </c>
      <c r="L2371" s="8" t="inlineStr">
        <is>
          <t>Gujarat</t>
        </is>
      </c>
      <c r="M2371" s="2" t="inlineStr">
        <is>
          <t xml:space="preserve">damage </t>
        </is>
      </c>
      <c r="N2371" s="6" t="inlineStr">
        <is>
          <t>Module Breakage</t>
        </is>
      </c>
      <c r="O2371" s="32" t="n">
        <v>590</v>
      </c>
      <c r="P2371" s="2" t="inlineStr">
        <is>
          <t>NSMI24110808565</t>
        </is>
      </c>
      <c r="Q2371" s="29">
        <f>MID(P2371,5,2)</f>
        <v/>
      </c>
      <c r="R2371" s="14">
        <f>MID(P2371,7,2)</f>
        <v/>
      </c>
      <c r="S2371" s="6" t="inlineStr">
        <is>
          <t>G2G</t>
        </is>
      </c>
      <c r="T2371" s="1" t="inlineStr">
        <is>
          <t>P4 - PEIPL</t>
        </is>
      </c>
      <c r="U2371" s="2" t="inlineStr">
        <is>
          <t xml:space="preserve">physically damaged </t>
        </is>
      </c>
      <c r="V2371" s="1" t="inlineStr">
        <is>
          <t>Inspection</t>
        </is>
      </c>
      <c r="W2371" s="1" t="inlineStr">
        <is>
          <t>Rejected</t>
        </is>
      </c>
      <c r="X2371" s="5">
        <f>Z2371</f>
        <v/>
      </c>
      <c r="Y2371" s="1">
        <f>X2371-A2371</f>
        <v/>
      </c>
      <c r="Z2371" s="5" t="n">
        <v>46199</v>
      </c>
      <c r="AA2371" s="3" t="n"/>
      <c r="AB2371" s="3" t="n"/>
      <c r="AE2371" s="146">
        <f>IF(AND(F2371="Closed",X2371&gt;=DATE(2026,6,1),X2371&lt;=DATE(2026,6,30)),"Closed in June","other")</f>
        <v/>
      </c>
    </row>
    <row r="2372" hidden="1">
      <c r="A2372" s="49" t="n">
        <v>46177</v>
      </c>
      <c r="B2372" s="1" t="n">
        <v>2026</v>
      </c>
      <c r="C2372" s="8" t="inlineStr">
        <is>
          <t>Ayana</t>
        </is>
      </c>
      <c r="D2372" s="11" t="inlineStr">
        <is>
          <t>Utility and C&amp;I</t>
        </is>
      </c>
      <c r="E2372" s="1" t="n"/>
      <c r="F2372" s="1" t="inlineStr">
        <is>
          <t>Closed</t>
        </is>
      </c>
      <c r="G2372" s="11" t="inlineStr">
        <is>
          <t>Vasu.N</t>
        </is>
      </c>
      <c r="H2372" s="8" t="n">
        <v>9578099893</v>
      </c>
      <c r="I2372" s="10" t="inlineStr">
        <is>
          <t>PE04062601</t>
        </is>
      </c>
      <c r="J2372" s="28" t="inlineStr">
        <is>
          <t>Module burnt</t>
        </is>
      </c>
      <c r="K2372" s="8" t="inlineStr">
        <is>
          <t>Zura</t>
        </is>
      </c>
      <c r="L2372" s="8" t="inlineStr">
        <is>
          <t>Gujarat</t>
        </is>
      </c>
      <c r="M2372" s="2" t="inlineStr">
        <is>
          <t xml:space="preserve">damage </t>
        </is>
      </c>
      <c r="N2372" s="6" t="inlineStr">
        <is>
          <t>Module Breakage</t>
        </is>
      </c>
      <c r="O2372" s="32" t="n">
        <v>590</v>
      </c>
      <c r="P2372" s="2" t="inlineStr">
        <is>
          <t>NSMI24110808567</t>
        </is>
      </c>
      <c r="Q2372" s="29">
        <f>MID(P2372,5,2)</f>
        <v/>
      </c>
      <c r="R2372" s="14">
        <f>MID(P2372,7,2)</f>
        <v/>
      </c>
      <c r="S2372" s="6" t="inlineStr">
        <is>
          <t>G2G</t>
        </is>
      </c>
      <c r="T2372" s="1" t="inlineStr">
        <is>
          <t>P4 - PEIPL</t>
        </is>
      </c>
      <c r="U2372" s="2" t="inlineStr">
        <is>
          <t xml:space="preserve">physically damaged </t>
        </is>
      </c>
      <c r="V2372" s="1" t="inlineStr">
        <is>
          <t>Inspection</t>
        </is>
      </c>
      <c r="W2372" s="1" t="inlineStr">
        <is>
          <t>Rejected</t>
        </is>
      </c>
      <c r="X2372" s="5">
        <f>Z2372</f>
        <v/>
      </c>
      <c r="Y2372" s="1">
        <f>X2372-A2372</f>
        <v/>
      </c>
      <c r="Z2372" s="5" t="n">
        <v>46199</v>
      </c>
      <c r="AA2372" s="3" t="n"/>
      <c r="AB2372" s="3" t="n"/>
      <c r="AE2372" s="146">
        <f>IF(AND(F2372="Closed",X2372&gt;=DATE(2026,6,1),X2372&lt;=DATE(2026,6,30)),"Closed in June","other")</f>
        <v/>
      </c>
    </row>
    <row r="2373" hidden="1">
      <c r="A2373" s="49" t="n">
        <v>46177</v>
      </c>
      <c r="B2373" s="1" t="n">
        <v>2026</v>
      </c>
      <c r="C2373" s="8" t="inlineStr">
        <is>
          <t>Ayana</t>
        </is>
      </c>
      <c r="D2373" s="11" t="inlineStr">
        <is>
          <t>Utility and C&amp;I</t>
        </is>
      </c>
      <c r="E2373" s="1" t="n"/>
      <c r="F2373" s="1" t="inlineStr">
        <is>
          <t>Closed</t>
        </is>
      </c>
      <c r="G2373" s="11" t="inlineStr">
        <is>
          <t>Vasu.N</t>
        </is>
      </c>
      <c r="H2373" s="8" t="n">
        <v>9578099893</v>
      </c>
      <c r="I2373" s="10" t="inlineStr">
        <is>
          <t>PE04062601</t>
        </is>
      </c>
      <c r="J2373" s="28" t="inlineStr">
        <is>
          <t>Module burnt</t>
        </is>
      </c>
      <c r="K2373" s="8" t="inlineStr">
        <is>
          <t>Zura</t>
        </is>
      </c>
      <c r="L2373" s="8" t="inlineStr">
        <is>
          <t>Gujarat</t>
        </is>
      </c>
      <c r="M2373" s="2" t="inlineStr">
        <is>
          <t xml:space="preserve">damage </t>
        </is>
      </c>
      <c r="N2373" s="6" t="inlineStr">
        <is>
          <t>Module Breakage</t>
        </is>
      </c>
      <c r="O2373" s="32" t="n">
        <v>590</v>
      </c>
      <c r="P2373" s="2" t="inlineStr">
        <is>
          <t>NSMI24110808530</t>
        </is>
      </c>
      <c r="Q2373" s="29">
        <f>MID(P2373,5,2)</f>
        <v/>
      </c>
      <c r="R2373" s="14">
        <f>MID(P2373,7,2)</f>
        <v/>
      </c>
      <c r="S2373" s="6" t="inlineStr">
        <is>
          <t>G2G</t>
        </is>
      </c>
      <c r="T2373" s="1" t="inlineStr">
        <is>
          <t>P4 - PEIPL</t>
        </is>
      </c>
      <c r="U2373" s="2" t="inlineStr">
        <is>
          <t xml:space="preserve">physically damaged </t>
        </is>
      </c>
      <c r="V2373" s="1" t="inlineStr">
        <is>
          <t>Inspection</t>
        </is>
      </c>
      <c r="W2373" s="1" t="inlineStr">
        <is>
          <t>Rejected</t>
        </is>
      </c>
      <c r="X2373" s="5">
        <f>Z2373</f>
        <v/>
      </c>
      <c r="Y2373" s="1">
        <f>X2373-A2373</f>
        <v/>
      </c>
      <c r="Z2373" s="5" t="n">
        <v>46199</v>
      </c>
      <c r="AA2373" s="3" t="n"/>
      <c r="AB2373" s="3" t="n"/>
      <c r="AE2373" s="146">
        <f>IF(AND(F2373="Closed",X2373&gt;=DATE(2026,6,1),X2373&lt;=DATE(2026,6,30)),"Closed in June","other")</f>
        <v/>
      </c>
    </row>
    <row r="2374" hidden="1">
      <c r="A2374" s="49" t="n">
        <v>46177</v>
      </c>
      <c r="B2374" s="1" t="n">
        <v>2026</v>
      </c>
      <c r="C2374" s="8" t="inlineStr">
        <is>
          <t>Ayana</t>
        </is>
      </c>
      <c r="D2374" s="11" t="inlineStr">
        <is>
          <t>Utility and C&amp;I</t>
        </is>
      </c>
      <c r="E2374" s="1" t="n"/>
      <c r="F2374" s="1" t="inlineStr">
        <is>
          <t>Closed</t>
        </is>
      </c>
      <c r="G2374" s="11" t="inlineStr">
        <is>
          <t>Vasu.N</t>
        </is>
      </c>
      <c r="H2374" s="8" t="n">
        <v>9578099893</v>
      </c>
      <c r="I2374" s="10" t="inlineStr">
        <is>
          <t>PE04062601</t>
        </is>
      </c>
      <c r="J2374" s="28" t="inlineStr">
        <is>
          <t>Module burnt</t>
        </is>
      </c>
      <c r="K2374" s="8" t="inlineStr">
        <is>
          <t>Zura</t>
        </is>
      </c>
      <c r="L2374" s="8" t="inlineStr">
        <is>
          <t>Gujarat</t>
        </is>
      </c>
      <c r="M2374" s="2" t="inlineStr">
        <is>
          <t xml:space="preserve">damage </t>
        </is>
      </c>
      <c r="N2374" s="6" t="inlineStr">
        <is>
          <t>Module Breakage</t>
        </is>
      </c>
      <c r="O2374" s="32" t="n">
        <v>590</v>
      </c>
      <c r="P2374" s="2" t="inlineStr">
        <is>
          <t>NSMI24110825760</t>
        </is>
      </c>
      <c r="Q2374" s="29">
        <f>MID(P2374,5,2)</f>
        <v/>
      </c>
      <c r="R2374" s="14">
        <f>MID(P2374,7,2)</f>
        <v/>
      </c>
      <c r="S2374" s="6" t="inlineStr">
        <is>
          <t>G2G</t>
        </is>
      </c>
      <c r="T2374" s="1" t="inlineStr">
        <is>
          <t>P4 - PEIPL</t>
        </is>
      </c>
      <c r="U2374" s="2" t="inlineStr">
        <is>
          <t xml:space="preserve">physically damaged </t>
        </is>
      </c>
      <c r="V2374" s="1" t="inlineStr">
        <is>
          <t>Inspection</t>
        </is>
      </c>
      <c r="W2374" s="1" t="inlineStr">
        <is>
          <t>Rejected</t>
        </is>
      </c>
      <c r="X2374" s="5">
        <f>Z2374</f>
        <v/>
      </c>
      <c r="Y2374" s="1">
        <f>X2374-A2374</f>
        <v/>
      </c>
      <c r="Z2374" s="5" t="n">
        <v>46199</v>
      </c>
      <c r="AA2374" s="3" t="n"/>
      <c r="AB2374" s="3" t="n"/>
      <c r="AE2374" s="146">
        <f>IF(AND(F2374="Closed",X2374&gt;=DATE(2026,6,1),X2374&lt;=DATE(2026,6,30)),"Closed in June","other")</f>
        <v/>
      </c>
    </row>
    <row r="2375" hidden="1">
      <c r="A2375" s="49" t="n">
        <v>46177</v>
      </c>
      <c r="B2375" s="1" t="n">
        <v>2026</v>
      </c>
      <c r="C2375" s="8" t="inlineStr">
        <is>
          <t>Ayana</t>
        </is>
      </c>
      <c r="D2375" s="11" t="inlineStr">
        <is>
          <t>Utility and C&amp;I</t>
        </is>
      </c>
      <c r="E2375" s="1" t="n"/>
      <c r="F2375" s="1" t="inlineStr">
        <is>
          <t>Closed</t>
        </is>
      </c>
      <c r="G2375" s="11" t="inlineStr">
        <is>
          <t>Vasu.N</t>
        </is>
      </c>
      <c r="H2375" s="8" t="n">
        <v>9578099893</v>
      </c>
      <c r="I2375" s="10" t="inlineStr">
        <is>
          <t>PE04062601</t>
        </is>
      </c>
      <c r="J2375" s="28" t="inlineStr">
        <is>
          <t>Module burnt</t>
        </is>
      </c>
      <c r="K2375" s="8" t="inlineStr">
        <is>
          <t>Zura</t>
        </is>
      </c>
      <c r="L2375" s="8" t="inlineStr">
        <is>
          <t>Gujarat</t>
        </is>
      </c>
      <c r="M2375" s="2" t="inlineStr">
        <is>
          <t xml:space="preserve">damage </t>
        </is>
      </c>
      <c r="N2375" s="6" t="inlineStr">
        <is>
          <t>Module Breakage</t>
        </is>
      </c>
      <c r="O2375" s="32" t="n">
        <v>590</v>
      </c>
      <c r="P2375" s="2" t="inlineStr">
        <is>
          <t>NSMI24110845346</t>
        </is>
      </c>
      <c r="Q2375" s="29">
        <f>MID(P2375,5,2)</f>
        <v/>
      </c>
      <c r="R2375" s="14">
        <f>MID(P2375,7,2)</f>
        <v/>
      </c>
      <c r="S2375" s="6" t="inlineStr">
        <is>
          <t>G2G</t>
        </is>
      </c>
      <c r="T2375" s="1" t="inlineStr">
        <is>
          <t>P4 - PEIPL</t>
        </is>
      </c>
      <c r="U2375" s="2" t="inlineStr">
        <is>
          <t xml:space="preserve">physically damaged </t>
        </is>
      </c>
      <c r="V2375" s="1" t="inlineStr">
        <is>
          <t>Inspection</t>
        </is>
      </c>
      <c r="W2375" s="1" t="inlineStr">
        <is>
          <t>Rejected</t>
        </is>
      </c>
      <c r="X2375" s="5">
        <f>Z2375</f>
        <v/>
      </c>
      <c r="Y2375" s="1">
        <f>X2375-A2375</f>
        <v/>
      </c>
      <c r="Z2375" s="5" t="n">
        <v>46199</v>
      </c>
      <c r="AA2375" s="3" t="n"/>
      <c r="AB2375" s="3" t="n"/>
      <c r="AE2375" s="146">
        <f>IF(AND(F2375="Closed",X2375&gt;=DATE(2026,6,1),X2375&lt;=DATE(2026,6,30)),"Closed in June","other")</f>
        <v/>
      </c>
    </row>
    <row r="2376" hidden="1">
      <c r="A2376" s="49" t="n">
        <v>46177</v>
      </c>
      <c r="B2376" s="1" t="n">
        <v>2026</v>
      </c>
      <c r="C2376" s="8" t="inlineStr">
        <is>
          <t>Ayana</t>
        </is>
      </c>
      <c r="D2376" s="11" t="inlineStr">
        <is>
          <t>Utility and C&amp;I</t>
        </is>
      </c>
      <c r="E2376" s="1" t="n"/>
      <c r="F2376" s="1" t="inlineStr">
        <is>
          <t>Closed</t>
        </is>
      </c>
      <c r="G2376" s="11" t="inlineStr">
        <is>
          <t>Vasu.N</t>
        </is>
      </c>
      <c r="H2376" s="8" t="n">
        <v>9578099893</v>
      </c>
      <c r="I2376" s="10" t="inlineStr">
        <is>
          <t>PE04062601</t>
        </is>
      </c>
      <c r="J2376" s="28" t="inlineStr">
        <is>
          <t>Module burnt</t>
        </is>
      </c>
      <c r="K2376" s="8" t="inlineStr">
        <is>
          <t>Zura</t>
        </is>
      </c>
      <c r="L2376" s="8" t="inlineStr">
        <is>
          <t>Gujarat</t>
        </is>
      </c>
      <c r="M2376" s="2" t="inlineStr">
        <is>
          <t xml:space="preserve">damage </t>
        </is>
      </c>
      <c r="N2376" s="6" t="inlineStr">
        <is>
          <t>Module Breakage</t>
        </is>
      </c>
      <c r="O2376" s="32" t="n">
        <v>590</v>
      </c>
      <c r="P2376" s="2" t="inlineStr">
        <is>
          <t>NSMI24110845294</t>
        </is>
      </c>
      <c r="Q2376" s="29">
        <f>MID(P2376,5,2)</f>
        <v/>
      </c>
      <c r="R2376" s="14">
        <f>MID(P2376,7,2)</f>
        <v/>
      </c>
      <c r="S2376" s="6" t="inlineStr">
        <is>
          <t>G2G</t>
        </is>
      </c>
      <c r="T2376" s="1" t="inlineStr">
        <is>
          <t>P4 - PEIPL</t>
        </is>
      </c>
      <c r="U2376" s="2" t="inlineStr">
        <is>
          <t xml:space="preserve">physically damaged </t>
        </is>
      </c>
      <c r="V2376" s="1" t="inlineStr">
        <is>
          <t>Inspection</t>
        </is>
      </c>
      <c r="W2376" s="1" t="inlineStr">
        <is>
          <t>Rejected</t>
        </is>
      </c>
      <c r="X2376" s="5">
        <f>Z2376</f>
        <v/>
      </c>
      <c r="Y2376" s="1">
        <f>X2376-A2376</f>
        <v/>
      </c>
      <c r="Z2376" s="5" t="n">
        <v>46199</v>
      </c>
      <c r="AA2376" s="3" t="n"/>
      <c r="AB2376" s="3" t="n"/>
      <c r="AE2376" s="146">
        <f>IF(AND(F2376="Closed",X2376&gt;=DATE(2026,6,1),X2376&lt;=DATE(2026,6,30)),"Closed in June","other")</f>
        <v/>
      </c>
    </row>
    <row r="2377" hidden="1">
      <c r="A2377" s="49" t="n">
        <v>46177</v>
      </c>
      <c r="B2377" s="1" t="n">
        <v>2026</v>
      </c>
      <c r="C2377" s="8" t="inlineStr">
        <is>
          <t>Ayana</t>
        </is>
      </c>
      <c r="D2377" s="11" t="inlineStr">
        <is>
          <t>Utility and C&amp;I</t>
        </is>
      </c>
      <c r="E2377" s="1" t="n"/>
      <c r="F2377" s="1" t="inlineStr">
        <is>
          <t>Closed</t>
        </is>
      </c>
      <c r="G2377" s="11" t="inlineStr">
        <is>
          <t>Vasu.N</t>
        </is>
      </c>
      <c r="H2377" s="8" t="n">
        <v>9578099893</v>
      </c>
      <c r="I2377" s="10" t="inlineStr">
        <is>
          <t>PE04062601</t>
        </is>
      </c>
      <c r="J2377" s="28" t="inlineStr">
        <is>
          <t>Module burnt</t>
        </is>
      </c>
      <c r="K2377" s="8" t="inlineStr">
        <is>
          <t>Zura</t>
        </is>
      </c>
      <c r="L2377" s="8" t="inlineStr">
        <is>
          <t>Gujarat</t>
        </is>
      </c>
      <c r="M2377" s="2" t="inlineStr">
        <is>
          <t xml:space="preserve">damage </t>
        </is>
      </c>
      <c r="N2377" s="6" t="inlineStr">
        <is>
          <t>Module Breakage</t>
        </is>
      </c>
      <c r="O2377" s="32" t="n">
        <v>590</v>
      </c>
      <c r="P2377" s="2" t="inlineStr">
        <is>
          <t>NSMI24110807511</t>
        </is>
      </c>
      <c r="Q2377" s="29">
        <f>MID(P2377,5,2)</f>
        <v/>
      </c>
      <c r="R2377" s="14">
        <f>MID(P2377,7,2)</f>
        <v/>
      </c>
      <c r="S2377" s="6" t="inlineStr">
        <is>
          <t>G2G</t>
        </is>
      </c>
      <c r="T2377" s="1" t="inlineStr">
        <is>
          <t>P4 - PEIPL</t>
        </is>
      </c>
      <c r="U2377" s="2" t="inlineStr">
        <is>
          <t xml:space="preserve">physically damaged </t>
        </is>
      </c>
      <c r="V2377" s="1" t="inlineStr">
        <is>
          <t>Inspection</t>
        </is>
      </c>
      <c r="W2377" s="1" t="inlineStr">
        <is>
          <t>Rejected</t>
        </is>
      </c>
      <c r="X2377" s="5">
        <f>Z2377</f>
        <v/>
      </c>
      <c r="Y2377" s="1">
        <f>X2377-A2377</f>
        <v/>
      </c>
      <c r="Z2377" s="5" t="n">
        <v>46199</v>
      </c>
      <c r="AA2377" s="3" t="n"/>
      <c r="AB2377" s="3" t="n"/>
      <c r="AE2377" s="146">
        <f>IF(AND(F2377="Closed",X2377&gt;=DATE(2026,6,1),X2377&lt;=DATE(2026,6,30)),"Closed in June","other")</f>
        <v/>
      </c>
    </row>
    <row r="2378" hidden="1">
      <c r="A2378" s="49" t="n">
        <v>46177</v>
      </c>
      <c r="B2378" s="1" t="n">
        <v>2026</v>
      </c>
      <c r="C2378" s="8" t="inlineStr">
        <is>
          <t>Ayana</t>
        </is>
      </c>
      <c r="D2378" s="11" t="inlineStr">
        <is>
          <t>Utility and C&amp;I</t>
        </is>
      </c>
      <c r="E2378" s="1" t="n"/>
      <c r="F2378" s="1" t="inlineStr">
        <is>
          <t>Closed</t>
        </is>
      </c>
      <c r="G2378" s="11" t="inlineStr">
        <is>
          <t>Vasu.N</t>
        </is>
      </c>
      <c r="H2378" s="8" t="n">
        <v>9578099893</v>
      </c>
      <c r="I2378" s="10" t="inlineStr">
        <is>
          <t>PE04062601</t>
        </is>
      </c>
      <c r="J2378" s="28" t="inlineStr">
        <is>
          <t>Module burnt</t>
        </is>
      </c>
      <c r="K2378" s="8" t="inlineStr">
        <is>
          <t>Zura</t>
        </is>
      </c>
      <c r="L2378" s="8" t="inlineStr">
        <is>
          <t>Gujarat</t>
        </is>
      </c>
      <c r="M2378" s="2" t="inlineStr">
        <is>
          <t xml:space="preserve">damage </t>
        </is>
      </c>
      <c r="N2378" s="6" t="inlineStr">
        <is>
          <t>Module Breakage</t>
        </is>
      </c>
      <c r="O2378" s="32" t="n">
        <v>590</v>
      </c>
      <c r="P2378" s="2" t="inlineStr">
        <is>
          <t>NSMI24110845350</t>
        </is>
      </c>
      <c r="Q2378" s="29">
        <f>MID(P2378,5,2)</f>
        <v/>
      </c>
      <c r="R2378" s="14">
        <f>MID(P2378,7,2)</f>
        <v/>
      </c>
      <c r="S2378" s="6" t="inlineStr">
        <is>
          <t>G2G</t>
        </is>
      </c>
      <c r="T2378" s="1" t="inlineStr">
        <is>
          <t>P4 - PEIPL</t>
        </is>
      </c>
      <c r="U2378" s="2" t="inlineStr">
        <is>
          <t xml:space="preserve">physically damaged </t>
        </is>
      </c>
      <c r="V2378" s="1" t="inlineStr">
        <is>
          <t>Inspection</t>
        </is>
      </c>
      <c r="W2378" s="1" t="inlineStr">
        <is>
          <t>Rejected</t>
        </is>
      </c>
      <c r="X2378" s="5">
        <f>Z2378</f>
        <v/>
      </c>
      <c r="Y2378" s="1">
        <f>X2378-A2378</f>
        <v/>
      </c>
      <c r="Z2378" s="5" t="n">
        <v>46199</v>
      </c>
      <c r="AA2378" s="3" t="n"/>
      <c r="AB2378" s="3" t="n"/>
      <c r="AE2378" s="146">
        <f>IF(AND(F2378="Closed",X2378&gt;=DATE(2026,6,1),X2378&lt;=DATE(2026,6,30)),"Closed in June","other")</f>
        <v/>
      </c>
    </row>
    <row r="2379" hidden="1">
      <c r="A2379" s="49" t="n">
        <v>46177</v>
      </c>
      <c r="B2379" s="1" t="n">
        <v>2026</v>
      </c>
      <c r="C2379" s="8" t="inlineStr">
        <is>
          <t>Ayana</t>
        </is>
      </c>
      <c r="D2379" s="11" t="inlineStr">
        <is>
          <t>Utility and C&amp;I</t>
        </is>
      </c>
      <c r="E2379" s="1" t="n"/>
      <c r="F2379" s="1" t="inlineStr">
        <is>
          <t>Closed</t>
        </is>
      </c>
      <c r="G2379" s="11" t="inlineStr">
        <is>
          <t>Vasu.N</t>
        </is>
      </c>
      <c r="H2379" s="8" t="n">
        <v>9578099893</v>
      </c>
      <c r="I2379" s="10" t="inlineStr">
        <is>
          <t>PE04062601</t>
        </is>
      </c>
      <c r="J2379" s="28" t="inlineStr">
        <is>
          <t>Module burnt</t>
        </is>
      </c>
      <c r="K2379" s="8" t="inlineStr">
        <is>
          <t>Zura</t>
        </is>
      </c>
      <c r="L2379" s="8" t="inlineStr">
        <is>
          <t>Gujarat</t>
        </is>
      </c>
      <c r="M2379" s="2" t="inlineStr">
        <is>
          <t xml:space="preserve">damage </t>
        </is>
      </c>
      <c r="N2379" s="6" t="inlineStr">
        <is>
          <t>Module Breakage</t>
        </is>
      </c>
      <c r="O2379" s="32" t="n">
        <v>590</v>
      </c>
      <c r="P2379" s="2" t="inlineStr">
        <is>
          <t>NSMI24100605350</t>
        </is>
      </c>
      <c r="Q2379" s="29">
        <f>MID(P2379,5,2)</f>
        <v/>
      </c>
      <c r="R2379" s="14">
        <f>MID(P2379,7,2)</f>
        <v/>
      </c>
      <c r="S2379" s="6" t="inlineStr">
        <is>
          <t>G2G</t>
        </is>
      </c>
      <c r="T2379" s="1" t="inlineStr">
        <is>
          <t>P4 - PEIPL</t>
        </is>
      </c>
      <c r="U2379" s="2" t="inlineStr">
        <is>
          <t xml:space="preserve">physically damaged </t>
        </is>
      </c>
      <c r="V2379" s="1" t="inlineStr">
        <is>
          <t>Inspection</t>
        </is>
      </c>
      <c r="W2379" s="1" t="inlineStr">
        <is>
          <t>Rejected</t>
        </is>
      </c>
      <c r="X2379" s="5">
        <f>Z2379</f>
        <v/>
      </c>
      <c r="Y2379" s="1">
        <f>X2379-A2379</f>
        <v/>
      </c>
      <c r="Z2379" s="5" t="n">
        <v>46199</v>
      </c>
      <c r="AA2379" s="3" t="n"/>
      <c r="AB2379" s="3" t="n"/>
      <c r="AE2379" s="146">
        <f>IF(AND(F2379="Closed",X2379&gt;=DATE(2026,6,1),X2379&lt;=DATE(2026,6,30)),"Closed in June","other")</f>
        <v/>
      </c>
    </row>
    <row r="2380" hidden="1">
      <c r="A2380" s="49" t="n">
        <v>46177</v>
      </c>
      <c r="B2380" s="1" t="n">
        <v>2026</v>
      </c>
      <c r="C2380" s="8" t="inlineStr">
        <is>
          <t>Ayana</t>
        </is>
      </c>
      <c r="D2380" s="11" t="inlineStr">
        <is>
          <t>Utility and C&amp;I</t>
        </is>
      </c>
      <c r="E2380" s="1" t="n"/>
      <c r="F2380" s="1" t="inlineStr">
        <is>
          <t>Closed</t>
        </is>
      </c>
      <c r="G2380" s="11" t="inlineStr">
        <is>
          <t>Vasu.N</t>
        </is>
      </c>
      <c r="H2380" s="8" t="n">
        <v>9578099893</v>
      </c>
      <c r="I2380" s="10" t="inlineStr">
        <is>
          <t>PE04062601</t>
        </is>
      </c>
      <c r="J2380" s="28" t="inlineStr">
        <is>
          <t>Module burnt</t>
        </is>
      </c>
      <c r="K2380" s="8" t="inlineStr">
        <is>
          <t>Zura</t>
        </is>
      </c>
      <c r="L2380" s="8" t="inlineStr">
        <is>
          <t>Gujarat</t>
        </is>
      </c>
      <c r="M2380" s="2" t="inlineStr">
        <is>
          <t xml:space="preserve">damage </t>
        </is>
      </c>
      <c r="N2380" s="6" t="inlineStr">
        <is>
          <t>Module Breakage</t>
        </is>
      </c>
      <c r="O2380" s="32" t="n">
        <v>590</v>
      </c>
      <c r="P2380" s="2" t="inlineStr">
        <is>
          <t>NSMI24100597346</t>
        </is>
      </c>
      <c r="Q2380" s="29">
        <f>MID(P2380,5,2)</f>
        <v/>
      </c>
      <c r="R2380" s="14">
        <f>MID(P2380,7,2)</f>
        <v/>
      </c>
      <c r="S2380" s="6" t="inlineStr">
        <is>
          <t>G2G</t>
        </is>
      </c>
      <c r="T2380" s="1" t="inlineStr">
        <is>
          <t>P4 - PEIPL</t>
        </is>
      </c>
      <c r="U2380" s="2" t="inlineStr">
        <is>
          <t xml:space="preserve">physically damaged </t>
        </is>
      </c>
      <c r="V2380" s="1" t="inlineStr">
        <is>
          <t>Inspection</t>
        </is>
      </c>
      <c r="W2380" s="1" t="inlineStr">
        <is>
          <t>Rejected</t>
        </is>
      </c>
      <c r="X2380" s="5">
        <f>Z2380</f>
        <v/>
      </c>
      <c r="Y2380" s="1">
        <f>X2380-A2380</f>
        <v/>
      </c>
      <c r="Z2380" s="5" t="n">
        <v>46199</v>
      </c>
      <c r="AA2380" s="3" t="n"/>
      <c r="AB2380" s="3" t="n"/>
      <c r="AE2380" s="146">
        <f>IF(AND(F2380="Closed",X2380&gt;=DATE(2026,6,1),X2380&lt;=DATE(2026,6,30)),"Closed in June","other")</f>
        <v/>
      </c>
    </row>
    <row r="2381" hidden="1">
      <c r="A2381" s="49" t="n">
        <v>46177</v>
      </c>
      <c r="B2381" s="1" t="n">
        <v>2026</v>
      </c>
      <c r="C2381" s="8" t="inlineStr">
        <is>
          <t>Ayana</t>
        </is>
      </c>
      <c r="D2381" s="11" t="inlineStr">
        <is>
          <t>Utility and C&amp;I</t>
        </is>
      </c>
      <c r="E2381" s="1" t="n"/>
      <c r="F2381" s="1" t="inlineStr">
        <is>
          <t>Closed</t>
        </is>
      </c>
      <c r="G2381" s="11" t="inlineStr">
        <is>
          <t>Vasu.N</t>
        </is>
      </c>
      <c r="H2381" s="8" t="n">
        <v>9578099893</v>
      </c>
      <c r="I2381" s="10" t="inlineStr">
        <is>
          <t>PE04062601</t>
        </is>
      </c>
      <c r="J2381" s="28" t="inlineStr">
        <is>
          <t>Module burnt</t>
        </is>
      </c>
      <c r="K2381" s="8" t="inlineStr">
        <is>
          <t>Zura</t>
        </is>
      </c>
      <c r="L2381" s="8" t="inlineStr">
        <is>
          <t>Gujarat</t>
        </is>
      </c>
      <c r="M2381" s="2" t="inlineStr">
        <is>
          <t xml:space="preserve">damage </t>
        </is>
      </c>
      <c r="N2381" s="6" t="inlineStr">
        <is>
          <t>Module Breakage</t>
        </is>
      </c>
      <c r="O2381" s="32" t="n">
        <v>590</v>
      </c>
      <c r="P2381" s="2" t="inlineStr">
        <is>
          <t>NSMI24100605389</t>
        </is>
      </c>
      <c r="Q2381" s="29">
        <f>MID(P2381,5,2)</f>
        <v/>
      </c>
      <c r="R2381" s="14">
        <f>MID(P2381,7,2)</f>
        <v/>
      </c>
      <c r="S2381" s="6" t="inlineStr">
        <is>
          <t>G2G</t>
        </is>
      </c>
      <c r="T2381" s="1" t="inlineStr">
        <is>
          <t>P4 - PEIPL</t>
        </is>
      </c>
      <c r="U2381" s="2" t="inlineStr">
        <is>
          <t xml:space="preserve">physically damaged </t>
        </is>
      </c>
      <c r="V2381" s="1" t="inlineStr">
        <is>
          <t>Inspection</t>
        </is>
      </c>
      <c r="W2381" s="1" t="inlineStr">
        <is>
          <t>Rejected</t>
        </is>
      </c>
      <c r="X2381" s="5">
        <f>Z2381</f>
        <v/>
      </c>
      <c r="Y2381" s="1">
        <f>X2381-A2381</f>
        <v/>
      </c>
      <c r="Z2381" s="5" t="n">
        <v>46199</v>
      </c>
      <c r="AA2381" s="3" t="n"/>
      <c r="AB2381" s="3" t="n"/>
      <c r="AE2381" s="146">
        <f>IF(AND(F2381="Closed",X2381&gt;=DATE(2026,6,1),X2381&lt;=DATE(2026,6,30)),"Closed in June","other")</f>
        <v/>
      </c>
    </row>
    <row r="2382" hidden="1">
      <c r="A2382" s="49" t="n">
        <v>46177</v>
      </c>
      <c r="B2382" s="1" t="n">
        <v>2026</v>
      </c>
      <c r="C2382" s="8" t="inlineStr">
        <is>
          <t>Ayana</t>
        </is>
      </c>
      <c r="D2382" s="11" t="inlineStr">
        <is>
          <t>Utility and C&amp;I</t>
        </is>
      </c>
      <c r="E2382" s="1" t="n"/>
      <c r="F2382" s="1" t="inlineStr">
        <is>
          <t>Closed</t>
        </is>
      </c>
      <c r="G2382" s="11" t="inlineStr">
        <is>
          <t>Vasu.N</t>
        </is>
      </c>
      <c r="H2382" s="8" t="n">
        <v>9578099893</v>
      </c>
      <c r="I2382" s="10" t="inlineStr">
        <is>
          <t>PE04062601</t>
        </is>
      </c>
      <c r="J2382" s="28" t="inlineStr">
        <is>
          <t>Module burnt</t>
        </is>
      </c>
      <c r="K2382" s="8" t="inlineStr">
        <is>
          <t>Zura</t>
        </is>
      </c>
      <c r="L2382" s="8" t="inlineStr">
        <is>
          <t>Gujarat</t>
        </is>
      </c>
      <c r="M2382" s="2" t="inlineStr">
        <is>
          <t xml:space="preserve">damage </t>
        </is>
      </c>
      <c r="N2382" s="6" t="inlineStr">
        <is>
          <t>Module Breakage</t>
        </is>
      </c>
      <c r="O2382" s="32" t="n">
        <v>590</v>
      </c>
      <c r="P2382" s="2" t="inlineStr">
        <is>
          <t>NSMI24100605381</t>
        </is>
      </c>
      <c r="Q2382" s="29">
        <f>MID(P2382,5,2)</f>
        <v/>
      </c>
      <c r="R2382" s="14">
        <f>MID(P2382,7,2)</f>
        <v/>
      </c>
      <c r="S2382" s="6" t="inlineStr">
        <is>
          <t>G2G</t>
        </is>
      </c>
      <c r="T2382" s="1" t="inlineStr">
        <is>
          <t>P4 - PEIPL</t>
        </is>
      </c>
      <c r="U2382" s="2" t="inlineStr">
        <is>
          <t xml:space="preserve">physically damaged </t>
        </is>
      </c>
      <c r="V2382" s="1" t="inlineStr">
        <is>
          <t>Inspection</t>
        </is>
      </c>
      <c r="W2382" s="1" t="inlineStr">
        <is>
          <t>Rejected</t>
        </is>
      </c>
      <c r="X2382" s="5">
        <f>Z2382</f>
        <v/>
      </c>
      <c r="Y2382" s="1">
        <f>X2382-A2382</f>
        <v/>
      </c>
      <c r="Z2382" s="5" t="n">
        <v>46199</v>
      </c>
      <c r="AA2382" s="3" t="n"/>
      <c r="AB2382" s="3" t="n"/>
      <c r="AE2382" s="146">
        <f>IF(AND(F2382="Closed",X2382&gt;=DATE(2026,6,1),X2382&lt;=DATE(2026,6,30)),"Closed in June","other")</f>
        <v/>
      </c>
    </row>
    <row r="2383" hidden="1">
      <c r="A2383" s="49" t="n">
        <v>46177</v>
      </c>
      <c r="B2383" s="1" t="n">
        <v>2026</v>
      </c>
      <c r="C2383" s="8" t="inlineStr">
        <is>
          <t>Ayana</t>
        </is>
      </c>
      <c r="D2383" s="11" t="inlineStr">
        <is>
          <t>Utility and C&amp;I</t>
        </is>
      </c>
      <c r="E2383" s="1" t="n"/>
      <c r="F2383" s="1" t="inlineStr">
        <is>
          <t>Closed</t>
        </is>
      </c>
      <c r="G2383" s="11" t="inlineStr">
        <is>
          <t>Vasu.N</t>
        </is>
      </c>
      <c r="H2383" s="8" t="n">
        <v>9578099893</v>
      </c>
      <c r="I2383" s="10" t="inlineStr">
        <is>
          <t>PE04062601</t>
        </is>
      </c>
      <c r="J2383" s="28" t="inlineStr">
        <is>
          <t>Module burnt</t>
        </is>
      </c>
      <c r="K2383" s="8" t="inlineStr">
        <is>
          <t>Zura</t>
        </is>
      </c>
      <c r="L2383" s="8" t="inlineStr">
        <is>
          <t>Gujarat</t>
        </is>
      </c>
      <c r="M2383" s="2" t="inlineStr">
        <is>
          <t xml:space="preserve">damage </t>
        </is>
      </c>
      <c r="N2383" s="6" t="inlineStr">
        <is>
          <t>Module Breakage</t>
        </is>
      </c>
      <c r="O2383" s="32" t="n">
        <v>590</v>
      </c>
      <c r="P2383" s="2" t="inlineStr">
        <is>
          <t>NSMI24100591995</t>
        </is>
      </c>
      <c r="Q2383" s="29">
        <f>MID(P2383,5,2)</f>
        <v/>
      </c>
      <c r="R2383" s="14">
        <f>MID(P2383,7,2)</f>
        <v/>
      </c>
      <c r="S2383" s="6" t="inlineStr">
        <is>
          <t>G2G</t>
        </is>
      </c>
      <c r="T2383" s="1" t="inlineStr">
        <is>
          <t>P4 - PEIPL</t>
        </is>
      </c>
      <c r="U2383" s="2" t="inlineStr">
        <is>
          <t xml:space="preserve">physically damaged </t>
        </is>
      </c>
      <c r="V2383" s="1" t="inlineStr">
        <is>
          <t>Inspection</t>
        </is>
      </c>
      <c r="W2383" s="1" t="inlineStr">
        <is>
          <t>Rejected</t>
        </is>
      </c>
      <c r="X2383" s="5">
        <f>Z2383</f>
        <v/>
      </c>
      <c r="Y2383" s="1">
        <f>X2383-A2383</f>
        <v/>
      </c>
      <c r="Z2383" s="5" t="n">
        <v>46199</v>
      </c>
      <c r="AA2383" s="3" t="n"/>
      <c r="AB2383" s="3" t="n"/>
      <c r="AE2383" s="146">
        <f>IF(AND(F2383="Closed",X2383&gt;=DATE(2026,6,1),X2383&lt;=DATE(2026,6,30)),"Closed in June","other")</f>
        <v/>
      </c>
    </row>
    <row r="2384" hidden="1">
      <c r="A2384" s="49" t="n">
        <v>46177</v>
      </c>
      <c r="B2384" s="1" t="n">
        <v>2026</v>
      </c>
      <c r="C2384" s="8" t="inlineStr">
        <is>
          <t>Ayana</t>
        </is>
      </c>
      <c r="D2384" s="11" t="inlineStr">
        <is>
          <t>Utility and C&amp;I</t>
        </is>
      </c>
      <c r="E2384" s="1" t="n"/>
      <c r="F2384" s="1" t="inlineStr">
        <is>
          <t>Closed</t>
        </is>
      </c>
      <c r="G2384" s="11" t="inlineStr">
        <is>
          <t>Vasu.N</t>
        </is>
      </c>
      <c r="H2384" s="8" t="n">
        <v>9578099893</v>
      </c>
      <c r="I2384" s="10" t="inlineStr">
        <is>
          <t>PE04062601</t>
        </is>
      </c>
      <c r="J2384" s="28" t="inlineStr">
        <is>
          <t>Module burnt</t>
        </is>
      </c>
      <c r="K2384" s="8" t="inlineStr">
        <is>
          <t>Zura</t>
        </is>
      </c>
      <c r="L2384" s="8" t="inlineStr">
        <is>
          <t>Gujarat</t>
        </is>
      </c>
      <c r="M2384" s="2" t="inlineStr">
        <is>
          <t xml:space="preserve">damage </t>
        </is>
      </c>
      <c r="N2384" s="6" t="inlineStr">
        <is>
          <t>Module Breakage</t>
        </is>
      </c>
      <c r="O2384" s="32" t="n">
        <v>590</v>
      </c>
      <c r="P2384" s="2" t="inlineStr">
        <is>
          <t>NSMI24110801110</t>
        </is>
      </c>
      <c r="Q2384" s="29">
        <f>MID(P2384,5,2)</f>
        <v/>
      </c>
      <c r="R2384" s="14">
        <f>MID(P2384,7,2)</f>
        <v/>
      </c>
      <c r="S2384" s="6" t="inlineStr">
        <is>
          <t>G2G</t>
        </is>
      </c>
      <c r="T2384" s="1" t="inlineStr">
        <is>
          <t>P4 - PEIPL</t>
        </is>
      </c>
      <c r="U2384" s="2" t="inlineStr">
        <is>
          <t xml:space="preserve">physically damaged </t>
        </is>
      </c>
      <c r="V2384" s="1" t="inlineStr">
        <is>
          <t>Inspection</t>
        </is>
      </c>
      <c r="W2384" s="1" t="inlineStr">
        <is>
          <t>Rejected</t>
        </is>
      </c>
      <c r="X2384" s="5">
        <f>Z2384</f>
        <v/>
      </c>
      <c r="Y2384" s="1">
        <f>X2384-A2384</f>
        <v/>
      </c>
      <c r="Z2384" s="5" t="n">
        <v>46199</v>
      </c>
      <c r="AA2384" s="3" t="n"/>
      <c r="AB2384" s="3" t="n"/>
      <c r="AE2384" s="146">
        <f>IF(AND(F2384="Closed",X2384&gt;=DATE(2026,6,1),X2384&lt;=DATE(2026,6,30)),"Closed in June","other")</f>
        <v/>
      </c>
    </row>
    <row r="2385" hidden="1">
      <c r="A2385" s="49" t="n">
        <v>46177</v>
      </c>
      <c r="B2385" s="1" t="n">
        <v>2026</v>
      </c>
      <c r="C2385" s="8" t="inlineStr">
        <is>
          <t>Ayana</t>
        </is>
      </c>
      <c r="D2385" s="11" t="inlineStr">
        <is>
          <t>Utility and C&amp;I</t>
        </is>
      </c>
      <c r="E2385" s="1" t="n"/>
      <c r="F2385" s="1" t="inlineStr">
        <is>
          <t>Closed</t>
        </is>
      </c>
      <c r="G2385" s="11" t="inlineStr">
        <is>
          <t>Vasu.N</t>
        </is>
      </c>
      <c r="H2385" s="8" t="n">
        <v>9578099893</v>
      </c>
      <c r="I2385" s="10" t="inlineStr">
        <is>
          <t>PE04062601</t>
        </is>
      </c>
      <c r="J2385" s="28" t="inlineStr">
        <is>
          <t>Module burnt</t>
        </is>
      </c>
      <c r="K2385" s="8" t="inlineStr">
        <is>
          <t>Zura</t>
        </is>
      </c>
      <c r="L2385" s="8" t="inlineStr">
        <is>
          <t>Gujarat</t>
        </is>
      </c>
      <c r="M2385" s="2" t="inlineStr">
        <is>
          <t xml:space="preserve">damage </t>
        </is>
      </c>
      <c r="N2385" s="6" t="inlineStr">
        <is>
          <t>Module Breakage</t>
        </is>
      </c>
      <c r="O2385" s="32" t="n">
        <v>590</v>
      </c>
      <c r="P2385" s="2" t="inlineStr">
        <is>
          <t>NSMI24110802129</t>
        </is>
      </c>
      <c r="Q2385" s="29">
        <f>MID(P2385,5,2)</f>
        <v/>
      </c>
      <c r="R2385" s="14">
        <f>MID(P2385,7,2)</f>
        <v/>
      </c>
      <c r="S2385" s="6" t="inlineStr">
        <is>
          <t>G2G</t>
        </is>
      </c>
      <c r="T2385" s="1" t="inlineStr">
        <is>
          <t>P4 - PEIPL</t>
        </is>
      </c>
      <c r="U2385" s="2" t="inlineStr">
        <is>
          <t xml:space="preserve">physically damaged </t>
        </is>
      </c>
      <c r="V2385" s="1" t="inlineStr">
        <is>
          <t>Inspection</t>
        </is>
      </c>
      <c r="W2385" s="1" t="inlineStr">
        <is>
          <t>Rejected</t>
        </is>
      </c>
      <c r="X2385" s="5">
        <f>Z2385</f>
        <v/>
      </c>
      <c r="Y2385" s="1">
        <f>X2385-A2385</f>
        <v/>
      </c>
      <c r="Z2385" s="5" t="n">
        <v>46199</v>
      </c>
      <c r="AA2385" s="3" t="n"/>
      <c r="AB2385" s="3" t="n"/>
      <c r="AE2385" s="146">
        <f>IF(AND(F2385="Closed",X2385&gt;=DATE(2026,6,1),X2385&lt;=DATE(2026,6,30)),"Closed in June","other")</f>
        <v/>
      </c>
    </row>
    <row r="2386" hidden="1">
      <c r="A2386" s="49" t="n">
        <v>46177</v>
      </c>
      <c r="B2386" s="1" t="n">
        <v>2026</v>
      </c>
      <c r="C2386" s="8" t="inlineStr">
        <is>
          <t>Ayana</t>
        </is>
      </c>
      <c r="D2386" s="11" t="inlineStr">
        <is>
          <t>Utility and C&amp;I</t>
        </is>
      </c>
      <c r="E2386" s="1" t="n"/>
      <c r="F2386" s="1" t="inlineStr">
        <is>
          <t>Closed</t>
        </is>
      </c>
      <c r="G2386" s="11" t="inlineStr">
        <is>
          <t>Vasu.N</t>
        </is>
      </c>
      <c r="H2386" s="8" t="n">
        <v>9578099893</v>
      </c>
      <c r="I2386" s="10" t="inlineStr">
        <is>
          <t>PE04062601</t>
        </is>
      </c>
      <c r="J2386" s="28" t="inlineStr">
        <is>
          <t>Module burnt</t>
        </is>
      </c>
      <c r="K2386" s="8" t="inlineStr">
        <is>
          <t>Zura</t>
        </is>
      </c>
      <c r="L2386" s="8" t="inlineStr">
        <is>
          <t>Gujarat</t>
        </is>
      </c>
      <c r="M2386" s="2" t="inlineStr">
        <is>
          <t xml:space="preserve">damage </t>
        </is>
      </c>
      <c r="N2386" s="6" t="inlineStr">
        <is>
          <t>Module Breakage</t>
        </is>
      </c>
      <c r="O2386" s="32" t="n">
        <v>590</v>
      </c>
      <c r="P2386" s="2" t="inlineStr">
        <is>
          <t>NSMI24110801106</t>
        </is>
      </c>
      <c r="Q2386" s="29">
        <f>MID(P2386,5,2)</f>
        <v/>
      </c>
      <c r="R2386" s="14">
        <f>MID(P2386,7,2)</f>
        <v/>
      </c>
      <c r="S2386" s="6" t="inlineStr">
        <is>
          <t>G2G</t>
        </is>
      </c>
      <c r="T2386" s="1" t="inlineStr">
        <is>
          <t>P4 - PEIPL</t>
        </is>
      </c>
      <c r="U2386" s="2" t="inlineStr">
        <is>
          <t xml:space="preserve">physically damaged </t>
        </is>
      </c>
      <c r="V2386" s="1" t="inlineStr">
        <is>
          <t>Inspection</t>
        </is>
      </c>
      <c r="W2386" s="1" t="inlineStr">
        <is>
          <t>Rejected</t>
        </is>
      </c>
      <c r="X2386" s="5">
        <f>Z2386</f>
        <v/>
      </c>
      <c r="Y2386" s="1">
        <f>X2386-A2386</f>
        <v/>
      </c>
      <c r="Z2386" s="5" t="n">
        <v>46199</v>
      </c>
      <c r="AA2386" s="3" t="n"/>
      <c r="AB2386" s="3" t="n"/>
      <c r="AE2386" s="146">
        <f>IF(AND(F2386="Closed",X2386&gt;=DATE(2026,6,1),X2386&lt;=DATE(2026,6,30)),"Closed in June","other")</f>
        <v/>
      </c>
    </row>
    <row r="2387" hidden="1">
      <c r="A2387" s="49" t="n">
        <v>46177</v>
      </c>
      <c r="B2387" s="1" t="n">
        <v>2026</v>
      </c>
      <c r="C2387" s="8" t="inlineStr">
        <is>
          <t>Ayana</t>
        </is>
      </c>
      <c r="D2387" s="11" t="inlineStr">
        <is>
          <t>Utility and C&amp;I</t>
        </is>
      </c>
      <c r="E2387" s="1" t="n"/>
      <c r="F2387" s="1" t="inlineStr">
        <is>
          <t>Closed</t>
        </is>
      </c>
      <c r="G2387" s="11" t="inlineStr">
        <is>
          <t>Vasu.N</t>
        </is>
      </c>
      <c r="H2387" s="8" t="n">
        <v>9578099893</v>
      </c>
      <c r="I2387" s="10" t="inlineStr">
        <is>
          <t>PE04062601</t>
        </is>
      </c>
      <c r="J2387" s="28" t="inlineStr">
        <is>
          <t>Module burnt</t>
        </is>
      </c>
      <c r="K2387" s="8" t="inlineStr">
        <is>
          <t>Zura</t>
        </is>
      </c>
      <c r="L2387" s="8" t="inlineStr">
        <is>
          <t>Gujarat</t>
        </is>
      </c>
      <c r="M2387" s="2" t="inlineStr">
        <is>
          <t xml:space="preserve">damage </t>
        </is>
      </c>
      <c r="N2387" s="6" t="inlineStr">
        <is>
          <t>Module Breakage</t>
        </is>
      </c>
      <c r="O2387" s="32" t="n">
        <v>590</v>
      </c>
      <c r="P2387" s="2" t="inlineStr">
        <is>
          <t>NSMI24110801101</t>
        </is>
      </c>
      <c r="Q2387" s="29">
        <f>MID(P2387,5,2)</f>
        <v/>
      </c>
      <c r="R2387" s="14">
        <f>MID(P2387,7,2)</f>
        <v/>
      </c>
      <c r="S2387" s="6" t="inlineStr">
        <is>
          <t>G2G</t>
        </is>
      </c>
      <c r="T2387" s="1" t="inlineStr">
        <is>
          <t>P4 - PEIPL</t>
        </is>
      </c>
      <c r="U2387" s="2" t="inlineStr">
        <is>
          <t xml:space="preserve">physically damaged </t>
        </is>
      </c>
      <c r="V2387" s="1" t="inlineStr">
        <is>
          <t>Inspection</t>
        </is>
      </c>
      <c r="W2387" s="1" t="inlineStr">
        <is>
          <t>Rejected</t>
        </is>
      </c>
      <c r="X2387" s="5">
        <f>Z2387</f>
        <v/>
      </c>
      <c r="Y2387" s="1">
        <f>X2387-A2387</f>
        <v/>
      </c>
      <c r="Z2387" s="5" t="n">
        <v>46199</v>
      </c>
      <c r="AA2387" s="3" t="n"/>
      <c r="AB2387" s="3" t="n"/>
      <c r="AE2387" s="146">
        <f>IF(AND(F2387="Closed",X2387&gt;=DATE(2026,6,1),X2387&lt;=DATE(2026,6,30)),"Closed in June","other")</f>
        <v/>
      </c>
    </row>
    <row r="2388" hidden="1">
      <c r="A2388" s="49" t="n">
        <v>46177</v>
      </c>
      <c r="B2388" s="1" t="n">
        <v>2026</v>
      </c>
      <c r="C2388" s="8" t="inlineStr">
        <is>
          <t>Ayana</t>
        </is>
      </c>
      <c r="D2388" s="11" t="inlineStr">
        <is>
          <t>Utility and C&amp;I</t>
        </is>
      </c>
      <c r="E2388" s="1" t="n"/>
      <c r="F2388" s="1" t="inlineStr">
        <is>
          <t>Closed</t>
        </is>
      </c>
      <c r="G2388" s="11" t="inlineStr">
        <is>
          <t>Vasu.N</t>
        </is>
      </c>
      <c r="H2388" s="8" t="n">
        <v>9578099893</v>
      </c>
      <c r="I2388" s="10" t="inlineStr">
        <is>
          <t>PE04062601</t>
        </is>
      </c>
      <c r="J2388" s="28" t="inlineStr">
        <is>
          <t>Module burnt</t>
        </is>
      </c>
      <c r="K2388" s="8" t="inlineStr">
        <is>
          <t>Zura</t>
        </is>
      </c>
      <c r="L2388" s="8" t="inlineStr">
        <is>
          <t>Gujarat</t>
        </is>
      </c>
      <c r="M2388" s="2" t="inlineStr">
        <is>
          <t xml:space="preserve">damage </t>
        </is>
      </c>
      <c r="N2388" s="6" t="inlineStr">
        <is>
          <t>Module Breakage</t>
        </is>
      </c>
      <c r="O2388" s="32" t="n">
        <v>590</v>
      </c>
      <c r="P2388" s="2" t="inlineStr">
        <is>
          <t>NSMI24090543359</t>
        </is>
      </c>
      <c r="Q2388" s="29">
        <f>MID(P2388,5,2)</f>
        <v/>
      </c>
      <c r="R2388" s="14">
        <f>MID(P2388,7,2)</f>
        <v/>
      </c>
      <c r="S2388" s="6" t="inlineStr">
        <is>
          <t>G2G</t>
        </is>
      </c>
      <c r="T2388" s="1" t="inlineStr">
        <is>
          <t>P4 - PEIPL</t>
        </is>
      </c>
      <c r="U2388" s="2" t="inlineStr">
        <is>
          <t xml:space="preserve">physically damaged </t>
        </is>
      </c>
      <c r="V2388" s="1" t="inlineStr">
        <is>
          <t>Inspection</t>
        </is>
      </c>
      <c r="W2388" s="1" t="inlineStr">
        <is>
          <t>Rejected</t>
        </is>
      </c>
      <c r="X2388" s="5">
        <f>Z2388</f>
        <v/>
      </c>
      <c r="Y2388" s="1">
        <f>X2388-A2388</f>
        <v/>
      </c>
      <c r="Z2388" s="5" t="n">
        <v>46199</v>
      </c>
      <c r="AA2388" s="3" t="n"/>
      <c r="AB2388" s="3" t="n"/>
      <c r="AE2388" s="146">
        <f>IF(AND(F2388="Closed",X2388&gt;=DATE(2026,6,1),X2388&lt;=DATE(2026,6,30)),"Closed in June","other")</f>
        <v/>
      </c>
    </row>
    <row r="2389" hidden="1">
      <c r="A2389" s="49" t="n">
        <v>46177</v>
      </c>
      <c r="B2389" s="1" t="n">
        <v>2026</v>
      </c>
      <c r="C2389" s="8" t="inlineStr">
        <is>
          <t>Ayana</t>
        </is>
      </c>
      <c r="D2389" s="11" t="inlineStr">
        <is>
          <t>Utility and C&amp;I</t>
        </is>
      </c>
      <c r="E2389" s="1" t="n"/>
      <c r="F2389" s="1" t="inlineStr">
        <is>
          <t>Closed</t>
        </is>
      </c>
      <c r="G2389" s="11" t="inlineStr">
        <is>
          <t>Vasu.N</t>
        </is>
      </c>
      <c r="H2389" s="8" t="n">
        <v>9578099893</v>
      </c>
      <c r="I2389" s="10" t="inlineStr">
        <is>
          <t>PE04062601</t>
        </is>
      </c>
      <c r="J2389" s="28" t="inlineStr">
        <is>
          <t>Module burnt</t>
        </is>
      </c>
      <c r="K2389" s="8" t="inlineStr">
        <is>
          <t>Zura</t>
        </is>
      </c>
      <c r="L2389" s="8" t="inlineStr">
        <is>
          <t>Gujarat</t>
        </is>
      </c>
      <c r="M2389" s="2" t="inlineStr">
        <is>
          <t xml:space="preserve">damage </t>
        </is>
      </c>
      <c r="N2389" s="6" t="inlineStr">
        <is>
          <t>Module Breakage</t>
        </is>
      </c>
      <c r="O2389" s="32" t="n">
        <v>590</v>
      </c>
      <c r="P2389" s="2" t="inlineStr">
        <is>
          <t>NSMI24090543917</t>
        </is>
      </c>
      <c r="Q2389" s="29">
        <f>MID(P2389,5,2)</f>
        <v/>
      </c>
      <c r="R2389" s="14">
        <f>MID(P2389,7,2)</f>
        <v/>
      </c>
      <c r="S2389" s="6" t="inlineStr">
        <is>
          <t>G2G</t>
        </is>
      </c>
      <c r="T2389" s="1" t="inlineStr">
        <is>
          <t>P4 - PEIPL</t>
        </is>
      </c>
      <c r="U2389" s="2" t="inlineStr">
        <is>
          <t xml:space="preserve">physically damaged </t>
        </is>
      </c>
      <c r="V2389" s="1" t="inlineStr">
        <is>
          <t>Inspection</t>
        </is>
      </c>
      <c r="W2389" s="1" t="inlineStr">
        <is>
          <t>Rejected</t>
        </is>
      </c>
      <c r="X2389" s="5">
        <f>Z2389</f>
        <v/>
      </c>
      <c r="Y2389" s="1">
        <f>X2389-A2389</f>
        <v/>
      </c>
      <c r="Z2389" s="5" t="n">
        <v>46199</v>
      </c>
      <c r="AA2389" s="3" t="n"/>
      <c r="AB2389" s="3" t="n"/>
      <c r="AE2389" s="146">
        <f>IF(AND(F2389="Closed",X2389&gt;=DATE(2026,6,1),X2389&lt;=DATE(2026,6,30)),"Closed in June","other")</f>
        <v/>
      </c>
    </row>
    <row r="2390" hidden="1">
      <c r="A2390" s="49" t="n">
        <v>46177</v>
      </c>
      <c r="B2390" s="1" t="n">
        <v>2026</v>
      </c>
      <c r="C2390" s="8" t="inlineStr">
        <is>
          <t>Ayana</t>
        </is>
      </c>
      <c r="D2390" s="11" t="inlineStr">
        <is>
          <t>Utility and C&amp;I</t>
        </is>
      </c>
      <c r="E2390" s="1" t="n"/>
      <c r="F2390" s="1" t="inlineStr">
        <is>
          <t>Closed</t>
        </is>
      </c>
      <c r="G2390" s="11" t="inlineStr">
        <is>
          <t>Vasu.N</t>
        </is>
      </c>
      <c r="H2390" s="8" t="n">
        <v>9578099893</v>
      </c>
      <c r="I2390" s="10" t="inlineStr">
        <is>
          <t>PE04062601</t>
        </is>
      </c>
      <c r="J2390" s="28" t="inlineStr">
        <is>
          <t>Module burnt</t>
        </is>
      </c>
      <c r="K2390" s="8" t="inlineStr">
        <is>
          <t>Zura</t>
        </is>
      </c>
      <c r="L2390" s="8" t="inlineStr">
        <is>
          <t>Gujarat</t>
        </is>
      </c>
      <c r="M2390" s="2" t="inlineStr">
        <is>
          <t xml:space="preserve">damage </t>
        </is>
      </c>
      <c r="N2390" s="6" t="inlineStr">
        <is>
          <t>Module Breakage</t>
        </is>
      </c>
      <c r="O2390" s="32" t="n">
        <v>590</v>
      </c>
      <c r="P2390" s="2" t="inlineStr">
        <is>
          <t>NSMI24090543785</t>
        </is>
      </c>
      <c r="Q2390" s="29">
        <f>MID(P2390,5,2)</f>
        <v/>
      </c>
      <c r="R2390" s="14">
        <f>MID(P2390,7,2)</f>
        <v/>
      </c>
      <c r="S2390" s="6" t="inlineStr">
        <is>
          <t>G2G</t>
        </is>
      </c>
      <c r="T2390" s="1" t="inlineStr">
        <is>
          <t>P4 - PEIPL</t>
        </is>
      </c>
      <c r="U2390" s="2" t="inlineStr">
        <is>
          <t xml:space="preserve">physically damaged </t>
        </is>
      </c>
      <c r="V2390" s="1" t="inlineStr">
        <is>
          <t>Inspection</t>
        </is>
      </c>
      <c r="W2390" s="1" t="inlineStr">
        <is>
          <t>Rejected</t>
        </is>
      </c>
      <c r="X2390" s="5">
        <f>Z2390</f>
        <v/>
      </c>
      <c r="Y2390" s="1">
        <f>X2390-A2390</f>
        <v/>
      </c>
      <c r="Z2390" s="5" t="n">
        <v>46199</v>
      </c>
      <c r="AA2390" s="3" t="n"/>
      <c r="AB2390" s="3" t="n"/>
      <c r="AE2390" s="146">
        <f>IF(AND(F2390="Closed",X2390&gt;=DATE(2026,6,1),X2390&lt;=DATE(2026,6,30)),"Closed in June","other")</f>
        <v/>
      </c>
    </row>
    <row r="2391" hidden="1">
      <c r="A2391" s="49" t="n">
        <v>46177</v>
      </c>
      <c r="B2391" s="1" t="n">
        <v>2026</v>
      </c>
      <c r="C2391" s="8" t="inlineStr">
        <is>
          <t>Ayana</t>
        </is>
      </c>
      <c r="D2391" s="11" t="inlineStr">
        <is>
          <t>Utility and C&amp;I</t>
        </is>
      </c>
      <c r="E2391" s="1" t="n"/>
      <c r="F2391" s="1" t="inlineStr">
        <is>
          <t>Closed</t>
        </is>
      </c>
      <c r="G2391" s="11" t="inlineStr">
        <is>
          <t>Vasu.N</t>
        </is>
      </c>
      <c r="H2391" s="8" t="n">
        <v>9578099893</v>
      </c>
      <c r="I2391" s="10" t="inlineStr">
        <is>
          <t>PE04062601</t>
        </is>
      </c>
      <c r="J2391" s="28" t="inlineStr">
        <is>
          <t>Module burnt</t>
        </is>
      </c>
      <c r="K2391" s="8" t="inlineStr">
        <is>
          <t>Zura</t>
        </is>
      </c>
      <c r="L2391" s="8" t="inlineStr">
        <is>
          <t>Gujarat</t>
        </is>
      </c>
      <c r="M2391" s="2" t="inlineStr">
        <is>
          <t xml:space="preserve">damage </t>
        </is>
      </c>
      <c r="N2391" s="6" t="inlineStr">
        <is>
          <t>Module Breakage</t>
        </is>
      </c>
      <c r="O2391" s="32" t="n">
        <v>590</v>
      </c>
      <c r="P2391" s="2" t="inlineStr">
        <is>
          <t>NSMI24100593299</t>
        </is>
      </c>
      <c r="Q2391" s="29">
        <f>MID(P2391,5,2)</f>
        <v/>
      </c>
      <c r="R2391" s="14">
        <f>MID(P2391,7,2)</f>
        <v/>
      </c>
      <c r="S2391" s="6" t="inlineStr">
        <is>
          <t>G2G</t>
        </is>
      </c>
      <c r="T2391" s="1" t="inlineStr">
        <is>
          <t>P4 - PEIPL</t>
        </is>
      </c>
      <c r="U2391" s="2" t="inlineStr">
        <is>
          <t xml:space="preserve">physically damaged </t>
        </is>
      </c>
      <c r="V2391" s="1" t="inlineStr">
        <is>
          <t>Inspection</t>
        </is>
      </c>
      <c r="W2391" s="1" t="inlineStr">
        <is>
          <t>Rejected</t>
        </is>
      </c>
      <c r="X2391" s="5">
        <f>Z2391</f>
        <v/>
      </c>
      <c r="Y2391" s="1">
        <f>X2391-A2391</f>
        <v/>
      </c>
      <c r="Z2391" s="5" t="n">
        <v>46199</v>
      </c>
      <c r="AA2391" s="3" t="n"/>
      <c r="AB2391" s="3" t="n"/>
      <c r="AE2391" s="146">
        <f>IF(AND(F2391="Closed",X2391&gt;=DATE(2026,6,1),X2391&lt;=DATE(2026,6,30)),"Closed in June","other")</f>
        <v/>
      </c>
    </row>
    <row r="2392" hidden="1">
      <c r="A2392" s="49" t="n">
        <v>46177</v>
      </c>
      <c r="B2392" s="1" t="n">
        <v>2026</v>
      </c>
      <c r="C2392" s="8" t="inlineStr">
        <is>
          <t>Ayana</t>
        </is>
      </c>
      <c r="D2392" s="11" t="inlineStr">
        <is>
          <t>Utility and C&amp;I</t>
        </is>
      </c>
      <c r="E2392" s="1" t="n"/>
      <c r="F2392" s="1" t="inlineStr">
        <is>
          <t>Closed</t>
        </is>
      </c>
      <c r="G2392" s="11" t="inlineStr">
        <is>
          <t>Vasu.N</t>
        </is>
      </c>
      <c r="H2392" s="8" t="n">
        <v>9578099893</v>
      </c>
      <c r="I2392" s="10" t="inlineStr">
        <is>
          <t>PE04062601</t>
        </is>
      </c>
      <c r="J2392" s="28" t="inlineStr">
        <is>
          <t>Module burnt</t>
        </is>
      </c>
      <c r="K2392" s="8" t="inlineStr">
        <is>
          <t>Zura</t>
        </is>
      </c>
      <c r="L2392" s="8" t="inlineStr">
        <is>
          <t>Gujarat</t>
        </is>
      </c>
      <c r="M2392" s="2" t="inlineStr">
        <is>
          <t xml:space="preserve">damage </t>
        </is>
      </c>
      <c r="N2392" s="6" t="inlineStr">
        <is>
          <t>Module Breakage</t>
        </is>
      </c>
      <c r="O2392" s="32" t="n">
        <v>590</v>
      </c>
      <c r="P2392" s="2" t="inlineStr">
        <is>
          <t>NSMI24100593279</t>
        </is>
      </c>
      <c r="Q2392" s="29">
        <f>MID(P2392,5,2)</f>
        <v/>
      </c>
      <c r="R2392" s="14">
        <f>MID(P2392,7,2)</f>
        <v/>
      </c>
      <c r="S2392" s="6" t="inlineStr">
        <is>
          <t>G2G</t>
        </is>
      </c>
      <c r="T2392" s="1" t="inlineStr">
        <is>
          <t>P4 - PEIPL</t>
        </is>
      </c>
      <c r="U2392" s="2" t="inlineStr">
        <is>
          <t xml:space="preserve">physically damaged </t>
        </is>
      </c>
      <c r="V2392" s="1" t="inlineStr">
        <is>
          <t>Inspection</t>
        </is>
      </c>
      <c r="W2392" s="1" t="inlineStr">
        <is>
          <t>Rejected</t>
        </is>
      </c>
      <c r="X2392" s="5">
        <f>Z2392</f>
        <v/>
      </c>
      <c r="Y2392" s="1">
        <f>X2392-A2392</f>
        <v/>
      </c>
      <c r="Z2392" s="5" t="n">
        <v>46199</v>
      </c>
      <c r="AA2392" s="3" t="n"/>
      <c r="AB2392" s="3" t="n"/>
      <c r="AE2392" s="146">
        <f>IF(AND(F2392="Closed",X2392&gt;=DATE(2026,6,1),X2392&lt;=DATE(2026,6,30)),"Closed in June","other")</f>
        <v/>
      </c>
    </row>
    <row r="2393" hidden="1">
      <c r="A2393" s="49" t="n">
        <v>46177</v>
      </c>
      <c r="B2393" s="1" t="n">
        <v>2026</v>
      </c>
      <c r="C2393" s="8" t="inlineStr">
        <is>
          <t>Ayana</t>
        </is>
      </c>
      <c r="D2393" s="11" t="inlineStr">
        <is>
          <t>Utility and C&amp;I</t>
        </is>
      </c>
      <c r="E2393" s="1" t="n"/>
      <c r="F2393" s="1" t="inlineStr">
        <is>
          <t>Closed</t>
        </is>
      </c>
      <c r="G2393" s="11" t="inlineStr">
        <is>
          <t>Vasu.N</t>
        </is>
      </c>
      <c r="H2393" s="8" t="n">
        <v>9578099893</v>
      </c>
      <c r="I2393" s="10" t="inlineStr">
        <is>
          <t>PE04062601</t>
        </is>
      </c>
      <c r="J2393" s="28" t="inlineStr">
        <is>
          <t>Module burnt</t>
        </is>
      </c>
      <c r="K2393" s="8" t="inlineStr">
        <is>
          <t>Zura</t>
        </is>
      </c>
      <c r="L2393" s="8" t="inlineStr">
        <is>
          <t>Gujarat</t>
        </is>
      </c>
      <c r="M2393" s="2" t="inlineStr">
        <is>
          <t xml:space="preserve">damage </t>
        </is>
      </c>
      <c r="N2393" s="6" t="inlineStr">
        <is>
          <t>Module Breakage</t>
        </is>
      </c>
      <c r="O2393" s="32" t="n">
        <v>590</v>
      </c>
      <c r="P2393" s="2" t="inlineStr">
        <is>
          <t>NSMI24110824841</t>
        </is>
      </c>
      <c r="Q2393" s="29">
        <f>MID(P2393,5,2)</f>
        <v/>
      </c>
      <c r="R2393" s="14">
        <f>MID(P2393,7,2)</f>
        <v/>
      </c>
      <c r="S2393" s="6" t="inlineStr">
        <is>
          <t>G2G</t>
        </is>
      </c>
      <c r="T2393" s="1" t="inlineStr">
        <is>
          <t>P4 - PEIPL</t>
        </is>
      </c>
      <c r="U2393" s="2" t="inlineStr">
        <is>
          <t xml:space="preserve">physically damaged </t>
        </is>
      </c>
      <c r="V2393" s="1" t="inlineStr">
        <is>
          <t>Inspection</t>
        </is>
      </c>
      <c r="W2393" s="1" t="inlineStr">
        <is>
          <t>Rejected</t>
        </is>
      </c>
      <c r="X2393" s="5">
        <f>Z2393</f>
        <v/>
      </c>
      <c r="Y2393" s="1">
        <f>X2393-A2393</f>
        <v/>
      </c>
      <c r="Z2393" s="5" t="n">
        <v>46199</v>
      </c>
      <c r="AA2393" s="3" t="n"/>
      <c r="AB2393" s="3" t="n"/>
      <c r="AE2393" s="146">
        <f>IF(AND(F2393="Closed",X2393&gt;=DATE(2026,6,1),X2393&lt;=DATE(2026,6,30)),"Closed in June","other")</f>
        <v/>
      </c>
    </row>
    <row r="2394" hidden="1">
      <c r="A2394" s="49" t="n">
        <v>46177</v>
      </c>
      <c r="B2394" s="1" t="n">
        <v>2026</v>
      </c>
      <c r="C2394" s="8" t="inlineStr">
        <is>
          <t>Ayana</t>
        </is>
      </c>
      <c r="D2394" s="11" t="inlineStr">
        <is>
          <t>Utility and C&amp;I</t>
        </is>
      </c>
      <c r="E2394" s="1" t="n"/>
      <c r="F2394" s="1" t="inlineStr">
        <is>
          <t>Closed</t>
        </is>
      </c>
      <c r="G2394" s="11" t="inlineStr">
        <is>
          <t>Vasu.N</t>
        </is>
      </c>
      <c r="H2394" s="8" t="n">
        <v>9578099893</v>
      </c>
      <c r="I2394" s="10" t="inlineStr">
        <is>
          <t>PE04062601</t>
        </is>
      </c>
      <c r="J2394" s="28" t="inlineStr">
        <is>
          <t>Module burnt</t>
        </is>
      </c>
      <c r="K2394" s="8" t="inlineStr">
        <is>
          <t>Zura</t>
        </is>
      </c>
      <c r="L2394" s="8" t="inlineStr">
        <is>
          <t>Gujarat</t>
        </is>
      </c>
      <c r="M2394" s="2" t="inlineStr">
        <is>
          <t xml:space="preserve">damage </t>
        </is>
      </c>
      <c r="N2394" s="6" t="inlineStr">
        <is>
          <t>Module Breakage</t>
        </is>
      </c>
      <c r="O2394" s="32" t="n">
        <v>590</v>
      </c>
      <c r="P2394" s="2" t="inlineStr">
        <is>
          <t>NSMI24110824828</t>
        </is>
      </c>
      <c r="Q2394" s="29">
        <f>MID(P2394,5,2)</f>
        <v/>
      </c>
      <c r="R2394" s="14">
        <f>MID(P2394,7,2)</f>
        <v/>
      </c>
      <c r="S2394" s="6" t="inlineStr">
        <is>
          <t>G2G</t>
        </is>
      </c>
      <c r="T2394" s="1" t="inlineStr">
        <is>
          <t>P4 - PEIPL</t>
        </is>
      </c>
      <c r="U2394" s="2" t="inlineStr">
        <is>
          <t xml:space="preserve">physically damaged </t>
        </is>
      </c>
      <c r="V2394" s="1" t="inlineStr">
        <is>
          <t>Inspection</t>
        </is>
      </c>
      <c r="W2394" s="1" t="inlineStr">
        <is>
          <t>Rejected</t>
        </is>
      </c>
      <c r="X2394" s="5">
        <f>Z2394</f>
        <v/>
      </c>
      <c r="Y2394" s="1">
        <f>X2394-A2394</f>
        <v/>
      </c>
      <c r="Z2394" s="5" t="n">
        <v>46199</v>
      </c>
      <c r="AA2394" s="3" t="n"/>
      <c r="AB2394" s="3" t="n"/>
      <c r="AE2394" s="146">
        <f>IF(AND(F2394="Closed",X2394&gt;=DATE(2026,6,1),X2394&lt;=DATE(2026,6,30)),"Closed in June","other")</f>
        <v/>
      </c>
    </row>
    <row r="2395" hidden="1">
      <c r="A2395" s="49" t="n">
        <v>46177</v>
      </c>
      <c r="B2395" s="1" t="n">
        <v>2026</v>
      </c>
      <c r="C2395" s="8" t="inlineStr">
        <is>
          <t>Ayana</t>
        </is>
      </c>
      <c r="D2395" s="11" t="inlineStr">
        <is>
          <t>Utility and C&amp;I</t>
        </is>
      </c>
      <c r="E2395" s="1" t="n"/>
      <c r="F2395" s="1" t="inlineStr">
        <is>
          <t>Closed</t>
        </is>
      </c>
      <c r="G2395" s="11" t="inlineStr">
        <is>
          <t>Vasu.N</t>
        </is>
      </c>
      <c r="H2395" s="8" t="n">
        <v>9578099893</v>
      </c>
      <c r="I2395" s="10" t="inlineStr">
        <is>
          <t>PE04062601</t>
        </is>
      </c>
      <c r="J2395" s="28" t="inlineStr">
        <is>
          <t>Module burnt</t>
        </is>
      </c>
      <c r="K2395" s="8" t="inlineStr">
        <is>
          <t>Zura</t>
        </is>
      </c>
      <c r="L2395" s="8" t="inlineStr">
        <is>
          <t>Gujarat</t>
        </is>
      </c>
      <c r="M2395" s="2" t="inlineStr">
        <is>
          <t xml:space="preserve">damage </t>
        </is>
      </c>
      <c r="N2395" s="6" t="inlineStr">
        <is>
          <t>Module Breakage</t>
        </is>
      </c>
      <c r="O2395" s="32" t="n">
        <v>590</v>
      </c>
      <c r="P2395" s="2" t="inlineStr">
        <is>
          <t>NSMI24110824868</t>
        </is>
      </c>
      <c r="Q2395" s="29">
        <f>MID(P2395,5,2)</f>
        <v/>
      </c>
      <c r="R2395" s="14">
        <f>MID(P2395,7,2)</f>
        <v/>
      </c>
      <c r="S2395" s="6" t="inlineStr">
        <is>
          <t>G2G</t>
        </is>
      </c>
      <c r="T2395" s="1" t="inlineStr">
        <is>
          <t>P4 - PEIPL</t>
        </is>
      </c>
      <c r="U2395" s="2" t="inlineStr">
        <is>
          <t xml:space="preserve">physically damaged </t>
        </is>
      </c>
      <c r="V2395" s="1" t="inlineStr">
        <is>
          <t>Inspection</t>
        </is>
      </c>
      <c r="W2395" s="1" t="inlineStr">
        <is>
          <t>Rejected</t>
        </is>
      </c>
      <c r="X2395" s="5">
        <f>Z2395</f>
        <v/>
      </c>
      <c r="Y2395" s="1">
        <f>X2395-A2395</f>
        <v/>
      </c>
      <c r="Z2395" s="5" t="n">
        <v>46199</v>
      </c>
      <c r="AA2395" s="3" t="n"/>
      <c r="AB2395" s="3" t="n"/>
      <c r="AE2395" s="146">
        <f>IF(AND(F2395="Closed",X2395&gt;=DATE(2026,6,1),X2395&lt;=DATE(2026,6,30)),"Closed in June","other")</f>
        <v/>
      </c>
    </row>
    <row r="2396" hidden="1">
      <c r="A2396" s="49" t="n">
        <v>46177</v>
      </c>
      <c r="B2396" s="1" t="n">
        <v>2026</v>
      </c>
      <c r="C2396" s="8" t="inlineStr">
        <is>
          <t>Ayana</t>
        </is>
      </c>
      <c r="D2396" s="11" t="inlineStr">
        <is>
          <t>Utility and C&amp;I</t>
        </is>
      </c>
      <c r="E2396" s="1" t="n"/>
      <c r="F2396" s="1" t="inlineStr">
        <is>
          <t>Closed</t>
        </is>
      </c>
      <c r="G2396" s="11" t="inlineStr">
        <is>
          <t>Vasu.N</t>
        </is>
      </c>
      <c r="H2396" s="8" t="n">
        <v>9578099893</v>
      </c>
      <c r="I2396" s="10" t="inlineStr">
        <is>
          <t>PE04062601</t>
        </is>
      </c>
      <c r="J2396" s="28" t="inlineStr">
        <is>
          <t>Module burnt</t>
        </is>
      </c>
      <c r="K2396" s="8" t="inlineStr">
        <is>
          <t>Zura</t>
        </is>
      </c>
      <c r="L2396" s="8" t="inlineStr">
        <is>
          <t>Gujarat</t>
        </is>
      </c>
      <c r="M2396" s="2" t="inlineStr">
        <is>
          <t xml:space="preserve">damage </t>
        </is>
      </c>
      <c r="N2396" s="6" t="inlineStr">
        <is>
          <t>Module Breakage</t>
        </is>
      </c>
      <c r="O2396" s="32" t="n">
        <v>590</v>
      </c>
      <c r="P2396" s="2" t="inlineStr">
        <is>
          <t>NSMI24110824870</t>
        </is>
      </c>
      <c r="Q2396" s="29">
        <f>MID(P2396,5,2)</f>
        <v/>
      </c>
      <c r="R2396" s="14">
        <f>MID(P2396,7,2)</f>
        <v/>
      </c>
      <c r="S2396" s="6" t="inlineStr">
        <is>
          <t>G2G</t>
        </is>
      </c>
      <c r="T2396" s="1" t="inlineStr">
        <is>
          <t>P4 - PEIPL</t>
        </is>
      </c>
      <c r="U2396" s="2" t="inlineStr">
        <is>
          <t xml:space="preserve">physically damaged </t>
        </is>
      </c>
      <c r="V2396" s="1" t="inlineStr">
        <is>
          <t>Inspection</t>
        </is>
      </c>
      <c r="W2396" s="1" t="inlineStr">
        <is>
          <t>Rejected</t>
        </is>
      </c>
      <c r="X2396" s="5">
        <f>Z2396</f>
        <v/>
      </c>
      <c r="Y2396" s="1">
        <f>X2396-A2396</f>
        <v/>
      </c>
      <c r="Z2396" s="5" t="n">
        <v>46199</v>
      </c>
      <c r="AA2396" s="3" t="n"/>
      <c r="AB2396" s="3" t="n"/>
      <c r="AE2396" s="146">
        <f>IF(AND(F2396="Closed",X2396&gt;=DATE(2026,6,1),X2396&lt;=DATE(2026,6,30)),"Closed in June","other")</f>
        <v/>
      </c>
    </row>
    <row r="2397" hidden="1">
      <c r="A2397" s="49" t="n">
        <v>46177</v>
      </c>
      <c r="B2397" s="1" t="n">
        <v>2026</v>
      </c>
      <c r="C2397" s="8" t="inlineStr">
        <is>
          <t>Ayana</t>
        </is>
      </c>
      <c r="D2397" s="11" t="inlineStr">
        <is>
          <t>Utility and C&amp;I</t>
        </is>
      </c>
      <c r="E2397" s="1" t="n"/>
      <c r="F2397" s="1" t="inlineStr">
        <is>
          <t>Closed</t>
        </is>
      </c>
      <c r="G2397" s="11" t="inlineStr">
        <is>
          <t>Vasu.N</t>
        </is>
      </c>
      <c r="H2397" s="8" t="n">
        <v>9578099893</v>
      </c>
      <c r="I2397" s="10" t="inlineStr">
        <is>
          <t>PE04062601</t>
        </is>
      </c>
      <c r="J2397" s="28" t="inlineStr">
        <is>
          <t>Module burnt</t>
        </is>
      </c>
      <c r="K2397" s="8" t="inlineStr">
        <is>
          <t>Zura</t>
        </is>
      </c>
      <c r="L2397" s="8" t="inlineStr">
        <is>
          <t>Gujarat</t>
        </is>
      </c>
      <c r="M2397" s="2" t="inlineStr">
        <is>
          <t xml:space="preserve">damage </t>
        </is>
      </c>
      <c r="N2397" s="6" t="inlineStr">
        <is>
          <t>Module Breakage</t>
        </is>
      </c>
      <c r="O2397" s="32" t="n">
        <v>590</v>
      </c>
      <c r="P2397" s="2" t="inlineStr">
        <is>
          <t>NSMI24110801810</t>
        </is>
      </c>
      <c r="Q2397" s="29">
        <f>MID(P2397,5,2)</f>
        <v/>
      </c>
      <c r="R2397" s="14">
        <f>MID(P2397,7,2)</f>
        <v/>
      </c>
      <c r="S2397" s="6" t="inlineStr">
        <is>
          <t>G2G</t>
        </is>
      </c>
      <c r="T2397" s="1" t="inlineStr">
        <is>
          <t>P4 - PEIPL</t>
        </is>
      </c>
      <c r="U2397" s="2" t="inlineStr">
        <is>
          <t xml:space="preserve">physically damaged </t>
        </is>
      </c>
      <c r="V2397" s="1" t="inlineStr">
        <is>
          <t>Inspection</t>
        </is>
      </c>
      <c r="W2397" s="1" t="inlineStr">
        <is>
          <t>Rejected</t>
        </is>
      </c>
      <c r="X2397" s="5">
        <f>Z2397</f>
        <v/>
      </c>
      <c r="Y2397" s="1">
        <f>X2397-A2397</f>
        <v/>
      </c>
      <c r="Z2397" s="5" t="n">
        <v>46199</v>
      </c>
      <c r="AA2397" s="3" t="n"/>
      <c r="AB2397" s="3" t="n"/>
      <c r="AE2397" s="146">
        <f>IF(AND(F2397="Closed",X2397&gt;=DATE(2026,6,1),X2397&lt;=DATE(2026,6,30)),"Closed in June","other")</f>
        <v/>
      </c>
    </row>
    <row r="2398" hidden="1">
      <c r="A2398" s="49" t="n">
        <v>46177</v>
      </c>
      <c r="B2398" s="1" t="n">
        <v>2026</v>
      </c>
      <c r="C2398" s="8" t="inlineStr">
        <is>
          <t>Ayana</t>
        </is>
      </c>
      <c r="D2398" s="11" t="inlineStr">
        <is>
          <t>Utility and C&amp;I</t>
        </is>
      </c>
      <c r="E2398" s="1" t="n"/>
      <c r="F2398" s="1" t="inlineStr">
        <is>
          <t>Closed</t>
        </is>
      </c>
      <c r="G2398" s="11" t="inlineStr">
        <is>
          <t>Vasu.N</t>
        </is>
      </c>
      <c r="H2398" s="8" t="n">
        <v>9578099893</v>
      </c>
      <c r="I2398" s="10" t="inlineStr">
        <is>
          <t>PE04062601</t>
        </is>
      </c>
      <c r="J2398" s="28" t="inlineStr">
        <is>
          <t>Module burnt</t>
        </is>
      </c>
      <c r="K2398" s="8" t="inlineStr">
        <is>
          <t>Zura</t>
        </is>
      </c>
      <c r="L2398" s="8" t="inlineStr">
        <is>
          <t>Gujarat</t>
        </is>
      </c>
      <c r="M2398" s="2" t="inlineStr">
        <is>
          <t xml:space="preserve">damage </t>
        </is>
      </c>
      <c r="N2398" s="6" t="inlineStr">
        <is>
          <t>Module Breakage</t>
        </is>
      </c>
      <c r="O2398" s="32" t="n">
        <v>590</v>
      </c>
      <c r="P2398" s="2" t="inlineStr">
        <is>
          <t>NSMI24110801797</t>
        </is>
      </c>
      <c r="Q2398" s="29">
        <f>MID(P2398,5,2)</f>
        <v/>
      </c>
      <c r="R2398" s="14">
        <f>MID(P2398,7,2)</f>
        <v/>
      </c>
      <c r="S2398" s="6" t="inlineStr">
        <is>
          <t>G2G</t>
        </is>
      </c>
      <c r="T2398" s="1" t="inlineStr">
        <is>
          <t>P4 - PEIPL</t>
        </is>
      </c>
      <c r="U2398" s="2" t="inlineStr">
        <is>
          <t xml:space="preserve">physically damaged </t>
        </is>
      </c>
      <c r="V2398" s="1" t="inlineStr">
        <is>
          <t>Inspection</t>
        </is>
      </c>
      <c r="W2398" s="1" t="inlineStr">
        <is>
          <t>Rejected</t>
        </is>
      </c>
      <c r="X2398" s="5">
        <f>Z2398</f>
        <v/>
      </c>
      <c r="Y2398" s="1">
        <f>X2398-A2398</f>
        <v/>
      </c>
      <c r="Z2398" s="5" t="n">
        <v>46199</v>
      </c>
      <c r="AA2398" s="3" t="n"/>
      <c r="AB2398" s="3" t="n"/>
      <c r="AE2398" s="146">
        <f>IF(AND(F2398="Closed",X2398&gt;=DATE(2026,6,1),X2398&lt;=DATE(2026,6,30)),"Closed in June","other")</f>
        <v/>
      </c>
    </row>
    <row r="2399" hidden="1">
      <c r="A2399" s="49" t="n">
        <v>46177</v>
      </c>
      <c r="B2399" s="1" t="n">
        <v>2026</v>
      </c>
      <c r="C2399" s="8" t="inlineStr">
        <is>
          <t>Ayana</t>
        </is>
      </c>
      <c r="D2399" s="11" t="inlineStr">
        <is>
          <t>Utility and C&amp;I</t>
        </is>
      </c>
      <c r="E2399" s="1" t="n"/>
      <c r="F2399" s="1" t="inlineStr">
        <is>
          <t>Closed</t>
        </is>
      </c>
      <c r="G2399" s="11" t="inlineStr">
        <is>
          <t>Vasu.N</t>
        </is>
      </c>
      <c r="H2399" s="8" t="n">
        <v>9578099893</v>
      </c>
      <c r="I2399" s="10" t="inlineStr">
        <is>
          <t>PE04062601</t>
        </is>
      </c>
      <c r="J2399" s="28" t="inlineStr">
        <is>
          <t>Module burnt</t>
        </is>
      </c>
      <c r="K2399" s="8" t="inlineStr">
        <is>
          <t>Zura</t>
        </is>
      </c>
      <c r="L2399" s="8" t="inlineStr">
        <is>
          <t>Gujarat</t>
        </is>
      </c>
      <c r="M2399" s="2" t="inlineStr">
        <is>
          <t xml:space="preserve">damage </t>
        </is>
      </c>
      <c r="N2399" s="6" t="inlineStr">
        <is>
          <t>Module Breakage</t>
        </is>
      </c>
      <c r="O2399" s="32" t="n">
        <v>590</v>
      </c>
      <c r="P2399" s="2" t="inlineStr">
        <is>
          <t>NSMI24100605356</t>
        </is>
      </c>
      <c r="Q2399" s="29">
        <f>MID(P2399,5,2)</f>
        <v/>
      </c>
      <c r="R2399" s="14">
        <f>MID(P2399,7,2)</f>
        <v/>
      </c>
      <c r="S2399" s="6" t="inlineStr">
        <is>
          <t>G2G</t>
        </is>
      </c>
      <c r="T2399" s="1" t="inlineStr">
        <is>
          <t>P4 - PEIPL</t>
        </is>
      </c>
      <c r="U2399" s="2" t="inlineStr">
        <is>
          <t xml:space="preserve">physically damaged </t>
        </is>
      </c>
      <c r="V2399" s="1" t="inlineStr">
        <is>
          <t>Inspection</t>
        </is>
      </c>
      <c r="W2399" s="1" t="inlineStr">
        <is>
          <t>Rejected</t>
        </is>
      </c>
      <c r="X2399" s="5">
        <f>Z2399</f>
        <v/>
      </c>
      <c r="Y2399" s="1">
        <f>X2399-A2399</f>
        <v/>
      </c>
      <c r="Z2399" s="5" t="n">
        <v>46199</v>
      </c>
      <c r="AA2399" s="3" t="n"/>
      <c r="AB2399" s="3" t="n"/>
      <c r="AE2399" s="146">
        <f>IF(AND(F2399="Closed",X2399&gt;=DATE(2026,6,1),X2399&lt;=DATE(2026,6,30)),"Closed in June","other")</f>
        <v/>
      </c>
    </row>
    <row r="2400" hidden="1">
      <c r="A2400" s="49" t="n">
        <v>46177</v>
      </c>
      <c r="B2400" s="1" t="n">
        <v>2026</v>
      </c>
      <c r="C2400" s="8" t="inlineStr">
        <is>
          <t>Ayana</t>
        </is>
      </c>
      <c r="D2400" s="11" t="inlineStr">
        <is>
          <t>Utility and C&amp;I</t>
        </is>
      </c>
      <c r="E2400" s="1" t="n"/>
      <c r="F2400" s="1" t="inlineStr">
        <is>
          <t>Closed</t>
        </is>
      </c>
      <c r="G2400" s="11" t="inlineStr">
        <is>
          <t>Vasu.N</t>
        </is>
      </c>
      <c r="H2400" s="8" t="n">
        <v>9578099893</v>
      </c>
      <c r="I2400" s="10" t="inlineStr">
        <is>
          <t>PE04062601</t>
        </is>
      </c>
      <c r="J2400" s="28" t="inlineStr">
        <is>
          <t>Module burnt</t>
        </is>
      </c>
      <c r="K2400" s="8" t="inlineStr">
        <is>
          <t>Zura</t>
        </is>
      </c>
      <c r="L2400" s="8" t="inlineStr">
        <is>
          <t>Gujarat</t>
        </is>
      </c>
      <c r="M2400" s="2" t="inlineStr">
        <is>
          <t xml:space="preserve">damage </t>
        </is>
      </c>
      <c r="N2400" s="6" t="inlineStr">
        <is>
          <t>Module Breakage</t>
        </is>
      </c>
      <c r="O2400" s="32" t="n">
        <v>590</v>
      </c>
      <c r="P2400" s="2" t="inlineStr">
        <is>
          <t>NSMI24100605335</t>
        </is>
      </c>
      <c r="Q2400" s="29">
        <f>MID(P2400,5,2)</f>
        <v/>
      </c>
      <c r="R2400" s="14">
        <f>MID(P2400,7,2)</f>
        <v/>
      </c>
      <c r="S2400" s="6" t="inlineStr">
        <is>
          <t>G2G</t>
        </is>
      </c>
      <c r="T2400" s="1" t="inlineStr">
        <is>
          <t>P4 - PEIPL</t>
        </is>
      </c>
      <c r="U2400" s="2" t="inlineStr">
        <is>
          <t xml:space="preserve">physically damaged </t>
        </is>
      </c>
      <c r="V2400" s="1" t="inlineStr">
        <is>
          <t>Inspection</t>
        </is>
      </c>
      <c r="W2400" s="1" t="inlineStr">
        <is>
          <t>Rejected</t>
        </is>
      </c>
      <c r="X2400" s="5">
        <f>Z2400</f>
        <v/>
      </c>
      <c r="Y2400" s="1">
        <f>X2400-A2400</f>
        <v/>
      </c>
      <c r="Z2400" s="5" t="n">
        <v>46199</v>
      </c>
      <c r="AA2400" s="3" t="n"/>
      <c r="AB2400" s="3" t="n"/>
      <c r="AE2400" s="146">
        <f>IF(AND(F2400="Closed",X2400&gt;=DATE(2026,6,1),X2400&lt;=DATE(2026,6,30)),"Closed in June","other")</f>
        <v/>
      </c>
    </row>
    <row r="2401" hidden="1">
      <c r="A2401" s="49" t="n">
        <v>46177</v>
      </c>
      <c r="B2401" s="1" t="n">
        <v>2026</v>
      </c>
      <c r="C2401" s="8" t="inlineStr">
        <is>
          <t>Ayana</t>
        </is>
      </c>
      <c r="D2401" s="11" t="inlineStr">
        <is>
          <t>Utility and C&amp;I</t>
        </is>
      </c>
      <c r="E2401" s="1" t="n"/>
      <c r="F2401" s="1" t="inlineStr">
        <is>
          <t>Closed</t>
        </is>
      </c>
      <c r="G2401" s="11" t="inlineStr">
        <is>
          <t>Vasu.N</t>
        </is>
      </c>
      <c r="H2401" s="8" t="n">
        <v>9578099893</v>
      </c>
      <c r="I2401" s="10" t="inlineStr">
        <is>
          <t>PE04062601</t>
        </is>
      </c>
      <c r="J2401" s="28" t="inlineStr">
        <is>
          <t>Module burnt</t>
        </is>
      </c>
      <c r="K2401" s="8" t="inlineStr">
        <is>
          <t>Zura</t>
        </is>
      </c>
      <c r="L2401" s="8" t="inlineStr">
        <is>
          <t>Gujarat</t>
        </is>
      </c>
      <c r="M2401" s="2" t="inlineStr">
        <is>
          <t xml:space="preserve">damage </t>
        </is>
      </c>
      <c r="N2401" s="6" t="inlineStr">
        <is>
          <t>Module Breakage</t>
        </is>
      </c>
      <c r="O2401" s="32" t="n">
        <v>590</v>
      </c>
      <c r="P2401" s="2" t="inlineStr">
        <is>
          <t>NSMI24100682358</t>
        </is>
      </c>
      <c r="Q2401" s="29">
        <f>MID(P2401,5,2)</f>
        <v/>
      </c>
      <c r="R2401" s="14">
        <f>MID(P2401,7,2)</f>
        <v/>
      </c>
      <c r="S2401" s="6" t="inlineStr">
        <is>
          <t>G2G</t>
        </is>
      </c>
      <c r="T2401" s="1" t="inlineStr">
        <is>
          <t>P4 - PEIPL</t>
        </is>
      </c>
      <c r="U2401" s="2" t="inlineStr">
        <is>
          <t xml:space="preserve">physically damaged </t>
        </is>
      </c>
      <c r="V2401" s="1" t="inlineStr">
        <is>
          <t>Inspection</t>
        </is>
      </c>
      <c r="W2401" s="1" t="inlineStr">
        <is>
          <t>Rejected</t>
        </is>
      </c>
      <c r="X2401" s="5">
        <f>Z2401</f>
        <v/>
      </c>
      <c r="Y2401" s="1">
        <f>X2401-A2401</f>
        <v/>
      </c>
      <c r="Z2401" s="5" t="n">
        <v>46199</v>
      </c>
      <c r="AA2401" s="3" t="n"/>
      <c r="AB2401" s="3" t="n"/>
      <c r="AE2401" s="146">
        <f>IF(AND(F2401="Closed",X2401&gt;=DATE(2026,6,1),X2401&lt;=DATE(2026,6,30)),"Closed in June","other")</f>
        <v/>
      </c>
    </row>
    <row r="2402" hidden="1">
      <c r="A2402" s="49" t="n">
        <v>46177</v>
      </c>
      <c r="B2402" s="1" t="n">
        <v>2026</v>
      </c>
      <c r="C2402" s="8" t="inlineStr">
        <is>
          <t>Ayana</t>
        </is>
      </c>
      <c r="D2402" s="11" t="inlineStr">
        <is>
          <t>Utility and C&amp;I</t>
        </is>
      </c>
      <c r="E2402" s="1" t="n"/>
      <c r="F2402" s="1" t="inlineStr">
        <is>
          <t>Closed</t>
        </is>
      </c>
      <c r="G2402" s="11" t="inlineStr">
        <is>
          <t>Vasu.N</t>
        </is>
      </c>
      <c r="H2402" s="8" t="n">
        <v>9578099893</v>
      </c>
      <c r="I2402" s="10" t="inlineStr">
        <is>
          <t>PE04062601</t>
        </is>
      </c>
      <c r="J2402" s="28" t="inlineStr">
        <is>
          <t>Module burnt</t>
        </is>
      </c>
      <c r="K2402" s="8" t="inlineStr">
        <is>
          <t>Zura</t>
        </is>
      </c>
      <c r="L2402" s="8" t="inlineStr">
        <is>
          <t>Gujarat</t>
        </is>
      </c>
      <c r="M2402" s="2" t="inlineStr">
        <is>
          <t xml:space="preserve">damage </t>
        </is>
      </c>
      <c r="N2402" s="6" t="inlineStr">
        <is>
          <t>Module Breakage</t>
        </is>
      </c>
      <c r="O2402" s="32" t="n">
        <v>590</v>
      </c>
      <c r="P2402" s="2" t="inlineStr">
        <is>
          <t>NSMI24100681040</t>
        </is>
      </c>
      <c r="Q2402" s="29">
        <f>MID(P2402,5,2)</f>
        <v/>
      </c>
      <c r="R2402" s="14">
        <f>MID(P2402,7,2)</f>
        <v/>
      </c>
      <c r="S2402" s="6" t="inlineStr">
        <is>
          <t>G2G</t>
        </is>
      </c>
      <c r="T2402" s="1" t="inlineStr">
        <is>
          <t>P4 - PEIPL</t>
        </is>
      </c>
      <c r="U2402" s="2" t="inlineStr">
        <is>
          <t xml:space="preserve">physically damaged </t>
        </is>
      </c>
      <c r="V2402" s="1" t="inlineStr">
        <is>
          <t>Inspection</t>
        </is>
      </c>
      <c r="W2402" s="1" t="inlineStr">
        <is>
          <t>Rejected</t>
        </is>
      </c>
      <c r="X2402" s="5">
        <f>Z2402</f>
        <v/>
      </c>
      <c r="Y2402" s="1">
        <f>X2402-A2402</f>
        <v/>
      </c>
      <c r="Z2402" s="5" t="n">
        <v>46199</v>
      </c>
      <c r="AA2402" s="3" t="n"/>
      <c r="AB2402" s="3" t="n"/>
      <c r="AE2402" s="146">
        <f>IF(AND(F2402="Closed",X2402&gt;=DATE(2026,6,1),X2402&lt;=DATE(2026,6,30)),"Closed in June","other")</f>
        <v/>
      </c>
    </row>
    <row r="2403" hidden="1">
      <c r="A2403" s="49" t="n">
        <v>46177</v>
      </c>
      <c r="B2403" s="1" t="n">
        <v>2026</v>
      </c>
      <c r="C2403" s="8" t="inlineStr">
        <is>
          <t>Ayana</t>
        </is>
      </c>
      <c r="D2403" s="11" t="inlineStr">
        <is>
          <t>Utility and C&amp;I</t>
        </is>
      </c>
      <c r="E2403" s="1" t="n"/>
      <c r="F2403" s="1" t="inlineStr">
        <is>
          <t>Closed</t>
        </is>
      </c>
      <c r="G2403" s="11" t="inlineStr">
        <is>
          <t>Vasu.N</t>
        </is>
      </c>
      <c r="H2403" s="8" t="n">
        <v>9578099893</v>
      </c>
      <c r="I2403" s="10" t="inlineStr">
        <is>
          <t>PE04062601</t>
        </is>
      </c>
      <c r="J2403" s="28" t="inlineStr">
        <is>
          <t>Module burnt</t>
        </is>
      </c>
      <c r="K2403" s="8" t="inlineStr">
        <is>
          <t>Zura</t>
        </is>
      </c>
      <c r="L2403" s="8" t="inlineStr">
        <is>
          <t>Gujarat</t>
        </is>
      </c>
      <c r="M2403" s="2" t="inlineStr">
        <is>
          <t xml:space="preserve">damage </t>
        </is>
      </c>
      <c r="N2403" s="6" t="inlineStr">
        <is>
          <t>Module Breakage</t>
        </is>
      </c>
      <c r="O2403" s="32" t="n">
        <v>590</v>
      </c>
      <c r="P2403" s="2" t="inlineStr">
        <is>
          <t>NSMI24100681027</t>
        </is>
      </c>
      <c r="Q2403" s="29">
        <f>MID(P2403,5,2)</f>
        <v/>
      </c>
      <c r="R2403" s="14">
        <f>MID(P2403,7,2)</f>
        <v/>
      </c>
      <c r="S2403" s="6" t="inlineStr">
        <is>
          <t>G2G</t>
        </is>
      </c>
      <c r="T2403" s="1" t="inlineStr">
        <is>
          <t>P4 - PEIPL</t>
        </is>
      </c>
      <c r="U2403" s="2" t="inlineStr">
        <is>
          <t xml:space="preserve">physically damaged </t>
        </is>
      </c>
      <c r="V2403" s="1" t="inlineStr">
        <is>
          <t>Inspection</t>
        </is>
      </c>
      <c r="W2403" s="1" t="inlineStr">
        <is>
          <t>Rejected</t>
        </is>
      </c>
      <c r="X2403" s="5">
        <f>Z2403</f>
        <v/>
      </c>
      <c r="Y2403" s="1">
        <f>X2403-A2403</f>
        <v/>
      </c>
      <c r="Z2403" s="5" t="n">
        <v>46199</v>
      </c>
      <c r="AA2403" s="3" t="n"/>
      <c r="AB2403" s="3" t="n"/>
      <c r="AE2403" s="146">
        <f>IF(AND(F2403="Closed",X2403&gt;=DATE(2026,6,1),X2403&lt;=DATE(2026,6,30)),"Closed in June","other")</f>
        <v/>
      </c>
    </row>
    <row r="2404" hidden="1">
      <c r="A2404" s="49" t="n">
        <v>46177</v>
      </c>
      <c r="B2404" s="1" t="n">
        <v>2026</v>
      </c>
      <c r="C2404" s="8" t="inlineStr">
        <is>
          <t>Ayana</t>
        </is>
      </c>
      <c r="D2404" s="11" t="inlineStr">
        <is>
          <t>Utility and C&amp;I</t>
        </is>
      </c>
      <c r="E2404" s="1" t="n"/>
      <c r="F2404" s="1" t="inlineStr">
        <is>
          <t>Closed</t>
        </is>
      </c>
      <c r="G2404" s="11" t="inlineStr">
        <is>
          <t>Vasu.N</t>
        </is>
      </c>
      <c r="H2404" s="8" t="n">
        <v>9578099893</v>
      </c>
      <c r="I2404" s="10" t="inlineStr">
        <is>
          <t>PE04062601</t>
        </is>
      </c>
      <c r="J2404" s="28" t="inlineStr">
        <is>
          <t>Module burnt</t>
        </is>
      </c>
      <c r="K2404" s="8" t="inlineStr">
        <is>
          <t>Zura</t>
        </is>
      </c>
      <c r="L2404" s="8" t="inlineStr">
        <is>
          <t>Gujarat</t>
        </is>
      </c>
      <c r="M2404" s="2" t="inlineStr">
        <is>
          <t xml:space="preserve">damage </t>
        </is>
      </c>
      <c r="N2404" s="6" t="inlineStr">
        <is>
          <t>Module Breakage</t>
        </is>
      </c>
      <c r="O2404" s="32" t="n">
        <v>590</v>
      </c>
      <c r="P2404" s="2" t="inlineStr">
        <is>
          <t>NSMI24100680993</t>
        </is>
      </c>
      <c r="Q2404" s="29">
        <f>MID(P2404,5,2)</f>
        <v/>
      </c>
      <c r="R2404" s="14">
        <f>MID(P2404,7,2)</f>
        <v/>
      </c>
      <c r="S2404" s="6" t="inlineStr">
        <is>
          <t>G2G</t>
        </is>
      </c>
      <c r="T2404" s="1" t="inlineStr">
        <is>
          <t>P4 - PEIPL</t>
        </is>
      </c>
      <c r="U2404" s="2" t="inlineStr">
        <is>
          <t xml:space="preserve">physically damaged </t>
        </is>
      </c>
      <c r="V2404" s="1" t="inlineStr">
        <is>
          <t>Inspection</t>
        </is>
      </c>
      <c r="W2404" s="1" t="inlineStr">
        <is>
          <t>Rejected</t>
        </is>
      </c>
      <c r="X2404" s="5">
        <f>Z2404</f>
        <v/>
      </c>
      <c r="Y2404" s="1">
        <f>X2404-A2404</f>
        <v/>
      </c>
      <c r="Z2404" s="5" t="n">
        <v>46199</v>
      </c>
      <c r="AA2404" s="3" t="n"/>
      <c r="AB2404" s="3" t="n"/>
      <c r="AE2404" s="146">
        <f>IF(AND(F2404="Closed",X2404&gt;=DATE(2026,6,1),X2404&lt;=DATE(2026,6,30)),"Closed in June","other")</f>
        <v/>
      </c>
    </row>
    <row r="2405" hidden="1">
      <c r="A2405" s="49" t="n">
        <v>46177</v>
      </c>
      <c r="B2405" s="1" t="n">
        <v>2026</v>
      </c>
      <c r="C2405" s="8" t="inlineStr">
        <is>
          <t>Ayana</t>
        </is>
      </c>
      <c r="D2405" s="11" t="inlineStr">
        <is>
          <t>Utility and C&amp;I</t>
        </is>
      </c>
      <c r="E2405" s="1" t="n"/>
      <c r="F2405" s="1" t="inlineStr">
        <is>
          <t>Closed</t>
        </is>
      </c>
      <c r="G2405" s="11" t="inlineStr">
        <is>
          <t>Vasu.N</t>
        </is>
      </c>
      <c r="H2405" s="8" t="n">
        <v>9578099893</v>
      </c>
      <c r="I2405" s="10" t="inlineStr">
        <is>
          <t>PE04062601</t>
        </is>
      </c>
      <c r="J2405" s="28" t="inlineStr">
        <is>
          <t>Module burnt</t>
        </is>
      </c>
      <c r="K2405" s="8" t="inlineStr">
        <is>
          <t>Zura</t>
        </is>
      </c>
      <c r="L2405" s="8" t="inlineStr">
        <is>
          <t>Gujarat</t>
        </is>
      </c>
      <c r="M2405" s="2" t="inlineStr">
        <is>
          <t xml:space="preserve">damage </t>
        </is>
      </c>
      <c r="N2405" s="6" t="inlineStr">
        <is>
          <t>Module Breakage</t>
        </is>
      </c>
      <c r="O2405" s="32" t="n">
        <v>590</v>
      </c>
      <c r="P2405" s="2" t="inlineStr">
        <is>
          <t>NSMI24100680973</t>
        </is>
      </c>
      <c r="Q2405" s="29">
        <f>MID(P2405,5,2)</f>
        <v/>
      </c>
      <c r="R2405" s="14">
        <f>MID(P2405,7,2)</f>
        <v/>
      </c>
      <c r="S2405" s="6" t="inlineStr">
        <is>
          <t>G2G</t>
        </is>
      </c>
      <c r="T2405" s="1" t="inlineStr">
        <is>
          <t>P4 - PEIPL</t>
        </is>
      </c>
      <c r="U2405" s="2" t="inlineStr">
        <is>
          <t xml:space="preserve">physically damaged </t>
        </is>
      </c>
      <c r="V2405" s="1" t="inlineStr">
        <is>
          <t>Inspection</t>
        </is>
      </c>
      <c r="W2405" s="1" t="inlineStr">
        <is>
          <t>Rejected</t>
        </is>
      </c>
      <c r="X2405" s="5">
        <f>Z2405</f>
        <v/>
      </c>
      <c r="Y2405" s="1">
        <f>X2405-A2405</f>
        <v/>
      </c>
      <c r="Z2405" s="5" t="n">
        <v>46199</v>
      </c>
      <c r="AA2405" s="3" t="n"/>
      <c r="AB2405" s="3" t="n"/>
      <c r="AE2405" s="146">
        <f>IF(AND(F2405="Closed",X2405&gt;=DATE(2026,6,1),X2405&lt;=DATE(2026,6,30)),"Closed in June","other")</f>
        <v/>
      </c>
    </row>
    <row r="2406" hidden="1">
      <c r="A2406" s="49" t="n">
        <v>46177</v>
      </c>
      <c r="B2406" s="1" t="n">
        <v>2026</v>
      </c>
      <c r="C2406" s="8" t="inlineStr">
        <is>
          <t>Ayana</t>
        </is>
      </c>
      <c r="D2406" s="11" t="inlineStr">
        <is>
          <t>Utility and C&amp;I</t>
        </is>
      </c>
      <c r="E2406" s="1" t="n"/>
      <c r="F2406" s="1" t="inlineStr">
        <is>
          <t>Closed</t>
        </is>
      </c>
      <c r="G2406" s="11" t="inlineStr">
        <is>
          <t>Vasu.N</t>
        </is>
      </c>
      <c r="H2406" s="8" t="n">
        <v>9578099893</v>
      </c>
      <c r="I2406" s="10" t="inlineStr">
        <is>
          <t>PE04062601</t>
        </is>
      </c>
      <c r="J2406" s="28" t="inlineStr">
        <is>
          <t>Module burnt</t>
        </is>
      </c>
      <c r="K2406" s="8" t="inlineStr">
        <is>
          <t>Zura</t>
        </is>
      </c>
      <c r="L2406" s="8" t="inlineStr">
        <is>
          <t>Gujarat</t>
        </is>
      </c>
      <c r="M2406" s="2" t="inlineStr">
        <is>
          <t xml:space="preserve">damage </t>
        </is>
      </c>
      <c r="N2406" s="6" t="inlineStr">
        <is>
          <t>Module Breakage</t>
        </is>
      </c>
      <c r="O2406" s="32" t="n">
        <v>590</v>
      </c>
      <c r="P2406" s="2" t="inlineStr">
        <is>
          <t>NSMI24100680977</t>
        </is>
      </c>
      <c r="Q2406" s="29">
        <f>MID(P2406,5,2)</f>
        <v/>
      </c>
      <c r="R2406" s="14">
        <f>MID(P2406,7,2)</f>
        <v/>
      </c>
      <c r="S2406" s="6" t="inlineStr">
        <is>
          <t>G2G</t>
        </is>
      </c>
      <c r="T2406" s="1" t="inlineStr">
        <is>
          <t>P4 - PEIPL</t>
        </is>
      </c>
      <c r="U2406" s="2" t="inlineStr">
        <is>
          <t xml:space="preserve">physically damaged </t>
        </is>
      </c>
      <c r="V2406" s="1" t="inlineStr">
        <is>
          <t>Inspection</t>
        </is>
      </c>
      <c r="W2406" s="1" t="inlineStr">
        <is>
          <t>Rejected</t>
        </is>
      </c>
      <c r="X2406" s="5">
        <f>Z2406</f>
        <v/>
      </c>
      <c r="Y2406" s="1">
        <f>X2406-A2406</f>
        <v/>
      </c>
      <c r="Z2406" s="5" t="n">
        <v>46199</v>
      </c>
      <c r="AA2406" s="3" t="n"/>
      <c r="AB2406" s="3" t="n"/>
      <c r="AE2406" s="146">
        <f>IF(AND(F2406="Closed",X2406&gt;=DATE(2026,6,1),X2406&lt;=DATE(2026,6,30)),"Closed in June","other")</f>
        <v/>
      </c>
    </row>
    <row r="2407" hidden="1">
      <c r="A2407" s="49" t="n">
        <v>46177</v>
      </c>
      <c r="B2407" s="1" t="n">
        <v>2026</v>
      </c>
      <c r="C2407" s="8" t="inlineStr">
        <is>
          <t>Ayana</t>
        </is>
      </c>
      <c r="D2407" s="11" t="inlineStr">
        <is>
          <t>Utility and C&amp;I</t>
        </is>
      </c>
      <c r="E2407" s="1" t="n"/>
      <c r="F2407" s="1" t="inlineStr">
        <is>
          <t>Closed</t>
        </is>
      </c>
      <c r="G2407" s="11" t="inlineStr">
        <is>
          <t>Vasu.N</t>
        </is>
      </c>
      <c r="H2407" s="8" t="n">
        <v>9578099893</v>
      </c>
      <c r="I2407" s="10" t="inlineStr">
        <is>
          <t>PE04062601</t>
        </is>
      </c>
      <c r="J2407" s="28" t="inlineStr">
        <is>
          <t>Module burnt</t>
        </is>
      </c>
      <c r="K2407" s="8" t="inlineStr">
        <is>
          <t>Zura</t>
        </is>
      </c>
      <c r="L2407" s="8" t="inlineStr">
        <is>
          <t>Gujarat</t>
        </is>
      </c>
      <c r="M2407" s="2" t="inlineStr">
        <is>
          <t xml:space="preserve">damage </t>
        </is>
      </c>
      <c r="N2407" s="6" t="inlineStr">
        <is>
          <t>Module Breakage</t>
        </is>
      </c>
      <c r="O2407" s="32" t="n">
        <v>590</v>
      </c>
      <c r="P2407" s="2" t="inlineStr">
        <is>
          <t>NSMI24110801877</t>
        </is>
      </c>
      <c r="Q2407" s="29">
        <f>MID(P2407,5,2)</f>
        <v/>
      </c>
      <c r="R2407" s="14">
        <f>MID(P2407,7,2)</f>
        <v/>
      </c>
      <c r="S2407" s="6" t="inlineStr">
        <is>
          <t>G2G</t>
        </is>
      </c>
      <c r="T2407" s="1" t="inlineStr">
        <is>
          <t>P4 - PEIPL</t>
        </is>
      </c>
      <c r="U2407" s="2" t="inlineStr">
        <is>
          <t xml:space="preserve">physically damaged </t>
        </is>
      </c>
      <c r="V2407" s="1" t="inlineStr">
        <is>
          <t>Inspection</t>
        </is>
      </c>
      <c r="W2407" s="1" t="inlineStr">
        <is>
          <t>Rejected</t>
        </is>
      </c>
      <c r="X2407" s="5">
        <f>Z2407</f>
        <v/>
      </c>
      <c r="Y2407" s="1">
        <f>X2407-A2407</f>
        <v/>
      </c>
      <c r="Z2407" s="5" t="n">
        <v>46199</v>
      </c>
      <c r="AA2407" s="3" t="n"/>
      <c r="AB2407" s="3" t="n"/>
      <c r="AE2407" s="146">
        <f>IF(AND(F2407="Closed",X2407&gt;=DATE(2026,6,1),X2407&lt;=DATE(2026,6,30)),"Closed in June","other")</f>
        <v/>
      </c>
    </row>
    <row r="2408" hidden="1">
      <c r="A2408" s="49" t="n">
        <v>46177</v>
      </c>
      <c r="B2408" s="1" t="n">
        <v>2026</v>
      </c>
      <c r="C2408" s="8" t="inlineStr">
        <is>
          <t>Ayana</t>
        </is>
      </c>
      <c r="D2408" s="11" t="inlineStr">
        <is>
          <t>Utility and C&amp;I</t>
        </is>
      </c>
      <c r="E2408" s="1" t="n"/>
      <c r="F2408" s="1" t="inlineStr">
        <is>
          <t>Closed</t>
        </is>
      </c>
      <c r="G2408" s="11" t="inlineStr">
        <is>
          <t>Vasu.N</t>
        </is>
      </c>
      <c r="H2408" s="8" t="n">
        <v>9578099893</v>
      </c>
      <c r="I2408" s="10" t="inlineStr">
        <is>
          <t>PE04062601</t>
        </is>
      </c>
      <c r="J2408" s="28" t="inlineStr">
        <is>
          <t>Module burnt</t>
        </is>
      </c>
      <c r="K2408" s="8" t="inlineStr">
        <is>
          <t>Zura</t>
        </is>
      </c>
      <c r="L2408" s="8" t="inlineStr">
        <is>
          <t>Gujarat</t>
        </is>
      </c>
      <c r="M2408" s="2" t="inlineStr">
        <is>
          <t xml:space="preserve">damage </t>
        </is>
      </c>
      <c r="N2408" s="6" t="inlineStr">
        <is>
          <t>Module Breakage</t>
        </is>
      </c>
      <c r="O2408" s="32" t="n">
        <v>590</v>
      </c>
      <c r="P2408" s="2" t="inlineStr">
        <is>
          <t>NSMI24090427291</t>
        </is>
      </c>
      <c r="Q2408" s="29">
        <f>MID(P2408,5,2)</f>
        <v/>
      </c>
      <c r="R2408" s="14">
        <f>MID(P2408,7,2)</f>
        <v/>
      </c>
      <c r="S2408" s="6" t="inlineStr">
        <is>
          <t>G2G</t>
        </is>
      </c>
      <c r="T2408" s="1" t="inlineStr">
        <is>
          <t>P4 - PEIPL</t>
        </is>
      </c>
      <c r="U2408" s="2" t="inlineStr">
        <is>
          <t xml:space="preserve">physically damaged </t>
        </is>
      </c>
      <c r="V2408" s="1" t="inlineStr">
        <is>
          <t>Inspection</t>
        </is>
      </c>
      <c r="W2408" s="1" t="inlineStr">
        <is>
          <t>Rejected</t>
        </is>
      </c>
      <c r="X2408" s="5">
        <f>Z2408</f>
        <v/>
      </c>
      <c r="Y2408" s="1">
        <f>X2408-A2408</f>
        <v/>
      </c>
      <c r="Z2408" s="5" t="n">
        <v>46199</v>
      </c>
      <c r="AA2408" s="3" t="n"/>
      <c r="AB2408" s="3" t="n"/>
      <c r="AE2408" s="146">
        <f>IF(AND(F2408="Closed",X2408&gt;=DATE(2026,6,1),X2408&lt;=DATE(2026,6,30)),"Closed in June","other")</f>
        <v/>
      </c>
    </row>
    <row r="2409" hidden="1">
      <c r="A2409" s="49" t="n">
        <v>46177</v>
      </c>
      <c r="B2409" s="1" t="n">
        <v>2026</v>
      </c>
      <c r="C2409" s="8" t="inlineStr">
        <is>
          <t>Ayana</t>
        </is>
      </c>
      <c r="D2409" s="11" t="inlineStr">
        <is>
          <t>Utility and C&amp;I</t>
        </is>
      </c>
      <c r="E2409" s="1" t="n"/>
      <c r="F2409" s="1" t="inlineStr">
        <is>
          <t>Closed</t>
        </is>
      </c>
      <c r="G2409" s="11" t="inlineStr">
        <is>
          <t>Vasu.N</t>
        </is>
      </c>
      <c r="H2409" s="8" t="n">
        <v>9578099893</v>
      </c>
      <c r="I2409" s="10" t="inlineStr">
        <is>
          <t>PE04062601</t>
        </is>
      </c>
      <c r="J2409" s="28" t="inlineStr">
        <is>
          <t>Module burnt</t>
        </is>
      </c>
      <c r="K2409" s="8" t="inlineStr">
        <is>
          <t>Zura</t>
        </is>
      </c>
      <c r="L2409" s="8" t="inlineStr">
        <is>
          <t>Gujarat</t>
        </is>
      </c>
      <c r="M2409" s="2" t="inlineStr">
        <is>
          <t xml:space="preserve">damage </t>
        </is>
      </c>
      <c r="N2409" s="6" t="inlineStr">
        <is>
          <t>Module Breakage</t>
        </is>
      </c>
      <c r="O2409" s="32" t="n">
        <v>590</v>
      </c>
      <c r="P2409" s="2" t="inlineStr">
        <is>
          <t>NSMI24110806186</t>
        </is>
      </c>
      <c r="Q2409" s="29">
        <f>MID(P2409,5,2)</f>
        <v/>
      </c>
      <c r="R2409" s="14">
        <f>MID(P2409,7,2)</f>
        <v/>
      </c>
      <c r="S2409" s="6" t="inlineStr">
        <is>
          <t>G2G</t>
        </is>
      </c>
      <c r="T2409" s="1" t="inlineStr">
        <is>
          <t>P4 - PEIPL</t>
        </is>
      </c>
      <c r="U2409" s="2" t="inlineStr">
        <is>
          <t xml:space="preserve">physically damaged </t>
        </is>
      </c>
      <c r="V2409" s="1" t="inlineStr">
        <is>
          <t>Inspection</t>
        </is>
      </c>
      <c r="W2409" s="1" t="inlineStr">
        <is>
          <t>Rejected</t>
        </is>
      </c>
      <c r="X2409" s="5">
        <f>Z2409</f>
        <v/>
      </c>
      <c r="Y2409" s="1">
        <f>X2409-A2409</f>
        <v/>
      </c>
      <c r="Z2409" s="5" t="n">
        <v>46199</v>
      </c>
      <c r="AA2409" s="3" t="n"/>
      <c r="AB2409" s="3" t="n"/>
      <c r="AE2409" s="146">
        <f>IF(AND(F2409="Closed",X2409&gt;=DATE(2026,6,1),X2409&lt;=DATE(2026,6,30)),"Closed in June","other")</f>
        <v/>
      </c>
    </row>
    <row r="2410" hidden="1">
      <c r="A2410" s="49" t="n">
        <v>46177</v>
      </c>
      <c r="B2410" s="1" t="n">
        <v>2026</v>
      </c>
      <c r="C2410" s="8" t="inlineStr">
        <is>
          <t>Ayana</t>
        </is>
      </c>
      <c r="D2410" s="11" t="inlineStr">
        <is>
          <t>Utility and C&amp;I</t>
        </is>
      </c>
      <c r="E2410" s="1" t="n"/>
      <c r="F2410" s="1" t="inlineStr">
        <is>
          <t>WIP</t>
        </is>
      </c>
      <c r="G2410" s="11" t="inlineStr">
        <is>
          <t>Vasu.N</t>
        </is>
      </c>
      <c r="H2410" s="8" t="n">
        <v>9578099893</v>
      </c>
      <c r="I2410" s="10" t="inlineStr">
        <is>
          <t>PE04062601</t>
        </is>
      </c>
      <c r="J2410" s="28" t="inlineStr">
        <is>
          <t>Module burnt</t>
        </is>
      </c>
      <c r="K2410" s="8" t="inlineStr">
        <is>
          <t>Zura</t>
        </is>
      </c>
      <c r="L2410" s="8" t="inlineStr">
        <is>
          <t>Gujarat</t>
        </is>
      </c>
      <c r="M2410" s="2" t="inlineStr">
        <is>
          <t xml:space="preserve">damage </t>
        </is>
      </c>
      <c r="N2410" s="6" t="inlineStr">
        <is>
          <t>Module Breakage</t>
        </is>
      </c>
      <c r="O2410" s="32" t="n">
        <v>590</v>
      </c>
      <c r="P2410" s="2" t="inlineStr">
        <is>
          <t>NSMI24100578816</t>
        </is>
      </c>
      <c r="Q2410" s="29">
        <f>MID(P2410,5,2)</f>
        <v/>
      </c>
      <c r="R2410" s="14">
        <f>MID(P2410,7,2)</f>
        <v/>
      </c>
      <c r="S2410" s="6" t="inlineStr">
        <is>
          <t>G2G</t>
        </is>
      </c>
      <c r="T2410" s="1" t="inlineStr">
        <is>
          <t>P4 - PEIPL</t>
        </is>
      </c>
      <c r="U2410" s="2" t="inlineStr">
        <is>
          <t>Frame Damaged</t>
        </is>
      </c>
      <c r="V2410" s="47" t="inlineStr">
        <is>
          <t>WIP</t>
        </is>
      </c>
      <c r="W2410" s="1" t="inlineStr">
        <is>
          <t>WIP</t>
        </is>
      </c>
      <c r="X2410" s="12" t="n"/>
      <c r="Y2410" s="1">
        <f>IF(X2410="","",X2410-A2410)</f>
        <v/>
      </c>
      <c r="Z2410" s="5" t="n">
        <v>46199</v>
      </c>
      <c r="AA2410" s="3" t="n"/>
      <c r="AB2410" s="3" t="n"/>
      <c r="AE2410" s="146">
        <f>IF(AND(F2410="Closed",X2410&gt;=DATE(2026,6,1),X2410&lt;=DATE(2026,6,30)),"Closed in June","other")</f>
        <v/>
      </c>
    </row>
    <row r="2411" hidden="1">
      <c r="A2411" s="49" t="n">
        <v>46177</v>
      </c>
      <c r="B2411" s="1" t="n">
        <v>2026</v>
      </c>
      <c r="C2411" s="8" t="inlineStr">
        <is>
          <t>Ayana</t>
        </is>
      </c>
      <c r="D2411" s="11" t="inlineStr">
        <is>
          <t>Utility and C&amp;I</t>
        </is>
      </c>
      <c r="E2411" s="1" t="n"/>
      <c r="F2411" s="1" t="inlineStr">
        <is>
          <t>Closed</t>
        </is>
      </c>
      <c r="G2411" s="11" t="inlineStr">
        <is>
          <t>Vasu.N</t>
        </is>
      </c>
      <c r="H2411" s="8" t="n">
        <v>9578099893</v>
      </c>
      <c r="I2411" s="10" t="inlineStr">
        <is>
          <t>PE04062601</t>
        </is>
      </c>
      <c r="J2411" s="28" t="inlineStr">
        <is>
          <t>Module burnt</t>
        </is>
      </c>
      <c r="K2411" s="8" t="inlineStr">
        <is>
          <t>Zura</t>
        </is>
      </c>
      <c r="L2411" s="8" t="inlineStr">
        <is>
          <t>Gujarat</t>
        </is>
      </c>
      <c r="M2411" s="2" t="inlineStr">
        <is>
          <t xml:space="preserve">damage </t>
        </is>
      </c>
      <c r="N2411" s="6" t="inlineStr">
        <is>
          <t>Module Breakage</t>
        </is>
      </c>
      <c r="O2411" s="32" t="n">
        <v>590</v>
      </c>
      <c r="P2411" s="2" t="inlineStr">
        <is>
          <t>NSMI24100626644</t>
        </is>
      </c>
      <c r="Q2411" s="29">
        <f>MID(P2411,5,2)</f>
        <v/>
      </c>
      <c r="R2411" s="14">
        <f>MID(P2411,7,2)</f>
        <v/>
      </c>
      <c r="S2411" s="6" t="inlineStr">
        <is>
          <t>G2G</t>
        </is>
      </c>
      <c r="T2411" s="1" t="inlineStr">
        <is>
          <t>P4 - PEIPL</t>
        </is>
      </c>
      <c r="U2411" s="2" t="inlineStr">
        <is>
          <t xml:space="preserve">physically damaged </t>
        </is>
      </c>
      <c r="V2411" s="1" t="inlineStr">
        <is>
          <t>Inspection</t>
        </is>
      </c>
      <c r="W2411" s="1" t="inlineStr">
        <is>
          <t>Rejected</t>
        </is>
      </c>
      <c r="X2411" s="5">
        <f>Z2411</f>
        <v/>
      </c>
      <c r="Y2411" s="1">
        <f>X2411-A2411</f>
        <v/>
      </c>
      <c r="Z2411" s="5" t="n">
        <v>46199</v>
      </c>
      <c r="AA2411" s="3" t="n"/>
      <c r="AB2411" s="3" t="n"/>
      <c r="AE2411" s="146">
        <f>IF(AND(F2411="Closed",X2411&gt;=DATE(2026,6,1),X2411&lt;=DATE(2026,6,30)),"Closed in June","other")</f>
        <v/>
      </c>
    </row>
    <row r="2412" hidden="1">
      <c r="A2412" s="49" t="n">
        <v>46177</v>
      </c>
      <c r="B2412" s="1" t="n">
        <v>2026</v>
      </c>
      <c r="C2412" s="8" t="inlineStr">
        <is>
          <t>Ayana</t>
        </is>
      </c>
      <c r="D2412" s="11" t="inlineStr">
        <is>
          <t>Utility and C&amp;I</t>
        </is>
      </c>
      <c r="E2412" s="1" t="n"/>
      <c r="F2412" s="1" t="inlineStr">
        <is>
          <t>Closed</t>
        </is>
      </c>
      <c r="G2412" s="11" t="inlineStr">
        <is>
          <t>Vasu.N</t>
        </is>
      </c>
      <c r="H2412" s="8" t="n">
        <v>9578099893</v>
      </c>
      <c r="I2412" s="10" t="inlineStr">
        <is>
          <t>PE04062601</t>
        </is>
      </c>
      <c r="J2412" s="28" t="inlineStr">
        <is>
          <t>Module burnt</t>
        </is>
      </c>
      <c r="K2412" s="8" t="inlineStr">
        <is>
          <t>Zura</t>
        </is>
      </c>
      <c r="L2412" s="8" t="inlineStr">
        <is>
          <t>Gujarat</t>
        </is>
      </c>
      <c r="M2412" s="2" t="inlineStr">
        <is>
          <t xml:space="preserve">damage </t>
        </is>
      </c>
      <c r="N2412" s="6" t="inlineStr">
        <is>
          <t>Module Breakage</t>
        </is>
      </c>
      <c r="O2412" s="32" t="n">
        <v>590</v>
      </c>
      <c r="P2412" s="2" t="inlineStr">
        <is>
          <t>NSMI24100626529</t>
        </is>
      </c>
      <c r="Q2412" s="29">
        <f>MID(P2412,5,2)</f>
        <v/>
      </c>
      <c r="R2412" s="14">
        <f>MID(P2412,7,2)</f>
        <v/>
      </c>
      <c r="S2412" s="6" t="inlineStr">
        <is>
          <t>G2G</t>
        </is>
      </c>
      <c r="T2412" s="1" t="inlineStr">
        <is>
          <t>P4 - PEIPL</t>
        </is>
      </c>
      <c r="U2412" s="2" t="inlineStr">
        <is>
          <t xml:space="preserve">physically damaged </t>
        </is>
      </c>
      <c r="V2412" s="1" t="inlineStr">
        <is>
          <t>Inspection</t>
        </is>
      </c>
      <c r="W2412" s="1" t="inlineStr">
        <is>
          <t>Rejected</t>
        </is>
      </c>
      <c r="X2412" s="5">
        <f>Z2412</f>
        <v/>
      </c>
      <c r="Y2412" s="1">
        <f>X2412-A2412</f>
        <v/>
      </c>
      <c r="Z2412" s="5" t="n">
        <v>46199</v>
      </c>
      <c r="AA2412" s="3" t="n"/>
      <c r="AB2412" s="3" t="n"/>
      <c r="AE2412" s="146">
        <f>IF(AND(F2412="Closed",X2412&gt;=DATE(2026,6,1),X2412&lt;=DATE(2026,6,30)),"Closed in June","other")</f>
        <v/>
      </c>
    </row>
    <row r="2413" hidden="1">
      <c r="A2413" s="49" t="n">
        <v>46177</v>
      </c>
      <c r="B2413" s="1" t="n">
        <v>2026</v>
      </c>
      <c r="C2413" s="8" t="inlineStr">
        <is>
          <t>Ayana</t>
        </is>
      </c>
      <c r="D2413" s="11" t="inlineStr">
        <is>
          <t>Utility and C&amp;I</t>
        </is>
      </c>
      <c r="E2413" s="1" t="n"/>
      <c r="F2413" s="1" t="inlineStr">
        <is>
          <t>Closed</t>
        </is>
      </c>
      <c r="G2413" s="11" t="inlineStr">
        <is>
          <t>Vasu.N</t>
        </is>
      </c>
      <c r="H2413" s="8" t="n">
        <v>9578099893</v>
      </c>
      <c r="I2413" s="10" t="inlineStr">
        <is>
          <t>PE04062601</t>
        </is>
      </c>
      <c r="J2413" s="28" t="inlineStr">
        <is>
          <t>Module burnt</t>
        </is>
      </c>
      <c r="K2413" s="8" t="inlineStr">
        <is>
          <t>Zura</t>
        </is>
      </c>
      <c r="L2413" s="8" t="inlineStr">
        <is>
          <t>Gujarat</t>
        </is>
      </c>
      <c r="M2413" s="2" t="inlineStr">
        <is>
          <t xml:space="preserve">damage </t>
        </is>
      </c>
      <c r="N2413" s="6" t="inlineStr">
        <is>
          <t>Module Breakage</t>
        </is>
      </c>
      <c r="O2413" s="32" t="n">
        <v>590</v>
      </c>
      <c r="P2413" s="2" t="inlineStr">
        <is>
          <t>NSMI24110814897</t>
        </is>
      </c>
      <c r="Q2413" s="29">
        <f>MID(P2413,5,2)</f>
        <v/>
      </c>
      <c r="R2413" s="14">
        <f>MID(P2413,7,2)</f>
        <v/>
      </c>
      <c r="S2413" s="6" t="inlineStr">
        <is>
          <t>G2G</t>
        </is>
      </c>
      <c r="T2413" s="1" t="inlineStr">
        <is>
          <t>P4 - PEIPL</t>
        </is>
      </c>
      <c r="U2413" s="2" t="inlineStr">
        <is>
          <t xml:space="preserve">physically damaged </t>
        </is>
      </c>
      <c r="V2413" s="1" t="inlineStr">
        <is>
          <t>Inspection</t>
        </is>
      </c>
      <c r="W2413" s="1" t="inlineStr">
        <is>
          <t>Rejected</t>
        </is>
      </c>
      <c r="X2413" s="5">
        <f>Z2413</f>
        <v/>
      </c>
      <c r="Y2413" s="1">
        <f>X2413-A2413</f>
        <v/>
      </c>
      <c r="Z2413" s="5" t="n">
        <v>46199</v>
      </c>
      <c r="AA2413" s="3" t="n"/>
      <c r="AB2413" s="3" t="n"/>
      <c r="AE2413" s="146">
        <f>IF(AND(F2413="Closed",X2413&gt;=DATE(2026,6,1),X2413&lt;=DATE(2026,6,30)),"Closed in June","other")</f>
        <v/>
      </c>
    </row>
    <row r="2414" hidden="1">
      <c r="A2414" s="49" t="n">
        <v>46177</v>
      </c>
      <c r="B2414" s="1" t="n">
        <v>2026</v>
      </c>
      <c r="C2414" s="8" t="inlineStr">
        <is>
          <t>Ayana</t>
        </is>
      </c>
      <c r="D2414" s="11" t="inlineStr">
        <is>
          <t>Utility and C&amp;I</t>
        </is>
      </c>
      <c r="E2414" s="1" t="n"/>
      <c r="F2414" s="1" t="inlineStr">
        <is>
          <t>Closed</t>
        </is>
      </c>
      <c r="G2414" s="11" t="inlineStr">
        <is>
          <t>Vasu.N</t>
        </is>
      </c>
      <c r="H2414" s="8" t="n">
        <v>9578099893</v>
      </c>
      <c r="I2414" s="10" t="inlineStr">
        <is>
          <t>PE04062601</t>
        </is>
      </c>
      <c r="J2414" s="28" t="inlineStr">
        <is>
          <t>Module burnt</t>
        </is>
      </c>
      <c r="K2414" s="8" t="inlineStr">
        <is>
          <t>Zura</t>
        </is>
      </c>
      <c r="L2414" s="8" t="inlineStr">
        <is>
          <t>Gujarat</t>
        </is>
      </c>
      <c r="M2414" s="2" t="inlineStr">
        <is>
          <t xml:space="preserve">damage </t>
        </is>
      </c>
      <c r="N2414" s="6" t="inlineStr">
        <is>
          <t>Module Breakage</t>
        </is>
      </c>
      <c r="O2414" s="32" t="n">
        <v>590</v>
      </c>
      <c r="P2414" s="2" t="inlineStr">
        <is>
          <t>NSMI24100614857</t>
        </is>
      </c>
      <c r="Q2414" s="29">
        <f>MID(P2414,5,2)</f>
        <v/>
      </c>
      <c r="R2414" s="14">
        <f>MID(P2414,7,2)</f>
        <v/>
      </c>
      <c r="S2414" s="6" t="inlineStr">
        <is>
          <t>G2G</t>
        </is>
      </c>
      <c r="T2414" s="1" t="inlineStr">
        <is>
          <t>P4 - PEIPL</t>
        </is>
      </c>
      <c r="U2414" s="2" t="inlineStr">
        <is>
          <t xml:space="preserve">physically damaged </t>
        </is>
      </c>
      <c r="V2414" s="1" t="inlineStr">
        <is>
          <t>Inspection</t>
        </is>
      </c>
      <c r="W2414" s="1" t="inlineStr">
        <is>
          <t>Rejected</t>
        </is>
      </c>
      <c r="X2414" s="5">
        <f>Z2414</f>
        <v/>
      </c>
      <c r="Y2414" s="1">
        <f>X2414-A2414</f>
        <v/>
      </c>
      <c r="Z2414" s="5" t="n">
        <v>46199</v>
      </c>
      <c r="AA2414" s="3" t="n"/>
      <c r="AB2414" s="3" t="n"/>
      <c r="AE2414" s="146">
        <f>IF(AND(F2414="Closed",X2414&gt;=DATE(2026,6,1),X2414&lt;=DATE(2026,6,30)),"Closed in June","other")</f>
        <v/>
      </c>
    </row>
    <row r="2415" hidden="1">
      <c r="A2415" s="49" t="n">
        <v>46177</v>
      </c>
      <c r="B2415" s="1" t="n">
        <v>2026</v>
      </c>
      <c r="C2415" s="8" t="inlineStr">
        <is>
          <t>Ayana</t>
        </is>
      </c>
      <c r="D2415" s="11" t="inlineStr">
        <is>
          <t>Utility and C&amp;I</t>
        </is>
      </c>
      <c r="E2415" s="1" t="n"/>
      <c r="F2415" s="1" t="inlineStr">
        <is>
          <t>Closed</t>
        </is>
      </c>
      <c r="G2415" s="11" t="inlineStr">
        <is>
          <t>Vasu.N</t>
        </is>
      </c>
      <c r="H2415" s="8" t="n">
        <v>9578099893</v>
      </c>
      <c r="I2415" s="10" t="inlineStr">
        <is>
          <t>PE04062601</t>
        </is>
      </c>
      <c r="J2415" s="28" t="inlineStr">
        <is>
          <t>Module burnt</t>
        </is>
      </c>
      <c r="K2415" s="8" t="inlineStr">
        <is>
          <t>Zura</t>
        </is>
      </c>
      <c r="L2415" s="8" t="inlineStr">
        <is>
          <t>Gujarat</t>
        </is>
      </c>
      <c r="M2415" s="2" t="inlineStr">
        <is>
          <t xml:space="preserve">damage </t>
        </is>
      </c>
      <c r="N2415" s="6" t="inlineStr">
        <is>
          <t>Module Breakage</t>
        </is>
      </c>
      <c r="O2415" s="32" t="n">
        <v>590</v>
      </c>
      <c r="P2415" s="2" t="inlineStr">
        <is>
          <t>NSMI24100615261</t>
        </is>
      </c>
      <c r="Q2415" s="29">
        <f>MID(P2415,5,2)</f>
        <v/>
      </c>
      <c r="R2415" s="14">
        <f>MID(P2415,7,2)</f>
        <v/>
      </c>
      <c r="S2415" s="6" t="inlineStr">
        <is>
          <t>G2G</t>
        </is>
      </c>
      <c r="T2415" s="1" t="inlineStr">
        <is>
          <t>P4 - PEIPL</t>
        </is>
      </c>
      <c r="U2415" s="2" t="inlineStr">
        <is>
          <t xml:space="preserve">physically damaged </t>
        </is>
      </c>
      <c r="V2415" s="1" t="inlineStr">
        <is>
          <t>Inspection</t>
        </is>
      </c>
      <c r="W2415" s="1" t="inlineStr">
        <is>
          <t>Rejected</t>
        </is>
      </c>
      <c r="X2415" s="5">
        <f>Z2415</f>
        <v/>
      </c>
      <c r="Y2415" s="1">
        <f>X2415-A2415</f>
        <v/>
      </c>
      <c r="Z2415" s="5" t="n">
        <v>46199</v>
      </c>
      <c r="AA2415" s="3" t="n"/>
      <c r="AB2415" s="3" t="n"/>
      <c r="AE2415" s="146">
        <f>IF(AND(F2415="Closed",X2415&gt;=DATE(2026,6,1),X2415&lt;=DATE(2026,6,30)),"Closed in June","other")</f>
        <v/>
      </c>
    </row>
    <row r="2416" hidden="1">
      <c r="A2416" s="49" t="n">
        <v>46177</v>
      </c>
      <c r="B2416" s="1" t="n">
        <v>2026</v>
      </c>
      <c r="C2416" s="8" t="inlineStr">
        <is>
          <t>Ayana</t>
        </is>
      </c>
      <c r="D2416" s="11" t="inlineStr">
        <is>
          <t>Utility and C&amp;I</t>
        </is>
      </c>
      <c r="E2416" s="1" t="n"/>
      <c r="F2416" s="1" t="inlineStr">
        <is>
          <t>Closed</t>
        </is>
      </c>
      <c r="G2416" s="11" t="inlineStr">
        <is>
          <t>Vasu.N</t>
        </is>
      </c>
      <c r="H2416" s="8" t="n">
        <v>9578099893</v>
      </c>
      <c r="I2416" s="10" t="inlineStr">
        <is>
          <t>PE04062601</t>
        </is>
      </c>
      <c r="J2416" s="28" t="inlineStr">
        <is>
          <t>Module burnt</t>
        </is>
      </c>
      <c r="K2416" s="8" t="inlineStr">
        <is>
          <t>Zura</t>
        </is>
      </c>
      <c r="L2416" s="8" t="inlineStr">
        <is>
          <t>Gujarat</t>
        </is>
      </c>
      <c r="M2416" s="2" t="inlineStr">
        <is>
          <t xml:space="preserve">damage </t>
        </is>
      </c>
      <c r="N2416" s="6" t="inlineStr">
        <is>
          <t>Module Breakage</t>
        </is>
      </c>
      <c r="O2416" s="32" t="n">
        <v>590</v>
      </c>
      <c r="P2416" s="2" t="inlineStr">
        <is>
          <t>NSMI24100545954</t>
        </is>
      </c>
      <c r="Q2416" s="29">
        <f>MID(P2416,5,2)</f>
        <v/>
      </c>
      <c r="R2416" s="14">
        <f>MID(P2416,7,2)</f>
        <v/>
      </c>
      <c r="S2416" s="6" t="inlineStr">
        <is>
          <t>G2G</t>
        </is>
      </c>
      <c r="T2416" s="1" t="inlineStr">
        <is>
          <t>P4 - PEIPL</t>
        </is>
      </c>
      <c r="U2416" s="2" t="inlineStr">
        <is>
          <t xml:space="preserve">physically damaged </t>
        </is>
      </c>
      <c r="V2416" s="1" t="inlineStr">
        <is>
          <t>Inspection</t>
        </is>
      </c>
      <c r="W2416" s="1" t="inlineStr">
        <is>
          <t>Rejected</t>
        </is>
      </c>
      <c r="X2416" s="5">
        <f>Z2416</f>
        <v/>
      </c>
      <c r="Y2416" s="1">
        <f>X2416-A2416</f>
        <v/>
      </c>
      <c r="Z2416" s="5" t="n">
        <v>46199</v>
      </c>
      <c r="AA2416" s="3" t="n"/>
      <c r="AB2416" s="3" t="n"/>
      <c r="AE2416" s="146">
        <f>IF(AND(F2416="Closed",X2416&gt;=DATE(2026,6,1),X2416&lt;=DATE(2026,6,30)),"Closed in June","other")</f>
        <v/>
      </c>
    </row>
    <row r="2417" hidden="1">
      <c r="A2417" s="49" t="n">
        <v>46177</v>
      </c>
      <c r="B2417" s="1" t="n">
        <v>2026</v>
      </c>
      <c r="C2417" s="8" t="inlineStr">
        <is>
          <t>Ayana</t>
        </is>
      </c>
      <c r="D2417" s="11" t="inlineStr">
        <is>
          <t>Utility and C&amp;I</t>
        </is>
      </c>
      <c r="E2417" s="1" t="n"/>
      <c r="F2417" s="1" t="inlineStr">
        <is>
          <t>Closed</t>
        </is>
      </c>
      <c r="G2417" s="11" t="inlineStr">
        <is>
          <t>Vasu.N</t>
        </is>
      </c>
      <c r="H2417" s="8" t="n">
        <v>9578099893</v>
      </c>
      <c r="I2417" s="10" t="inlineStr">
        <is>
          <t>PE04062601</t>
        </is>
      </c>
      <c r="J2417" s="28" t="inlineStr">
        <is>
          <t>Module burnt</t>
        </is>
      </c>
      <c r="K2417" s="8" t="inlineStr">
        <is>
          <t>Zura</t>
        </is>
      </c>
      <c r="L2417" s="8" t="inlineStr">
        <is>
          <t>Gujarat</t>
        </is>
      </c>
      <c r="M2417" s="2" t="inlineStr">
        <is>
          <t xml:space="preserve">damage </t>
        </is>
      </c>
      <c r="N2417" s="6" t="inlineStr">
        <is>
          <t>Module Breakage</t>
        </is>
      </c>
      <c r="O2417" s="32" t="n">
        <v>590</v>
      </c>
      <c r="P2417" s="2" t="inlineStr">
        <is>
          <t>NSMI24100610245</t>
        </is>
      </c>
      <c r="Q2417" s="29">
        <f>MID(P2417,5,2)</f>
        <v/>
      </c>
      <c r="R2417" s="14">
        <f>MID(P2417,7,2)</f>
        <v/>
      </c>
      <c r="S2417" s="6" t="inlineStr">
        <is>
          <t>G2G</t>
        </is>
      </c>
      <c r="T2417" s="1" t="inlineStr">
        <is>
          <t>P4 - PEIPL</t>
        </is>
      </c>
      <c r="U2417" s="2" t="inlineStr">
        <is>
          <t xml:space="preserve">physically damaged </t>
        </is>
      </c>
      <c r="V2417" s="1" t="inlineStr">
        <is>
          <t>Inspection</t>
        </is>
      </c>
      <c r="W2417" s="1" t="inlineStr">
        <is>
          <t>Rejected</t>
        </is>
      </c>
      <c r="X2417" s="5">
        <f>Z2417</f>
        <v/>
      </c>
      <c r="Y2417" s="1">
        <f>X2417-A2417</f>
        <v/>
      </c>
      <c r="Z2417" s="5" t="n">
        <v>46199</v>
      </c>
      <c r="AA2417" s="3" t="n"/>
      <c r="AB2417" s="3" t="n"/>
      <c r="AE2417" s="146">
        <f>IF(AND(F2417="Closed",X2417&gt;=DATE(2026,6,1),X2417&lt;=DATE(2026,6,30)),"Closed in June","other")</f>
        <v/>
      </c>
    </row>
    <row r="2418" hidden="1">
      <c r="A2418" s="49" t="n">
        <v>46177</v>
      </c>
      <c r="B2418" s="1" t="n">
        <v>2026</v>
      </c>
      <c r="C2418" s="8" t="inlineStr">
        <is>
          <t>Ayana</t>
        </is>
      </c>
      <c r="D2418" s="11" t="inlineStr">
        <is>
          <t>Utility and C&amp;I</t>
        </is>
      </c>
      <c r="E2418" s="1" t="n"/>
      <c r="F2418" s="1" t="inlineStr">
        <is>
          <t>Closed</t>
        </is>
      </c>
      <c r="G2418" s="11" t="inlineStr">
        <is>
          <t>Vasu.N</t>
        </is>
      </c>
      <c r="H2418" s="8" t="n">
        <v>9578099893</v>
      </c>
      <c r="I2418" s="10" t="inlineStr">
        <is>
          <t>PE04062601</t>
        </is>
      </c>
      <c r="J2418" s="28" t="inlineStr">
        <is>
          <t>Module burnt</t>
        </is>
      </c>
      <c r="K2418" s="8" t="inlineStr">
        <is>
          <t>Zura</t>
        </is>
      </c>
      <c r="L2418" s="8" t="inlineStr">
        <is>
          <t>Gujarat</t>
        </is>
      </c>
      <c r="M2418" s="2" t="inlineStr">
        <is>
          <t xml:space="preserve">damage </t>
        </is>
      </c>
      <c r="N2418" s="6" t="inlineStr">
        <is>
          <t>Module Breakage</t>
        </is>
      </c>
      <c r="O2418" s="32" t="n">
        <v>590</v>
      </c>
      <c r="P2418" s="2" t="inlineStr">
        <is>
          <t>NSMI24100610246</t>
        </is>
      </c>
      <c r="Q2418" s="29">
        <f>MID(P2418,5,2)</f>
        <v/>
      </c>
      <c r="R2418" s="14">
        <f>MID(P2418,7,2)</f>
        <v/>
      </c>
      <c r="S2418" s="6" t="inlineStr">
        <is>
          <t>G2G</t>
        </is>
      </c>
      <c r="T2418" s="1" t="inlineStr">
        <is>
          <t>P4 - PEIPL</t>
        </is>
      </c>
      <c r="U2418" s="2" t="inlineStr">
        <is>
          <t xml:space="preserve">physically damaged </t>
        </is>
      </c>
      <c r="V2418" s="1" t="inlineStr">
        <is>
          <t>Inspection</t>
        </is>
      </c>
      <c r="W2418" s="1" t="inlineStr">
        <is>
          <t>Rejected</t>
        </is>
      </c>
      <c r="X2418" s="5">
        <f>Z2418</f>
        <v/>
      </c>
      <c r="Y2418" s="1">
        <f>X2418-A2418</f>
        <v/>
      </c>
      <c r="Z2418" s="5" t="n">
        <v>46199</v>
      </c>
      <c r="AA2418" s="3" t="n"/>
      <c r="AB2418" s="3" t="n"/>
      <c r="AE2418" s="146">
        <f>IF(AND(F2418="Closed",X2418&gt;=DATE(2026,6,1),X2418&lt;=DATE(2026,6,30)),"Closed in June","other")</f>
        <v/>
      </c>
    </row>
    <row r="2419" hidden="1">
      <c r="A2419" s="49" t="n">
        <v>46177</v>
      </c>
      <c r="B2419" s="1" t="n">
        <v>2026</v>
      </c>
      <c r="C2419" s="8" t="inlineStr">
        <is>
          <t>Ayana</t>
        </is>
      </c>
      <c r="D2419" s="11" t="inlineStr">
        <is>
          <t>Utility and C&amp;I</t>
        </is>
      </c>
      <c r="E2419" s="1" t="n"/>
      <c r="F2419" s="1" t="inlineStr">
        <is>
          <t>Closed</t>
        </is>
      </c>
      <c r="G2419" s="11" t="inlineStr">
        <is>
          <t>Vasu.N</t>
        </is>
      </c>
      <c r="H2419" s="8" t="n">
        <v>9578099893</v>
      </c>
      <c r="I2419" s="10" t="inlineStr">
        <is>
          <t>PE04062601</t>
        </is>
      </c>
      <c r="J2419" s="28" t="inlineStr">
        <is>
          <t>Module burnt</t>
        </is>
      </c>
      <c r="K2419" s="8" t="inlineStr">
        <is>
          <t>Zura</t>
        </is>
      </c>
      <c r="L2419" s="8" t="inlineStr">
        <is>
          <t>Gujarat</t>
        </is>
      </c>
      <c r="M2419" s="2" t="inlineStr">
        <is>
          <t xml:space="preserve">damage </t>
        </is>
      </c>
      <c r="N2419" s="6" t="inlineStr">
        <is>
          <t>Module Breakage</t>
        </is>
      </c>
      <c r="O2419" s="32" t="n">
        <v>590</v>
      </c>
      <c r="P2419" s="2" t="inlineStr">
        <is>
          <t>NSMI24100610250</t>
        </is>
      </c>
      <c r="Q2419" s="29">
        <f>MID(P2419,5,2)</f>
        <v/>
      </c>
      <c r="R2419" s="14">
        <f>MID(P2419,7,2)</f>
        <v/>
      </c>
      <c r="S2419" s="6" t="inlineStr">
        <is>
          <t>G2G</t>
        </is>
      </c>
      <c r="T2419" s="1" t="inlineStr">
        <is>
          <t>P4 - PEIPL</t>
        </is>
      </c>
      <c r="U2419" s="2" t="inlineStr">
        <is>
          <t xml:space="preserve">physically damaged </t>
        </is>
      </c>
      <c r="V2419" s="1" t="inlineStr">
        <is>
          <t>Inspection</t>
        </is>
      </c>
      <c r="W2419" s="1" t="inlineStr">
        <is>
          <t>Rejected</t>
        </is>
      </c>
      <c r="X2419" s="5">
        <f>Z2419</f>
        <v/>
      </c>
      <c r="Y2419" s="1">
        <f>X2419-A2419</f>
        <v/>
      </c>
      <c r="Z2419" s="5" t="n">
        <v>46199</v>
      </c>
      <c r="AA2419" s="3" t="n"/>
      <c r="AB2419" s="3" t="n"/>
      <c r="AE2419" s="146">
        <f>IF(AND(F2419="Closed",X2419&gt;=DATE(2026,6,1),X2419&lt;=DATE(2026,6,30)),"Closed in June","other")</f>
        <v/>
      </c>
    </row>
    <row r="2420" hidden="1">
      <c r="A2420" s="49" t="n">
        <v>46177</v>
      </c>
      <c r="B2420" s="1" t="n">
        <v>2026</v>
      </c>
      <c r="C2420" s="8" t="inlineStr">
        <is>
          <t>Ayana</t>
        </is>
      </c>
      <c r="D2420" s="11" t="inlineStr">
        <is>
          <t>Utility and C&amp;I</t>
        </is>
      </c>
      <c r="E2420" s="1" t="n"/>
      <c r="F2420" s="1" t="inlineStr">
        <is>
          <t>Closed</t>
        </is>
      </c>
      <c r="G2420" s="11" t="inlineStr">
        <is>
          <t>Vasu.N</t>
        </is>
      </c>
      <c r="H2420" s="8" t="n">
        <v>9578099893</v>
      </c>
      <c r="I2420" s="10" t="inlineStr">
        <is>
          <t>PE04062601</t>
        </is>
      </c>
      <c r="J2420" s="28" t="inlineStr">
        <is>
          <t>Module burnt</t>
        </is>
      </c>
      <c r="K2420" s="8" t="inlineStr">
        <is>
          <t>Zura</t>
        </is>
      </c>
      <c r="L2420" s="8" t="inlineStr">
        <is>
          <t>Gujarat</t>
        </is>
      </c>
      <c r="M2420" s="2" t="inlineStr">
        <is>
          <t xml:space="preserve">damage </t>
        </is>
      </c>
      <c r="N2420" s="6" t="inlineStr">
        <is>
          <t>Module Breakage</t>
        </is>
      </c>
      <c r="O2420" s="32" t="n">
        <v>590</v>
      </c>
      <c r="P2420" s="2" t="inlineStr">
        <is>
          <t>NSMI24100592363</t>
        </is>
      </c>
      <c r="Q2420" s="29">
        <f>MID(P2420,5,2)</f>
        <v/>
      </c>
      <c r="R2420" s="14">
        <f>MID(P2420,7,2)</f>
        <v/>
      </c>
      <c r="S2420" s="6" t="inlineStr">
        <is>
          <t>G2G</t>
        </is>
      </c>
      <c r="T2420" s="1" t="inlineStr">
        <is>
          <t>P4 - PEIPL</t>
        </is>
      </c>
      <c r="U2420" s="2" t="inlineStr">
        <is>
          <t xml:space="preserve">physically damaged </t>
        </is>
      </c>
      <c r="V2420" s="1" t="inlineStr">
        <is>
          <t>Inspection</t>
        </is>
      </c>
      <c r="W2420" s="1" t="inlineStr">
        <is>
          <t>Rejected</t>
        </is>
      </c>
      <c r="X2420" s="5">
        <f>Z2420</f>
        <v/>
      </c>
      <c r="Y2420" s="1">
        <f>X2420-A2420</f>
        <v/>
      </c>
      <c r="Z2420" s="5" t="n">
        <v>46199</v>
      </c>
      <c r="AA2420" s="3" t="n"/>
      <c r="AB2420" s="3" t="n"/>
      <c r="AE2420" s="146">
        <f>IF(AND(F2420="Closed",X2420&gt;=DATE(2026,6,1),X2420&lt;=DATE(2026,6,30)),"Closed in June","other")</f>
        <v/>
      </c>
    </row>
    <row r="2421" hidden="1">
      <c r="A2421" s="49" t="n">
        <v>46177</v>
      </c>
      <c r="B2421" s="1" t="n">
        <v>2026</v>
      </c>
      <c r="C2421" s="8" t="inlineStr">
        <is>
          <t>Ayana</t>
        </is>
      </c>
      <c r="D2421" s="11" t="inlineStr">
        <is>
          <t>Utility and C&amp;I</t>
        </is>
      </c>
      <c r="E2421" s="1" t="n"/>
      <c r="F2421" s="1" t="inlineStr">
        <is>
          <t>Closed</t>
        </is>
      </c>
      <c r="G2421" s="11" t="inlineStr">
        <is>
          <t>Vasu.N</t>
        </is>
      </c>
      <c r="H2421" s="8" t="n">
        <v>9578099893</v>
      </c>
      <c r="I2421" s="10" t="inlineStr">
        <is>
          <t>PE04062601</t>
        </is>
      </c>
      <c r="J2421" s="28" t="inlineStr">
        <is>
          <t>Module burnt</t>
        </is>
      </c>
      <c r="K2421" s="8" t="inlineStr">
        <is>
          <t>Zura</t>
        </is>
      </c>
      <c r="L2421" s="8" t="inlineStr">
        <is>
          <t>Gujarat</t>
        </is>
      </c>
      <c r="M2421" s="2" t="inlineStr">
        <is>
          <t xml:space="preserve">damage </t>
        </is>
      </c>
      <c r="N2421" s="6" t="inlineStr">
        <is>
          <t>Module Breakage</t>
        </is>
      </c>
      <c r="O2421" s="32" t="n">
        <v>590</v>
      </c>
      <c r="P2421" s="2" t="inlineStr">
        <is>
          <t>NSMI24100592375</t>
        </is>
      </c>
      <c r="Q2421" s="29">
        <f>MID(P2421,5,2)</f>
        <v/>
      </c>
      <c r="R2421" s="14">
        <f>MID(P2421,7,2)</f>
        <v/>
      </c>
      <c r="S2421" s="6" t="inlineStr">
        <is>
          <t>G2G</t>
        </is>
      </c>
      <c r="T2421" s="1" t="inlineStr">
        <is>
          <t>P4 - PEIPL</t>
        </is>
      </c>
      <c r="U2421" s="2" t="inlineStr">
        <is>
          <t xml:space="preserve">physically damaged </t>
        </is>
      </c>
      <c r="V2421" s="1" t="inlineStr">
        <is>
          <t>Inspection</t>
        </is>
      </c>
      <c r="W2421" s="1" t="inlineStr">
        <is>
          <t>Rejected</t>
        </is>
      </c>
      <c r="X2421" s="5">
        <f>Z2421</f>
        <v/>
      </c>
      <c r="Y2421" s="1">
        <f>X2421-A2421</f>
        <v/>
      </c>
      <c r="Z2421" s="5" t="n">
        <v>46199</v>
      </c>
      <c r="AA2421" s="3" t="n"/>
      <c r="AB2421" s="3" t="n"/>
      <c r="AE2421" s="146">
        <f>IF(AND(F2421="Closed",X2421&gt;=DATE(2026,6,1),X2421&lt;=DATE(2026,6,30)),"Closed in June","other")</f>
        <v/>
      </c>
    </row>
    <row r="2422" hidden="1">
      <c r="A2422" s="49" t="n">
        <v>46177</v>
      </c>
      <c r="B2422" s="1" t="n">
        <v>2026</v>
      </c>
      <c r="C2422" s="8" t="inlineStr">
        <is>
          <t>Ayana</t>
        </is>
      </c>
      <c r="D2422" s="11" t="inlineStr">
        <is>
          <t>Utility and C&amp;I</t>
        </is>
      </c>
      <c r="E2422" s="1" t="n"/>
      <c r="F2422" s="1" t="inlineStr">
        <is>
          <t>Closed</t>
        </is>
      </c>
      <c r="G2422" s="11" t="inlineStr">
        <is>
          <t>Vasu.N</t>
        </is>
      </c>
      <c r="H2422" s="8" t="n">
        <v>9578099893</v>
      </c>
      <c r="I2422" s="10" t="inlineStr">
        <is>
          <t>PE04062601</t>
        </is>
      </c>
      <c r="J2422" s="28" t="inlineStr">
        <is>
          <t>Module burnt</t>
        </is>
      </c>
      <c r="K2422" s="8" t="inlineStr">
        <is>
          <t>Zura</t>
        </is>
      </c>
      <c r="L2422" s="8" t="inlineStr">
        <is>
          <t>Gujarat</t>
        </is>
      </c>
      <c r="M2422" s="2" t="inlineStr">
        <is>
          <t xml:space="preserve">damage </t>
        </is>
      </c>
      <c r="N2422" s="6" t="inlineStr">
        <is>
          <t>Module Breakage</t>
        </is>
      </c>
      <c r="O2422" s="32" t="n">
        <v>590</v>
      </c>
      <c r="P2422" s="2" t="inlineStr">
        <is>
          <t>NSMI24100592371</t>
        </is>
      </c>
      <c r="Q2422" s="29">
        <f>MID(P2422,5,2)</f>
        <v/>
      </c>
      <c r="R2422" s="14">
        <f>MID(P2422,7,2)</f>
        <v/>
      </c>
      <c r="S2422" s="6" t="inlineStr">
        <is>
          <t>G2G</t>
        </is>
      </c>
      <c r="T2422" s="1" t="inlineStr">
        <is>
          <t>P4 - PEIPL</t>
        </is>
      </c>
      <c r="U2422" s="2" t="inlineStr">
        <is>
          <t xml:space="preserve">physically damaged </t>
        </is>
      </c>
      <c r="V2422" s="1" t="inlineStr">
        <is>
          <t>Inspection</t>
        </is>
      </c>
      <c r="W2422" s="1" t="inlineStr">
        <is>
          <t>Rejected</t>
        </is>
      </c>
      <c r="X2422" s="5">
        <f>Z2422</f>
        <v/>
      </c>
      <c r="Y2422" s="1">
        <f>X2422-A2422</f>
        <v/>
      </c>
      <c r="Z2422" s="5" t="n">
        <v>46199</v>
      </c>
      <c r="AA2422" s="3" t="n"/>
      <c r="AB2422" s="3" t="n"/>
      <c r="AE2422" s="146">
        <f>IF(AND(F2422="Closed",X2422&gt;=DATE(2026,6,1),X2422&lt;=DATE(2026,6,30)),"Closed in June","other")</f>
        <v/>
      </c>
    </row>
    <row r="2423" hidden="1">
      <c r="A2423" s="49" t="n">
        <v>46177</v>
      </c>
      <c r="B2423" s="1" t="n">
        <v>2026</v>
      </c>
      <c r="C2423" s="8" t="inlineStr">
        <is>
          <t>Ayana</t>
        </is>
      </c>
      <c r="D2423" s="11" t="inlineStr">
        <is>
          <t>Utility and C&amp;I</t>
        </is>
      </c>
      <c r="E2423" s="1" t="n"/>
      <c r="F2423" s="1" t="inlineStr">
        <is>
          <t>Closed</t>
        </is>
      </c>
      <c r="G2423" s="11" t="inlineStr">
        <is>
          <t>Vasu.N</t>
        </is>
      </c>
      <c r="H2423" s="8" t="n">
        <v>9578099893</v>
      </c>
      <c r="I2423" s="10" t="inlineStr">
        <is>
          <t>PE04062601</t>
        </is>
      </c>
      <c r="J2423" s="28" t="inlineStr">
        <is>
          <t>Module burnt</t>
        </is>
      </c>
      <c r="K2423" s="8" t="inlineStr">
        <is>
          <t>Zura</t>
        </is>
      </c>
      <c r="L2423" s="8" t="inlineStr">
        <is>
          <t>Gujarat</t>
        </is>
      </c>
      <c r="M2423" s="2" t="inlineStr">
        <is>
          <t xml:space="preserve">damage </t>
        </is>
      </c>
      <c r="N2423" s="6" t="inlineStr">
        <is>
          <t>Module Breakage</t>
        </is>
      </c>
      <c r="O2423" s="32" t="n">
        <v>590</v>
      </c>
      <c r="P2423" s="2" t="inlineStr">
        <is>
          <t>NSMI24100631068</t>
        </is>
      </c>
      <c r="Q2423" s="29">
        <f>MID(P2423,5,2)</f>
        <v/>
      </c>
      <c r="R2423" s="14">
        <f>MID(P2423,7,2)</f>
        <v/>
      </c>
      <c r="S2423" s="6" t="inlineStr">
        <is>
          <t>G2G</t>
        </is>
      </c>
      <c r="T2423" s="1" t="inlineStr">
        <is>
          <t>P4 - PEIPL</t>
        </is>
      </c>
      <c r="U2423" s="2" t="inlineStr">
        <is>
          <t xml:space="preserve">physically damaged </t>
        </is>
      </c>
      <c r="V2423" s="1" t="inlineStr">
        <is>
          <t>Inspection</t>
        </is>
      </c>
      <c r="W2423" s="1" t="inlineStr">
        <is>
          <t>Rejected</t>
        </is>
      </c>
      <c r="X2423" s="5">
        <f>Z2423</f>
        <v/>
      </c>
      <c r="Y2423" s="1">
        <f>X2423-A2423</f>
        <v/>
      </c>
      <c r="Z2423" s="5" t="n">
        <v>46199</v>
      </c>
      <c r="AA2423" s="3" t="n"/>
      <c r="AB2423" s="3" t="n"/>
      <c r="AE2423" s="146">
        <f>IF(AND(F2423="Closed",X2423&gt;=DATE(2026,6,1),X2423&lt;=DATE(2026,6,30)),"Closed in June","other")</f>
        <v/>
      </c>
    </row>
    <row r="2424" hidden="1">
      <c r="A2424" s="49" t="n">
        <v>46177</v>
      </c>
      <c r="B2424" s="1" t="n">
        <v>2026</v>
      </c>
      <c r="C2424" s="8" t="inlineStr">
        <is>
          <t>Ayana</t>
        </is>
      </c>
      <c r="D2424" s="11" t="inlineStr">
        <is>
          <t>Utility and C&amp;I</t>
        </is>
      </c>
      <c r="E2424" s="1" t="n"/>
      <c r="F2424" s="1" t="inlineStr">
        <is>
          <t>Closed</t>
        </is>
      </c>
      <c r="G2424" s="11" t="inlineStr">
        <is>
          <t>Vasu.N</t>
        </is>
      </c>
      <c r="H2424" s="8" t="n">
        <v>9578099893</v>
      </c>
      <c r="I2424" s="10" t="inlineStr">
        <is>
          <t>PE04062601</t>
        </is>
      </c>
      <c r="J2424" s="28" t="inlineStr">
        <is>
          <t>Module burnt</t>
        </is>
      </c>
      <c r="K2424" s="8" t="inlineStr">
        <is>
          <t>Zura</t>
        </is>
      </c>
      <c r="L2424" s="8" t="inlineStr">
        <is>
          <t>Gujarat</t>
        </is>
      </c>
      <c r="M2424" s="2" t="inlineStr">
        <is>
          <t xml:space="preserve">damage </t>
        </is>
      </c>
      <c r="N2424" s="6" t="inlineStr">
        <is>
          <t>Module Breakage</t>
        </is>
      </c>
      <c r="O2424" s="32" t="n">
        <v>590</v>
      </c>
      <c r="P2424" s="2" t="inlineStr">
        <is>
          <t>NSMI24100637657</t>
        </is>
      </c>
      <c r="Q2424" s="29">
        <f>MID(P2424,5,2)</f>
        <v/>
      </c>
      <c r="R2424" s="14">
        <f>MID(P2424,7,2)</f>
        <v/>
      </c>
      <c r="S2424" s="6" t="inlineStr">
        <is>
          <t>G2G</t>
        </is>
      </c>
      <c r="T2424" s="1" t="inlineStr">
        <is>
          <t>P4 - PEIPL</t>
        </is>
      </c>
      <c r="U2424" s="2" t="inlineStr">
        <is>
          <t xml:space="preserve">physically damaged </t>
        </is>
      </c>
      <c r="V2424" s="1" t="inlineStr">
        <is>
          <t>Inspection</t>
        </is>
      </c>
      <c r="W2424" s="1" t="inlineStr">
        <is>
          <t>Rejected</t>
        </is>
      </c>
      <c r="X2424" s="5">
        <f>Z2424</f>
        <v/>
      </c>
      <c r="Y2424" s="1">
        <f>X2424-A2424</f>
        <v/>
      </c>
      <c r="Z2424" s="5" t="n">
        <v>46199</v>
      </c>
      <c r="AA2424" s="3" t="n"/>
      <c r="AB2424" s="3" t="n"/>
      <c r="AE2424" s="146">
        <f>IF(AND(F2424="Closed",X2424&gt;=DATE(2026,6,1),X2424&lt;=DATE(2026,6,30)),"Closed in June","other")</f>
        <v/>
      </c>
    </row>
    <row r="2425" hidden="1">
      <c r="A2425" s="49" t="n">
        <v>46177</v>
      </c>
      <c r="B2425" s="1" t="n">
        <v>2026</v>
      </c>
      <c r="C2425" s="8" t="inlineStr">
        <is>
          <t>Ayana</t>
        </is>
      </c>
      <c r="D2425" s="11" t="inlineStr">
        <is>
          <t>Utility and C&amp;I</t>
        </is>
      </c>
      <c r="E2425" s="1" t="n"/>
      <c r="F2425" s="1" t="inlineStr">
        <is>
          <t>Closed</t>
        </is>
      </c>
      <c r="G2425" s="11" t="inlineStr">
        <is>
          <t>Vasu.N</t>
        </is>
      </c>
      <c r="H2425" s="8" t="n">
        <v>9578099893</v>
      </c>
      <c r="I2425" s="10" t="inlineStr">
        <is>
          <t>PE04062601</t>
        </is>
      </c>
      <c r="J2425" s="28" t="inlineStr">
        <is>
          <t>Module burnt</t>
        </is>
      </c>
      <c r="K2425" s="8" t="inlineStr">
        <is>
          <t>Zura</t>
        </is>
      </c>
      <c r="L2425" s="8" t="inlineStr">
        <is>
          <t>Gujarat</t>
        </is>
      </c>
      <c r="M2425" s="2" t="inlineStr">
        <is>
          <t xml:space="preserve">damage </t>
        </is>
      </c>
      <c r="N2425" s="6" t="inlineStr">
        <is>
          <t>Module Breakage</t>
        </is>
      </c>
      <c r="O2425" s="32" t="n">
        <v>590</v>
      </c>
      <c r="P2425" s="2" t="inlineStr">
        <is>
          <t>NSMI24100608387</t>
        </is>
      </c>
      <c r="Q2425" s="29">
        <f>MID(P2425,5,2)</f>
        <v/>
      </c>
      <c r="R2425" s="14">
        <f>MID(P2425,7,2)</f>
        <v/>
      </c>
      <c r="S2425" s="6" t="inlineStr">
        <is>
          <t>G2G</t>
        </is>
      </c>
      <c r="T2425" s="1" t="inlineStr">
        <is>
          <t>P4 - PEIPL</t>
        </is>
      </c>
      <c r="U2425" s="2" t="inlineStr">
        <is>
          <t xml:space="preserve">physically damaged </t>
        </is>
      </c>
      <c r="V2425" s="1" t="inlineStr">
        <is>
          <t>Inspection</t>
        </is>
      </c>
      <c r="W2425" s="1" t="inlineStr">
        <is>
          <t>Rejected</t>
        </is>
      </c>
      <c r="X2425" s="5">
        <f>Z2425</f>
        <v/>
      </c>
      <c r="Y2425" s="1">
        <f>X2425-A2425</f>
        <v/>
      </c>
      <c r="Z2425" s="5" t="n">
        <v>46199</v>
      </c>
      <c r="AA2425" s="3" t="n"/>
      <c r="AB2425" s="3" t="n"/>
      <c r="AE2425" s="146">
        <f>IF(AND(F2425="Closed",X2425&gt;=DATE(2026,6,1),X2425&lt;=DATE(2026,6,30)),"Closed in June","other")</f>
        <v/>
      </c>
    </row>
    <row r="2426" hidden="1">
      <c r="A2426" s="49" t="n">
        <v>46177</v>
      </c>
      <c r="B2426" s="1" t="n">
        <v>2026</v>
      </c>
      <c r="C2426" s="8" t="inlineStr">
        <is>
          <t>Ayana</t>
        </is>
      </c>
      <c r="D2426" s="11" t="inlineStr">
        <is>
          <t>Utility and C&amp;I</t>
        </is>
      </c>
      <c r="E2426" s="1" t="n"/>
      <c r="F2426" s="1" t="inlineStr">
        <is>
          <t>Closed</t>
        </is>
      </c>
      <c r="G2426" s="11" t="inlineStr">
        <is>
          <t>Vasu.N</t>
        </is>
      </c>
      <c r="H2426" s="8" t="n">
        <v>9578099893</v>
      </c>
      <c r="I2426" s="10" t="inlineStr">
        <is>
          <t>PE04062601</t>
        </is>
      </c>
      <c r="J2426" s="28" t="inlineStr">
        <is>
          <t>Module burnt</t>
        </is>
      </c>
      <c r="K2426" s="8" t="inlineStr">
        <is>
          <t>Zura</t>
        </is>
      </c>
      <c r="L2426" s="8" t="inlineStr">
        <is>
          <t>Gujarat</t>
        </is>
      </c>
      <c r="M2426" s="2" t="inlineStr">
        <is>
          <t xml:space="preserve">damage </t>
        </is>
      </c>
      <c r="N2426" s="6" t="inlineStr">
        <is>
          <t>Module Breakage</t>
        </is>
      </c>
      <c r="O2426" s="32" t="n">
        <v>590</v>
      </c>
      <c r="P2426" s="2" t="inlineStr">
        <is>
          <t>NSMI24100614592</t>
        </is>
      </c>
      <c r="Q2426" s="29">
        <f>MID(P2426,5,2)</f>
        <v/>
      </c>
      <c r="R2426" s="14">
        <f>MID(P2426,7,2)</f>
        <v/>
      </c>
      <c r="S2426" s="6" t="inlineStr">
        <is>
          <t>G2G</t>
        </is>
      </c>
      <c r="T2426" s="1" t="inlineStr">
        <is>
          <t>P4 - PEIPL</t>
        </is>
      </c>
      <c r="U2426" s="2" t="inlineStr">
        <is>
          <t xml:space="preserve">physically damaged </t>
        </is>
      </c>
      <c r="V2426" s="1" t="inlineStr">
        <is>
          <t>Inspection</t>
        </is>
      </c>
      <c r="W2426" s="1" t="inlineStr">
        <is>
          <t>Rejected</t>
        </is>
      </c>
      <c r="X2426" s="5">
        <f>Z2426</f>
        <v/>
      </c>
      <c r="Y2426" s="1">
        <f>X2426-A2426</f>
        <v/>
      </c>
      <c r="Z2426" s="5" t="n">
        <v>46199</v>
      </c>
      <c r="AA2426" s="3" t="n"/>
      <c r="AB2426" s="3" t="n"/>
      <c r="AE2426" s="146">
        <f>IF(AND(F2426="Closed",X2426&gt;=DATE(2026,6,1),X2426&lt;=DATE(2026,6,30)),"Closed in June","other")</f>
        <v/>
      </c>
    </row>
    <row r="2427" hidden="1">
      <c r="A2427" s="49" t="n">
        <v>46177</v>
      </c>
      <c r="B2427" s="1" t="n">
        <v>2026</v>
      </c>
      <c r="C2427" s="8" t="inlineStr">
        <is>
          <t>Ayana</t>
        </is>
      </c>
      <c r="D2427" s="11" t="inlineStr">
        <is>
          <t>Utility and C&amp;I</t>
        </is>
      </c>
      <c r="E2427" s="1" t="n"/>
      <c r="F2427" s="1" t="inlineStr">
        <is>
          <t>Closed</t>
        </is>
      </c>
      <c r="G2427" s="11" t="inlineStr">
        <is>
          <t>Vasu.N</t>
        </is>
      </c>
      <c r="H2427" s="8" t="n">
        <v>9578099893</v>
      </c>
      <c r="I2427" s="10" t="inlineStr">
        <is>
          <t>PE04062601</t>
        </is>
      </c>
      <c r="J2427" s="28" t="inlineStr">
        <is>
          <t>Module burnt</t>
        </is>
      </c>
      <c r="K2427" s="8" t="inlineStr">
        <is>
          <t>Zura</t>
        </is>
      </c>
      <c r="L2427" s="8" t="inlineStr">
        <is>
          <t>Gujarat</t>
        </is>
      </c>
      <c r="M2427" s="2" t="inlineStr">
        <is>
          <t xml:space="preserve">damage </t>
        </is>
      </c>
      <c r="N2427" s="6" t="inlineStr">
        <is>
          <t>Module Breakage</t>
        </is>
      </c>
      <c r="O2427" s="32" t="n">
        <v>590</v>
      </c>
      <c r="P2427" s="2" t="inlineStr">
        <is>
          <t>NSMI24100592839</t>
        </is>
      </c>
      <c r="Q2427" s="29">
        <f>MID(P2427,5,2)</f>
        <v/>
      </c>
      <c r="R2427" s="14">
        <f>MID(P2427,7,2)</f>
        <v/>
      </c>
      <c r="S2427" s="6" t="inlineStr">
        <is>
          <t>G2G</t>
        </is>
      </c>
      <c r="T2427" s="1" t="inlineStr">
        <is>
          <t>P4 - PEIPL</t>
        </is>
      </c>
      <c r="U2427" s="2" t="inlineStr">
        <is>
          <t xml:space="preserve">physically damaged </t>
        </is>
      </c>
      <c r="V2427" s="1" t="inlineStr">
        <is>
          <t>Inspection</t>
        </is>
      </c>
      <c r="W2427" s="1" t="inlineStr">
        <is>
          <t>Rejected</t>
        </is>
      </c>
      <c r="X2427" s="5">
        <f>Z2427</f>
        <v/>
      </c>
      <c r="Y2427" s="1">
        <f>X2427-A2427</f>
        <v/>
      </c>
      <c r="Z2427" s="5" t="n">
        <v>46199</v>
      </c>
      <c r="AA2427" s="3" t="n"/>
      <c r="AB2427" s="3" t="n"/>
      <c r="AE2427" s="146">
        <f>IF(AND(F2427="Closed",X2427&gt;=DATE(2026,6,1),X2427&lt;=DATE(2026,6,30)),"Closed in June","other")</f>
        <v/>
      </c>
    </row>
    <row r="2428" hidden="1">
      <c r="A2428" s="49" t="n">
        <v>46177</v>
      </c>
      <c r="B2428" s="1" t="n">
        <v>2026</v>
      </c>
      <c r="C2428" s="8" t="inlineStr">
        <is>
          <t>Ayana</t>
        </is>
      </c>
      <c r="D2428" s="11" t="inlineStr">
        <is>
          <t>Utility and C&amp;I</t>
        </is>
      </c>
      <c r="E2428" s="1" t="n"/>
      <c r="F2428" s="1" t="inlineStr">
        <is>
          <t>Closed</t>
        </is>
      </c>
      <c r="G2428" s="11" t="inlineStr">
        <is>
          <t>Vasu.N</t>
        </is>
      </c>
      <c r="H2428" s="8" t="n">
        <v>9578099893</v>
      </c>
      <c r="I2428" s="10" t="inlineStr">
        <is>
          <t>PE04062601</t>
        </is>
      </c>
      <c r="J2428" s="28" t="inlineStr">
        <is>
          <t>Module burnt</t>
        </is>
      </c>
      <c r="K2428" s="8" t="inlineStr">
        <is>
          <t>Zura</t>
        </is>
      </c>
      <c r="L2428" s="8" t="inlineStr">
        <is>
          <t>Gujarat</t>
        </is>
      </c>
      <c r="M2428" s="2" t="inlineStr">
        <is>
          <t xml:space="preserve">damage </t>
        </is>
      </c>
      <c r="N2428" s="6" t="inlineStr">
        <is>
          <t>Module Breakage</t>
        </is>
      </c>
      <c r="O2428" s="32" t="n">
        <v>590</v>
      </c>
      <c r="P2428" s="2" t="inlineStr">
        <is>
          <t>NSMI24100598452</t>
        </is>
      </c>
      <c r="Q2428" s="29">
        <f>MID(P2428,5,2)</f>
        <v/>
      </c>
      <c r="R2428" s="14">
        <f>MID(P2428,7,2)</f>
        <v/>
      </c>
      <c r="S2428" s="6" t="inlineStr">
        <is>
          <t>G2G</t>
        </is>
      </c>
      <c r="T2428" s="1" t="inlineStr">
        <is>
          <t>P4 - PEIPL</t>
        </is>
      </c>
      <c r="U2428" s="2" t="inlineStr">
        <is>
          <t xml:space="preserve">physically damaged </t>
        </is>
      </c>
      <c r="V2428" s="1" t="inlineStr">
        <is>
          <t>Inspection</t>
        </is>
      </c>
      <c r="W2428" s="1" t="inlineStr">
        <is>
          <t>Rejected</t>
        </is>
      </c>
      <c r="X2428" s="5">
        <f>Z2428</f>
        <v/>
      </c>
      <c r="Y2428" s="1">
        <f>X2428-A2428</f>
        <v/>
      </c>
      <c r="Z2428" s="5" t="n">
        <v>46199</v>
      </c>
      <c r="AA2428" s="3" t="n"/>
      <c r="AB2428" s="3" t="n"/>
      <c r="AE2428" s="146">
        <f>IF(AND(F2428="Closed",X2428&gt;=DATE(2026,6,1),X2428&lt;=DATE(2026,6,30)),"Closed in June","other")</f>
        <v/>
      </c>
    </row>
    <row r="2429" hidden="1">
      <c r="A2429" s="49" t="n">
        <v>46177</v>
      </c>
      <c r="B2429" s="1" t="n">
        <v>2026</v>
      </c>
      <c r="C2429" s="8" t="inlineStr">
        <is>
          <t>Ayana</t>
        </is>
      </c>
      <c r="D2429" s="11" t="inlineStr">
        <is>
          <t>Utility and C&amp;I</t>
        </is>
      </c>
      <c r="E2429" s="1" t="n"/>
      <c r="F2429" s="1" t="inlineStr">
        <is>
          <t>Closed</t>
        </is>
      </c>
      <c r="G2429" s="11" t="inlineStr">
        <is>
          <t>Vasu.N</t>
        </is>
      </c>
      <c r="H2429" s="8" t="n">
        <v>9578099893</v>
      </c>
      <c r="I2429" s="10" t="inlineStr">
        <is>
          <t>PE04062601</t>
        </is>
      </c>
      <c r="J2429" s="28" t="inlineStr">
        <is>
          <t>Module burnt</t>
        </is>
      </c>
      <c r="K2429" s="8" t="inlineStr">
        <is>
          <t>Zura</t>
        </is>
      </c>
      <c r="L2429" s="8" t="inlineStr">
        <is>
          <t>Gujarat</t>
        </is>
      </c>
      <c r="M2429" s="2" t="inlineStr">
        <is>
          <t xml:space="preserve">damage </t>
        </is>
      </c>
      <c r="N2429" s="6" t="inlineStr">
        <is>
          <t>Module Breakage</t>
        </is>
      </c>
      <c r="O2429" s="32" t="n">
        <v>590</v>
      </c>
      <c r="P2429" s="2" t="inlineStr">
        <is>
          <t>NSMI24100615553</t>
        </is>
      </c>
      <c r="Q2429" s="29">
        <f>MID(P2429,5,2)</f>
        <v/>
      </c>
      <c r="R2429" s="14">
        <f>MID(P2429,7,2)</f>
        <v/>
      </c>
      <c r="S2429" s="6" t="inlineStr">
        <is>
          <t>G2G</t>
        </is>
      </c>
      <c r="T2429" s="1" t="inlineStr">
        <is>
          <t>P4 - PEIPL</t>
        </is>
      </c>
      <c r="U2429" s="2" t="inlineStr">
        <is>
          <t xml:space="preserve">physically damaged </t>
        </is>
      </c>
      <c r="V2429" s="1" t="inlineStr">
        <is>
          <t>Inspection</t>
        </is>
      </c>
      <c r="W2429" s="1" t="inlineStr">
        <is>
          <t>Rejected</t>
        </is>
      </c>
      <c r="X2429" s="5">
        <f>Z2429</f>
        <v/>
      </c>
      <c r="Y2429" s="1">
        <f>X2429-A2429</f>
        <v/>
      </c>
      <c r="Z2429" s="5" t="n">
        <v>46199</v>
      </c>
      <c r="AA2429" s="3" t="n"/>
      <c r="AB2429" s="3" t="n"/>
      <c r="AE2429" s="146">
        <f>IF(AND(F2429="Closed",X2429&gt;=DATE(2026,6,1),X2429&lt;=DATE(2026,6,30)),"Closed in June","other")</f>
        <v/>
      </c>
    </row>
    <row r="2430" hidden="1">
      <c r="A2430" s="49" t="n">
        <v>46177</v>
      </c>
      <c r="B2430" s="1" t="n">
        <v>2026</v>
      </c>
      <c r="C2430" s="8" t="inlineStr">
        <is>
          <t>Ayana</t>
        </is>
      </c>
      <c r="D2430" s="11" t="inlineStr">
        <is>
          <t>Utility and C&amp;I</t>
        </is>
      </c>
      <c r="E2430" s="1" t="n"/>
      <c r="F2430" s="1" t="inlineStr">
        <is>
          <t>Closed</t>
        </is>
      </c>
      <c r="G2430" s="11" t="inlineStr">
        <is>
          <t>Vasu.N</t>
        </is>
      </c>
      <c r="H2430" s="8" t="n">
        <v>9578099893</v>
      </c>
      <c r="I2430" s="10" t="inlineStr">
        <is>
          <t>PE04062601</t>
        </is>
      </c>
      <c r="J2430" s="28" t="inlineStr">
        <is>
          <t>Module burnt</t>
        </is>
      </c>
      <c r="K2430" s="8" t="inlineStr">
        <is>
          <t>Zura</t>
        </is>
      </c>
      <c r="L2430" s="8" t="inlineStr">
        <is>
          <t>Gujarat</t>
        </is>
      </c>
      <c r="M2430" s="2" t="inlineStr">
        <is>
          <t xml:space="preserve">damage </t>
        </is>
      </c>
      <c r="N2430" s="6" t="inlineStr">
        <is>
          <t>Module Breakage</t>
        </is>
      </c>
      <c r="O2430" s="32" t="n">
        <v>590</v>
      </c>
      <c r="P2430" s="2" t="inlineStr">
        <is>
          <t>NSMI24100615433</t>
        </is>
      </c>
      <c r="Q2430" s="29">
        <f>MID(P2430,5,2)</f>
        <v/>
      </c>
      <c r="R2430" s="14">
        <f>MID(P2430,7,2)</f>
        <v/>
      </c>
      <c r="S2430" s="6" t="inlineStr">
        <is>
          <t>G2G</t>
        </is>
      </c>
      <c r="T2430" s="1" t="inlineStr">
        <is>
          <t>P4 - PEIPL</t>
        </is>
      </c>
      <c r="U2430" s="2" t="inlineStr">
        <is>
          <t xml:space="preserve">physically damaged </t>
        </is>
      </c>
      <c r="V2430" s="1" t="inlineStr">
        <is>
          <t>Inspection</t>
        </is>
      </c>
      <c r="W2430" s="1" t="inlineStr">
        <is>
          <t>Rejected</t>
        </is>
      </c>
      <c r="X2430" s="5">
        <f>Z2430</f>
        <v/>
      </c>
      <c r="Y2430" s="1">
        <f>X2430-A2430</f>
        <v/>
      </c>
      <c r="Z2430" s="5" t="n">
        <v>46199</v>
      </c>
      <c r="AA2430" s="3" t="n"/>
      <c r="AB2430" s="3" t="n"/>
      <c r="AE2430" s="146">
        <f>IF(AND(F2430="Closed",X2430&gt;=DATE(2026,6,1),X2430&lt;=DATE(2026,6,30)),"Closed in June","other")</f>
        <v/>
      </c>
    </row>
    <row r="2431" hidden="1">
      <c r="A2431" s="49" t="n">
        <v>46177</v>
      </c>
      <c r="B2431" s="1" t="n">
        <v>2026</v>
      </c>
      <c r="C2431" s="8" t="inlineStr">
        <is>
          <t>Ayana</t>
        </is>
      </c>
      <c r="D2431" s="11" t="inlineStr">
        <is>
          <t>Utility and C&amp;I</t>
        </is>
      </c>
      <c r="E2431" s="1" t="n"/>
      <c r="F2431" s="1" t="inlineStr">
        <is>
          <t>Closed</t>
        </is>
      </c>
      <c r="G2431" s="11" t="inlineStr">
        <is>
          <t>Vasu.N</t>
        </is>
      </c>
      <c r="H2431" s="8" t="n">
        <v>9578099893</v>
      </c>
      <c r="I2431" s="10" t="inlineStr">
        <is>
          <t>PE04062601</t>
        </is>
      </c>
      <c r="J2431" s="28" t="inlineStr">
        <is>
          <t>Module burnt</t>
        </is>
      </c>
      <c r="K2431" s="8" t="inlineStr">
        <is>
          <t>Zura</t>
        </is>
      </c>
      <c r="L2431" s="8" t="inlineStr">
        <is>
          <t>Gujarat</t>
        </is>
      </c>
      <c r="M2431" s="2" t="inlineStr">
        <is>
          <t xml:space="preserve">damage </t>
        </is>
      </c>
      <c r="N2431" s="6" t="inlineStr">
        <is>
          <t>Module Breakage</t>
        </is>
      </c>
      <c r="O2431" s="32" t="n">
        <v>590</v>
      </c>
      <c r="P2431" s="2" t="inlineStr">
        <is>
          <t>NSMI24110848597</t>
        </is>
      </c>
      <c r="Q2431" s="29">
        <f>MID(P2431,5,2)</f>
        <v/>
      </c>
      <c r="R2431" s="14">
        <f>MID(P2431,7,2)</f>
        <v/>
      </c>
      <c r="S2431" s="6" t="inlineStr">
        <is>
          <t>G2G</t>
        </is>
      </c>
      <c r="T2431" s="1" t="inlineStr">
        <is>
          <t>P4 - PEIPL</t>
        </is>
      </c>
      <c r="U2431" s="2" t="inlineStr">
        <is>
          <t xml:space="preserve">physically damaged </t>
        </is>
      </c>
      <c r="V2431" s="1" t="inlineStr">
        <is>
          <t>Inspection</t>
        </is>
      </c>
      <c r="W2431" s="1" t="inlineStr">
        <is>
          <t>Rejected</t>
        </is>
      </c>
      <c r="X2431" s="5">
        <f>Z2431</f>
        <v/>
      </c>
      <c r="Y2431" s="1">
        <f>X2431-A2431</f>
        <v/>
      </c>
      <c r="Z2431" s="5" t="n">
        <v>46199</v>
      </c>
      <c r="AA2431" s="3" t="n"/>
      <c r="AB2431" s="3" t="n"/>
      <c r="AE2431" s="146">
        <f>IF(AND(F2431="Closed",X2431&gt;=DATE(2026,6,1),X2431&lt;=DATE(2026,6,30)),"Closed in June","other")</f>
        <v/>
      </c>
    </row>
    <row r="2432" hidden="1">
      <c r="A2432" s="49" t="n">
        <v>46177</v>
      </c>
      <c r="B2432" s="1" t="n">
        <v>2026</v>
      </c>
      <c r="C2432" s="8" t="inlineStr">
        <is>
          <t>Ayana</t>
        </is>
      </c>
      <c r="D2432" s="11" t="inlineStr">
        <is>
          <t>Utility and C&amp;I</t>
        </is>
      </c>
      <c r="E2432" s="1" t="n"/>
      <c r="F2432" s="1" t="inlineStr">
        <is>
          <t>Closed</t>
        </is>
      </c>
      <c r="G2432" s="11" t="inlineStr">
        <is>
          <t>Vasu.N</t>
        </is>
      </c>
      <c r="H2432" s="8" t="n">
        <v>9578099893</v>
      </c>
      <c r="I2432" s="10" t="inlineStr">
        <is>
          <t>PE04062601</t>
        </is>
      </c>
      <c r="J2432" s="28" t="inlineStr">
        <is>
          <t>Module burnt</t>
        </is>
      </c>
      <c r="K2432" s="8" t="inlineStr">
        <is>
          <t>Zura</t>
        </is>
      </c>
      <c r="L2432" s="8" t="inlineStr">
        <is>
          <t>Gujarat</t>
        </is>
      </c>
      <c r="M2432" s="2" t="inlineStr">
        <is>
          <t xml:space="preserve">damage </t>
        </is>
      </c>
      <c r="N2432" s="6" t="inlineStr">
        <is>
          <t>Module Breakage</t>
        </is>
      </c>
      <c r="O2432" s="32" t="n">
        <v>590</v>
      </c>
      <c r="P2432" s="2" t="inlineStr">
        <is>
          <t>NSMI24100592362</t>
        </is>
      </c>
      <c r="Q2432" s="29">
        <f>MID(P2432,5,2)</f>
        <v/>
      </c>
      <c r="R2432" s="14">
        <f>MID(P2432,7,2)</f>
        <v/>
      </c>
      <c r="S2432" s="6" t="inlineStr">
        <is>
          <t>G2G</t>
        </is>
      </c>
      <c r="T2432" s="1" t="inlineStr">
        <is>
          <t>P4 - PEIPL</t>
        </is>
      </c>
      <c r="U2432" s="2" t="inlineStr">
        <is>
          <t xml:space="preserve">physically damaged </t>
        </is>
      </c>
      <c r="V2432" s="1" t="inlineStr">
        <is>
          <t>Inspection</t>
        </is>
      </c>
      <c r="W2432" s="1" t="inlineStr">
        <is>
          <t>Rejected</t>
        </is>
      </c>
      <c r="X2432" s="5">
        <f>Z2432</f>
        <v/>
      </c>
      <c r="Y2432" s="1">
        <f>X2432-A2432</f>
        <v/>
      </c>
      <c r="Z2432" s="5" t="n">
        <v>46199</v>
      </c>
      <c r="AA2432" s="3" t="n"/>
      <c r="AB2432" s="3" t="n"/>
      <c r="AE2432" s="146">
        <f>IF(AND(F2432="Closed",X2432&gt;=DATE(2026,6,1),X2432&lt;=DATE(2026,6,30)),"Closed in June","other")</f>
        <v/>
      </c>
    </row>
    <row r="2433" hidden="1">
      <c r="A2433" s="49" t="n">
        <v>46177</v>
      </c>
      <c r="B2433" s="1" t="n">
        <v>2026</v>
      </c>
      <c r="C2433" s="8" t="inlineStr">
        <is>
          <t>Ayana</t>
        </is>
      </c>
      <c r="D2433" s="11" t="inlineStr">
        <is>
          <t>Utility and C&amp;I</t>
        </is>
      </c>
      <c r="E2433" s="1" t="n"/>
      <c r="F2433" s="1" t="inlineStr">
        <is>
          <t>Closed</t>
        </is>
      </c>
      <c r="G2433" s="11" t="inlineStr">
        <is>
          <t>Vasu.N</t>
        </is>
      </c>
      <c r="H2433" s="8" t="n">
        <v>9578099893</v>
      </c>
      <c r="I2433" s="10" t="inlineStr">
        <is>
          <t>PE04062601</t>
        </is>
      </c>
      <c r="J2433" s="28" t="inlineStr">
        <is>
          <t>Module burnt</t>
        </is>
      </c>
      <c r="K2433" s="8" t="inlineStr">
        <is>
          <t>Zura</t>
        </is>
      </c>
      <c r="L2433" s="8" t="inlineStr">
        <is>
          <t>Gujarat</t>
        </is>
      </c>
      <c r="M2433" s="2" t="inlineStr">
        <is>
          <t xml:space="preserve">damage </t>
        </is>
      </c>
      <c r="N2433" s="6" t="inlineStr">
        <is>
          <t>Module Breakage</t>
        </is>
      </c>
      <c r="O2433" s="32" t="n">
        <v>590</v>
      </c>
      <c r="P2433" s="2" t="inlineStr">
        <is>
          <t>NSMI24100592356</t>
        </is>
      </c>
      <c r="Q2433" s="29">
        <f>MID(P2433,5,2)</f>
        <v/>
      </c>
      <c r="R2433" s="14">
        <f>MID(P2433,7,2)</f>
        <v/>
      </c>
      <c r="S2433" s="6" t="inlineStr">
        <is>
          <t>G2G</t>
        </is>
      </c>
      <c r="T2433" s="1" t="inlineStr">
        <is>
          <t>P4 - PEIPL</t>
        </is>
      </c>
      <c r="U2433" s="2" t="inlineStr">
        <is>
          <t xml:space="preserve">physically damaged </t>
        </is>
      </c>
      <c r="V2433" s="1" t="inlineStr">
        <is>
          <t>Inspection</t>
        </is>
      </c>
      <c r="W2433" s="1" t="inlineStr">
        <is>
          <t>Rejected</t>
        </is>
      </c>
      <c r="X2433" s="5">
        <f>Z2433</f>
        <v/>
      </c>
      <c r="Y2433" s="1">
        <f>X2433-A2433</f>
        <v/>
      </c>
      <c r="Z2433" s="5" t="n">
        <v>46199</v>
      </c>
      <c r="AA2433" s="3" t="n"/>
      <c r="AB2433" s="3" t="n"/>
      <c r="AE2433" s="146">
        <f>IF(AND(F2433="Closed",X2433&gt;=DATE(2026,6,1),X2433&lt;=DATE(2026,6,30)),"Closed in June","other")</f>
        <v/>
      </c>
    </row>
    <row r="2434" hidden="1">
      <c r="A2434" s="49" t="n">
        <v>46177</v>
      </c>
      <c r="B2434" s="1" t="n">
        <v>2026</v>
      </c>
      <c r="C2434" s="8" t="inlineStr">
        <is>
          <t>Ayana</t>
        </is>
      </c>
      <c r="D2434" s="11" t="inlineStr">
        <is>
          <t>Utility and C&amp;I</t>
        </is>
      </c>
      <c r="E2434" s="1" t="n"/>
      <c r="F2434" s="1" t="inlineStr">
        <is>
          <t>Closed</t>
        </is>
      </c>
      <c r="G2434" s="11" t="inlineStr">
        <is>
          <t>Vasu.N</t>
        </is>
      </c>
      <c r="H2434" s="8" t="n">
        <v>9578099893</v>
      </c>
      <c r="I2434" s="10" t="inlineStr">
        <is>
          <t>PE04062601</t>
        </is>
      </c>
      <c r="J2434" s="28" t="inlineStr">
        <is>
          <t>Module burnt</t>
        </is>
      </c>
      <c r="K2434" s="8" t="inlineStr">
        <is>
          <t>Zura</t>
        </is>
      </c>
      <c r="L2434" s="8" t="inlineStr">
        <is>
          <t>Gujarat</t>
        </is>
      </c>
      <c r="M2434" s="2" t="inlineStr">
        <is>
          <t xml:space="preserve">damage </t>
        </is>
      </c>
      <c r="N2434" s="6" t="inlineStr">
        <is>
          <t>Module Breakage</t>
        </is>
      </c>
      <c r="O2434" s="32" t="n">
        <v>590</v>
      </c>
      <c r="P2434" s="2" t="inlineStr">
        <is>
          <t>NSMI24100592354</t>
        </is>
      </c>
      <c r="Q2434" s="29">
        <f>MID(P2434,5,2)</f>
        <v/>
      </c>
      <c r="R2434" s="14">
        <f>MID(P2434,7,2)</f>
        <v/>
      </c>
      <c r="S2434" s="6" t="inlineStr">
        <is>
          <t>G2G</t>
        </is>
      </c>
      <c r="T2434" s="1" t="inlineStr">
        <is>
          <t>P4 - PEIPL</t>
        </is>
      </c>
      <c r="U2434" s="2" t="inlineStr">
        <is>
          <t xml:space="preserve">physically damaged </t>
        </is>
      </c>
      <c r="V2434" s="1" t="inlineStr">
        <is>
          <t>Inspection</t>
        </is>
      </c>
      <c r="W2434" s="1" t="inlineStr">
        <is>
          <t>Rejected</t>
        </is>
      </c>
      <c r="X2434" s="5">
        <f>Z2434</f>
        <v/>
      </c>
      <c r="Y2434" s="1">
        <f>X2434-A2434</f>
        <v/>
      </c>
      <c r="Z2434" s="5" t="n">
        <v>46199</v>
      </c>
      <c r="AA2434" s="3" t="n"/>
      <c r="AB2434" s="3" t="n"/>
      <c r="AE2434" s="146">
        <f>IF(AND(F2434="Closed",X2434&gt;=DATE(2026,6,1),X2434&lt;=DATE(2026,6,30)),"Closed in June","other")</f>
        <v/>
      </c>
    </row>
    <row r="2435" hidden="1">
      <c r="A2435" s="49" t="n">
        <v>46177</v>
      </c>
      <c r="B2435" s="1" t="n">
        <v>2026</v>
      </c>
      <c r="C2435" s="8" t="inlineStr">
        <is>
          <t>Ayana</t>
        </is>
      </c>
      <c r="D2435" s="11" t="inlineStr">
        <is>
          <t>Utility and C&amp;I</t>
        </is>
      </c>
      <c r="E2435" s="1" t="n"/>
      <c r="F2435" s="1" t="inlineStr">
        <is>
          <t>Closed</t>
        </is>
      </c>
      <c r="G2435" s="11" t="inlineStr">
        <is>
          <t>Vasu.N</t>
        </is>
      </c>
      <c r="H2435" s="8" t="n">
        <v>9578099893</v>
      </c>
      <c r="I2435" s="10" t="inlineStr">
        <is>
          <t>PE04062601</t>
        </is>
      </c>
      <c r="J2435" s="28" t="inlineStr">
        <is>
          <t>Module burnt</t>
        </is>
      </c>
      <c r="K2435" s="8" t="inlineStr">
        <is>
          <t>Zura</t>
        </is>
      </c>
      <c r="L2435" s="8" t="inlineStr">
        <is>
          <t>Gujarat</t>
        </is>
      </c>
      <c r="M2435" s="2" t="inlineStr">
        <is>
          <t xml:space="preserve">damage </t>
        </is>
      </c>
      <c r="N2435" s="6" t="inlineStr">
        <is>
          <t>Module Breakage</t>
        </is>
      </c>
      <c r="O2435" s="32" t="n">
        <v>590</v>
      </c>
      <c r="P2435" s="2" t="inlineStr">
        <is>
          <t>NSMI24100592332</t>
        </is>
      </c>
      <c r="Q2435" s="29">
        <f>MID(P2435,5,2)</f>
        <v/>
      </c>
      <c r="R2435" s="14">
        <f>MID(P2435,7,2)</f>
        <v/>
      </c>
      <c r="S2435" s="6" t="inlineStr">
        <is>
          <t>G2G</t>
        </is>
      </c>
      <c r="T2435" s="1" t="inlineStr">
        <is>
          <t>P4 - PEIPL</t>
        </is>
      </c>
      <c r="U2435" s="2" t="inlineStr">
        <is>
          <t xml:space="preserve">physically damaged </t>
        </is>
      </c>
      <c r="V2435" s="1" t="inlineStr">
        <is>
          <t>Inspection</t>
        </is>
      </c>
      <c r="W2435" s="1" t="inlineStr">
        <is>
          <t>Rejected</t>
        </is>
      </c>
      <c r="X2435" s="5">
        <f>Z2435</f>
        <v/>
      </c>
      <c r="Y2435" s="1">
        <f>X2435-A2435</f>
        <v/>
      </c>
      <c r="Z2435" s="5" t="n">
        <v>46199</v>
      </c>
      <c r="AA2435" s="3" t="n"/>
      <c r="AB2435" s="3" t="n"/>
      <c r="AE2435" s="146">
        <f>IF(AND(F2435="Closed",X2435&gt;=DATE(2026,6,1),X2435&lt;=DATE(2026,6,30)),"Closed in June","other")</f>
        <v/>
      </c>
    </row>
    <row r="2436" hidden="1">
      <c r="A2436" s="49" t="n">
        <v>46177</v>
      </c>
      <c r="B2436" s="1" t="n">
        <v>2026</v>
      </c>
      <c r="C2436" s="8" t="inlineStr">
        <is>
          <t>Ayana</t>
        </is>
      </c>
      <c r="D2436" s="11" t="inlineStr">
        <is>
          <t>Utility and C&amp;I</t>
        </is>
      </c>
      <c r="E2436" s="1" t="n"/>
      <c r="F2436" s="1" t="inlineStr">
        <is>
          <t>Closed</t>
        </is>
      </c>
      <c r="G2436" s="11" t="inlineStr">
        <is>
          <t>Vasu.N</t>
        </is>
      </c>
      <c r="H2436" s="8" t="n">
        <v>9578099893</v>
      </c>
      <c r="I2436" s="10" t="inlineStr">
        <is>
          <t>PE04062601</t>
        </is>
      </c>
      <c r="J2436" s="28" t="inlineStr">
        <is>
          <t>Module burnt</t>
        </is>
      </c>
      <c r="K2436" s="8" t="inlineStr">
        <is>
          <t>Zura</t>
        </is>
      </c>
      <c r="L2436" s="8" t="inlineStr">
        <is>
          <t>Gujarat</t>
        </is>
      </c>
      <c r="M2436" s="2" t="inlineStr">
        <is>
          <t xml:space="preserve">damage </t>
        </is>
      </c>
      <c r="N2436" s="6" t="inlineStr">
        <is>
          <t>Module Breakage</t>
        </is>
      </c>
      <c r="O2436" s="32" t="n">
        <v>590</v>
      </c>
      <c r="P2436" s="2" t="inlineStr">
        <is>
          <t>NSMI24100592360</t>
        </is>
      </c>
      <c r="Q2436" s="29">
        <f>MID(P2436,5,2)</f>
        <v/>
      </c>
      <c r="R2436" s="14">
        <f>MID(P2436,7,2)</f>
        <v/>
      </c>
      <c r="S2436" s="6" t="inlineStr">
        <is>
          <t>G2G</t>
        </is>
      </c>
      <c r="T2436" s="1" t="inlineStr">
        <is>
          <t>P4 - PEIPL</t>
        </is>
      </c>
      <c r="U2436" s="2" t="inlineStr">
        <is>
          <t xml:space="preserve">physically damaged </t>
        </is>
      </c>
      <c r="V2436" s="1" t="inlineStr">
        <is>
          <t>Inspection</t>
        </is>
      </c>
      <c r="W2436" s="1" t="inlineStr">
        <is>
          <t>Rejected</t>
        </is>
      </c>
      <c r="X2436" s="5">
        <f>Z2436</f>
        <v/>
      </c>
      <c r="Y2436" s="1">
        <f>X2436-A2436</f>
        <v/>
      </c>
      <c r="Z2436" s="5" t="n">
        <v>46199</v>
      </c>
      <c r="AA2436" s="3" t="n"/>
      <c r="AB2436" s="3" t="n"/>
      <c r="AE2436" s="146">
        <f>IF(AND(F2436="Closed",X2436&gt;=DATE(2026,6,1),X2436&lt;=DATE(2026,6,30)),"Closed in June","other")</f>
        <v/>
      </c>
    </row>
    <row r="2437" hidden="1">
      <c r="A2437" s="49" t="n">
        <v>46177</v>
      </c>
      <c r="B2437" s="1" t="n">
        <v>2026</v>
      </c>
      <c r="C2437" s="8" t="inlineStr">
        <is>
          <t>Ayana</t>
        </is>
      </c>
      <c r="D2437" s="11" t="inlineStr">
        <is>
          <t>Utility and C&amp;I</t>
        </is>
      </c>
      <c r="E2437" s="1" t="n"/>
      <c r="F2437" s="1" t="inlineStr">
        <is>
          <t>Closed</t>
        </is>
      </c>
      <c r="G2437" s="11" t="inlineStr">
        <is>
          <t>Vasu.N</t>
        </is>
      </c>
      <c r="H2437" s="8" t="n">
        <v>9578099893</v>
      </c>
      <c r="I2437" s="10" t="inlineStr">
        <is>
          <t>PE04062601</t>
        </is>
      </c>
      <c r="J2437" s="28" t="inlineStr">
        <is>
          <t>Module burnt</t>
        </is>
      </c>
      <c r="K2437" s="8" t="inlineStr">
        <is>
          <t>Zura</t>
        </is>
      </c>
      <c r="L2437" s="8" t="inlineStr">
        <is>
          <t>Gujarat</t>
        </is>
      </c>
      <c r="M2437" s="2" t="inlineStr">
        <is>
          <t xml:space="preserve">damage </t>
        </is>
      </c>
      <c r="N2437" s="6" t="inlineStr">
        <is>
          <t>Module Breakage</t>
        </is>
      </c>
      <c r="O2437" s="32" t="n">
        <v>590</v>
      </c>
      <c r="P2437" s="2" t="inlineStr">
        <is>
          <t>NSMI24100591281</t>
        </is>
      </c>
      <c r="Q2437" s="29">
        <f>MID(P2437,5,2)</f>
        <v/>
      </c>
      <c r="R2437" s="14">
        <f>MID(P2437,7,2)</f>
        <v/>
      </c>
      <c r="S2437" s="6" t="inlineStr">
        <is>
          <t>G2G</t>
        </is>
      </c>
      <c r="T2437" s="1" t="inlineStr">
        <is>
          <t>P4 - PEIPL</t>
        </is>
      </c>
      <c r="U2437" s="2" t="inlineStr">
        <is>
          <t xml:space="preserve">physically damaged </t>
        </is>
      </c>
      <c r="V2437" s="1" t="inlineStr">
        <is>
          <t>Inspection</t>
        </is>
      </c>
      <c r="W2437" s="1" t="inlineStr">
        <is>
          <t>Rejected</t>
        </is>
      </c>
      <c r="X2437" s="5">
        <f>Z2437</f>
        <v/>
      </c>
      <c r="Y2437" s="1">
        <f>X2437-A2437</f>
        <v/>
      </c>
      <c r="Z2437" s="5" t="n">
        <v>46199</v>
      </c>
      <c r="AA2437" s="3" t="n"/>
      <c r="AB2437" s="3" t="n"/>
      <c r="AE2437" s="146">
        <f>IF(AND(F2437="Closed",X2437&gt;=DATE(2026,6,1),X2437&lt;=DATE(2026,6,30)),"Closed in June","other")</f>
        <v/>
      </c>
    </row>
    <row r="2438" hidden="1">
      <c r="A2438" s="49" t="n">
        <v>46177</v>
      </c>
      <c r="B2438" s="1" t="n">
        <v>2026</v>
      </c>
      <c r="C2438" s="8" t="inlineStr">
        <is>
          <t>Ayana</t>
        </is>
      </c>
      <c r="D2438" s="11" t="inlineStr">
        <is>
          <t>Utility and C&amp;I</t>
        </is>
      </c>
      <c r="E2438" s="1" t="n"/>
      <c r="F2438" s="1" t="inlineStr">
        <is>
          <t>Closed</t>
        </is>
      </c>
      <c r="G2438" s="11" t="inlineStr">
        <is>
          <t>Vasu.N</t>
        </is>
      </c>
      <c r="H2438" s="8" t="n">
        <v>9578099893</v>
      </c>
      <c r="I2438" s="10" t="inlineStr">
        <is>
          <t>PE04062601</t>
        </is>
      </c>
      <c r="J2438" s="28" t="inlineStr">
        <is>
          <t>Module burnt</t>
        </is>
      </c>
      <c r="K2438" s="8" t="inlineStr">
        <is>
          <t>Zura</t>
        </is>
      </c>
      <c r="L2438" s="8" t="inlineStr">
        <is>
          <t>Gujarat</t>
        </is>
      </c>
      <c r="M2438" s="2" t="inlineStr">
        <is>
          <t xml:space="preserve">damage </t>
        </is>
      </c>
      <c r="N2438" s="6" t="inlineStr">
        <is>
          <t>Module Breakage</t>
        </is>
      </c>
      <c r="O2438" s="32" t="n">
        <v>590</v>
      </c>
      <c r="P2438" s="2" t="inlineStr">
        <is>
          <t>NSMI24100591201</t>
        </is>
      </c>
      <c r="Q2438" s="29">
        <f>MID(P2438,5,2)</f>
        <v/>
      </c>
      <c r="R2438" s="14">
        <f>MID(P2438,7,2)</f>
        <v/>
      </c>
      <c r="S2438" s="6" t="inlineStr">
        <is>
          <t>G2G</t>
        </is>
      </c>
      <c r="T2438" s="1" t="inlineStr">
        <is>
          <t>P4 - PEIPL</t>
        </is>
      </c>
      <c r="U2438" s="2" t="inlineStr">
        <is>
          <t xml:space="preserve">physically damaged </t>
        </is>
      </c>
      <c r="V2438" s="1" t="inlineStr">
        <is>
          <t>Inspection</t>
        </is>
      </c>
      <c r="W2438" s="1" t="inlineStr">
        <is>
          <t>Rejected</t>
        </is>
      </c>
      <c r="X2438" s="5">
        <f>Z2438</f>
        <v/>
      </c>
      <c r="Y2438" s="1">
        <f>X2438-A2438</f>
        <v/>
      </c>
      <c r="Z2438" s="5" t="n">
        <v>46199</v>
      </c>
      <c r="AA2438" s="3" t="n"/>
      <c r="AB2438" s="3" t="n"/>
      <c r="AE2438" s="146">
        <f>IF(AND(F2438="Closed",X2438&gt;=DATE(2026,6,1),X2438&lt;=DATE(2026,6,30)),"Closed in June","other")</f>
        <v/>
      </c>
    </row>
    <row r="2439" hidden="1">
      <c r="A2439" s="49" t="n">
        <v>46177</v>
      </c>
      <c r="B2439" s="1" t="n">
        <v>2026</v>
      </c>
      <c r="C2439" s="8" t="inlineStr">
        <is>
          <t>Ayana</t>
        </is>
      </c>
      <c r="D2439" s="11" t="inlineStr">
        <is>
          <t>Utility and C&amp;I</t>
        </is>
      </c>
      <c r="E2439" s="1" t="n"/>
      <c r="F2439" s="1" t="inlineStr">
        <is>
          <t>Closed</t>
        </is>
      </c>
      <c r="G2439" s="11" t="inlineStr">
        <is>
          <t>Vasu.N</t>
        </is>
      </c>
      <c r="H2439" s="8" t="n">
        <v>9578099893</v>
      </c>
      <c r="I2439" s="10" t="inlineStr">
        <is>
          <t>PE04062601</t>
        </is>
      </c>
      <c r="J2439" s="28" t="inlineStr">
        <is>
          <t>Module burnt</t>
        </is>
      </c>
      <c r="K2439" s="8" t="inlineStr">
        <is>
          <t>Zura</t>
        </is>
      </c>
      <c r="L2439" s="8" t="inlineStr">
        <is>
          <t>Gujarat</t>
        </is>
      </c>
      <c r="M2439" s="2" t="inlineStr">
        <is>
          <t xml:space="preserve">damage </t>
        </is>
      </c>
      <c r="N2439" s="6" t="inlineStr">
        <is>
          <t>Module Breakage</t>
        </is>
      </c>
      <c r="O2439" s="32" t="n">
        <v>590</v>
      </c>
      <c r="P2439" s="2" t="inlineStr">
        <is>
          <t>NSMI24100592319</t>
        </is>
      </c>
      <c r="Q2439" s="29">
        <f>MID(P2439,5,2)</f>
        <v/>
      </c>
      <c r="R2439" s="14">
        <f>MID(P2439,7,2)</f>
        <v/>
      </c>
      <c r="S2439" s="6" t="inlineStr">
        <is>
          <t>G2G</t>
        </is>
      </c>
      <c r="T2439" s="1" t="inlineStr">
        <is>
          <t>P4 - PEIPL</t>
        </is>
      </c>
      <c r="U2439" s="2" t="inlineStr">
        <is>
          <t xml:space="preserve">physically damaged </t>
        </is>
      </c>
      <c r="V2439" s="1" t="inlineStr">
        <is>
          <t>Inspection</t>
        </is>
      </c>
      <c r="W2439" s="1" t="inlineStr">
        <is>
          <t>Rejected</t>
        </is>
      </c>
      <c r="X2439" s="5">
        <f>Z2439</f>
        <v/>
      </c>
      <c r="Y2439" s="1">
        <f>X2439-A2439</f>
        <v/>
      </c>
      <c r="Z2439" s="5" t="n">
        <v>46199</v>
      </c>
      <c r="AA2439" s="3" t="n"/>
      <c r="AB2439" s="3" t="n"/>
      <c r="AE2439" s="146">
        <f>IF(AND(F2439="Closed",X2439&gt;=DATE(2026,6,1),X2439&lt;=DATE(2026,6,30)),"Closed in June","other")</f>
        <v/>
      </c>
    </row>
    <row r="2440" hidden="1">
      <c r="A2440" s="49" t="n">
        <v>46177</v>
      </c>
      <c r="B2440" s="1" t="n">
        <v>2026</v>
      </c>
      <c r="C2440" s="8" t="inlineStr">
        <is>
          <t>Ayana</t>
        </is>
      </c>
      <c r="D2440" s="11" t="inlineStr">
        <is>
          <t>Utility and C&amp;I</t>
        </is>
      </c>
      <c r="E2440" s="1" t="n"/>
      <c r="F2440" s="1" t="inlineStr">
        <is>
          <t>Closed</t>
        </is>
      </c>
      <c r="G2440" s="11" t="inlineStr">
        <is>
          <t>Vasu.N</t>
        </is>
      </c>
      <c r="H2440" s="8" t="n">
        <v>9578099893</v>
      </c>
      <c r="I2440" s="10" t="inlineStr">
        <is>
          <t>PE04062601</t>
        </is>
      </c>
      <c r="J2440" s="28" t="inlineStr">
        <is>
          <t>Module burnt</t>
        </is>
      </c>
      <c r="K2440" s="8" t="inlineStr">
        <is>
          <t>Zura</t>
        </is>
      </c>
      <c r="L2440" s="8" t="inlineStr">
        <is>
          <t>Gujarat</t>
        </is>
      </c>
      <c r="M2440" s="2" t="inlineStr">
        <is>
          <t xml:space="preserve">damage </t>
        </is>
      </c>
      <c r="N2440" s="6" t="inlineStr">
        <is>
          <t>Module Breakage</t>
        </is>
      </c>
      <c r="O2440" s="32" t="n">
        <v>590</v>
      </c>
      <c r="P2440" s="2" t="inlineStr">
        <is>
          <t>NSMI24100593061</t>
        </is>
      </c>
      <c r="Q2440" s="29">
        <f>MID(P2440,5,2)</f>
        <v/>
      </c>
      <c r="R2440" s="14">
        <f>MID(P2440,7,2)</f>
        <v/>
      </c>
      <c r="S2440" s="6" t="inlineStr">
        <is>
          <t>G2G</t>
        </is>
      </c>
      <c r="T2440" s="1" t="inlineStr">
        <is>
          <t>P4 - PEIPL</t>
        </is>
      </c>
      <c r="U2440" s="2" t="inlineStr">
        <is>
          <t xml:space="preserve">physically damaged </t>
        </is>
      </c>
      <c r="V2440" s="1" t="inlineStr">
        <is>
          <t>Inspection</t>
        </is>
      </c>
      <c r="W2440" s="1" t="inlineStr">
        <is>
          <t>Rejected</t>
        </is>
      </c>
      <c r="X2440" s="5">
        <f>Z2440</f>
        <v/>
      </c>
      <c r="Y2440" s="1">
        <f>X2440-A2440</f>
        <v/>
      </c>
      <c r="Z2440" s="5" t="n">
        <v>46199</v>
      </c>
      <c r="AA2440" s="3" t="n"/>
      <c r="AB2440" s="3" t="n"/>
      <c r="AE2440" s="146">
        <f>IF(AND(F2440="Closed",X2440&gt;=DATE(2026,6,1),X2440&lt;=DATE(2026,6,30)),"Closed in June","other")</f>
        <v/>
      </c>
    </row>
    <row r="2441" hidden="1">
      <c r="A2441" s="49" t="n">
        <v>46177</v>
      </c>
      <c r="B2441" s="1" t="n">
        <v>2026</v>
      </c>
      <c r="C2441" s="8" t="inlineStr">
        <is>
          <t>Ayana</t>
        </is>
      </c>
      <c r="D2441" s="11" t="inlineStr">
        <is>
          <t>Utility and C&amp;I</t>
        </is>
      </c>
      <c r="E2441" s="1" t="n"/>
      <c r="F2441" s="1" t="inlineStr">
        <is>
          <t>Closed</t>
        </is>
      </c>
      <c r="G2441" s="11" t="inlineStr">
        <is>
          <t>Vasu.N</t>
        </is>
      </c>
      <c r="H2441" s="8" t="n">
        <v>9578099893</v>
      </c>
      <c r="I2441" s="10" t="inlineStr">
        <is>
          <t>PE04062601</t>
        </is>
      </c>
      <c r="J2441" s="28" t="inlineStr">
        <is>
          <t>Module burnt</t>
        </is>
      </c>
      <c r="K2441" s="8" t="inlineStr">
        <is>
          <t>Zura</t>
        </is>
      </c>
      <c r="L2441" s="8" t="inlineStr">
        <is>
          <t>Gujarat</t>
        </is>
      </c>
      <c r="M2441" s="2" t="inlineStr">
        <is>
          <t xml:space="preserve">damage </t>
        </is>
      </c>
      <c r="N2441" s="6" t="inlineStr">
        <is>
          <t>Module Breakage</t>
        </is>
      </c>
      <c r="O2441" s="32" t="n">
        <v>590</v>
      </c>
      <c r="P2441" s="2" t="inlineStr">
        <is>
          <t>NSMI24100591844</t>
        </is>
      </c>
      <c r="Q2441" s="29">
        <f>MID(P2441,5,2)</f>
        <v/>
      </c>
      <c r="R2441" s="14">
        <f>MID(P2441,7,2)</f>
        <v/>
      </c>
      <c r="S2441" s="6" t="inlineStr">
        <is>
          <t>G2G</t>
        </is>
      </c>
      <c r="T2441" s="1" t="inlineStr">
        <is>
          <t>P4 - PEIPL</t>
        </is>
      </c>
      <c r="U2441" s="2" t="inlineStr">
        <is>
          <t xml:space="preserve">physically damaged </t>
        </is>
      </c>
      <c r="V2441" s="1" t="inlineStr">
        <is>
          <t>Inspection</t>
        </is>
      </c>
      <c r="W2441" s="1" t="inlineStr">
        <is>
          <t>Rejected</t>
        </is>
      </c>
      <c r="X2441" s="5">
        <f>Z2441</f>
        <v/>
      </c>
      <c r="Y2441" s="1">
        <f>X2441-A2441</f>
        <v/>
      </c>
      <c r="Z2441" s="5" t="n">
        <v>46199</v>
      </c>
      <c r="AA2441" s="3" t="n"/>
      <c r="AB2441" s="3" t="n"/>
      <c r="AE2441" s="146">
        <f>IF(AND(F2441="Closed",X2441&gt;=DATE(2026,6,1),X2441&lt;=DATE(2026,6,30)),"Closed in June","other")</f>
        <v/>
      </c>
    </row>
    <row r="2442" hidden="1">
      <c r="A2442" s="49" t="n">
        <v>46177</v>
      </c>
      <c r="B2442" s="1" t="n">
        <v>2026</v>
      </c>
      <c r="C2442" s="8" t="inlineStr">
        <is>
          <t>Ayana</t>
        </is>
      </c>
      <c r="D2442" s="11" t="inlineStr">
        <is>
          <t>Utility and C&amp;I</t>
        </is>
      </c>
      <c r="E2442" s="1" t="n"/>
      <c r="F2442" s="1" t="inlineStr">
        <is>
          <t>Closed</t>
        </is>
      </c>
      <c r="G2442" s="11" t="inlineStr">
        <is>
          <t>Vasu.N</t>
        </is>
      </c>
      <c r="H2442" s="8" t="n">
        <v>9578099893</v>
      </c>
      <c r="I2442" s="10" t="inlineStr">
        <is>
          <t>PE04062601</t>
        </is>
      </c>
      <c r="J2442" s="28" t="inlineStr">
        <is>
          <t>Module burnt</t>
        </is>
      </c>
      <c r="K2442" s="8" t="inlineStr">
        <is>
          <t>Zura</t>
        </is>
      </c>
      <c r="L2442" s="8" t="inlineStr">
        <is>
          <t>Gujarat</t>
        </is>
      </c>
      <c r="M2442" s="2" t="inlineStr">
        <is>
          <t xml:space="preserve">damage </t>
        </is>
      </c>
      <c r="N2442" s="6" t="inlineStr">
        <is>
          <t>Module Breakage</t>
        </is>
      </c>
      <c r="O2442" s="32" t="n">
        <v>590</v>
      </c>
      <c r="P2442" s="2" t="inlineStr">
        <is>
          <t>NSMI24100614135</t>
        </is>
      </c>
      <c r="Q2442" s="29">
        <f>MID(P2442,5,2)</f>
        <v/>
      </c>
      <c r="R2442" s="14">
        <f>MID(P2442,7,2)</f>
        <v/>
      </c>
      <c r="S2442" s="6" t="inlineStr">
        <is>
          <t>G2G</t>
        </is>
      </c>
      <c r="T2442" s="1" t="inlineStr">
        <is>
          <t>P4 - PEIPL</t>
        </is>
      </c>
      <c r="U2442" s="2" t="inlineStr">
        <is>
          <t xml:space="preserve">physically damaged </t>
        </is>
      </c>
      <c r="V2442" s="1" t="inlineStr">
        <is>
          <t>Inspection</t>
        </is>
      </c>
      <c r="W2442" s="1" t="inlineStr">
        <is>
          <t>Rejected</t>
        </is>
      </c>
      <c r="X2442" s="5">
        <f>Z2442</f>
        <v/>
      </c>
      <c r="Y2442" s="1">
        <f>X2442-A2442</f>
        <v/>
      </c>
      <c r="Z2442" s="5" t="n">
        <v>46199</v>
      </c>
      <c r="AA2442" s="3" t="n"/>
      <c r="AB2442" s="3" t="n"/>
      <c r="AE2442" s="146">
        <f>IF(AND(F2442="Closed",X2442&gt;=DATE(2026,6,1),X2442&lt;=DATE(2026,6,30)),"Closed in June","other")</f>
        <v/>
      </c>
    </row>
    <row r="2443" hidden="1">
      <c r="A2443" s="49" t="n">
        <v>46177</v>
      </c>
      <c r="B2443" s="1" t="n">
        <v>2026</v>
      </c>
      <c r="C2443" s="8" t="inlineStr">
        <is>
          <t>Ayana</t>
        </is>
      </c>
      <c r="D2443" s="11" t="inlineStr">
        <is>
          <t>Utility and C&amp;I</t>
        </is>
      </c>
      <c r="E2443" s="1" t="n"/>
      <c r="F2443" s="1" t="inlineStr">
        <is>
          <t>Closed</t>
        </is>
      </c>
      <c r="G2443" s="11" t="inlineStr">
        <is>
          <t>Vasu.N</t>
        </is>
      </c>
      <c r="H2443" s="8" t="n">
        <v>9578099893</v>
      </c>
      <c r="I2443" s="10" t="inlineStr">
        <is>
          <t>PE04062601</t>
        </is>
      </c>
      <c r="J2443" s="28" t="inlineStr">
        <is>
          <t>Module burnt</t>
        </is>
      </c>
      <c r="K2443" s="8" t="inlineStr">
        <is>
          <t>Zura</t>
        </is>
      </c>
      <c r="L2443" s="8" t="inlineStr">
        <is>
          <t>Gujarat</t>
        </is>
      </c>
      <c r="M2443" s="2" t="inlineStr">
        <is>
          <t xml:space="preserve">damage </t>
        </is>
      </c>
      <c r="N2443" s="6" t="inlineStr">
        <is>
          <t>Module Breakage</t>
        </is>
      </c>
      <c r="O2443" s="32" t="n">
        <v>590</v>
      </c>
      <c r="P2443" s="2" t="inlineStr">
        <is>
          <t>NSMI24100609740</t>
        </is>
      </c>
      <c r="Q2443" s="29">
        <f>MID(P2443,5,2)</f>
        <v/>
      </c>
      <c r="R2443" s="14">
        <f>MID(P2443,7,2)</f>
        <v/>
      </c>
      <c r="S2443" s="6" t="inlineStr">
        <is>
          <t>G2G</t>
        </is>
      </c>
      <c r="T2443" s="1" t="inlineStr">
        <is>
          <t>P4 - PEIPL</t>
        </is>
      </c>
      <c r="U2443" s="2" t="inlineStr">
        <is>
          <t xml:space="preserve">physically damaged </t>
        </is>
      </c>
      <c r="V2443" s="1" t="inlineStr">
        <is>
          <t>Inspection</t>
        </is>
      </c>
      <c r="W2443" s="1" t="inlineStr">
        <is>
          <t>Rejected</t>
        </is>
      </c>
      <c r="X2443" s="5">
        <f>Z2443</f>
        <v/>
      </c>
      <c r="Y2443" s="1">
        <f>X2443-A2443</f>
        <v/>
      </c>
      <c r="Z2443" s="5" t="n">
        <v>46199</v>
      </c>
      <c r="AA2443" s="3" t="n"/>
      <c r="AB2443" s="3" t="n"/>
      <c r="AE2443" s="146">
        <f>IF(AND(F2443="Closed",X2443&gt;=DATE(2026,6,1),X2443&lt;=DATE(2026,6,30)),"Closed in June","other")</f>
        <v/>
      </c>
    </row>
    <row r="2444" hidden="1">
      <c r="A2444" s="49" t="n">
        <v>46177</v>
      </c>
      <c r="B2444" s="1" t="n">
        <v>2026</v>
      </c>
      <c r="C2444" s="8" t="inlineStr">
        <is>
          <t>Ayana</t>
        </is>
      </c>
      <c r="D2444" s="11" t="inlineStr">
        <is>
          <t>Utility and C&amp;I</t>
        </is>
      </c>
      <c r="E2444" s="1" t="n"/>
      <c r="F2444" s="1" t="inlineStr">
        <is>
          <t>Closed</t>
        </is>
      </c>
      <c r="G2444" s="11" t="inlineStr">
        <is>
          <t>Vasu.N</t>
        </is>
      </c>
      <c r="H2444" s="8" t="n">
        <v>9578099893</v>
      </c>
      <c r="I2444" s="10" t="inlineStr">
        <is>
          <t>PE04062601</t>
        </is>
      </c>
      <c r="J2444" s="28" t="inlineStr">
        <is>
          <t>Module burnt</t>
        </is>
      </c>
      <c r="K2444" s="8" t="inlineStr">
        <is>
          <t>Zura</t>
        </is>
      </c>
      <c r="L2444" s="8" t="inlineStr">
        <is>
          <t>Gujarat</t>
        </is>
      </c>
      <c r="M2444" s="2" t="inlineStr">
        <is>
          <t xml:space="preserve">damage </t>
        </is>
      </c>
      <c r="N2444" s="6" t="inlineStr">
        <is>
          <t>Module Breakage</t>
        </is>
      </c>
      <c r="O2444" s="32" t="n">
        <v>590</v>
      </c>
      <c r="P2444" s="2" t="inlineStr">
        <is>
          <t>NSMI24110810638</t>
        </is>
      </c>
      <c r="Q2444" s="29">
        <f>MID(P2444,5,2)</f>
        <v/>
      </c>
      <c r="R2444" s="14">
        <f>MID(P2444,7,2)</f>
        <v/>
      </c>
      <c r="S2444" s="6" t="inlineStr">
        <is>
          <t>G2G</t>
        </is>
      </c>
      <c r="T2444" s="1" t="inlineStr">
        <is>
          <t>P4 - PEIPL</t>
        </is>
      </c>
      <c r="U2444" s="2" t="inlineStr">
        <is>
          <t xml:space="preserve">physically damaged </t>
        </is>
      </c>
      <c r="V2444" s="1" t="inlineStr">
        <is>
          <t>Inspection</t>
        </is>
      </c>
      <c r="W2444" s="1" t="inlineStr">
        <is>
          <t>Rejected</t>
        </is>
      </c>
      <c r="X2444" s="5">
        <f>Z2444</f>
        <v/>
      </c>
      <c r="Y2444" s="1">
        <f>X2444-A2444</f>
        <v/>
      </c>
      <c r="Z2444" s="5" t="n">
        <v>46199</v>
      </c>
      <c r="AA2444" s="3" t="n"/>
      <c r="AB2444" s="3" t="n"/>
      <c r="AE2444" s="146">
        <f>IF(AND(F2444="Closed",X2444&gt;=DATE(2026,6,1),X2444&lt;=DATE(2026,6,30)),"Closed in June","other")</f>
        <v/>
      </c>
    </row>
    <row r="2445" hidden="1">
      <c r="A2445" s="49" t="n">
        <v>46177</v>
      </c>
      <c r="B2445" s="1" t="n">
        <v>2026</v>
      </c>
      <c r="C2445" s="8" t="inlineStr">
        <is>
          <t>Ayana</t>
        </is>
      </c>
      <c r="D2445" s="11" t="inlineStr">
        <is>
          <t>Utility and C&amp;I</t>
        </is>
      </c>
      <c r="E2445" s="1" t="n"/>
      <c r="F2445" s="1" t="inlineStr">
        <is>
          <t>Closed</t>
        </is>
      </c>
      <c r="G2445" s="11" t="inlineStr">
        <is>
          <t>Vasu.N</t>
        </is>
      </c>
      <c r="H2445" s="8" t="n">
        <v>9578099893</v>
      </c>
      <c r="I2445" s="10" t="inlineStr">
        <is>
          <t>PE04062601</t>
        </is>
      </c>
      <c r="J2445" s="28" t="inlineStr">
        <is>
          <t>Module burnt</t>
        </is>
      </c>
      <c r="K2445" s="8" t="inlineStr">
        <is>
          <t>Zura</t>
        </is>
      </c>
      <c r="L2445" s="8" t="inlineStr">
        <is>
          <t>Gujarat</t>
        </is>
      </c>
      <c r="M2445" s="2" t="inlineStr">
        <is>
          <t xml:space="preserve">damage </t>
        </is>
      </c>
      <c r="N2445" s="6" t="inlineStr">
        <is>
          <t>Module Breakage</t>
        </is>
      </c>
      <c r="O2445" s="32" t="n">
        <v>590</v>
      </c>
      <c r="P2445" s="2" t="inlineStr">
        <is>
          <t>NSMI24110837377</t>
        </is>
      </c>
      <c r="Q2445" s="29">
        <f>MID(P2445,5,2)</f>
        <v/>
      </c>
      <c r="R2445" s="14">
        <f>MID(P2445,7,2)</f>
        <v/>
      </c>
      <c r="S2445" s="6" t="inlineStr">
        <is>
          <t>G2G</t>
        </is>
      </c>
      <c r="T2445" s="1" t="inlineStr">
        <is>
          <t>P4 - PEIPL</t>
        </is>
      </c>
      <c r="U2445" s="2" t="inlineStr">
        <is>
          <t xml:space="preserve">physically damaged </t>
        </is>
      </c>
      <c r="V2445" s="1" t="inlineStr">
        <is>
          <t>Inspection</t>
        </is>
      </c>
      <c r="W2445" s="1" t="inlineStr">
        <is>
          <t>Rejected</t>
        </is>
      </c>
      <c r="X2445" s="5">
        <f>Z2445</f>
        <v/>
      </c>
      <c r="Y2445" s="1">
        <f>X2445-A2445</f>
        <v/>
      </c>
      <c r="Z2445" s="5" t="n">
        <v>46199</v>
      </c>
      <c r="AA2445" s="3" t="n"/>
      <c r="AB2445" s="3" t="n"/>
      <c r="AE2445" s="146">
        <f>IF(AND(F2445="Closed",X2445&gt;=DATE(2026,6,1),X2445&lt;=DATE(2026,6,30)),"Closed in June","other")</f>
        <v/>
      </c>
    </row>
    <row r="2446" hidden="1">
      <c r="A2446" s="49" t="n">
        <v>46177</v>
      </c>
      <c r="B2446" s="1" t="n">
        <v>2026</v>
      </c>
      <c r="C2446" s="8" t="inlineStr">
        <is>
          <t>Ayana</t>
        </is>
      </c>
      <c r="D2446" s="11" t="inlineStr">
        <is>
          <t>Utility and C&amp;I</t>
        </is>
      </c>
      <c r="E2446" s="1" t="n"/>
      <c r="F2446" s="1" t="inlineStr">
        <is>
          <t>Closed</t>
        </is>
      </c>
      <c r="G2446" s="11" t="inlineStr">
        <is>
          <t>Vasu.N</t>
        </is>
      </c>
      <c r="H2446" s="8" t="n">
        <v>9578099893</v>
      </c>
      <c r="I2446" s="10" t="inlineStr">
        <is>
          <t>PE04062601</t>
        </is>
      </c>
      <c r="J2446" s="28" t="inlineStr">
        <is>
          <t>Module burnt</t>
        </is>
      </c>
      <c r="K2446" s="8" t="inlineStr">
        <is>
          <t>Zura</t>
        </is>
      </c>
      <c r="L2446" s="8" t="inlineStr">
        <is>
          <t>Gujarat</t>
        </is>
      </c>
      <c r="M2446" s="2" t="inlineStr">
        <is>
          <t xml:space="preserve">damage </t>
        </is>
      </c>
      <c r="N2446" s="6" t="inlineStr">
        <is>
          <t>Module Breakage</t>
        </is>
      </c>
      <c r="O2446" s="32" t="n">
        <v>590</v>
      </c>
      <c r="P2446" s="2" t="inlineStr">
        <is>
          <t>NSMI24110833058</t>
        </is>
      </c>
      <c r="Q2446" s="29">
        <f>MID(P2446,5,2)</f>
        <v/>
      </c>
      <c r="R2446" s="14">
        <f>MID(P2446,7,2)</f>
        <v/>
      </c>
      <c r="S2446" s="6" t="inlineStr">
        <is>
          <t>G2G</t>
        </is>
      </c>
      <c r="T2446" s="1" t="inlineStr">
        <is>
          <t>P4 - PEIPL</t>
        </is>
      </c>
      <c r="U2446" s="2" t="inlineStr">
        <is>
          <t xml:space="preserve">physically damaged </t>
        </is>
      </c>
      <c r="V2446" s="1" t="inlineStr">
        <is>
          <t>Inspection</t>
        </is>
      </c>
      <c r="W2446" s="1" t="inlineStr">
        <is>
          <t>Rejected</t>
        </is>
      </c>
      <c r="X2446" s="5">
        <f>Z2446</f>
        <v/>
      </c>
      <c r="Y2446" s="1">
        <f>X2446-A2446</f>
        <v/>
      </c>
      <c r="Z2446" s="5" t="n">
        <v>46199</v>
      </c>
      <c r="AA2446" s="3" t="n"/>
      <c r="AB2446" s="3" t="n"/>
      <c r="AE2446" s="146">
        <f>IF(AND(F2446="Closed",X2446&gt;=DATE(2026,6,1),X2446&lt;=DATE(2026,6,30)),"Closed in June","other")</f>
        <v/>
      </c>
    </row>
    <row r="2447" hidden="1">
      <c r="A2447" s="49" t="n">
        <v>46177</v>
      </c>
      <c r="B2447" s="1" t="n">
        <v>2026</v>
      </c>
      <c r="C2447" s="8" t="inlineStr">
        <is>
          <t>Ayana</t>
        </is>
      </c>
      <c r="D2447" s="11" t="inlineStr">
        <is>
          <t>Utility and C&amp;I</t>
        </is>
      </c>
      <c r="E2447" s="1" t="n"/>
      <c r="F2447" s="1" t="inlineStr">
        <is>
          <t>Closed</t>
        </is>
      </c>
      <c r="G2447" s="11" t="inlineStr">
        <is>
          <t>Vasu.N</t>
        </is>
      </c>
      <c r="H2447" s="8" t="n">
        <v>9578099893</v>
      </c>
      <c r="I2447" s="10" t="inlineStr">
        <is>
          <t>PE04062601</t>
        </is>
      </c>
      <c r="J2447" s="28" t="inlineStr">
        <is>
          <t>Module burnt</t>
        </is>
      </c>
      <c r="K2447" s="8" t="inlineStr">
        <is>
          <t>Zura</t>
        </is>
      </c>
      <c r="L2447" s="8" t="inlineStr">
        <is>
          <t>Gujarat</t>
        </is>
      </c>
      <c r="M2447" s="2" t="inlineStr">
        <is>
          <t xml:space="preserve">damage </t>
        </is>
      </c>
      <c r="N2447" s="6" t="inlineStr">
        <is>
          <t>Module Breakage</t>
        </is>
      </c>
      <c r="O2447" s="32" t="n">
        <v>590</v>
      </c>
      <c r="P2447" s="2" t="inlineStr">
        <is>
          <t>NSMI24100638066</t>
        </is>
      </c>
      <c r="Q2447" s="29">
        <f>MID(P2447,5,2)</f>
        <v/>
      </c>
      <c r="R2447" s="14">
        <f>MID(P2447,7,2)</f>
        <v/>
      </c>
      <c r="S2447" s="6" t="inlineStr">
        <is>
          <t>G2G</t>
        </is>
      </c>
      <c r="T2447" s="1" t="inlineStr">
        <is>
          <t>P4 - PEIPL</t>
        </is>
      </c>
      <c r="U2447" s="2" t="inlineStr">
        <is>
          <t xml:space="preserve">physically damaged </t>
        </is>
      </c>
      <c r="V2447" s="1" t="inlineStr">
        <is>
          <t>Inspection</t>
        </is>
      </c>
      <c r="W2447" s="1" t="inlineStr">
        <is>
          <t>Rejected</t>
        </is>
      </c>
      <c r="X2447" s="5">
        <f>Z2447</f>
        <v/>
      </c>
      <c r="Y2447" s="1">
        <f>X2447-A2447</f>
        <v/>
      </c>
      <c r="Z2447" s="5" t="n">
        <v>46199</v>
      </c>
      <c r="AA2447" s="3" t="n"/>
      <c r="AB2447" s="3" t="n"/>
      <c r="AE2447" s="146">
        <f>IF(AND(F2447="Closed",X2447&gt;=DATE(2026,6,1),X2447&lt;=DATE(2026,6,30)),"Closed in June","other")</f>
        <v/>
      </c>
    </row>
    <row r="2448" hidden="1">
      <c r="A2448" s="49" t="n">
        <v>46177</v>
      </c>
      <c r="B2448" s="1" t="n">
        <v>2026</v>
      </c>
      <c r="C2448" s="8" t="inlineStr">
        <is>
          <t>Ayana</t>
        </is>
      </c>
      <c r="D2448" s="11" t="inlineStr">
        <is>
          <t>Utility and C&amp;I</t>
        </is>
      </c>
      <c r="E2448" s="1" t="n"/>
      <c r="F2448" s="1" t="inlineStr">
        <is>
          <t>Closed</t>
        </is>
      </c>
      <c r="G2448" s="11" t="inlineStr">
        <is>
          <t>Vasu.N</t>
        </is>
      </c>
      <c r="H2448" s="8" t="n">
        <v>9578099893</v>
      </c>
      <c r="I2448" s="10" t="inlineStr">
        <is>
          <t>PE04062601</t>
        </is>
      </c>
      <c r="J2448" s="28" t="inlineStr">
        <is>
          <t>Module burnt</t>
        </is>
      </c>
      <c r="K2448" s="8" t="inlineStr">
        <is>
          <t>Zura</t>
        </is>
      </c>
      <c r="L2448" s="8" t="inlineStr">
        <is>
          <t>Gujarat</t>
        </is>
      </c>
      <c r="M2448" s="2" t="inlineStr">
        <is>
          <t xml:space="preserve">damage </t>
        </is>
      </c>
      <c r="N2448" s="6" t="inlineStr">
        <is>
          <t>Module Breakage</t>
        </is>
      </c>
      <c r="O2448" s="32" t="n">
        <v>590</v>
      </c>
      <c r="P2448" s="2" t="inlineStr">
        <is>
          <t>NSMI24100637458</t>
        </is>
      </c>
      <c r="Q2448" s="29">
        <f>MID(P2448,5,2)</f>
        <v/>
      </c>
      <c r="R2448" s="14">
        <f>MID(P2448,7,2)</f>
        <v/>
      </c>
      <c r="S2448" s="6" t="inlineStr">
        <is>
          <t>G2G</t>
        </is>
      </c>
      <c r="T2448" s="1" t="inlineStr">
        <is>
          <t>P4 - PEIPL</t>
        </is>
      </c>
      <c r="U2448" s="2" t="inlineStr">
        <is>
          <t xml:space="preserve">physically damaged </t>
        </is>
      </c>
      <c r="V2448" s="1" t="inlineStr">
        <is>
          <t>Inspection</t>
        </is>
      </c>
      <c r="W2448" s="1" t="inlineStr">
        <is>
          <t>Rejected</t>
        </is>
      </c>
      <c r="X2448" s="5">
        <f>Z2448</f>
        <v/>
      </c>
      <c r="Y2448" s="1">
        <f>X2448-A2448</f>
        <v/>
      </c>
      <c r="Z2448" s="5" t="n">
        <v>46199</v>
      </c>
      <c r="AA2448" s="3" t="n"/>
      <c r="AB2448" s="3" t="n"/>
      <c r="AE2448" s="146">
        <f>IF(AND(F2448="Closed",X2448&gt;=DATE(2026,6,1),X2448&lt;=DATE(2026,6,30)),"Closed in June","other")</f>
        <v/>
      </c>
    </row>
    <row r="2449" hidden="1">
      <c r="A2449" s="49" t="n">
        <v>46177</v>
      </c>
      <c r="B2449" s="1" t="n">
        <v>2026</v>
      </c>
      <c r="C2449" s="8" t="inlineStr">
        <is>
          <t>Ayana</t>
        </is>
      </c>
      <c r="D2449" s="11" t="inlineStr">
        <is>
          <t>Utility and C&amp;I</t>
        </is>
      </c>
      <c r="E2449" s="1" t="n"/>
      <c r="F2449" s="1" t="inlineStr">
        <is>
          <t>Closed</t>
        </is>
      </c>
      <c r="G2449" s="11" t="inlineStr">
        <is>
          <t>Vasu.N</t>
        </is>
      </c>
      <c r="H2449" s="8" t="n">
        <v>9578099893</v>
      </c>
      <c r="I2449" s="10" t="inlineStr">
        <is>
          <t>PE04062601</t>
        </is>
      </c>
      <c r="J2449" s="28" t="inlineStr">
        <is>
          <t>Module burnt</t>
        </is>
      </c>
      <c r="K2449" s="8" t="inlineStr">
        <is>
          <t>Zura</t>
        </is>
      </c>
      <c r="L2449" s="8" t="inlineStr">
        <is>
          <t>Gujarat</t>
        </is>
      </c>
      <c r="M2449" s="2" t="inlineStr">
        <is>
          <t xml:space="preserve">damage </t>
        </is>
      </c>
      <c r="N2449" s="6" t="inlineStr">
        <is>
          <t>Module Breakage</t>
        </is>
      </c>
      <c r="O2449" s="32" t="n">
        <v>590</v>
      </c>
      <c r="P2449" s="2" t="inlineStr">
        <is>
          <t>NSMI24100630352</t>
        </is>
      </c>
      <c r="Q2449" s="29">
        <f>MID(P2449,5,2)</f>
        <v/>
      </c>
      <c r="R2449" s="14">
        <f>MID(P2449,7,2)</f>
        <v/>
      </c>
      <c r="S2449" s="6" t="inlineStr">
        <is>
          <t>G2G</t>
        </is>
      </c>
      <c r="T2449" s="1" t="inlineStr">
        <is>
          <t>P4 - PEIPL</t>
        </is>
      </c>
      <c r="U2449" s="2" t="inlineStr">
        <is>
          <t xml:space="preserve">physically damaged </t>
        </is>
      </c>
      <c r="V2449" s="1" t="inlineStr">
        <is>
          <t>Inspection</t>
        </is>
      </c>
      <c r="W2449" s="1" t="inlineStr">
        <is>
          <t>Rejected</t>
        </is>
      </c>
      <c r="X2449" s="5">
        <f>Z2449</f>
        <v/>
      </c>
      <c r="Y2449" s="1">
        <f>X2449-A2449</f>
        <v/>
      </c>
      <c r="Z2449" s="5" t="n">
        <v>46199</v>
      </c>
      <c r="AA2449" s="3" t="n"/>
      <c r="AB2449" s="3" t="n"/>
      <c r="AE2449" s="146">
        <f>IF(AND(F2449="Closed",X2449&gt;=DATE(2026,6,1),X2449&lt;=DATE(2026,6,30)),"Closed in June","other")</f>
        <v/>
      </c>
    </row>
    <row r="2450" hidden="1">
      <c r="A2450" s="49" t="n">
        <v>46177</v>
      </c>
      <c r="B2450" s="1" t="n">
        <v>2026</v>
      </c>
      <c r="C2450" s="8" t="inlineStr">
        <is>
          <t>Ayana</t>
        </is>
      </c>
      <c r="D2450" s="11" t="inlineStr">
        <is>
          <t>Utility and C&amp;I</t>
        </is>
      </c>
      <c r="E2450" s="1" t="n"/>
      <c r="F2450" s="1" t="inlineStr">
        <is>
          <t>Closed</t>
        </is>
      </c>
      <c r="G2450" s="11" t="inlineStr">
        <is>
          <t>Vasu.N</t>
        </is>
      </c>
      <c r="H2450" s="8" t="n">
        <v>9578099893</v>
      </c>
      <c r="I2450" s="10" t="inlineStr">
        <is>
          <t>PE04062601</t>
        </is>
      </c>
      <c r="J2450" s="28" t="inlineStr">
        <is>
          <t>Module burnt</t>
        </is>
      </c>
      <c r="K2450" s="8" t="inlineStr">
        <is>
          <t>Zura</t>
        </is>
      </c>
      <c r="L2450" s="8" t="inlineStr">
        <is>
          <t>Gujarat</t>
        </is>
      </c>
      <c r="M2450" s="2" t="inlineStr">
        <is>
          <t xml:space="preserve">damage </t>
        </is>
      </c>
      <c r="N2450" s="6" t="inlineStr">
        <is>
          <t>Module Breakage</t>
        </is>
      </c>
      <c r="O2450" s="32" t="n">
        <v>590</v>
      </c>
      <c r="P2450" s="2" t="inlineStr">
        <is>
          <t>NSMI24100635222</t>
        </is>
      </c>
      <c r="Q2450" s="29">
        <f>MID(P2450,5,2)</f>
        <v/>
      </c>
      <c r="R2450" s="14">
        <f>MID(P2450,7,2)</f>
        <v/>
      </c>
      <c r="S2450" s="6" t="inlineStr">
        <is>
          <t>G2G</t>
        </is>
      </c>
      <c r="T2450" s="1" t="inlineStr">
        <is>
          <t>P4 - PEIPL</t>
        </is>
      </c>
      <c r="U2450" s="2" t="inlineStr">
        <is>
          <t xml:space="preserve">physically damaged </t>
        </is>
      </c>
      <c r="V2450" s="1" t="inlineStr">
        <is>
          <t>Inspection</t>
        </is>
      </c>
      <c r="W2450" s="1" t="inlineStr">
        <is>
          <t>Rejected</t>
        </is>
      </c>
      <c r="X2450" s="5">
        <f>Z2450</f>
        <v/>
      </c>
      <c r="Y2450" s="1">
        <f>X2450-A2450</f>
        <v/>
      </c>
      <c r="Z2450" s="5" t="n">
        <v>46199</v>
      </c>
      <c r="AA2450" s="3" t="n"/>
      <c r="AB2450" s="3" t="n"/>
      <c r="AE2450" s="146">
        <f>IF(AND(F2450="Closed",X2450&gt;=DATE(2026,6,1),X2450&lt;=DATE(2026,6,30)),"Closed in June","other")</f>
        <v/>
      </c>
    </row>
    <row r="2451" hidden="1">
      <c r="A2451" s="49" t="n">
        <v>46177</v>
      </c>
      <c r="B2451" s="1" t="n">
        <v>2026</v>
      </c>
      <c r="C2451" s="8" t="inlineStr">
        <is>
          <t>Ayana</t>
        </is>
      </c>
      <c r="D2451" s="11" t="inlineStr">
        <is>
          <t>Utility and C&amp;I</t>
        </is>
      </c>
      <c r="E2451" s="1" t="n"/>
      <c r="F2451" s="1" t="inlineStr">
        <is>
          <t>Closed</t>
        </is>
      </c>
      <c r="G2451" s="11" t="inlineStr">
        <is>
          <t>Vasu.N</t>
        </is>
      </c>
      <c r="H2451" s="8" t="n">
        <v>9578099893</v>
      </c>
      <c r="I2451" s="10" t="inlineStr">
        <is>
          <t>PE04062601</t>
        </is>
      </c>
      <c r="J2451" s="28" t="inlineStr">
        <is>
          <t>Module burnt</t>
        </is>
      </c>
      <c r="K2451" s="8" t="inlineStr">
        <is>
          <t>Zura</t>
        </is>
      </c>
      <c r="L2451" s="8" t="inlineStr">
        <is>
          <t>Gujarat</t>
        </is>
      </c>
      <c r="M2451" s="2" t="inlineStr">
        <is>
          <t xml:space="preserve">damage </t>
        </is>
      </c>
      <c r="N2451" s="6" t="inlineStr">
        <is>
          <t>Module Breakage</t>
        </is>
      </c>
      <c r="O2451" s="32" t="n">
        <v>590</v>
      </c>
      <c r="P2451" s="2" t="inlineStr">
        <is>
          <t>NSMI24110842550</t>
        </is>
      </c>
      <c r="Q2451" s="29">
        <f>MID(P2451,5,2)</f>
        <v/>
      </c>
      <c r="R2451" s="14">
        <f>MID(P2451,7,2)</f>
        <v/>
      </c>
      <c r="S2451" s="6" t="inlineStr">
        <is>
          <t>G2G</t>
        </is>
      </c>
      <c r="T2451" s="1" t="inlineStr">
        <is>
          <t>P4 - PEIPL</t>
        </is>
      </c>
      <c r="U2451" s="2" t="inlineStr">
        <is>
          <t xml:space="preserve">physically damaged </t>
        </is>
      </c>
      <c r="V2451" s="1" t="inlineStr">
        <is>
          <t>Inspection</t>
        </is>
      </c>
      <c r="W2451" s="1" t="inlineStr">
        <is>
          <t>Rejected</t>
        </is>
      </c>
      <c r="X2451" s="5">
        <f>Z2451</f>
        <v/>
      </c>
      <c r="Y2451" s="1">
        <f>X2451-A2451</f>
        <v/>
      </c>
      <c r="Z2451" s="5" t="n">
        <v>46199</v>
      </c>
      <c r="AA2451" s="3" t="n"/>
      <c r="AB2451" s="3" t="n"/>
      <c r="AE2451" s="146">
        <f>IF(AND(F2451="Closed",X2451&gt;=DATE(2026,6,1),X2451&lt;=DATE(2026,6,30)),"Closed in June","other")</f>
        <v/>
      </c>
    </row>
    <row r="2452" hidden="1">
      <c r="A2452" s="49" t="n">
        <v>46177</v>
      </c>
      <c r="B2452" s="1" t="n">
        <v>2026</v>
      </c>
      <c r="C2452" s="8" t="inlineStr">
        <is>
          <t>Ayana</t>
        </is>
      </c>
      <c r="D2452" s="11" t="inlineStr">
        <is>
          <t>Utility and C&amp;I</t>
        </is>
      </c>
      <c r="E2452" s="1" t="n"/>
      <c r="F2452" s="1" t="inlineStr">
        <is>
          <t>Closed</t>
        </is>
      </c>
      <c r="G2452" s="11" t="inlineStr">
        <is>
          <t>Vasu.N</t>
        </is>
      </c>
      <c r="H2452" s="8" t="n">
        <v>9578099893</v>
      </c>
      <c r="I2452" s="10" t="inlineStr">
        <is>
          <t>PE04062601</t>
        </is>
      </c>
      <c r="J2452" s="28" t="inlineStr">
        <is>
          <t>Module burnt</t>
        </is>
      </c>
      <c r="K2452" s="8" t="inlineStr">
        <is>
          <t>Zura</t>
        </is>
      </c>
      <c r="L2452" s="8" t="inlineStr">
        <is>
          <t>Gujarat</t>
        </is>
      </c>
      <c r="M2452" s="2" t="inlineStr">
        <is>
          <t xml:space="preserve">damage </t>
        </is>
      </c>
      <c r="N2452" s="6" t="inlineStr">
        <is>
          <t>Module Breakage</t>
        </is>
      </c>
      <c r="O2452" s="32" t="n">
        <v>590</v>
      </c>
      <c r="P2452" s="2" t="inlineStr">
        <is>
          <t>NSMI24110801934</t>
        </is>
      </c>
      <c r="Q2452" s="29">
        <f>MID(P2452,5,2)</f>
        <v/>
      </c>
      <c r="R2452" s="14">
        <f>MID(P2452,7,2)</f>
        <v/>
      </c>
      <c r="S2452" s="6" t="inlineStr">
        <is>
          <t>G2G</t>
        </is>
      </c>
      <c r="T2452" s="1" t="inlineStr">
        <is>
          <t>P4 - PEIPL</t>
        </is>
      </c>
      <c r="U2452" s="2" t="inlineStr">
        <is>
          <t xml:space="preserve">physically damaged </t>
        </is>
      </c>
      <c r="V2452" s="1" t="inlineStr">
        <is>
          <t>Inspection</t>
        </is>
      </c>
      <c r="W2452" s="1" t="inlineStr">
        <is>
          <t>Rejected</t>
        </is>
      </c>
      <c r="X2452" s="5">
        <f>Z2452</f>
        <v/>
      </c>
      <c r="Y2452" s="1">
        <f>X2452-A2452</f>
        <v/>
      </c>
      <c r="Z2452" s="5" t="n">
        <v>46199</v>
      </c>
      <c r="AA2452" s="3" t="n"/>
      <c r="AB2452" s="3" t="n"/>
      <c r="AE2452" s="146">
        <f>IF(AND(F2452="Closed",X2452&gt;=DATE(2026,6,1),X2452&lt;=DATE(2026,6,30)),"Closed in June","other")</f>
        <v/>
      </c>
    </row>
    <row r="2453" hidden="1">
      <c r="A2453" s="49" t="n">
        <v>46177</v>
      </c>
      <c r="B2453" s="1" t="n">
        <v>2026</v>
      </c>
      <c r="C2453" s="8" t="inlineStr">
        <is>
          <t>Ayana</t>
        </is>
      </c>
      <c r="D2453" s="11" t="inlineStr">
        <is>
          <t>Utility and C&amp;I</t>
        </is>
      </c>
      <c r="E2453" s="1" t="n"/>
      <c r="F2453" s="1" t="inlineStr">
        <is>
          <t>Closed</t>
        </is>
      </c>
      <c r="G2453" s="11" t="inlineStr">
        <is>
          <t>Vasu.N</t>
        </is>
      </c>
      <c r="H2453" s="8" t="n">
        <v>9578099893</v>
      </c>
      <c r="I2453" s="10" t="inlineStr">
        <is>
          <t>PE04062601</t>
        </is>
      </c>
      <c r="J2453" s="28" t="inlineStr">
        <is>
          <t>Module burnt</t>
        </is>
      </c>
      <c r="K2453" s="8" t="inlineStr">
        <is>
          <t>Zura</t>
        </is>
      </c>
      <c r="L2453" s="8" t="inlineStr">
        <is>
          <t>Gujarat</t>
        </is>
      </c>
      <c r="M2453" s="2" t="inlineStr">
        <is>
          <t xml:space="preserve">damage </t>
        </is>
      </c>
      <c r="N2453" s="6" t="inlineStr">
        <is>
          <t>Module Breakage</t>
        </is>
      </c>
      <c r="O2453" s="32" t="n">
        <v>590</v>
      </c>
      <c r="P2453" s="2" t="inlineStr">
        <is>
          <t>NSMI24110838826</t>
        </is>
      </c>
      <c r="Q2453" s="29">
        <f>MID(P2453,5,2)</f>
        <v/>
      </c>
      <c r="R2453" s="14">
        <f>MID(P2453,7,2)</f>
        <v/>
      </c>
      <c r="S2453" s="6" t="inlineStr">
        <is>
          <t>G2G</t>
        </is>
      </c>
      <c r="T2453" s="1" t="inlineStr">
        <is>
          <t>P4 - PEIPL</t>
        </is>
      </c>
      <c r="U2453" s="2" t="inlineStr">
        <is>
          <t xml:space="preserve">physically damaged </t>
        </is>
      </c>
      <c r="V2453" s="1" t="inlineStr">
        <is>
          <t>Inspection</t>
        </is>
      </c>
      <c r="W2453" s="1" t="inlineStr">
        <is>
          <t>Rejected</t>
        </is>
      </c>
      <c r="X2453" s="5">
        <f>Z2453</f>
        <v/>
      </c>
      <c r="Y2453" s="1">
        <f>X2453-A2453</f>
        <v/>
      </c>
      <c r="Z2453" s="5" t="n">
        <v>46199</v>
      </c>
      <c r="AA2453" s="3" t="n"/>
      <c r="AB2453" s="3" t="n"/>
      <c r="AE2453" s="146">
        <f>IF(AND(F2453="Closed",X2453&gt;=DATE(2026,6,1),X2453&lt;=DATE(2026,6,30)),"Closed in June","other")</f>
        <v/>
      </c>
    </row>
    <row r="2454" hidden="1">
      <c r="A2454" s="49" t="n">
        <v>46177</v>
      </c>
      <c r="B2454" s="1" t="n">
        <v>2026</v>
      </c>
      <c r="C2454" s="8" t="inlineStr">
        <is>
          <t>Ayana</t>
        </is>
      </c>
      <c r="D2454" s="11" t="inlineStr">
        <is>
          <t>Utility and C&amp;I</t>
        </is>
      </c>
      <c r="E2454" s="1" t="n"/>
      <c r="F2454" s="1" t="inlineStr">
        <is>
          <t>Closed</t>
        </is>
      </c>
      <c r="G2454" s="11" t="inlineStr">
        <is>
          <t>Vasu.N</t>
        </is>
      </c>
      <c r="H2454" s="8" t="n">
        <v>9578099893</v>
      </c>
      <c r="I2454" s="10" t="inlineStr">
        <is>
          <t>PE04062601</t>
        </is>
      </c>
      <c r="J2454" s="28" t="inlineStr">
        <is>
          <t>Module burnt</t>
        </is>
      </c>
      <c r="K2454" s="8" t="inlineStr">
        <is>
          <t>Zura</t>
        </is>
      </c>
      <c r="L2454" s="8" t="inlineStr">
        <is>
          <t>Gujarat</t>
        </is>
      </c>
      <c r="M2454" s="2" t="inlineStr">
        <is>
          <t xml:space="preserve">damage </t>
        </is>
      </c>
      <c r="N2454" s="6" t="inlineStr">
        <is>
          <t>Module Breakage</t>
        </is>
      </c>
      <c r="O2454" s="32" t="n">
        <v>590</v>
      </c>
      <c r="P2454" s="2" t="inlineStr">
        <is>
          <t>NSMI24110820063</t>
        </is>
      </c>
      <c r="Q2454" s="29">
        <f>MID(P2454,5,2)</f>
        <v/>
      </c>
      <c r="R2454" s="14">
        <f>MID(P2454,7,2)</f>
        <v/>
      </c>
      <c r="S2454" s="6" t="inlineStr">
        <is>
          <t>G2G</t>
        </is>
      </c>
      <c r="T2454" s="1" t="inlineStr">
        <is>
          <t>P4 - PEIPL</t>
        </is>
      </c>
      <c r="U2454" s="2" t="inlineStr">
        <is>
          <t xml:space="preserve">physically damaged </t>
        </is>
      </c>
      <c r="V2454" s="1" t="inlineStr">
        <is>
          <t>Inspection</t>
        </is>
      </c>
      <c r="W2454" s="1" t="inlineStr">
        <is>
          <t>Rejected</t>
        </is>
      </c>
      <c r="X2454" s="5">
        <f>Z2454</f>
        <v/>
      </c>
      <c r="Y2454" s="1">
        <f>X2454-A2454</f>
        <v/>
      </c>
      <c r="Z2454" s="5" t="n">
        <v>46199</v>
      </c>
      <c r="AA2454" s="3" t="n"/>
      <c r="AB2454" s="3" t="n"/>
      <c r="AE2454" s="146">
        <f>IF(AND(F2454="Closed",X2454&gt;=DATE(2026,6,1),X2454&lt;=DATE(2026,6,30)),"Closed in June","other")</f>
        <v/>
      </c>
    </row>
    <row r="2455" hidden="1">
      <c r="A2455" s="49" t="n">
        <v>46177</v>
      </c>
      <c r="B2455" s="1" t="n">
        <v>2026</v>
      </c>
      <c r="C2455" s="8" t="inlineStr">
        <is>
          <t>Ayana</t>
        </is>
      </c>
      <c r="D2455" s="11" t="inlineStr">
        <is>
          <t>Utility and C&amp;I</t>
        </is>
      </c>
      <c r="E2455" s="1" t="n"/>
      <c r="F2455" s="1" t="inlineStr">
        <is>
          <t>Closed</t>
        </is>
      </c>
      <c r="G2455" s="11" t="inlineStr">
        <is>
          <t>Vasu.N</t>
        </is>
      </c>
      <c r="H2455" s="8" t="n">
        <v>9578099893</v>
      </c>
      <c r="I2455" s="10" t="inlineStr">
        <is>
          <t>PE04062601</t>
        </is>
      </c>
      <c r="J2455" s="28" t="inlineStr">
        <is>
          <t>Module burnt</t>
        </is>
      </c>
      <c r="K2455" s="8" t="inlineStr">
        <is>
          <t>Zura</t>
        </is>
      </c>
      <c r="L2455" s="8" t="inlineStr">
        <is>
          <t>Gujarat</t>
        </is>
      </c>
      <c r="M2455" s="2" t="inlineStr">
        <is>
          <t xml:space="preserve">damage </t>
        </is>
      </c>
      <c r="N2455" s="6" t="inlineStr">
        <is>
          <t>Module Breakage</t>
        </is>
      </c>
      <c r="O2455" s="32" t="n">
        <v>590</v>
      </c>
      <c r="P2455" s="2" t="inlineStr">
        <is>
          <t>NSMI24110846284</t>
        </is>
      </c>
      <c r="Q2455" s="29">
        <f>MID(P2455,5,2)</f>
        <v/>
      </c>
      <c r="R2455" s="14">
        <f>MID(P2455,7,2)</f>
        <v/>
      </c>
      <c r="S2455" s="6" t="inlineStr">
        <is>
          <t>G2G</t>
        </is>
      </c>
      <c r="T2455" s="1" t="inlineStr">
        <is>
          <t>P4 - PEIPL</t>
        </is>
      </c>
      <c r="U2455" s="2" t="inlineStr">
        <is>
          <t xml:space="preserve">physically damaged </t>
        </is>
      </c>
      <c r="V2455" s="1" t="inlineStr">
        <is>
          <t>Inspection</t>
        </is>
      </c>
      <c r="W2455" s="1" t="inlineStr">
        <is>
          <t>Rejected</t>
        </is>
      </c>
      <c r="X2455" s="5">
        <f>Z2455</f>
        <v/>
      </c>
      <c r="Y2455" s="1">
        <f>X2455-A2455</f>
        <v/>
      </c>
      <c r="Z2455" s="5" t="n">
        <v>46199</v>
      </c>
      <c r="AA2455" s="3" t="n"/>
      <c r="AB2455" s="3" t="n"/>
      <c r="AE2455" s="146">
        <f>IF(AND(F2455="Closed",X2455&gt;=DATE(2026,6,1),X2455&lt;=DATE(2026,6,30)),"Closed in June","other")</f>
        <v/>
      </c>
    </row>
    <row r="2456" hidden="1">
      <c r="A2456" s="49" t="n">
        <v>46177</v>
      </c>
      <c r="B2456" s="1" t="n">
        <v>2026</v>
      </c>
      <c r="C2456" s="8" t="inlineStr">
        <is>
          <t>Ayana</t>
        </is>
      </c>
      <c r="D2456" s="11" t="inlineStr">
        <is>
          <t>Utility and C&amp;I</t>
        </is>
      </c>
      <c r="E2456" s="1" t="n"/>
      <c r="F2456" s="1" t="inlineStr">
        <is>
          <t>Closed</t>
        </is>
      </c>
      <c r="G2456" s="11" t="inlineStr">
        <is>
          <t>Vasu.N</t>
        </is>
      </c>
      <c r="H2456" s="8" t="n">
        <v>9578099893</v>
      </c>
      <c r="I2456" s="10" t="inlineStr">
        <is>
          <t>PE04062601</t>
        </is>
      </c>
      <c r="J2456" s="28" t="inlineStr">
        <is>
          <t>Module burnt</t>
        </is>
      </c>
      <c r="K2456" s="8" t="inlineStr">
        <is>
          <t>Zura</t>
        </is>
      </c>
      <c r="L2456" s="8" t="inlineStr">
        <is>
          <t>Gujarat</t>
        </is>
      </c>
      <c r="M2456" s="2" t="inlineStr">
        <is>
          <t xml:space="preserve">damage </t>
        </is>
      </c>
      <c r="N2456" s="6" t="inlineStr">
        <is>
          <t>Module Breakage</t>
        </is>
      </c>
      <c r="O2456" s="32" t="n">
        <v>590</v>
      </c>
      <c r="P2456" s="2" t="inlineStr">
        <is>
          <t>NSMI24110805525</t>
        </is>
      </c>
      <c r="Q2456" s="29">
        <f>MID(P2456,5,2)</f>
        <v/>
      </c>
      <c r="R2456" s="14">
        <f>MID(P2456,7,2)</f>
        <v/>
      </c>
      <c r="S2456" s="6" t="inlineStr">
        <is>
          <t>G2G</t>
        </is>
      </c>
      <c r="T2456" s="1" t="inlineStr">
        <is>
          <t>P4 - PEIPL</t>
        </is>
      </c>
      <c r="U2456" s="2" t="inlineStr">
        <is>
          <t xml:space="preserve">physically damaged </t>
        </is>
      </c>
      <c r="V2456" s="1" t="inlineStr">
        <is>
          <t>Inspection</t>
        </is>
      </c>
      <c r="W2456" s="1" t="inlineStr">
        <is>
          <t>Rejected</t>
        </is>
      </c>
      <c r="X2456" s="5">
        <f>Z2456</f>
        <v/>
      </c>
      <c r="Y2456" s="1">
        <f>X2456-A2456</f>
        <v/>
      </c>
      <c r="Z2456" s="5" t="n">
        <v>46199</v>
      </c>
      <c r="AA2456" s="3" t="n"/>
      <c r="AB2456" s="3" t="n"/>
      <c r="AE2456" s="146">
        <f>IF(AND(F2456="Closed",X2456&gt;=DATE(2026,6,1),X2456&lt;=DATE(2026,6,30)),"Closed in June","other")</f>
        <v/>
      </c>
    </row>
    <row r="2457" hidden="1">
      <c r="A2457" s="49" t="n">
        <v>46177</v>
      </c>
      <c r="B2457" s="1" t="n">
        <v>2026</v>
      </c>
      <c r="C2457" s="8" t="inlineStr">
        <is>
          <t>Ayana</t>
        </is>
      </c>
      <c r="D2457" s="11" t="inlineStr">
        <is>
          <t>Utility and C&amp;I</t>
        </is>
      </c>
      <c r="E2457" s="1" t="n"/>
      <c r="F2457" s="1" t="inlineStr">
        <is>
          <t>Closed</t>
        </is>
      </c>
      <c r="G2457" s="11" t="inlineStr">
        <is>
          <t>Vasu.N</t>
        </is>
      </c>
      <c r="H2457" s="8" t="n">
        <v>9578099893</v>
      </c>
      <c r="I2457" s="10" t="inlineStr">
        <is>
          <t>PE04062601</t>
        </is>
      </c>
      <c r="J2457" s="28" t="inlineStr">
        <is>
          <t>Module burnt</t>
        </is>
      </c>
      <c r="K2457" s="8" t="inlineStr">
        <is>
          <t>Zura</t>
        </is>
      </c>
      <c r="L2457" s="8" t="inlineStr">
        <is>
          <t>Gujarat</t>
        </is>
      </c>
      <c r="M2457" s="2" t="inlineStr">
        <is>
          <t xml:space="preserve">damage </t>
        </is>
      </c>
      <c r="N2457" s="6" t="inlineStr">
        <is>
          <t>Module Breakage</t>
        </is>
      </c>
      <c r="O2457" s="32" t="n">
        <v>590</v>
      </c>
      <c r="P2457" s="2" t="inlineStr">
        <is>
          <t>NSMI24110807110</t>
        </is>
      </c>
      <c r="Q2457" s="29">
        <f>MID(P2457,5,2)</f>
        <v/>
      </c>
      <c r="R2457" s="14">
        <f>MID(P2457,7,2)</f>
        <v/>
      </c>
      <c r="S2457" s="6" t="inlineStr">
        <is>
          <t>G2G</t>
        </is>
      </c>
      <c r="T2457" s="1" t="inlineStr">
        <is>
          <t>P4 - PEIPL</t>
        </is>
      </c>
      <c r="U2457" s="2" t="inlineStr">
        <is>
          <t xml:space="preserve">physically damaged </t>
        </is>
      </c>
      <c r="V2457" s="1" t="inlineStr">
        <is>
          <t>Inspection</t>
        </is>
      </c>
      <c r="W2457" s="1" t="inlineStr">
        <is>
          <t>Rejected</t>
        </is>
      </c>
      <c r="X2457" s="5">
        <f>Z2457</f>
        <v/>
      </c>
      <c r="Y2457" s="1">
        <f>X2457-A2457</f>
        <v/>
      </c>
      <c r="Z2457" s="5" t="n">
        <v>46199</v>
      </c>
      <c r="AA2457" s="3" t="n"/>
      <c r="AB2457" s="3" t="n"/>
      <c r="AE2457" s="146">
        <f>IF(AND(F2457="Closed",X2457&gt;=DATE(2026,6,1),X2457&lt;=DATE(2026,6,30)),"Closed in June","other")</f>
        <v/>
      </c>
    </row>
    <row r="2458" hidden="1">
      <c r="A2458" s="49" t="n">
        <v>46177</v>
      </c>
      <c r="B2458" s="1" t="n">
        <v>2026</v>
      </c>
      <c r="C2458" s="8" t="inlineStr">
        <is>
          <t>Ayana</t>
        </is>
      </c>
      <c r="D2458" s="11" t="inlineStr">
        <is>
          <t>Utility and C&amp;I</t>
        </is>
      </c>
      <c r="E2458" s="1" t="n"/>
      <c r="F2458" s="1" t="inlineStr">
        <is>
          <t>Closed</t>
        </is>
      </c>
      <c r="G2458" s="11" t="inlineStr">
        <is>
          <t>Vasu.N</t>
        </is>
      </c>
      <c r="H2458" s="8" t="n">
        <v>9578099893</v>
      </c>
      <c r="I2458" s="10" t="inlineStr">
        <is>
          <t>PE04062601</t>
        </is>
      </c>
      <c r="J2458" s="28" t="inlineStr">
        <is>
          <t>Module burnt</t>
        </is>
      </c>
      <c r="K2458" s="8" t="inlineStr">
        <is>
          <t>Zura</t>
        </is>
      </c>
      <c r="L2458" s="8" t="inlineStr">
        <is>
          <t>Gujarat</t>
        </is>
      </c>
      <c r="M2458" s="2" t="inlineStr">
        <is>
          <t xml:space="preserve">damage </t>
        </is>
      </c>
      <c r="N2458" s="6" t="inlineStr">
        <is>
          <t>Module Breakage</t>
        </is>
      </c>
      <c r="O2458" s="32" t="n">
        <v>590</v>
      </c>
      <c r="P2458" s="2" t="inlineStr">
        <is>
          <t>NSMI24110846267</t>
        </is>
      </c>
      <c r="Q2458" s="29">
        <f>MID(P2458,5,2)</f>
        <v/>
      </c>
      <c r="R2458" s="14">
        <f>MID(P2458,7,2)</f>
        <v/>
      </c>
      <c r="S2458" s="6" t="inlineStr">
        <is>
          <t>G2G</t>
        </is>
      </c>
      <c r="T2458" s="1" t="inlineStr">
        <is>
          <t>P4 - PEIPL</t>
        </is>
      </c>
      <c r="U2458" s="2" t="inlineStr">
        <is>
          <t xml:space="preserve">physically damaged </t>
        </is>
      </c>
      <c r="V2458" s="1" t="inlineStr">
        <is>
          <t>Inspection</t>
        </is>
      </c>
      <c r="W2458" s="1" t="inlineStr">
        <is>
          <t>Rejected</t>
        </is>
      </c>
      <c r="X2458" s="5">
        <f>Z2458</f>
        <v/>
      </c>
      <c r="Y2458" s="1">
        <f>X2458-A2458</f>
        <v/>
      </c>
      <c r="Z2458" s="5" t="n">
        <v>46199</v>
      </c>
      <c r="AA2458" s="3" t="n"/>
      <c r="AB2458" s="3" t="n"/>
      <c r="AE2458" s="146">
        <f>IF(AND(F2458="Closed",X2458&gt;=DATE(2026,6,1),X2458&lt;=DATE(2026,6,30)),"Closed in June","other")</f>
        <v/>
      </c>
    </row>
    <row r="2459" hidden="1">
      <c r="A2459" s="49" t="n">
        <v>46177</v>
      </c>
      <c r="B2459" s="1" t="n">
        <v>2026</v>
      </c>
      <c r="C2459" s="8" t="inlineStr">
        <is>
          <t>Ayana</t>
        </is>
      </c>
      <c r="D2459" s="11" t="inlineStr">
        <is>
          <t>Utility and C&amp;I</t>
        </is>
      </c>
      <c r="E2459" s="1" t="n"/>
      <c r="F2459" s="1" t="inlineStr">
        <is>
          <t>Closed</t>
        </is>
      </c>
      <c r="G2459" s="11" t="inlineStr">
        <is>
          <t>Vasu.N</t>
        </is>
      </c>
      <c r="H2459" s="8" t="n">
        <v>9578099893</v>
      </c>
      <c r="I2459" s="10" t="inlineStr">
        <is>
          <t>PE04062601</t>
        </is>
      </c>
      <c r="J2459" s="28" t="inlineStr">
        <is>
          <t>Module burnt</t>
        </is>
      </c>
      <c r="K2459" s="8" t="inlineStr">
        <is>
          <t>Zura</t>
        </is>
      </c>
      <c r="L2459" s="8" t="inlineStr">
        <is>
          <t>Gujarat</t>
        </is>
      </c>
      <c r="M2459" s="2" t="inlineStr">
        <is>
          <t xml:space="preserve">damage </t>
        </is>
      </c>
      <c r="N2459" s="6" t="inlineStr">
        <is>
          <t>Module Breakage</t>
        </is>
      </c>
      <c r="O2459" s="32" t="n">
        <v>590</v>
      </c>
      <c r="P2459" s="2" t="inlineStr">
        <is>
          <t>NSMI24110846812</t>
        </is>
      </c>
      <c r="Q2459" s="29">
        <f>MID(P2459,5,2)</f>
        <v/>
      </c>
      <c r="R2459" s="14">
        <f>MID(P2459,7,2)</f>
        <v/>
      </c>
      <c r="S2459" s="6" t="inlineStr">
        <is>
          <t>G2G</t>
        </is>
      </c>
      <c r="T2459" s="1" t="inlineStr">
        <is>
          <t>P4 - PEIPL</t>
        </is>
      </c>
      <c r="U2459" s="2" t="inlineStr">
        <is>
          <t xml:space="preserve">physically damaged </t>
        </is>
      </c>
      <c r="V2459" s="1" t="inlineStr">
        <is>
          <t>Inspection</t>
        </is>
      </c>
      <c r="W2459" s="1" t="inlineStr">
        <is>
          <t>Rejected</t>
        </is>
      </c>
      <c r="X2459" s="5">
        <f>Z2459</f>
        <v/>
      </c>
      <c r="Y2459" s="1">
        <f>X2459-A2459</f>
        <v/>
      </c>
      <c r="Z2459" s="5" t="n">
        <v>46199</v>
      </c>
      <c r="AA2459" s="3" t="n"/>
      <c r="AB2459" s="3" t="n"/>
      <c r="AE2459" s="146">
        <f>IF(AND(F2459="Closed",X2459&gt;=DATE(2026,6,1),X2459&lt;=DATE(2026,6,30)),"Closed in June","other")</f>
        <v/>
      </c>
    </row>
    <row r="2460" hidden="1">
      <c r="A2460" s="49" t="n">
        <v>46177</v>
      </c>
      <c r="B2460" s="1" t="n">
        <v>2026</v>
      </c>
      <c r="C2460" s="8" t="inlineStr">
        <is>
          <t>Ayana</t>
        </is>
      </c>
      <c r="D2460" s="11" t="inlineStr">
        <is>
          <t>Utility and C&amp;I</t>
        </is>
      </c>
      <c r="E2460" s="1" t="n"/>
      <c r="F2460" s="1" t="inlineStr">
        <is>
          <t>Closed</t>
        </is>
      </c>
      <c r="G2460" s="11" t="inlineStr">
        <is>
          <t>Vasu.N</t>
        </is>
      </c>
      <c r="H2460" s="8" t="n">
        <v>9578099893</v>
      </c>
      <c r="I2460" s="10" t="inlineStr">
        <is>
          <t>PE04062601</t>
        </is>
      </c>
      <c r="J2460" s="28" t="inlineStr">
        <is>
          <t>Module burnt</t>
        </is>
      </c>
      <c r="K2460" s="8" t="inlineStr">
        <is>
          <t>Zura</t>
        </is>
      </c>
      <c r="L2460" s="8" t="inlineStr">
        <is>
          <t>Gujarat</t>
        </is>
      </c>
      <c r="M2460" s="2" t="inlineStr">
        <is>
          <t xml:space="preserve">damage </t>
        </is>
      </c>
      <c r="N2460" s="6" t="inlineStr">
        <is>
          <t>Module Breakage</t>
        </is>
      </c>
      <c r="O2460" s="32" t="n">
        <v>590</v>
      </c>
      <c r="P2460" s="2" t="inlineStr">
        <is>
          <t>NSMI24110805431</t>
        </is>
      </c>
      <c r="Q2460" s="29">
        <f>MID(P2460,5,2)</f>
        <v/>
      </c>
      <c r="R2460" s="14">
        <f>MID(P2460,7,2)</f>
        <v/>
      </c>
      <c r="S2460" s="6" t="inlineStr">
        <is>
          <t>G2G</t>
        </is>
      </c>
      <c r="T2460" s="1" t="inlineStr">
        <is>
          <t>P4 - PEIPL</t>
        </is>
      </c>
      <c r="U2460" s="2" t="inlineStr">
        <is>
          <t xml:space="preserve">physically damaged </t>
        </is>
      </c>
      <c r="V2460" s="1" t="inlineStr">
        <is>
          <t>Inspection</t>
        </is>
      </c>
      <c r="W2460" s="1" t="inlineStr">
        <is>
          <t>Rejected</t>
        </is>
      </c>
      <c r="X2460" s="5">
        <f>Z2460</f>
        <v/>
      </c>
      <c r="Y2460" s="1">
        <f>X2460-A2460</f>
        <v/>
      </c>
      <c r="Z2460" s="5" t="n">
        <v>46199</v>
      </c>
      <c r="AA2460" s="3" t="n"/>
      <c r="AB2460" s="3" t="n"/>
      <c r="AE2460" s="146">
        <f>IF(AND(F2460="Closed",X2460&gt;=DATE(2026,6,1),X2460&lt;=DATE(2026,6,30)),"Closed in June","other")</f>
        <v/>
      </c>
    </row>
    <row r="2461" hidden="1">
      <c r="A2461" s="49" t="n">
        <v>46177</v>
      </c>
      <c r="B2461" s="1" t="n">
        <v>2026</v>
      </c>
      <c r="C2461" s="8" t="inlineStr">
        <is>
          <t>Ayana</t>
        </is>
      </c>
      <c r="D2461" s="11" t="inlineStr">
        <is>
          <t>Utility and C&amp;I</t>
        </is>
      </c>
      <c r="E2461" s="1" t="n"/>
      <c r="F2461" s="1" t="inlineStr">
        <is>
          <t>Closed</t>
        </is>
      </c>
      <c r="G2461" s="11" t="inlineStr">
        <is>
          <t>Vasu.N</t>
        </is>
      </c>
      <c r="H2461" s="8" t="n">
        <v>9578099893</v>
      </c>
      <c r="I2461" s="10" t="inlineStr">
        <is>
          <t>PE04062601</t>
        </is>
      </c>
      <c r="J2461" s="28" t="inlineStr">
        <is>
          <t>Module burnt</t>
        </is>
      </c>
      <c r="K2461" s="8" t="inlineStr">
        <is>
          <t>Zura</t>
        </is>
      </c>
      <c r="L2461" s="8" t="inlineStr">
        <is>
          <t>Gujarat</t>
        </is>
      </c>
      <c r="M2461" s="2" t="inlineStr">
        <is>
          <t xml:space="preserve">damage </t>
        </is>
      </c>
      <c r="N2461" s="6" t="inlineStr">
        <is>
          <t>Module Breakage</t>
        </is>
      </c>
      <c r="O2461" s="32" t="n">
        <v>590</v>
      </c>
      <c r="P2461" s="2" t="inlineStr">
        <is>
          <t>NSMI24110803763</t>
        </is>
      </c>
      <c r="Q2461" s="29">
        <f>MID(P2461,5,2)</f>
        <v/>
      </c>
      <c r="R2461" s="14">
        <f>MID(P2461,7,2)</f>
        <v/>
      </c>
      <c r="S2461" s="6" t="inlineStr">
        <is>
          <t>G2G</t>
        </is>
      </c>
      <c r="T2461" s="1" t="inlineStr">
        <is>
          <t>P4 - PEIPL</t>
        </is>
      </c>
      <c r="U2461" s="2" t="inlineStr">
        <is>
          <t xml:space="preserve">physically damaged </t>
        </is>
      </c>
      <c r="V2461" s="1" t="inlineStr">
        <is>
          <t>Inspection</t>
        </is>
      </c>
      <c r="W2461" s="1" t="inlineStr">
        <is>
          <t>Rejected</t>
        </is>
      </c>
      <c r="X2461" s="5">
        <f>Z2461</f>
        <v/>
      </c>
      <c r="Y2461" s="1">
        <f>X2461-A2461</f>
        <v/>
      </c>
      <c r="Z2461" s="5" t="n">
        <v>46199</v>
      </c>
      <c r="AA2461" s="3" t="n"/>
      <c r="AB2461" s="3" t="n"/>
      <c r="AE2461" s="146">
        <f>IF(AND(F2461="Closed",X2461&gt;=DATE(2026,6,1),X2461&lt;=DATE(2026,6,30)),"Closed in June","other")</f>
        <v/>
      </c>
    </row>
    <row r="2462" hidden="1">
      <c r="A2462" s="49" t="n">
        <v>46177</v>
      </c>
      <c r="B2462" s="1" t="n">
        <v>2026</v>
      </c>
      <c r="C2462" s="8" t="inlineStr">
        <is>
          <t>Ayana</t>
        </is>
      </c>
      <c r="D2462" s="11" t="inlineStr">
        <is>
          <t>Utility and C&amp;I</t>
        </is>
      </c>
      <c r="E2462" s="1" t="n"/>
      <c r="F2462" s="1" t="inlineStr">
        <is>
          <t>Closed</t>
        </is>
      </c>
      <c r="G2462" s="11" t="inlineStr">
        <is>
          <t>Vasu.N</t>
        </is>
      </c>
      <c r="H2462" s="8" t="n">
        <v>9578099893</v>
      </c>
      <c r="I2462" s="10" t="inlineStr">
        <is>
          <t>PE04062601</t>
        </is>
      </c>
      <c r="J2462" s="28" t="inlineStr">
        <is>
          <t>Module burnt</t>
        </is>
      </c>
      <c r="K2462" s="8" t="inlineStr">
        <is>
          <t>Zura</t>
        </is>
      </c>
      <c r="L2462" s="8" t="inlineStr">
        <is>
          <t>Gujarat</t>
        </is>
      </c>
      <c r="M2462" s="2" t="inlineStr">
        <is>
          <t xml:space="preserve">damage </t>
        </is>
      </c>
      <c r="N2462" s="6" t="inlineStr">
        <is>
          <t>Module Breakage</t>
        </is>
      </c>
      <c r="O2462" s="32" t="n">
        <v>590</v>
      </c>
      <c r="P2462" s="2" t="inlineStr">
        <is>
          <t>NSMI24110849755</t>
        </is>
      </c>
      <c r="Q2462" s="29">
        <f>MID(P2462,5,2)</f>
        <v/>
      </c>
      <c r="R2462" s="14">
        <f>MID(P2462,7,2)</f>
        <v/>
      </c>
      <c r="S2462" s="6" t="inlineStr">
        <is>
          <t>G2G</t>
        </is>
      </c>
      <c r="T2462" s="1" t="inlineStr">
        <is>
          <t>P4 - PEIPL</t>
        </is>
      </c>
      <c r="U2462" s="2" t="inlineStr">
        <is>
          <t xml:space="preserve">physically damaged </t>
        </is>
      </c>
      <c r="V2462" s="1" t="inlineStr">
        <is>
          <t>Inspection</t>
        </is>
      </c>
      <c r="W2462" s="1" t="inlineStr">
        <is>
          <t>Rejected</t>
        </is>
      </c>
      <c r="X2462" s="5">
        <f>Z2462</f>
        <v/>
      </c>
      <c r="Y2462" s="1">
        <f>X2462-A2462</f>
        <v/>
      </c>
      <c r="Z2462" s="5" t="n">
        <v>46199</v>
      </c>
      <c r="AA2462" s="3" t="n"/>
      <c r="AB2462" s="3" t="n"/>
      <c r="AE2462" s="146">
        <f>IF(AND(F2462="Closed",X2462&gt;=DATE(2026,6,1),X2462&lt;=DATE(2026,6,30)),"Closed in June","other")</f>
        <v/>
      </c>
    </row>
    <row r="2463" hidden="1">
      <c r="A2463" s="49" t="n">
        <v>46177</v>
      </c>
      <c r="B2463" s="1" t="n">
        <v>2026</v>
      </c>
      <c r="C2463" s="8" t="inlineStr">
        <is>
          <t>Ayana</t>
        </is>
      </c>
      <c r="D2463" s="11" t="inlineStr">
        <is>
          <t>Utility and C&amp;I</t>
        </is>
      </c>
      <c r="E2463" s="1" t="n"/>
      <c r="F2463" s="1" t="inlineStr">
        <is>
          <t>Closed</t>
        </is>
      </c>
      <c r="G2463" s="11" t="inlineStr">
        <is>
          <t>Vasu.N</t>
        </is>
      </c>
      <c r="H2463" s="8" t="n">
        <v>9578099893</v>
      </c>
      <c r="I2463" s="10" t="inlineStr">
        <is>
          <t>PE04062601</t>
        </is>
      </c>
      <c r="J2463" s="28" t="inlineStr">
        <is>
          <t>Module burnt</t>
        </is>
      </c>
      <c r="K2463" s="8" t="inlineStr">
        <is>
          <t>Zura</t>
        </is>
      </c>
      <c r="L2463" s="8" t="inlineStr">
        <is>
          <t>Gujarat</t>
        </is>
      </c>
      <c r="M2463" s="2" t="inlineStr">
        <is>
          <t xml:space="preserve">damage </t>
        </is>
      </c>
      <c r="N2463" s="6" t="inlineStr">
        <is>
          <t>Module Breakage</t>
        </is>
      </c>
      <c r="O2463" s="32" t="n">
        <v>590</v>
      </c>
      <c r="P2463" s="2" t="inlineStr">
        <is>
          <t>NSMI24100593355</t>
        </is>
      </c>
      <c r="Q2463" s="29">
        <f>MID(P2463,5,2)</f>
        <v/>
      </c>
      <c r="R2463" s="14">
        <f>MID(P2463,7,2)</f>
        <v/>
      </c>
      <c r="S2463" s="6" t="inlineStr">
        <is>
          <t>G2G</t>
        </is>
      </c>
      <c r="T2463" s="1" t="inlineStr">
        <is>
          <t>P4 - PEIPL</t>
        </is>
      </c>
      <c r="U2463" s="2" t="inlineStr">
        <is>
          <t xml:space="preserve">physically damaged </t>
        </is>
      </c>
      <c r="V2463" s="1" t="inlineStr">
        <is>
          <t>Inspection</t>
        </is>
      </c>
      <c r="W2463" s="1" t="inlineStr">
        <is>
          <t>Rejected</t>
        </is>
      </c>
      <c r="X2463" s="5">
        <f>Z2463</f>
        <v/>
      </c>
      <c r="Y2463" s="1">
        <f>X2463-A2463</f>
        <v/>
      </c>
      <c r="Z2463" s="5" t="n">
        <v>46199</v>
      </c>
      <c r="AA2463" s="3" t="n"/>
      <c r="AB2463" s="3" t="n"/>
      <c r="AE2463" s="146">
        <f>IF(AND(F2463="Closed",X2463&gt;=DATE(2026,6,1),X2463&lt;=DATE(2026,6,30)),"Closed in June","other")</f>
        <v/>
      </c>
    </row>
    <row r="2464" hidden="1">
      <c r="A2464" s="49" t="n">
        <v>46177</v>
      </c>
      <c r="B2464" s="1" t="n">
        <v>2026</v>
      </c>
      <c r="C2464" s="8" t="inlineStr">
        <is>
          <t>Ayana</t>
        </is>
      </c>
      <c r="D2464" s="11" t="inlineStr">
        <is>
          <t>Utility and C&amp;I</t>
        </is>
      </c>
      <c r="E2464" s="1" t="n"/>
      <c r="F2464" s="1" t="inlineStr">
        <is>
          <t>Closed</t>
        </is>
      </c>
      <c r="G2464" s="11" t="inlineStr">
        <is>
          <t>Vasu.N</t>
        </is>
      </c>
      <c r="H2464" s="8" t="n">
        <v>9578099893</v>
      </c>
      <c r="I2464" s="10" t="inlineStr">
        <is>
          <t>PE04062601</t>
        </is>
      </c>
      <c r="J2464" s="28" t="inlineStr">
        <is>
          <t>Module burnt</t>
        </is>
      </c>
      <c r="K2464" s="8" t="inlineStr">
        <is>
          <t>Zura</t>
        </is>
      </c>
      <c r="L2464" s="8" t="inlineStr">
        <is>
          <t>Gujarat</t>
        </is>
      </c>
      <c r="M2464" s="2" t="inlineStr">
        <is>
          <t xml:space="preserve">damage </t>
        </is>
      </c>
      <c r="N2464" s="6" t="inlineStr">
        <is>
          <t>Module Breakage</t>
        </is>
      </c>
      <c r="O2464" s="32" t="n">
        <v>590</v>
      </c>
      <c r="P2464" s="2" t="inlineStr">
        <is>
          <t>NSMI24110849125</t>
        </is>
      </c>
      <c r="Q2464" s="29">
        <f>MID(P2464,5,2)</f>
        <v/>
      </c>
      <c r="R2464" s="14">
        <f>MID(P2464,7,2)</f>
        <v/>
      </c>
      <c r="S2464" s="6" t="inlineStr">
        <is>
          <t>G2G</t>
        </is>
      </c>
      <c r="T2464" s="1" t="inlineStr">
        <is>
          <t>P4 - PEIPL</t>
        </is>
      </c>
      <c r="U2464" s="2" t="inlineStr">
        <is>
          <t xml:space="preserve">physically damaged </t>
        </is>
      </c>
      <c r="V2464" s="1" t="inlineStr">
        <is>
          <t>Inspection</t>
        </is>
      </c>
      <c r="W2464" s="1" t="inlineStr">
        <is>
          <t>Rejected</t>
        </is>
      </c>
      <c r="X2464" s="5">
        <f>Z2464</f>
        <v/>
      </c>
      <c r="Y2464" s="1">
        <f>X2464-A2464</f>
        <v/>
      </c>
      <c r="Z2464" s="5" t="n">
        <v>46199</v>
      </c>
      <c r="AA2464" s="3" t="n"/>
      <c r="AB2464" s="3" t="n"/>
      <c r="AE2464" s="146">
        <f>IF(AND(F2464="Closed",X2464&gt;=DATE(2026,6,1),X2464&lt;=DATE(2026,6,30)),"Closed in June","other")</f>
        <v/>
      </c>
    </row>
    <row r="2465" hidden="1">
      <c r="A2465" s="49" t="n">
        <v>46177</v>
      </c>
      <c r="B2465" s="1" t="n">
        <v>2026</v>
      </c>
      <c r="C2465" s="8" t="inlineStr">
        <is>
          <t>Ayana</t>
        </is>
      </c>
      <c r="D2465" s="11" t="inlineStr">
        <is>
          <t>Utility and C&amp;I</t>
        </is>
      </c>
      <c r="E2465" s="1" t="n"/>
      <c r="F2465" s="1" t="inlineStr">
        <is>
          <t>Closed</t>
        </is>
      </c>
      <c r="G2465" s="11" t="inlineStr">
        <is>
          <t>Vasu.N</t>
        </is>
      </c>
      <c r="H2465" s="8" t="n">
        <v>9578099893</v>
      </c>
      <c r="I2465" s="10" t="inlineStr">
        <is>
          <t>PE04062601</t>
        </is>
      </c>
      <c r="J2465" s="28" t="inlineStr">
        <is>
          <t>Module burnt</t>
        </is>
      </c>
      <c r="K2465" s="8" t="inlineStr">
        <is>
          <t>Zura</t>
        </is>
      </c>
      <c r="L2465" s="8" t="inlineStr">
        <is>
          <t>Gujarat</t>
        </is>
      </c>
      <c r="M2465" s="2" t="inlineStr">
        <is>
          <t xml:space="preserve">damage </t>
        </is>
      </c>
      <c r="N2465" s="6" t="inlineStr">
        <is>
          <t>Module Breakage</t>
        </is>
      </c>
      <c r="O2465" s="32" t="n">
        <v>590</v>
      </c>
      <c r="P2465" s="2" t="inlineStr">
        <is>
          <t>NSMI24110841217</t>
        </is>
      </c>
      <c r="Q2465" s="29">
        <f>MID(P2465,5,2)</f>
        <v/>
      </c>
      <c r="R2465" s="14">
        <f>MID(P2465,7,2)</f>
        <v/>
      </c>
      <c r="S2465" s="6" t="inlineStr">
        <is>
          <t>G2G</t>
        </is>
      </c>
      <c r="T2465" s="1" t="inlineStr">
        <is>
          <t>P4 - PEIPL</t>
        </is>
      </c>
      <c r="U2465" s="2" t="inlineStr">
        <is>
          <t xml:space="preserve">physically damaged </t>
        </is>
      </c>
      <c r="V2465" s="1" t="inlineStr">
        <is>
          <t>Inspection</t>
        </is>
      </c>
      <c r="W2465" s="1" t="inlineStr">
        <is>
          <t>Rejected</t>
        </is>
      </c>
      <c r="X2465" s="5">
        <f>Z2465</f>
        <v/>
      </c>
      <c r="Y2465" s="1">
        <f>X2465-A2465</f>
        <v/>
      </c>
      <c r="Z2465" s="5" t="n">
        <v>46199</v>
      </c>
      <c r="AA2465" s="3" t="n"/>
      <c r="AB2465" s="3" t="n"/>
      <c r="AE2465" s="146">
        <f>IF(AND(F2465="Closed",X2465&gt;=DATE(2026,6,1),X2465&lt;=DATE(2026,6,30)),"Closed in June","other")</f>
        <v/>
      </c>
    </row>
    <row r="2466" hidden="1">
      <c r="A2466" s="49" t="n">
        <v>46177</v>
      </c>
      <c r="B2466" s="1" t="n">
        <v>2026</v>
      </c>
      <c r="C2466" s="8" t="inlineStr">
        <is>
          <t>Ayana</t>
        </is>
      </c>
      <c r="D2466" s="11" t="inlineStr">
        <is>
          <t>Utility and C&amp;I</t>
        </is>
      </c>
      <c r="E2466" s="1" t="n"/>
      <c r="F2466" s="1" t="inlineStr">
        <is>
          <t>Closed</t>
        </is>
      </c>
      <c r="G2466" s="11" t="inlineStr">
        <is>
          <t>Vasu.N</t>
        </is>
      </c>
      <c r="H2466" s="8" t="n">
        <v>9578099893</v>
      </c>
      <c r="I2466" s="10" t="inlineStr">
        <is>
          <t>PE04062601</t>
        </is>
      </c>
      <c r="J2466" s="28" t="inlineStr">
        <is>
          <t>Module burnt</t>
        </is>
      </c>
      <c r="K2466" s="8" t="inlineStr">
        <is>
          <t>Zura</t>
        </is>
      </c>
      <c r="L2466" s="8" t="inlineStr">
        <is>
          <t>Gujarat</t>
        </is>
      </c>
      <c r="M2466" s="2" t="inlineStr">
        <is>
          <t xml:space="preserve">damage </t>
        </is>
      </c>
      <c r="N2466" s="6" t="inlineStr">
        <is>
          <t>Module Breakage</t>
        </is>
      </c>
      <c r="O2466" s="32" t="n">
        <v>590</v>
      </c>
      <c r="P2466" s="2" t="inlineStr">
        <is>
          <t>NSMI24110805399</t>
        </is>
      </c>
      <c r="Q2466" s="29">
        <f>MID(P2466,5,2)</f>
        <v/>
      </c>
      <c r="R2466" s="14">
        <f>MID(P2466,7,2)</f>
        <v/>
      </c>
      <c r="S2466" s="6" t="inlineStr">
        <is>
          <t>G2G</t>
        </is>
      </c>
      <c r="T2466" s="1" t="inlineStr">
        <is>
          <t>P4 - PEIPL</t>
        </is>
      </c>
      <c r="U2466" s="2" t="inlineStr">
        <is>
          <t xml:space="preserve">physically damaged </t>
        </is>
      </c>
      <c r="V2466" s="1" t="inlineStr">
        <is>
          <t>Inspection</t>
        </is>
      </c>
      <c r="W2466" s="1" t="inlineStr">
        <is>
          <t>Rejected</t>
        </is>
      </c>
      <c r="X2466" s="5">
        <f>Z2466</f>
        <v/>
      </c>
      <c r="Y2466" s="1">
        <f>X2466-A2466</f>
        <v/>
      </c>
      <c r="Z2466" s="5" t="n">
        <v>46199</v>
      </c>
      <c r="AA2466" s="3" t="n"/>
      <c r="AB2466" s="3" t="n"/>
      <c r="AE2466" s="146">
        <f>IF(AND(F2466="Closed",X2466&gt;=DATE(2026,6,1),X2466&lt;=DATE(2026,6,30)),"Closed in June","other")</f>
        <v/>
      </c>
    </row>
    <row r="2467" hidden="1">
      <c r="A2467" s="49" t="n">
        <v>46177</v>
      </c>
      <c r="B2467" s="1" t="n">
        <v>2026</v>
      </c>
      <c r="C2467" s="8" t="inlineStr">
        <is>
          <t>Ayana</t>
        </is>
      </c>
      <c r="D2467" s="11" t="inlineStr">
        <is>
          <t>Utility and C&amp;I</t>
        </is>
      </c>
      <c r="E2467" s="1" t="n"/>
      <c r="F2467" s="1" t="inlineStr">
        <is>
          <t>Closed</t>
        </is>
      </c>
      <c r="G2467" s="11" t="inlineStr">
        <is>
          <t>Vasu.N</t>
        </is>
      </c>
      <c r="H2467" s="8" t="n">
        <v>9578099893</v>
      </c>
      <c r="I2467" s="10" t="inlineStr">
        <is>
          <t>PE04062601</t>
        </is>
      </c>
      <c r="J2467" s="28" t="inlineStr">
        <is>
          <t>Module burnt</t>
        </is>
      </c>
      <c r="K2467" s="8" t="inlineStr">
        <is>
          <t>Zura</t>
        </is>
      </c>
      <c r="L2467" s="8" t="inlineStr">
        <is>
          <t>Gujarat</t>
        </is>
      </c>
      <c r="M2467" s="2" t="inlineStr">
        <is>
          <t xml:space="preserve">damage </t>
        </is>
      </c>
      <c r="N2467" s="6" t="inlineStr">
        <is>
          <t>Module Breakage</t>
        </is>
      </c>
      <c r="O2467" s="32" t="n">
        <v>590</v>
      </c>
      <c r="P2467" s="2" t="inlineStr">
        <is>
          <t>NSMI24110805434</t>
        </is>
      </c>
      <c r="Q2467" s="29">
        <f>MID(P2467,5,2)</f>
        <v/>
      </c>
      <c r="R2467" s="14">
        <f>MID(P2467,7,2)</f>
        <v/>
      </c>
      <c r="S2467" s="6" t="inlineStr">
        <is>
          <t>G2G</t>
        </is>
      </c>
      <c r="T2467" s="1" t="inlineStr">
        <is>
          <t>P4 - PEIPL</t>
        </is>
      </c>
      <c r="U2467" s="2" t="inlineStr">
        <is>
          <t xml:space="preserve">physically damaged </t>
        </is>
      </c>
      <c r="V2467" s="1" t="inlineStr">
        <is>
          <t>Inspection</t>
        </is>
      </c>
      <c r="W2467" s="1" t="inlineStr">
        <is>
          <t>Rejected</t>
        </is>
      </c>
      <c r="X2467" s="5">
        <f>Z2467</f>
        <v/>
      </c>
      <c r="Y2467" s="1">
        <f>X2467-A2467</f>
        <v/>
      </c>
      <c r="Z2467" s="5" t="n">
        <v>46199</v>
      </c>
      <c r="AA2467" s="3" t="n"/>
      <c r="AB2467" s="3" t="n"/>
      <c r="AE2467" s="146">
        <f>IF(AND(F2467="Closed",X2467&gt;=DATE(2026,6,1),X2467&lt;=DATE(2026,6,30)),"Closed in June","other")</f>
        <v/>
      </c>
    </row>
    <row r="2468" hidden="1">
      <c r="A2468" s="49" t="n">
        <v>46177</v>
      </c>
      <c r="B2468" s="1" t="n">
        <v>2026</v>
      </c>
      <c r="C2468" s="8" t="inlineStr">
        <is>
          <t>Ayana</t>
        </is>
      </c>
      <c r="D2468" s="11" t="inlineStr">
        <is>
          <t>Utility and C&amp;I</t>
        </is>
      </c>
      <c r="E2468" s="1" t="n"/>
      <c r="F2468" s="1" t="inlineStr">
        <is>
          <t>Closed</t>
        </is>
      </c>
      <c r="G2468" s="11" t="inlineStr">
        <is>
          <t>Vasu.N</t>
        </is>
      </c>
      <c r="H2468" s="8" t="n">
        <v>9578099893</v>
      </c>
      <c r="I2468" s="10" t="inlineStr">
        <is>
          <t>PE04062601</t>
        </is>
      </c>
      <c r="J2468" s="28" t="inlineStr">
        <is>
          <t>Module burnt</t>
        </is>
      </c>
      <c r="K2468" s="8" t="inlineStr">
        <is>
          <t>Zura</t>
        </is>
      </c>
      <c r="L2468" s="8" t="inlineStr">
        <is>
          <t>Gujarat</t>
        </is>
      </c>
      <c r="M2468" s="2" t="inlineStr">
        <is>
          <t xml:space="preserve">damage </t>
        </is>
      </c>
      <c r="N2468" s="6" t="inlineStr">
        <is>
          <t>Module Breakage</t>
        </is>
      </c>
      <c r="O2468" s="32" t="n">
        <v>590</v>
      </c>
      <c r="P2468" s="2" t="inlineStr">
        <is>
          <t>NSMI24110805312</t>
        </is>
      </c>
      <c r="Q2468" s="29">
        <f>MID(P2468,5,2)</f>
        <v/>
      </c>
      <c r="R2468" s="14">
        <f>MID(P2468,7,2)</f>
        <v/>
      </c>
      <c r="S2468" s="6" t="inlineStr">
        <is>
          <t>G2G</t>
        </is>
      </c>
      <c r="T2468" s="1" t="inlineStr">
        <is>
          <t>P4 - PEIPL</t>
        </is>
      </c>
      <c r="U2468" s="2" t="inlineStr">
        <is>
          <t xml:space="preserve">physically damaged </t>
        </is>
      </c>
      <c r="V2468" s="1" t="inlineStr">
        <is>
          <t>Inspection</t>
        </is>
      </c>
      <c r="W2468" s="1" t="inlineStr">
        <is>
          <t>Rejected</t>
        </is>
      </c>
      <c r="X2468" s="5">
        <f>Z2468</f>
        <v/>
      </c>
      <c r="Y2468" s="1">
        <f>X2468-A2468</f>
        <v/>
      </c>
      <c r="Z2468" s="5" t="n">
        <v>46199</v>
      </c>
      <c r="AA2468" s="3" t="n"/>
      <c r="AB2468" s="3" t="n"/>
      <c r="AE2468" s="146">
        <f>IF(AND(F2468="Closed",X2468&gt;=DATE(2026,6,1),X2468&lt;=DATE(2026,6,30)),"Closed in June","other")</f>
        <v/>
      </c>
    </row>
    <row r="2469" hidden="1">
      <c r="A2469" s="49" t="n">
        <v>46177</v>
      </c>
      <c r="B2469" s="1" t="n">
        <v>2026</v>
      </c>
      <c r="C2469" s="8" t="inlineStr">
        <is>
          <t>Ayana</t>
        </is>
      </c>
      <c r="D2469" s="11" t="inlineStr">
        <is>
          <t>Utility and C&amp;I</t>
        </is>
      </c>
      <c r="E2469" s="1" t="n"/>
      <c r="F2469" s="1" t="inlineStr">
        <is>
          <t>Closed</t>
        </is>
      </c>
      <c r="G2469" s="11" t="inlineStr">
        <is>
          <t>Vasu.N</t>
        </is>
      </c>
      <c r="H2469" s="8" t="n">
        <v>9578099893</v>
      </c>
      <c r="I2469" s="10" t="inlineStr">
        <is>
          <t>PE04062601</t>
        </is>
      </c>
      <c r="J2469" s="28" t="inlineStr">
        <is>
          <t>Module burnt</t>
        </is>
      </c>
      <c r="K2469" s="8" t="inlineStr">
        <is>
          <t>Zura</t>
        </is>
      </c>
      <c r="L2469" s="8" t="inlineStr">
        <is>
          <t>Gujarat</t>
        </is>
      </c>
      <c r="M2469" s="2" t="inlineStr">
        <is>
          <t xml:space="preserve">damage </t>
        </is>
      </c>
      <c r="N2469" s="6" t="inlineStr">
        <is>
          <t>Module Breakage</t>
        </is>
      </c>
      <c r="O2469" s="32" t="n">
        <v>590</v>
      </c>
      <c r="P2469" s="2" t="inlineStr">
        <is>
          <t>NSMI24110805442</t>
        </is>
      </c>
      <c r="Q2469" s="29">
        <f>MID(P2469,5,2)</f>
        <v/>
      </c>
      <c r="R2469" s="14">
        <f>MID(P2469,7,2)</f>
        <v/>
      </c>
      <c r="S2469" s="6" t="inlineStr">
        <is>
          <t>G2G</t>
        </is>
      </c>
      <c r="T2469" s="1" t="inlineStr">
        <is>
          <t>P4 - PEIPL</t>
        </is>
      </c>
      <c r="U2469" s="2" t="inlineStr">
        <is>
          <t xml:space="preserve">physically damaged </t>
        </is>
      </c>
      <c r="V2469" s="1" t="inlineStr">
        <is>
          <t>Inspection</t>
        </is>
      </c>
      <c r="W2469" s="1" t="inlineStr">
        <is>
          <t>Rejected</t>
        </is>
      </c>
      <c r="X2469" s="5">
        <f>Z2469</f>
        <v/>
      </c>
      <c r="Y2469" s="1">
        <f>X2469-A2469</f>
        <v/>
      </c>
      <c r="Z2469" s="5" t="n">
        <v>46199</v>
      </c>
      <c r="AA2469" s="3" t="n"/>
      <c r="AB2469" s="3" t="n"/>
      <c r="AE2469" s="146">
        <f>IF(AND(F2469="Closed",X2469&gt;=DATE(2026,6,1),X2469&lt;=DATE(2026,6,30)),"Closed in June","other")</f>
        <v/>
      </c>
    </row>
    <row r="2470" hidden="1">
      <c r="A2470" s="49" t="n">
        <v>46177</v>
      </c>
      <c r="B2470" s="1" t="n">
        <v>2026</v>
      </c>
      <c r="C2470" s="8" t="inlineStr">
        <is>
          <t>Ayana</t>
        </is>
      </c>
      <c r="D2470" s="11" t="inlineStr">
        <is>
          <t>Utility and C&amp;I</t>
        </is>
      </c>
      <c r="E2470" s="1" t="n"/>
      <c r="F2470" s="1" t="inlineStr">
        <is>
          <t>Closed</t>
        </is>
      </c>
      <c r="G2470" s="11" t="inlineStr">
        <is>
          <t>Vasu.N</t>
        </is>
      </c>
      <c r="H2470" s="8" t="n">
        <v>9578099893</v>
      </c>
      <c r="I2470" s="10" t="inlineStr">
        <is>
          <t>PE04062601</t>
        </is>
      </c>
      <c r="J2470" s="28" t="inlineStr">
        <is>
          <t>Module burnt</t>
        </is>
      </c>
      <c r="K2470" s="8" t="inlineStr">
        <is>
          <t>Zura</t>
        </is>
      </c>
      <c r="L2470" s="8" t="inlineStr">
        <is>
          <t>Gujarat</t>
        </is>
      </c>
      <c r="M2470" s="2" t="inlineStr">
        <is>
          <t xml:space="preserve">damage </t>
        </is>
      </c>
      <c r="N2470" s="6" t="inlineStr">
        <is>
          <t>Module Breakage</t>
        </is>
      </c>
      <c r="O2470" s="32" t="n">
        <v>590</v>
      </c>
      <c r="P2470" s="2" t="inlineStr">
        <is>
          <t>NSMI24100627815</t>
        </is>
      </c>
      <c r="Q2470" s="29">
        <f>MID(P2470,5,2)</f>
        <v/>
      </c>
      <c r="R2470" s="14">
        <f>MID(P2470,7,2)</f>
        <v/>
      </c>
      <c r="S2470" s="6" t="inlineStr">
        <is>
          <t>G2G</t>
        </is>
      </c>
      <c r="T2470" s="1" t="inlineStr">
        <is>
          <t>P4 - PEIPL</t>
        </is>
      </c>
      <c r="U2470" s="2" t="inlineStr">
        <is>
          <t xml:space="preserve">physically damaged </t>
        </is>
      </c>
      <c r="V2470" s="1" t="inlineStr">
        <is>
          <t>Inspection</t>
        </is>
      </c>
      <c r="W2470" s="1" t="inlineStr">
        <is>
          <t>Rejected</t>
        </is>
      </c>
      <c r="X2470" s="5">
        <f>Z2470</f>
        <v/>
      </c>
      <c r="Y2470" s="1">
        <f>X2470-A2470</f>
        <v/>
      </c>
      <c r="Z2470" s="5" t="n">
        <v>46199</v>
      </c>
      <c r="AA2470" s="3" t="n"/>
      <c r="AB2470" s="3" t="n"/>
      <c r="AE2470" s="146">
        <f>IF(AND(F2470="Closed",X2470&gt;=DATE(2026,6,1),X2470&lt;=DATE(2026,6,30)),"Closed in June","other")</f>
        <v/>
      </c>
    </row>
    <row r="2471" hidden="1">
      <c r="A2471" s="49" t="n">
        <v>46177</v>
      </c>
      <c r="B2471" s="1" t="n">
        <v>2026</v>
      </c>
      <c r="C2471" s="8" t="inlineStr">
        <is>
          <t>Ayana</t>
        </is>
      </c>
      <c r="D2471" s="11" t="inlineStr">
        <is>
          <t>Utility and C&amp;I</t>
        </is>
      </c>
      <c r="E2471" s="1" t="n"/>
      <c r="F2471" s="1" t="inlineStr">
        <is>
          <t>Closed</t>
        </is>
      </c>
      <c r="G2471" s="11" t="inlineStr">
        <is>
          <t>Vasu.N</t>
        </is>
      </c>
      <c r="H2471" s="8" t="n">
        <v>9578099893</v>
      </c>
      <c r="I2471" s="10" t="inlineStr">
        <is>
          <t>PE04062601</t>
        </is>
      </c>
      <c r="J2471" s="28" t="inlineStr">
        <is>
          <t>Module burnt</t>
        </is>
      </c>
      <c r="K2471" s="8" t="inlineStr">
        <is>
          <t>Zura</t>
        </is>
      </c>
      <c r="L2471" s="8" t="inlineStr">
        <is>
          <t>Gujarat</t>
        </is>
      </c>
      <c r="M2471" s="2" t="inlineStr">
        <is>
          <t xml:space="preserve">damage </t>
        </is>
      </c>
      <c r="N2471" s="6" t="inlineStr">
        <is>
          <t>Module Breakage</t>
        </is>
      </c>
      <c r="O2471" s="32" t="n">
        <v>590</v>
      </c>
      <c r="P2471" s="2" t="inlineStr">
        <is>
          <t>NSMI24100588886</t>
        </is>
      </c>
      <c r="Q2471" s="29">
        <f>MID(P2471,5,2)</f>
        <v/>
      </c>
      <c r="R2471" s="14">
        <f>MID(P2471,7,2)</f>
        <v/>
      </c>
      <c r="S2471" s="6" t="inlineStr">
        <is>
          <t>G2G</t>
        </is>
      </c>
      <c r="T2471" s="1" t="inlineStr">
        <is>
          <t>P4 - PEIPL</t>
        </is>
      </c>
      <c r="U2471" s="2" t="inlineStr">
        <is>
          <t xml:space="preserve">physically damaged </t>
        </is>
      </c>
      <c r="V2471" s="1" t="inlineStr">
        <is>
          <t>Inspection</t>
        </is>
      </c>
      <c r="W2471" s="1" t="inlineStr">
        <is>
          <t>Rejected</t>
        </is>
      </c>
      <c r="X2471" s="5">
        <f>Z2471</f>
        <v/>
      </c>
      <c r="Y2471" s="1">
        <f>X2471-A2471</f>
        <v/>
      </c>
      <c r="Z2471" s="5" t="n">
        <v>46199</v>
      </c>
      <c r="AA2471" s="3" t="n"/>
      <c r="AB2471" s="3" t="n"/>
      <c r="AE2471" s="146">
        <f>IF(AND(F2471="Closed",X2471&gt;=DATE(2026,6,1),X2471&lt;=DATE(2026,6,30)),"Closed in June","other")</f>
        <v/>
      </c>
    </row>
    <row r="2472" hidden="1">
      <c r="A2472" s="49" t="n">
        <v>46177</v>
      </c>
      <c r="B2472" s="1" t="n">
        <v>2026</v>
      </c>
      <c r="C2472" s="8" t="inlineStr">
        <is>
          <t>Ayana</t>
        </is>
      </c>
      <c r="D2472" s="11" t="inlineStr">
        <is>
          <t>Utility and C&amp;I</t>
        </is>
      </c>
      <c r="E2472" s="1" t="n"/>
      <c r="F2472" s="1" t="inlineStr">
        <is>
          <t>Closed</t>
        </is>
      </c>
      <c r="G2472" s="11" t="inlineStr">
        <is>
          <t>Vasu.N</t>
        </is>
      </c>
      <c r="H2472" s="8" t="n">
        <v>9578099893</v>
      </c>
      <c r="I2472" s="10" t="inlineStr">
        <is>
          <t>PE04062601</t>
        </is>
      </c>
      <c r="J2472" s="28" t="inlineStr">
        <is>
          <t>Module burnt</t>
        </is>
      </c>
      <c r="K2472" s="8" t="inlineStr">
        <is>
          <t>Zura</t>
        </is>
      </c>
      <c r="L2472" s="8" t="inlineStr">
        <is>
          <t>Gujarat</t>
        </is>
      </c>
      <c r="M2472" s="2" t="inlineStr">
        <is>
          <t xml:space="preserve">damage </t>
        </is>
      </c>
      <c r="N2472" s="6" t="inlineStr">
        <is>
          <t>Module Breakage</t>
        </is>
      </c>
      <c r="O2472" s="32" t="n">
        <v>590</v>
      </c>
      <c r="P2472" s="2" t="inlineStr">
        <is>
          <t>NSMI24110851467</t>
        </is>
      </c>
      <c r="Q2472" s="29">
        <f>MID(P2472,5,2)</f>
        <v/>
      </c>
      <c r="R2472" s="14">
        <f>MID(P2472,7,2)</f>
        <v/>
      </c>
      <c r="S2472" s="6" t="inlineStr">
        <is>
          <t>G2G</t>
        </is>
      </c>
      <c r="T2472" s="1" t="inlineStr">
        <is>
          <t>P4 - PEIPL</t>
        </is>
      </c>
      <c r="U2472" s="2" t="inlineStr">
        <is>
          <t xml:space="preserve">physically damaged </t>
        </is>
      </c>
      <c r="V2472" s="1" t="inlineStr">
        <is>
          <t>Inspection</t>
        </is>
      </c>
      <c r="W2472" s="1" t="inlineStr">
        <is>
          <t>Rejected</t>
        </is>
      </c>
      <c r="X2472" s="5">
        <f>Z2472</f>
        <v/>
      </c>
      <c r="Y2472" s="1">
        <f>X2472-A2472</f>
        <v/>
      </c>
      <c r="Z2472" s="5" t="n">
        <v>46199</v>
      </c>
      <c r="AA2472" s="3" t="n"/>
      <c r="AB2472" s="3" t="n"/>
      <c r="AE2472" s="146">
        <f>IF(AND(F2472="Closed",X2472&gt;=DATE(2026,6,1),X2472&lt;=DATE(2026,6,30)),"Closed in June","other")</f>
        <v/>
      </c>
    </row>
    <row r="2473" hidden="1">
      <c r="A2473" s="49" t="n">
        <v>46177</v>
      </c>
      <c r="B2473" s="1" t="n">
        <v>2026</v>
      </c>
      <c r="C2473" s="8" t="inlineStr">
        <is>
          <t>Ayana</t>
        </is>
      </c>
      <c r="D2473" s="11" t="inlineStr">
        <is>
          <t>Utility and C&amp;I</t>
        </is>
      </c>
      <c r="E2473" s="1" t="n"/>
      <c r="F2473" s="1" t="inlineStr">
        <is>
          <t>Closed</t>
        </is>
      </c>
      <c r="G2473" s="11" t="inlineStr">
        <is>
          <t>Vasu.N</t>
        </is>
      </c>
      <c r="H2473" s="8" t="n">
        <v>9578099893</v>
      </c>
      <c r="I2473" s="10" t="inlineStr">
        <is>
          <t>PE04062601</t>
        </is>
      </c>
      <c r="J2473" s="28" t="inlineStr">
        <is>
          <t>Module burnt</t>
        </is>
      </c>
      <c r="K2473" s="8" t="inlineStr">
        <is>
          <t>Zura</t>
        </is>
      </c>
      <c r="L2473" s="8" t="inlineStr">
        <is>
          <t>Gujarat</t>
        </is>
      </c>
      <c r="M2473" s="2" t="inlineStr">
        <is>
          <t xml:space="preserve">damage </t>
        </is>
      </c>
      <c r="N2473" s="6" t="inlineStr">
        <is>
          <t>Module Breakage</t>
        </is>
      </c>
      <c r="O2473" s="32" t="n">
        <v>590</v>
      </c>
      <c r="P2473" s="2" t="inlineStr">
        <is>
          <t>NSMI24110852007</t>
        </is>
      </c>
      <c r="Q2473" s="29">
        <f>MID(P2473,5,2)</f>
        <v/>
      </c>
      <c r="R2473" s="14">
        <f>MID(P2473,7,2)</f>
        <v/>
      </c>
      <c r="S2473" s="6" t="inlineStr">
        <is>
          <t>G2G</t>
        </is>
      </c>
      <c r="T2473" s="1" t="inlineStr">
        <is>
          <t>P4 - PEIPL</t>
        </is>
      </c>
      <c r="U2473" s="2" t="inlineStr">
        <is>
          <t xml:space="preserve">physically damaged </t>
        </is>
      </c>
      <c r="V2473" s="1" t="inlineStr">
        <is>
          <t>Inspection</t>
        </is>
      </c>
      <c r="W2473" s="1" t="inlineStr">
        <is>
          <t>Rejected</t>
        </is>
      </c>
      <c r="X2473" s="5">
        <f>Z2473</f>
        <v/>
      </c>
      <c r="Y2473" s="1">
        <f>X2473-A2473</f>
        <v/>
      </c>
      <c r="Z2473" s="5" t="n">
        <v>46199</v>
      </c>
      <c r="AA2473" s="3" t="n"/>
      <c r="AB2473" s="3" t="n"/>
      <c r="AE2473" s="146">
        <f>IF(AND(F2473="Closed",X2473&gt;=DATE(2026,6,1),X2473&lt;=DATE(2026,6,30)),"Closed in June","other")</f>
        <v/>
      </c>
    </row>
    <row r="2474" hidden="1">
      <c r="A2474" s="49" t="n">
        <v>46177</v>
      </c>
      <c r="B2474" s="1" t="n">
        <v>2026</v>
      </c>
      <c r="C2474" s="8" t="inlineStr">
        <is>
          <t>Ayana</t>
        </is>
      </c>
      <c r="D2474" s="11" t="inlineStr">
        <is>
          <t>Utility and C&amp;I</t>
        </is>
      </c>
      <c r="E2474" s="1" t="n"/>
      <c r="F2474" s="1" t="inlineStr">
        <is>
          <t>Closed</t>
        </is>
      </c>
      <c r="G2474" s="11" t="inlineStr">
        <is>
          <t>Vasu.N</t>
        </is>
      </c>
      <c r="H2474" s="8" t="n">
        <v>9578099893</v>
      </c>
      <c r="I2474" s="10" t="inlineStr">
        <is>
          <t>PE04062601</t>
        </is>
      </c>
      <c r="J2474" s="28" t="inlineStr">
        <is>
          <t>Module burnt</t>
        </is>
      </c>
      <c r="K2474" s="8" t="inlineStr">
        <is>
          <t>Zura</t>
        </is>
      </c>
      <c r="L2474" s="8" t="inlineStr">
        <is>
          <t>Gujarat</t>
        </is>
      </c>
      <c r="M2474" s="2" t="inlineStr">
        <is>
          <t xml:space="preserve">damage </t>
        </is>
      </c>
      <c r="N2474" s="6" t="inlineStr">
        <is>
          <t>Module Breakage</t>
        </is>
      </c>
      <c r="O2474" s="32" t="n">
        <v>590</v>
      </c>
      <c r="P2474" s="2" t="inlineStr">
        <is>
          <t>NSMI24110834907</t>
        </is>
      </c>
      <c r="Q2474" s="29">
        <f>MID(P2474,5,2)</f>
        <v/>
      </c>
      <c r="R2474" s="14">
        <f>MID(P2474,7,2)</f>
        <v/>
      </c>
      <c r="S2474" s="6" t="inlineStr">
        <is>
          <t>G2G</t>
        </is>
      </c>
      <c r="T2474" s="1" t="inlineStr">
        <is>
          <t>P4 - PEIPL</t>
        </is>
      </c>
      <c r="U2474" s="2" t="inlineStr">
        <is>
          <t xml:space="preserve">physically damaged </t>
        </is>
      </c>
      <c r="V2474" s="1" t="inlineStr">
        <is>
          <t>Inspection</t>
        </is>
      </c>
      <c r="W2474" s="1" t="inlineStr">
        <is>
          <t>Rejected</t>
        </is>
      </c>
      <c r="X2474" s="5">
        <f>Z2474</f>
        <v/>
      </c>
      <c r="Y2474" s="1">
        <f>X2474-A2474</f>
        <v/>
      </c>
      <c r="Z2474" s="5" t="n">
        <v>46199</v>
      </c>
      <c r="AA2474" s="3" t="n"/>
      <c r="AB2474" s="3" t="n"/>
      <c r="AE2474" s="146">
        <f>IF(AND(F2474="Closed",X2474&gt;=DATE(2026,6,1),X2474&lt;=DATE(2026,6,30)),"Closed in June","other")</f>
        <v/>
      </c>
    </row>
    <row r="2475" hidden="1">
      <c r="A2475" s="49" t="n">
        <v>46177</v>
      </c>
      <c r="B2475" s="1" t="n">
        <v>2026</v>
      </c>
      <c r="C2475" s="8" t="inlineStr">
        <is>
          <t>Ayana</t>
        </is>
      </c>
      <c r="D2475" s="11" t="inlineStr">
        <is>
          <t>Utility and C&amp;I</t>
        </is>
      </c>
      <c r="E2475" s="1" t="n"/>
      <c r="F2475" s="1" t="inlineStr">
        <is>
          <t>WIP</t>
        </is>
      </c>
      <c r="G2475" s="11" t="inlineStr">
        <is>
          <t>Vasu.N</t>
        </is>
      </c>
      <c r="H2475" s="8" t="n">
        <v>9578099893</v>
      </c>
      <c r="I2475" s="10" t="inlineStr">
        <is>
          <t>PE04062601</t>
        </is>
      </c>
      <c r="J2475" s="28" t="inlineStr">
        <is>
          <t>Module burnt</t>
        </is>
      </c>
      <c r="K2475" s="8" t="inlineStr">
        <is>
          <t>Zura</t>
        </is>
      </c>
      <c r="L2475" s="8" t="inlineStr">
        <is>
          <t>Gujarat</t>
        </is>
      </c>
      <c r="M2475" s="2" t="inlineStr">
        <is>
          <t xml:space="preserve">damage </t>
        </is>
      </c>
      <c r="N2475" s="6" t="inlineStr">
        <is>
          <t>Module Breakage</t>
        </is>
      </c>
      <c r="O2475" s="32" t="n">
        <v>590</v>
      </c>
      <c r="P2475" s="2" t="inlineStr">
        <is>
          <t>NSMI24110825998</t>
        </is>
      </c>
      <c r="Q2475" s="29">
        <f>MID(P2475,5,2)</f>
        <v/>
      </c>
      <c r="R2475" s="14">
        <f>MID(P2475,7,2)</f>
        <v/>
      </c>
      <c r="S2475" s="6" t="inlineStr">
        <is>
          <t>G2G</t>
        </is>
      </c>
      <c r="T2475" s="1" t="inlineStr">
        <is>
          <t>P4 - PEIPL</t>
        </is>
      </c>
      <c r="U2475" s="2" t="inlineStr">
        <is>
          <t>Frame Damaged</t>
        </is>
      </c>
      <c r="V2475" s="47" t="inlineStr">
        <is>
          <t>WIP</t>
        </is>
      </c>
      <c r="W2475" s="1" t="inlineStr">
        <is>
          <t>WIP</t>
        </is>
      </c>
      <c r="X2475" s="12" t="n"/>
      <c r="Y2475" s="1">
        <f>IF(X2475="","",X2475-A2475)</f>
        <v/>
      </c>
      <c r="Z2475" s="5" t="n">
        <v>46199</v>
      </c>
      <c r="AA2475" s="3" t="n"/>
      <c r="AB2475" s="3" t="n"/>
      <c r="AE2475" s="146">
        <f>IF(AND(F2475="Closed",X2475&gt;=DATE(2026,6,1),X2475&lt;=DATE(2026,6,30)),"Closed in June","other")</f>
        <v/>
      </c>
    </row>
    <row r="2476" hidden="1">
      <c r="A2476" s="49" t="n">
        <v>46177</v>
      </c>
      <c r="B2476" s="1" t="n">
        <v>2026</v>
      </c>
      <c r="C2476" s="8" t="inlineStr">
        <is>
          <t>Ayana</t>
        </is>
      </c>
      <c r="D2476" s="11" t="inlineStr">
        <is>
          <t>Utility and C&amp;I</t>
        </is>
      </c>
      <c r="E2476" s="1" t="n"/>
      <c r="F2476" s="1" t="inlineStr">
        <is>
          <t>Closed</t>
        </is>
      </c>
      <c r="G2476" s="11" t="inlineStr">
        <is>
          <t>Vasu.N</t>
        </is>
      </c>
      <c r="H2476" s="8" t="n">
        <v>9578099893</v>
      </c>
      <c r="I2476" s="10" t="inlineStr">
        <is>
          <t>PE04062601</t>
        </is>
      </c>
      <c r="J2476" s="28" t="inlineStr">
        <is>
          <t>Module burnt</t>
        </is>
      </c>
      <c r="K2476" s="8" t="inlineStr">
        <is>
          <t>Zura</t>
        </is>
      </c>
      <c r="L2476" s="8" t="inlineStr">
        <is>
          <t>Gujarat</t>
        </is>
      </c>
      <c r="M2476" s="2" t="inlineStr">
        <is>
          <t xml:space="preserve">damage </t>
        </is>
      </c>
      <c r="N2476" s="6" t="inlineStr">
        <is>
          <t>Module Breakage</t>
        </is>
      </c>
      <c r="O2476" s="32" t="n">
        <v>590</v>
      </c>
      <c r="P2476" s="2" t="inlineStr">
        <is>
          <t>NSMI24110825380</t>
        </is>
      </c>
      <c r="Q2476" s="29">
        <f>MID(P2476,5,2)</f>
        <v/>
      </c>
      <c r="R2476" s="14">
        <f>MID(P2476,7,2)</f>
        <v/>
      </c>
      <c r="S2476" s="6" t="inlineStr">
        <is>
          <t>G2G</t>
        </is>
      </c>
      <c r="T2476" s="1" t="inlineStr">
        <is>
          <t>P4 - PEIPL</t>
        </is>
      </c>
      <c r="U2476" s="2" t="inlineStr">
        <is>
          <t xml:space="preserve">physically damaged </t>
        </is>
      </c>
      <c r="V2476" s="1" t="inlineStr">
        <is>
          <t>Inspection</t>
        </is>
      </c>
      <c r="W2476" s="1" t="inlineStr">
        <is>
          <t>Rejected</t>
        </is>
      </c>
      <c r="X2476" s="5">
        <f>Z2476</f>
        <v/>
      </c>
      <c r="Y2476" s="1">
        <f>X2476-A2476</f>
        <v/>
      </c>
      <c r="Z2476" s="5" t="n">
        <v>46199</v>
      </c>
      <c r="AA2476" s="3" t="n"/>
      <c r="AB2476" s="3" t="n"/>
      <c r="AE2476" s="146">
        <f>IF(AND(F2476="Closed",X2476&gt;=DATE(2026,6,1),X2476&lt;=DATE(2026,6,30)),"Closed in June","other")</f>
        <v/>
      </c>
    </row>
    <row r="2477" hidden="1">
      <c r="A2477" s="49" t="n">
        <v>46177</v>
      </c>
      <c r="B2477" s="1" t="n">
        <v>2026</v>
      </c>
      <c r="C2477" s="8" t="inlineStr">
        <is>
          <t>Ayana</t>
        </is>
      </c>
      <c r="D2477" s="11" t="inlineStr">
        <is>
          <t>Utility and C&amp;I</t>
        </is>
      </c>
      <c r="E2477" s="1" t="n"/>
      <c r="F2477" s="1" t="inlineStr">
        <is>
          <t>Closed</t>
        </is>
      </c>
      <c r="G2477" s="11" t="inlineStr">
        <is>
          <t>Vasu.N</t>
        </is>
      </c>
      <c r="H2477" s="8" t="n">
        <v>9578099893</v>
      </c>
      <c r="I2477" s="10" t="inlineStr">
        <is>
          <t>PE04062601</t>
        </is>
      </c>
      <c r="J2477" s="28" t="inlineStr">
        <is>
          <t>Module burnt</t>
        </is>
      </c>
      <c r="K2477" s="8" t="inlineStr">
        <is>
          <t>Zura</t>
        </is>
      </c>
      <c r="L2477" s="8" t="inlineStr">
        <is>
          <t>Gujarat</t>
        </is>
      </c>
      <c r="M2477" s="2" t="inlineStr">
        <is>
          <t xml:space="preserve">damage </t>
        </is>
      </c>
      <c r="N2477" s="6" t="inlineStr">
        <is>
          <t>Module Breakage</t>
        </is>
      </c>
      <c r="O2477" s="32" t="n">
        <v>590</v>
      </c>
      <c r="P2477" s="2" t="inlineStr">
        <is>
          <t>NSMI24110811191</t>
        </is>
      </c>
      <c r="Q2477" s="29">
        <f>MID(P2477,5,2)</f>
        <v/>
      </c>
      <c r="R2477" s="14">
        <f>MID(P2477,7,2)</f>
        <v/>
      </c>
      <c r="S2477" s="6" t="inlineStr">
        <is>
          <t>G2G</t>
        </is>
      </c>
      <c r="T2477" s="1" t="inlineStr">
        <is>
          <t>P4 - PEIPL</t>
        </is>
      </c>
      <c r="U2477" s="2" t="inlineStr">
        <is>
          <t xml:space="preserve">physically damaged </t>
        </is>
      </c>
      <c r="V2477" s="1" t="inlineStr">
        <is>
          <t>Inspection</t>
        </is>
      </c>
      <c r="W2477" s="1" t="inlineStr">
        <is>
          <t>Rejected</t>
        </is>
      </c>
      <c r="X2477" s="5">
        <f>Z2477</f>
        <v/>
      </c>
      <c r="Y2477" s="1">
        <f>X2477-A2477</f>
        <v/>
      </c>
      <c r="Z2477" s="5" t="n">
        <v>46199</v>
      </c>
      <c r="AA2477" s="3" t="n"/>
      <c r="AB2477" s="3" t="n"/>
      <c r="AE2477" s="146">
        <f>IF(AND(F2477="Closed",X2477&gt;=DATE(2026,6,1),X2477&lt;=DATE(2026,6,30)),"Closed in June","other")</f>
        <v/>
      </c>
    </row>
    <row r="2478" hidden="1">
      <c r="A2478" s="49" t="n">
        <v>46177</v>
      </c>
      <c r="B2478" s="1" t="n">
        <v>2026</v>
      </c>
      <c r="C2478" s="8" t="inlineStr">
        <is>
          <t>Ayana</t>
        </is>
      </c>
      <c r="D2478" s="11" t="inlineStr">
        <is>
          <t>Utility and C&amp;I</t>
        </is>
      </c>
      <c r="E2478" s="1" t="n"/>
      <c r="F2478" s="1" t="inlineStr">
        <is>
          <t>Closed</t>
        </is>
      </c>
      <c r="G2478" s="11" t="inlineStr">
        <is>
          <t>Vasu.N</t>
        </is>
      </c>
      <c r="H2478" s="8" t="n">
        <v>9578099893</v>
      </c>
      <c r="I2478" s="10" t="inlineStr">
        <is>
          <t>PE04062601</t>
        </is>
      </c>
      <c r="J2478" s="28" t="inlineStr">
        <is>
          <t>Module burnt</t>
        </is>
      </c>
      <c r="K2478" s="8" t="inlineStr">
        <is>
          <t>Zura</t>
        </is>
      </c>
      <c r="L2478" s="8" t="inlineStr">
        <is>
          <t>Gujarat</t>
        </is>
      </c>
      <c r="M2478" s="2" t="inlineStr">
        <is>
          <t xml:space="preserve">damage </t>
        </is>
      </c>
      <c r="N2478" s="6" t="inlineStr">
        <is>
          <t>Module Breakage</t>
        </is>
      </c>
      <c r="O2478" s="32" t="n">
        <v>590</v>
      </c>
      <c r="P2478" s="2" t="inlineStr">
        <is>
          <t>NSMI24110845658</t>
        </is>
      </c>
      <c r="Q2478" s="29">
        <f>MID(P2478,5,2)</f>
        <v/>
      </c>
      <c r="R2478" s="14">
        <f>MID(P2478,7,2)</f>
        <v/>
      </c>
      <c r="S2478" s="6" t="inlineStr">
        <is>
          <t>G2G</t>
        </is>
      </c>
      <c r="T2478" s="1" t="inlineStr">
        <is>
          <t>P4 - PEIPL</t>
        </is>
      </c>
      <c r="U2478" s="2" t="inlineStr">
        <is>
          <t xml:space="preserve">physically damaged </t>
        </is>
      </c>
      <c r="V2478" s="1" t="inlineStr">
        <is>
          <t>Inspection</t>
        </is>
      </c>
      <c r="W2478" s="1" t="inlineStr">
        <is>
          <t>Rejected</t>
        </is>
      </c>
      <c r="X2478" s="5">
        <f>Z2478</f>
        <v/>
      </c>
      <c r="Y2478" s="1">
        <f>X2478-A2478</f>
        <v/>
      </c>
      <c r="Z2478" s="5" t="n">
        <v>46199</v>
      </c>
      <c r="AA2478" s="3" t="n"/>
      <c r="AB2478" s="3" t="n"/>
      <c r="AE2478" s="146">
        <f>IF(AND(F2478="Closed",X2478&gt;=DATE(2026,6,1),X2478&lt;=DATE(2026,6,30)),"Closed in June","other")</f>
        <v/>
      </c>
    </row>
    <row r="2479" hidden="1">
      <c r="A2479" s="49" t="n">
        <v>46177</v>
      </c>
      <c r="B2479" s="1" t="n">
        <v>2026</v>
      </c>
      <c r="C2479" s="8" t="inlineStr">
        <is>
          <t>Ayana</t>
        </is>
      </c>
      <c r="D2479" s="11" t="inlineStr">
        <is>
          <t>Utility and C&amp;I</t>
        </is>
      </c>
      <c r="E2479" s="1" t="n"/>
      <c r="F2479" s="1" t="inlineStr">
        <is>
          <t>Closed</t>
        </is>
      </c>
      <c r="G2479" s="11" t="inlineStr">
        <is>
          <t>Vasu.N</t>
        </is>
      </c>
      <c r="H2479" s="8" t="n">
        <v>9578099893</v>
      </c>
      <c r="I2479" s="10" t="inlineStr">
        <is>
          <t>PE04062601</t>
        </is>
      </c>
      <c r="J2479" s="28" t="inlineStr">
        <is>
          <t>Module burnt</t>
        </is>
      </c>
      <c r="K2479" s="8" t="inlineStr">
        <is>
          <t>Zura</t>
        </is>
      </c>
      <c r="L2479" s="8" t="inlineStr">
        <is>
          <t>Gujarat</t>
        </is>
      </c>
      <c r="M2479" s="2" t="inlineStr">
        <is>
          <t xml:space="preserve">damage </t>
        </is>
      </c>
      <c r="N2479" s="6" t="inlineStr">
        <is>
          <t>Module Breakage</t>
        </is>
      </c>
      <c r="O2479" s="32" t="n">
        <v>590</v>
      </c>
      <c r="P2479" s="2" t="inlineStr">
        <is>
          <t>NSMI24110828145</t>
        </is>
      </c>
      <c r="Q2479" s="29">
        <f>MID(P2479,5,2)</f>
        <v/>
      </c>
      <c r="R2479" s="14">
        <f>MID(P2479,7,2)</f>
        <v/>
      </c>
      <c r="S2479" s="6" t="inlineStr">
        <is>
          <t>G2G</t>
        </is>
      </c>
      <c r="T2479" s="1" t="inlineStr">
        <is>
          <t>P4 - PEIPL</t>
        </is>
      </c>
      <c r="U2479" s="2" t="inlineStr">
        <is>
          <t xml:space="preserve">physically damaged </t>
        </is>
      </c>
      <c r="V2479" s="1" t="inlineStr">
        <is>
          <t>Inspection</t>
        </is>
      </c>
      <c r="W2479" s="1" t="inlineStr">
        <is>
          <t>Rejected</t>
        </is>
      </c>
      <c r="X2479" s="5">
        <f>Z2479</f>
        <v/>
      </c>
      <c r="Y2479" s="1">
        <f>X2479-A2479</f>
        <v/>
      </c>
      <c r="Z2479" s="5" t="n">
        <v>46199</v>
      </c>
      <c r="AA2479" s="3" t="n"/>
      <c r="AB2479" s="3" t="n"/>
      <c r="AE2479" s="146">
        <f>IF(AND(F2479="Closed",X2479&gt;=DATE(2026,6,1),X2479&lt;=DATE(2026,6,30)),"Closed in June","other")</f>
        <v/>
      </c>
    </row>
    <row r="2480" hidden="1">
      <c r="A2480" s="49" t="n">
        <v>46177</v>
      </c>
      <c r="B2480" s="1" t="n">
        <v>2026</v>
      </c>
      <c r="C2480" s="8" t="inlineStr">
        <is>
          <t>Ayana</t>
        </is>
      </c>
      <c r="D2480" s="11" t="inlineStr">
        <is>
          <t>Utility and C&amp;I</t>
        </is>
      </c>
      <c r="E2480" s="1" t="n"/>
      <c r="F2480" s="1" t="inlineStr">
        <is>
          <t>Closed</t>
        </is>
      </c>
      <c r="G2480" s="11" t="inlineStr">
        <is>
          <t>Vasu.N</t>
        </is>
      </c>
      <c r="H2480" s="8" t="n">
        <v>9578099893</v>
      </c>
      <c r="I2480" s="10" t="inlineStr">
        <is>
          <t>PE04062601</t>
        </is>
      </c>
      <c r="J2480" s="28" t="inlineStr">
        <is>
          <t>Module burnt</t>
        </is>
      </c>
      <c r="K2480" s="8" t="inlineStr">
        <is>
          <t>Zura</t>
        </is>
      </c>
      <c r="L2480" s="8" t="inlineStr">
        <is>
          <t>Gujarat</t>
        </is>
      </c>
      <c r="M2480" s="2" t="inlineStr">
        <is>
          <t xml:space="preserve">damage </t>
        </is>
      </c>
      <c r="N2480" s="6" t="inlineStr">
        <is>
          <t>Module Breakage</t>
        </is>
      </c>
      <c r="O2480" s="32" t="n">
        <v>590</v>
      </c>
      <c r="P2480" s="2" t="inlineStr">
        <is>
          <t>NSMI24110828136</t>
        </is>
      </c>
      <c r="Q2480" s="29">
        <f>MID(P2480,5,2)</f>
        <v/>
      </c>
      <c r="R2480" s="14">
        <f>MID(P2480,7,2)</f>
        <v/>
      </c>
      <c r="S2480" s="6" t="inlineStr">
        <is>
          <t>G2G</t>
        </is>
      </c>
      <c r="T2480" s="1" t="inlineStr">
        <is>
          <t>P4 - PEIPL</t>
        </is>
      </c>
      <c r="U2480" s="2" t="inlineStr">
        <is>
          <t xml:space="preserve">physically damaged </t>
        </is>
      </c>
      <c r="V2480" s="1" t="inlineStr">
        <is>
          <t>Inspection</t>
        </is>
      </c>
      <c r="W2480" s="1" t="inlineStr">
        <is>
          <t>Rejected</t>
        </is>
      </c>
      <c r="X2480" s="5">
        <f>Z2480</f>
        <v/>
      </c>
      <c r="Y2480" s="1">
        <f>X2480-A2480</f>
        <v/>
      </c>
      <c r="Z2480" s="5" t="n">
        <v>46199</v>
      </c>
      <c r="AA2480" s="3" t="n"/>
      <c r="AB2480" s="3" t="n"/>
      <c r="AE2480" s="146">
        <f>IF(AND(F2480="Closed",X2480&gt;=DATE(2026,6,1),X2480&lt;=DATE(2026,6,30)),"Closed in June","other")</f>
        <v/>
      </c>
    </row>
    <row r="2481" hidden="1">
      <c r="A2481" s="49" t="n">
        <v>46177</v>
      </c>
      <c r="B2481" s="1" t="n">
        <v>2026</v>
      </c>
      <c r="C2481" s="8" t="inlineStr">
        <is>
          <t>Ayana</t>
        </is>
      </c>
      <c r="D2481" s="11" t="inlineStr">
        <is>
          <t>Utility and C&amp;I</t>
        </is>
      </c>
      <c r="E2481" s="1" t="n"/>
      <c r="F2481" s="1" t="inlineStr">
        <is>
          <t>Closed</t>
        </is>
      </c>
      <c r="G2481" s="11" t="inlineStr">
        <is>
          <t>Vasu.N</t>
        </is>
      </c>
      <c r="H2481" s="8" t="n">
        <v>9578099893</v>
      </c>
      <c r="I2481" s="10" t="inlineStr">
        <is>
          <t>PE04062601</t>
        </is>
      </c>
      <c r="J2481" s="28" t="inlineStr">
        <is>
          <t>Module burnt</t>
        </is>
      </c>
      <c r="K2481" s="8" t="inlineStr">
        <is>
          <t>Zura</t>
        </is>
      </c>
      <c r="L2481" s="8" t="inlineStr">
        <is>
          <t>Gujarat</t>
        </is>
      </c>
      <c r="M2481" s="2" t="inlineStr">
        <is>
          <t xml:space="preserve">damage </t>
        </is>
      </c>
      <c r="N2481" s="6" t="inlineStr">
        <is>
          <t>Module Breakage</t>
        </is>
      </c>
      <c r="O2481" s="32" t="n">
        <v>590</v>
      </c>
      <c r="P2481" s="2" t="inlineStr">
        <is>
          <t>NSMI24110828194</t>
        </is>
      </c>
      <c r="Q2481" s="29">
        <f>MID(P2481,5,2)</f>
        <v/>
      </c>
      <c r="R2481" s="14">
        <f>MID(P2481,7,2)</f>
        <v/>
      </c>
      <c r="S2481" s="6" t="inlineStr">
        <is>
          <t>G2G</t>
        </is>
      </c>
      <c r="T2481" s="1" t="inlineStr">
        <is>
          <t>P4 - PEIPL</t>
        </is>
      </c>
      <c r="U2481" s="2" t="inlineStr">
        <is>
          <t xml:space="preserve">physically damaged </t>
        </is>
      </c>
      <c r="V2481" s="1" t="inlineStr">
        <is>
          <t>Inspection</t>
        </is>
      </c>
      <c r="W2481" s="1" t="inlineStr">
        <is>
          <t>Rejected</t>
        </is>
      </c>
      <c r="X2481" s="5">
        <f>Z2481</f>
        <v/>
      </c>
      <c r="Y2481" s="1">
        <f>X2481-A2481</f>
        <v/>
      </c>
      <c r="Z2481" s="5" t="n">
        <v>46199</v>
      </c>
      <c r="AA2481" s="3" t="n"/>
      <c r="AB2481" s="3" t="n"/>
      <c r="AE2481" s="146">
        <f>IF(AND(F2481="Closed",X2481&gt;=DATE(2026,6,1),X2481&lt;=DATE(2026,6,30)),"Closed in June","other")</f>
        <v/>
      </c>
    </row>
    <row r="2482" hidden="1">
      <c r="A2482" s="49" t="n">
        <v>46177</v>
      </c>
      <c r="B2482" s="1" t="n">
        <v>2026</v>
      </c>
      <c r="C2482" s="8" t="inlineStr">
        <is>
          <t>Ayana</t>
        </is>
      </c>
      <c r="D2482" s="11" t="inlineStr">
        <is>
          <t>Utility and C&amp;I</t>
        </is>
      </c>
      <c r="E2482" s="1" t="n"/>
      <c r="F2482" s="1" t="inlineStr">
        <is>
          <t>Closed</t>
        </is>
      </c>
      <c r="G2482" s="11" t="inlineStr">
        <is>
          <t>Vasu.N</t>
        </is>
      </c>
      <c r="H2482" s="8" t="n">
        <v>9578099893</v>
      </c>
      <c r="I2482" s="10" t="inlineStr">
        <is>
          <t>PE04062601</t>
        </is>
      </c>
      <c r="J2482" s="28" t="inlineStr">
        <is>
          <t>Module burnt</t>
        </is>
      </c>
      <c r="K2482" s="8" t="inlineStr">
        <is>
          <t>Zura</t>
        </is>
      </c>
      <c r="L2482" s="8" t="inlineStr">
        <is>
          <t>Gujarat</t>
        </is>
      </c>
      <c r="M2482" s="2" t="inlineStr">
        <is>
          <t xml:space="preserve">damage </t>
        </is>
      </c>
      <c r="N2482" s="6" t="inlineStr">
        <is>
          <t>Module Breakage</t>
        </is>
      </c>
      <c r="O2482" s="32" t="n">
        <v>590</v>
      </c>
      <c r="P2482" s="2" t="inlineStr">
        <is>
          <t>NSMI24110812169</t>
        </is>
      </c>
      <c r="Q2482" s="29">
        <f>MID(P2482,5,2)</f>
        <v/>
      </c>
      <c r="R2482" s="14">
        <f>MID(P2482,7,2)</f>
        <v/>
      </c>
      <c r="S2482" s="6" t="inlineStr">
        <is>
          <t>G2G</t>
        </is>
      </c>
      <c r="T2482" s="1" t="inlineStr">
        <is>
          <t>P4 - PEIPL</t>
        </is>
      </c>
      <c r="U2482" s="2" t="inlineStr">
        <is>
          <t xml:space="preserve">physically damaged </t>
        </is>
      </c>
      <c r="V2482" s="1" t="inlineStr">
        <is>
          <t>Inspection</t>
        </is>
      </c>
      <c r="W2482" s="1" t="inlineStr">
        <is>
          <t>Rejected</t>
        </is>
      </c>
      <c r="X2482" s="5">
        <f>Z2482</f>
        <v/>
      </c>
      <c r="Y2482" s="1">
        <f>X2482-A2482</f>
        <v/>
      </c>
      <c r="Z2482" s="5" t="n">
        <v>46199</v>
      </c>
      <c r="AA2482" s="3" t="n"/>
      <c r="AB2482" s="3" t="n"/>
      <c r="AE2482" s="146">
        <f>IF(AND(F2482="Closed",X2482&gt;=DATE(2026,6,1),X2482&lt;=DATE(2026,6,30)),"Closed in June","other")</f>
        <v/>
      </c>
    </row>
    <row r="2483" hidden="1">
      <c r="A2483" s="49" t="n">
        <v>46177</v>
      </c>
      <c r="B2483" s="1" t="n">
        <v>2026</v>
      </c>
      <c r="C2483" s="8" t="inlineStr">
        <is>
          <t>Ayana</t>
        </is>
      </c>
      <c r="D2483" s="11" t="inlineStr">
        <is>
          <t>Utility and C&amp;I</t>
        </is>
      </c>
      <c r="E2483" s="1" t="n"/>
      <c r="F2483" s="1" t="inlineStr">
        <is>
          <t>WIP</t>
        </is>
      </c>
      <c r="G2483" s="11" t="inlineStr">
        <is>
          <t>Vasu.N</t>
        </is>
      </c>
      <c r="H2483" s="8" t="n">
        <v>9578099893</v>
      </c>
      <c r="I2483" s="10" t="inlineStr">
        <is>
          <t>PE04062601</t>
        </is>
      </c>
      <c r="J2483" s="28" t="inlineStr">
        <is>
          <t>Module burnt</t>
        </is>
      </c>
      <c r="K2483" s="8" t="inlineStr">
        <is>
          <t>Zura</t>
        </is>
      </c>
      <c r="L2483" s="8" t="inlineStr">
        <is>
          <t>Gujarat</t>
        </is>
      </c>
      <c r="M2483" s="2" t="inlineStr">
        <is>
          <t xml:space="preserve">damage </t>
        </is>
      </c>
      <c r="N2483" s="6" t="inlineStr">
        <is>
          <t>Module Breakage</t>
        </is>
      </c>
      <c r="O2483" s="32" t="n">
        <v>590</v>
      </c>
      <c r="P2483" s="2" t="inlineStr">
        <is>
          <t>NSMI24110811679</t>
        </is>
      </c>
      <c r="Q2483" s="29">
        <f>MID(P2483,5,2)</f>
        <v/>
      </c>
      <c r="R2483" s="14">
        <f>MID(P2483,7,2)</f>
        <v/>
      </c>
      <c r="S2483" s="6" t="inlineStr">
        <is>
          <t>G2G</t>
        </is>
      </c>
      <c r="T2483" s="1" t="inlineStr">
        <is>
          <t>P4 - PEIPL</t>
        </is>
      </c>
      <c r="U2483" s="2" t="inlineStr">
        <is>
          <t>Frame Damaged</t>
        </is>
      </c>
      <c r="V2483" s="47" t="inlineStr">
        <is>
          <t>WIP</t>
        </is>
      </c>
      <c r="W2483" s="1" t="inlineStr">
        <is>
          <t>WIP</t>
        </is>
      </c>
      <c r="X2483" s="12" t="n"/>
      <c r="Y2483" s="1">
        <f>IF(X2483="","",X2483-A2483)</f>
        <v/>
      </c>
      <c r="Z2483" s="5" t="n">
        <v>46199</v>
      </c>
      <c r="AA2483" s="3" t="n"/>
      <c r="AB2483" s="3" t="n"/>
      <c r="AE2483" s="146">
        <f>IF(AND(F2483="Closed",X2483&gt;=DATE(2026,6,1),X2483&lt;=DATE(2026,6,30)),"Closed in June","other")</f>
        <v/>
      </c>
    </row>
    <row r="2484" hidden="1">
      <c r="A2484" s="49" t="n">
        <v>46177</v>
      </c>
      <c r="B2484" s="1" t="n">
        <v>2026</v>
      </c>
      <c r="C2484" s="8" t="inlineStr">
        <is>
          <t>Ayana</t>
        </is>
      </c>
      <c r="D2484" s="11" t="inlineStr">
        <is>
          <t>Utility and C&amp;I</t>
        </is>
      </c>
      <c r="E2484" s="1" t="n"/>
      <c r="F2484" s="1" t="inlineStr">
        <is>
          <t>Closed</t>
        </is>
      </c>
      <c r="G2484" s="11" t="inlineStr">
        <is>
          <t>Vasu.N</t>
        </is>
      </c>
      <c r="H2484" s="8" t="n">
        <v>9578099893</v>
      </c>
      <c r="I2484" s="10" t="inlineStr">
        <is>
          <t>PE04062601</t>
        </is>
      </c>
      <c r="J2484" s="28" t="inlineStr">
        <is>
          <t>Module burnt</t>
        </is>
      </c>
      <c r="K2484" s="8" t="inlineStr">
        <is>
          <t>Zura</t>
        </is>
      </c>
      <c r="L2484" s="8" t="inlineStr">
        <is>
          <t>Gujarat</t>
        </is>
      </c>
      <c r="M2484" s="2" t="inlineStr">
        <is>
          <t xml:space="preserve">damage </t>
        </is>
      </c>
      <c r="N2484" s="6" t="inlineStr">
        <is>
          <t>Module Breakage</t>
        </is>
      </c>
      <c r="O2484" s="32" t="n">
        <v>590</v>
      </c>
      <c r="P2484" s="2" t="inlineStr">
        <is>
          <t>NSMI24110811419</t>
        </is>
      </c>
      <c r="Q2484" s="29">
        <f>MID(P2484,5,2)</f>
        <v/>
      </c>
      <c r="R2484" s="14">
        <f>MID(P2484,7,2)</f>
        <v/>
      </c>
      <c r="S2484" s="6" t="inlineStr">
        <is>
          <t>G2G</t>
        </is>
      </c>
      <c r="T2484" s="1" t="inlineStr">
        <is>
          <t>P4 - PEIPL</t>
        </is>
      </c>
      <c r="U2484" s="2" t="inlineStr">
        <is>
          <t xml:space="preserve">physically damaged </t>
        </is>
      </c>
      <c r="V2484" s="1" t="inlineStr">
        <is>
          <t>Inspection</t>
        </is>
      </c>
      <c r="W2484" s="1" t="inlineStr">
        <is>
          <t>Rejected</t>
        </is>
      </c>
      <c r="X2484" s="5">
        <f>Z2484</f>
        <v/>
      </c>
      <c r="Y2484" s="1">
        <f>X2484-A2484</f>
        <v/>
      </c>
      <c r="Z2484" s="5" t="n">
        <v>46199</v>
      </c>
      <c r="AA2484" s="3" t="n"/>
      <c r="AB2484" s="3" t="n"/>
      <c r="AE2484" s="146">
        <f>IF(AND(F2484="Closed",X2484&gt;=DATE(2026,6,1),X2484&lt;=DATE(2026,6,30)),"Closed in June","other")</f>
        <v/>
      </c>
    </row>
    <row r="2485" hidden="1">
      <c r="A2485" s="49" t="n">
        <v>46177</v>
      </c>
      <c r="B2485" s="1" t="n">
        <v>2026</v>
      </c>
      <c r="C2485" s="8" t="inlineStr">
        <is>
          <t>Ayana</t>
        </is>
      </c>
      <c r="D2485" s="11" t="inlineStr">
        <is>
          <t>Utility and C&amp;I</t>
        </is>
      </c>
      <c r="E2485" s="1" t="n"/>
      <c r="F2485" s="1" t="inlineStr">
        <is>
          <t>Closed</t>
        </is>
      </c>
      <c r="G2485" s="11" t="inlineStr">
        <is>
          <t>Vasu.N</t>
        </is>
      </c>
      <c r="H2485" s="8" t="n">
        <v>9578099893</v>
      </c>
      <c r="I2485" s="10" t="inlineStr">
        <is>
          <t>PE04062601</t>
        </is>
      </c>
      <c r="J2485" s="28" t="inlineStr">
        <is>
          <t>Module burnt</t>
        </is>
      </c>
      <c r="K2485" s="8" t="inlineStr">
        <is>
          <t>Zura</t>
        </is>
      </c>
      <c r="L2485" s="8" t="inlineStr">
        <is>
          <t>Gujarat</t>
        </is>
      </c>
      <c r="M2485" s="2" t="inlineStr">
        <is>
          <t xml:space="preserve">damage </t>
        </is>
      </c>
      <c r="N2485" s="6" t="inlineStr">
        <is>
          <t>Module Breakage</t>
        </is>
      </c>
      <c r="O2485" s="32" t="n">
        <v>590</v>
      </c>
      <c r="P2485" s="2" t="inlineStr">
        <is>
          <t>NSMI24110837949</t>
        </is>
      </c>
      <c r="Q2485" s="29">
        <f>MID(P2485,5,2)</f>
        <v/>
      </c>
      <c r="R2485" s="14">
        <f>MID(P2485,7,2)</f>
        <v/>
      </c>
      <c r="S2485" s="6" t="inlineStr">
        <is>
          <t>G2G</t>
        </is>
      </c>
      <c r="T2485" s="1" t="inlineStr">
        <is>
          <t>P4 - PEIPL</t>
        </is>
      </c>
      <c r="U2485" s="2" t="inlineStr">
        <is>
          <t xml:space="preserve">physically damaged </t>
        </is>
      </c>
      <c r="V2485" s="1" t="inlineStr">
        <is>
          <t>Inspection</t>
        </is>
      </c>
      <c r="W2485" s="1" t="inlineStr">
        <is>
          <t>Rejected</t>
        </is>
      </c>
      <c r="X2485" s="5">
        <f>Z2485</f>
        <v/>
      </c>
      <c r="Y2485" s="1">
        <f>X2485-A2485</f>
        <v/>
      </c>
      <c r="Z2485" s="5" t="n">
        <v>46199</v>
      </c>
      <c r="AA2485" s="3" t="n"/>
      <c r="AB2485" s="3" t="n"/>
      <c r="AE2485" s="146">
        <f>IF(AND(F2485="Closed",X2485&gt;=DATE(2026,6,1),X2485&lt;=DATE(2026,6,30)),"Closed in June","other")</f>
        <v/>
      </c>
    </row>
    <row r="2486" hidden="1">
      <c r="A2486" s="49" t="n">
        <v>46177</v>
      </c>
      <c r="B2486" s="1" t="n">
        <v>2026</v>
      </c>
      <c r="C2486" s="8" t="inlineStr">
        <is>
          <t>Ayana</t>
        </is>
      </c>
      <c r="D2486" s="11" t="inlineStr">
        <is>
          <t>Utility and C&amp;I</t>
        </is>
      </c>
      <c r="E2486" s="1" t="n"/>
      <c r="F2486" s="1" t="inlineStr">
        <is>
          <t>Closed</t>
        </is>
      </c>
      <c r="G2486" s="11" t="inlineStr">
        <is>
          <t>Vasu.N</t>
        </is>
      </c>
      <c r="H2486" s="8" t="n">
        <v>9578099893</v>
      </c>
      <c r="I2486" s="10" t="inlineStr">
        <is>
          <t>PE04062601</t>
        </is>
      </c>
      <c r="J2486" s="28" t="inlineStr">
        <is>
          <t>Module burnt</t>
        </is>
      </c>
      <c r="K2486" s="8" t="inlineStr">
        <is>
          <t>Zura</t>
        </is>
      </c>
      <c r="L2486" s="8" t="inlineStr">
        <is>
          <t>Gujarat</t>
        </is>
      </c>
      <c r="M2486" s="2" t="inlineStr">
        <is>
          <t xml:space="preserve">damage </t>
        </is>
      </c>
      <c r="N2486" s="6" t="inlineStr">
        <is>
          <t>Module Breakage</t>
        </is>
      </c>
      <c r="O2486" s="32" t="n">
        <v>590</v>
      </c>
      <c r="P2486" s="2" t="inlineStr">
        <is>
          <t>NSMI24110847565</t>
        </is>
      </c>
      <c r="Q2486" s="29">
        <f>MID(P2486,5,2)</f>
        <v/>
      </c>
      <c r="R2486" s="14">
        <f>MID(P2486,7,2)</f>
        <v/>
      </c>
      <c r="S2486" s="6" t="inlineStr">
        <is>
          <t>G2G</t>
        </is>
      </c>
      <c r="T2486" s="1" t="inlineStr">
        <is>
          <t>P4 - PEIPL</t>
        </is>
      </c>
      <c r="U2486" s="2" t="inlineStr">
        <is>
          <t xml:space="preserve">physically damaged </t>
        </is>
      </c>
      <c r="V2486" s="1" t="inlineStr">
        <is>
          <t>Inspection</t>
        </is>
      </c>
      <c r="W2486" s="1" t="inlineStr">
        <is>
          <t>Rejected</t>
        </is>
      </c>
      <c r="X2486" s="5">
        <f>Z2486</f>
        <v/>
      </c>
      <c r="Y2486" s="1">
        <f>X2486-A2486</f>
        <v/>
      </c>
      <c r="Z2486" s="5" t="n">
        <v>46199</v>
      </c>
      <c r="AA2486" s="3" t="n"/>
      <c r="AB2486" s="3" t="n"/>
      <c r="AE2486" s="146">
        <f>IF(AND(F2486="Closed",X2486&gt;=DATE(2026,6,1),X2486&lt;=DATE(2026,6,30)),"Closed in June","other")</f>
        <v/>
      </c>
    </row>
    <row r="2487" hidden="1">
      <c r="A2487" s="49" t="n">
        <v>46177</v>
      </c>
      <c r="B2487" s="1" t="n">
        <v>2026</v>
      </c>
      <c r="C2487" s="8" t="inlineStr">
        <is>
          <t>Ayana</t>
        </is>
      </c>
      <c r="D2487" s="11" t="inlineStr">
        <is>
          <t>Utility and C&amp;I</t>
        </is>
      </c>
      <c r="E2487" s="1" t="n"/>
      <c r="F2487" s="1" t="inlineStr">
        <is>
          <t>Closed</t>
        </is>
      </c>
      <c r="G2487" s="11" t="inlineStr">
        <is>
          <t>Vasu.N</t>
        </is>
      </c>
      <c r="H2487" s="8" t="n">
        <v>9578099893</v>
      </c>
      <c r="I2487" s="10" t="inlineStr">
        <is>
          <t>PE04062601</t>
        </is>
      </c>
      <c r="J2487" s="28" t="inlineStr">
        <is>
          <t>Module burnt</t>
        </is>
      </c>
      <c r="K2487" s="8" t="inlineStr">
        <is>
          <t>Zura</t>
        </is>
      </c>
      <c r="L2487" s="8" t="inlineStr">
        <is>
          <t>Gujarat</t>
        </is>
      </c>
      <c r="M2487" s="2" t="inlineStr">
        <is>
          <t xml:space="preserve">damage </t>
        </is>
      </c>
      <c r="N2487" s="6" t="inlineStr">
        <is>
          <t>Module Breakage</t>
        </is>
      </c>
      <c r="O2487" s="32" t="n">
        <v>590</v>
      </c>
      <c r="P2487" s="2" t="inlineStr">
        <is>
          <t>NSMI24110824902</t>
        </is>
      </c>
      <c r="Q2487" s="29">
        <f>MID(P2487,5,2)</f>
        <v/>
      </c>
      <c r="R2487" s="14">
        <f>MID(P2487,7,2)</f>
        <v/>
      </c>
      <c r="S2487" s="6" t="inlineStr">
        <is>
          <t>G2G</t>
        </is>
      </c>
      <c r="T2487" s="1" t="inlineStr">
        <is>
          <t>P4 - PEIPL</t>
        </is>
      </c>
      <c r="U2487" s="2" t="inlineStr">
        <is>
          <t xml:space="preserve">physically damaged </t>
        </is>
      </c>
      <c r="V2487" s="1" t="inlineStr">
        <is>
          <t>Inspection</t>
        </is>
      </c>
      <c r="W2487" s="1" t="inlineStr">
        <is>
          <t>Rejected</t>
        </is>
      </c>
      <c r="X2487" s="5">
        <f>Z2487</f>
        <v/>
      </c>
      <c r="Y2487" s="1">
        <f>X2487-A2487</f>
        <v/>
      </c>
      <c r="Z2487" s="5" t="n">
        <v>46199</v>
      </c>
      <c r="AA2487" s="3" t="n"/>
      <c r="AB2487" s="3" t="n"/>
      <c r="AE2487" s="146">
        <f>IF(AND(F2487="Closed",X2487&gt;=DATE(2026,6,1),X2487&lt;=DATE(2026,6,30)),"Closed in June","other")</f>
        <v/>
      </c>
    </row>
    <row r="2488" hidden="1">
      <c r="A2488" s="49" t="n">
        <v>46177</v>
      </c>
      <c r="B2488" s="1" t="n">
        <v>2026</v>
      </c>
      <c r="C2488" s="8" t="inlineStr">
        <is>
          <t>Ayana</t>
        </is>
      </c>
      <c r="D2488" s="11" t="inlineStr">
        <is>
          <t>Utility and C&amp;I</t>
        </is>
      </c>
      <c r="E2488" s="1" t="n"/>
      <c r="F2488" s="1" t="inlineStr">
        <is>
          <t>WIP</t>
        </is>
      </c>
      <c r="G2488" s="11" t="inlineStr">
        <is>
          <t>Vasu.N</t>
        </is>
      </c>
      <c r="H2488" s="8" t="n">
        <v>9578099893</v>
      </c>
      <c r="I2488" s="10" t="inlineStr">
        <is>
          <t>PE04062601</t>
        </is>
      </c>
      <c r="J2488" s="28" t="inlineStr">
        <is>
          <t>Module burnt</t>
        </is>
      </c>
      <c r="K2488" s="8" t="inlineStr">
        <is>
          <t>Zura</t>
        </is>
      </c>
      <c r="L2488" s="8" t="inlineStr">
        <is>
          <t>Gujarat</t>
        </is>
      </c>
      <c r="M2488" s="2" t="inlineStr">
        <is>
          <t xml:space="preserve">damage </t>
        </is>
      </c>
      <c r="N2488" s="6" t="inlineStr">
        <is>
          <t>Module Breakage</t>
        </is>
      </c>
      <c r="O2488" s="32" t="n">
        <v>590</v>
      </c>
      <c r="P2488" s="2" t="inlineStr">
        <is>
          <t>NSMI24110824076</t>
        </is>
      </c>
      <c r="Q2488" s="29">
        <f>MID(P2488,5,2)</f>
        <v/>
      </c>
      <c r="R2488" s="14">
        <f>MID(P2488,7,2)</f>
        <v/>
      </c>
      <c r="S2488" s="6" t="inlineStr">
        <is>
          <t>G2G</t>
        </is>
      </c>
      <c r="T2488" s="1" t="inlineStr">
        <is>
          <t>P4 - PEIPL</t>
        </is>
      </c>
      <c r="U2488" s="2" t="inlineStr">
        <is>
          <t>Frame Damaged</t>
        </is>
      </c>
      <c r="V2488" s="47" t="inlineStr">
        <is>
          <t>WIP</t>
        </is>
      </c>
      <c r="W2488" s="1" t="inlineStr">
        <is>
          <t>WIP</t>
        </is>
      </c>
      <c r="X2488" s="12" t="n"/>
      <c r="Y2488" s="1">
        <f>IF(X2488="","",X2488-A2488)</f>
        <v/>
      </c>
      <c r="Z2488" s="5" t="n">
        <v>46199</v>
      </c>
      <c r="AA2488" s="3" t="n"/>
      <c r="AB2488" s="3" t="n"/>
      <c r="AE2488" s="146">
        <f>IF(AND(F2488="Closed",X2488&gt;=DATE(2026,6,1),X2488&lt;=DATE(2026,6,30)),"Closed in June","other")</f>
        <v/>
      </c>
    </row>
    <row r="2489" hidden="1">
      <c r="A2489" s="49" t="n">
        <v>46177</v>
      </c>
      <c r="B2489" s="1" t="n">
        <v>2026</v>
      </c>
      <c r="C2489" s="8" t="inlineStr">
        <is>
          <t>Ayana</t>
        </is>
      </c>
      <c r="D2489" s="11" t="inlineStr">
        <is>
          <t>Utility and C&amp;I</t>
        </is>
      </c>
      <c r="E2489" s="1" t="n"/>
      <c r="F2489" s="1" t="inlineStr">
        <is>
          <t>Closed</t>
        </is>
      </c>
      <c r="G2489" s="11" t="inlineStr">
        <is>
          <t>Vasu.N</t>
        </is>
      </c>
      <c r="H2489" s="8" t="n">
        <v>9578099893</v>
      </c>
      <c r="I2489" s="10" t="inlineStr">
        <is>
          <t>PE04062601</t>
        </is>
      </c>
      <c r="J2489" s="28" t="inlineStr">
        <is>
          <t>Module burnt</t>
        </is>
      </c>
      <c r="K2489" s="8" t="inlineStr">
        <is>
          <t>Zura</t>
        </is>
      </c>
      <c r="L2489" s="8" t="inlineStr">
        <is>
          <t>Gujarat</t>
        </is>
      </c>
      <c r="M2489" s="2" t="inlineStr">
        <is>
          <t xml:space="preserve">damage </t>
        </is>
      </c>
      <c r="N2489" s="6" t="inlineStr">
        <is>
          <t>Module Breakage</t>
        </is>
      </c>
      <c r="O2489" s="32" t="n">
        <v>590</v>
      </c>
      <c r="P2489" s="2" t="inlineStr">
        <is>
          <t>NSMI24110847559</t>
        </is>
      </c>
      <c r="Q2489" s="29">
        <f>MID(P2489,5,2)</f>
        <v/>
      </c>
      <c r="R2489" s="14">
        <f>MID(P2489,7,2)</f>
        <v/>
      </c>
      <c r="S2489" s="6" t="inlineStr">
        <is>
          <t>G2G</t>
        </is>
      </c>
      <c r="T2489" s="1" t="inlineStr">
        <is>
          <t>P4 - PEIPL</t>
        </is>
      </c>
      <c r="U2489" s="2" t="inlineStr">
        <is>
          <t xml:space="preserve">physically damaged </t>
        </is>
      </c>
      <c r="V2489" s="1" t="inlineStr">
        <is>
          <t>Inspection</t>
        </is>
      </c>
      <c r="W2489" s="1" t="inlineStr">
        <is>
          <t>Rejected</t>
        </is>
      </c>
      <c r="X2489" s="5">
        <f>Z2489</f>
        <v/>
      </c>
      <c r="Y2489" s="1">
        <f>X2489-A2489</f>
        <v/>
      </c>
      <c r="Z2489" s="5" t="n">
        <v>46199</v>
      </c>
      <c r="AA2489" s="3" t="n"/>
      <c r="AB2489" s="3" t="n"/>
      <c r="AE2489" s="146">
        <f>IF(AND(F2489="Closed",X2489&gt;=DATE(2026,6,1),X2489&lt;=DATE(2026,6,30)),"Closed in June","other")</f>
        <v/>
      </c>
    </row>
    <row r="2490" hidden="1">
      <c r="A2490" s="49" t="n">
        <v>46177</v>
      </c>
      <c r="B2490" s="1" t="n">
        <v>2026</v>
      </c>
      <c r="C2490" s="8" t="inlineStr">
        <is>
          <t>Ayana</t>
        </is>
      </c>
      <c r="D2490" s="11" t="inlineStr">
        <is>
          <t>Utility and C&amp;I</t>
        </is>
      </c>
      <c r="E2490" s="1" t="n"/>
      <c r="F2490" s="1" t="inlineStr">
        <is>
          <t>Closed</t>
        </is>
      </c>
      <c r="G2490" s="11" t="inlineStr">
        <is>
          <t>Vasu.N</t>
        </is>
      </c>
      <c r="H2490" s="8" t="n">
        <v>9578099893</v>
      </c>
      <c r="I2490" s="10" t="inlineStr">
        <is>
          <t>PE04062601</t>
        </is>
      </c>
      <c r="J2490" s="28" t="inlineStr">
        <is>
          <t>Module burnt</t>
        </is>
      </c>
      <c r="K2490" s="8" t="inlineStr">
        <is>
          <t>Zura</t>
        </is>
      </c>
      <c r="L2490" s="8" t="inlineStr">
        <is>
          <t>Gujarat</t>
        </is>
      </c>
      <c r="M2490" s="2" t="inlineStr">
        <is>
          <t xml:space="preserve">damage </t>
        </is>
      </c>
      <c r="N2490" s="6" t="inlineStr">
        <is>
          <t>Module Breakage</t>
        </is>
      </c>
      <c r="O2490" s="32" t="n">
        <v>590</v>
      </c>
      <c r="P2490" s="2" t="inlineStr">
        <is>
          <t>NSMI24110843206</t>
        </is>
      </c>
      <c r="Q2490" s="29">
        <f>MID(P2490,5,2)</f>
        <v/>
      </c>
      <c r="R2490" s="14">
        <f>MID(P2490,7,2)</f>
        <v/>
      </c>
      <c r="S2490" s="6" t="inlineStr">
        <is>
          <t>G2G</t>
        </is>
      </c>
      <c r="T2490" s="1" t="inlineStr">
        <is>
          <t>P4 - PEIPL</t>
        </is>
      </c>
      <c r="U2490" s="2" t="inlineStr">
        <is>
          <t xml:space="preserve">physically damaged </t>
        </is>
      </c>
      <c r="V2490" s="1" t="inlineStr">
        <is>
          <t>Inspection</t>
        </is>
      </c>
      <c r="W2490" s="1" t="inlineStr">
        <is>
          <t>Rejected</t>
        </is>
      </c>
      <c r="X2490" s="5">
        <f>Z2490</f>
        <v/>
      </c>
      <c r="Y2490" s="1">
        <f>X2490-A2490</f>
        <v/>
      </c>
      <c r="Z2490" s="5" t="n">
        <v>46199</v>
      </c>
      <c r="AA2490" s="3" t="n"/>
      <c r="AB2490" s="3" t="n"/>
      <c r="AE2490" s="146">
        <f>IF(AND(F2490="Closed",X2490&gt;=DATE(2026,6,1),X2490&lt;=DATE(2026,6,30)),"Closed in June","other")</f>
        <v/>
      </c>
    </row>
    <row r="2491" hidden="1">
      <c r="A2491" s="49" t="n">
        <v>46177</v>
      </c>
      <c r="B2491" s="1" t="n">
        <v>2026</v>
      </c>
      <c r="C2491" s="8" t="inlineStr">
        <is>
          <t>Ayana</t>
        </is>
      </c>
      <c r="D2491" s="11" t="inlineStr">
        <is>
          <t>Utility and C&amp;I</t>
        </is>
      </c>
      <c r="E2491" s="1" t="n"/>
      <c r="F2491" s="1" t="inlineStr">
        <is>
          <t>Closed</t>
        </is>
      </c>
      <c r="G2491" s="11" t="inlineStr">
        <is>
          <t>Vasu.N</t>
        </is>
      </c>
      <c r="H2491" s="8" t="n">
        <v>9578099893</v>
      </c>
      <c r="I2491" s="10" t="inlineStr">
        <is>
          <t>PE04062601</t>
        </is>
      </c>
      <c r="J2491" s="28" t="inlineStr">
        <is>
          <t>Module burnt</t>
        </is>
      </c>
      <c r="K2491" s="8" t="inlineStr">
        <is>
          <t>Zura</t>
        </is>
      </c>
      <c r="L2491" s="8" t="inlineStr">
        <is>
          <t>Gujarat</t>
        </is>
      </c>
      <c r="M2491" s="2" t="inlineStr">
        <is>
          <t xml:space="preserve">damage </t>
        </is>
      </c>
      <c r="N2491" s="6" t="inlineStr">
        <is>
          <t>Module Breakage</t>
        </is>
      </c>
      <c r="O2491" s="32" t="n">
        <v>590</v>
      </c>
      <c r="P2491" s="2" t="inlineStr">
        <is>
          <t>NSMI24110812215</t>
        </is>
      </c>
      <c r="Q2491" s="29">
        <f>MID(P2491,5,2)</f>
        <v/>
      </c>
      <c r="R2491" s="14">
        <f>MID(P2491,7,2)</f>
        <v/>
      </c>
      <c r="S2491" s="6" t="inlineStr">
        <is>
          <t>G2G</t>
        </is>
      </c>
      <c r="T2491" s="1" t="inlineStr">
        <is>
          <t>P4 - PEIPL</t>
        </is>
      </c>
      <c r="U2491" s="2" t="inlineStr">
        <is>
          <t xml:space="preserve">physically damaged </t>
        </is>
      </c>
      <c r="V2491" s="1" t="inlineStr">
        <is>
          <t>Inspection</t>
        </is>
      </c>
      <c r="W2491" s="1" t="inlineStr">
        <is>
          <t>Rejected</t>
        </is>
      </c>
      <c r="X2491" s="5">
        <f>Z2491</f>
        <v/>
      </c>
      <c r="Y2491" s="1">
        <f>X2491-A2491</f>
        <v/>
      </c>
      <c r="Z2491" s="5" t="n">
        <v>46199</v>
      </c>
      <c r="AA2491" s="3" t="n"/>
      <c r="AB2491" s="3" t="n"/>
      <c r="AE2491" s="146">
        <f>IF(AND(F2491="Closed",X2491&gt;=DATE(2026,6,1),X2491&lt;=DATE(2026,6,30)),"Closed in June","other")</f>
        <v/>
      </c>
    </row>
    <row r="2492" hidden="1">
      <c r="A2492" s="49" t="n">
        <v>46177</v>
      </c>
      <c r="B2492" s="1" t="n">
        <v>2026</v>
      </c>
      <c r="C2492" s="8" t="inlineStr">
        <is>
          <t>Ayana</t>
        </is>
      </c>
      <c r="D2492" s="11" t="inlineStr">
        <is>
          <t>Utility and C&amp;I</t>
        </is>
      </c>
      <c r="E2492" s="1" t="n"/>
      <c r="F2492" s="1" t="inlineStr">
        <is>
          <t>Closed</t>
        </is>
      </c>
      <c r="G2492" s="11" t="inlineStr">
        <is>
          <t>Vasu.N</t>
        </is>
      </c>
      <c r="H2492" s="8" t="n">
        <v>9578099893</v>
      </c>
      <c r="I2492" s="10" t="inlineStr">
        <is>
          <t>PE04062601</t>
        </is>
      </c>
      <c r="J2492" s="28" t="inlineStr">
        <is>
          <t>Module burnt</t>
        </is>
      </c>
      <c r="K2492" s="8" t="inlineStr">
        <is>
          <t>Zura</t>
        </is>
      </c>
      <c r="L2492" s="8" t="inlineStr">
        <is>
          <t>Gujarat</t>
        </is>
      </c>
      <c r="M2492" s="2" t="inlineStr">
        <is>
          <t xml:space="preserve">damage </t>
        </is>
      </c>
      <c r="N2492" s="6" t="inlineStr">
        <is>
          <t>Module Breakage</t>
        </is>
      </c>
      <c r="O2492" s="32" t="n">
        <v>590</v>
      </c>
      <c r="P2492" s="2" t="inlineStr">
        <is>
          <t>NSMI24110819419</t>
        </is>
      </c>
      <c r="Q2492" s="29">
        <f>MID(P2492,5,2)</f>
        <v/>
      </c>
      <c r="R2492" s="14">
        <f>MID(P2492,7,2)</f>
        <v/>
      </c>
      <c r="S2492" s="6" t="inlineStr">
        <is>
          <t>G2G</t>
        </is>
      </c>
      <c r="T2492" s="1" t="inlineStr">
        <is>
          <t>P4 - PEIPL</t>
        </is>
      </c>
      <c r="U2492" s="2" t="inlineStr">
        <is>
          <t xml:space="preserve">physically damaged </t>
        </is>
      </c>
      <c r="V2492" s="1" t="inlineStr">
        <is>
          <t>Inspection</t>
        </is>
      </c>
      <c r="W2492" s="1" t="inlineStr">
        <is>
          <t>Rejected</t>
        </is>
      </c>
      <c r="X2492" s="5">
        <f>Z2492</f>
        <v/>
      </c>
      <c r="Y2492" s="1">
        <f>X2492-A2492</f>
        <v/>
      </c>
      <c r="Z2492" s="5" t="n">
        <v>46199</v>
      </c>
      <c r="AA2492" s="3" t="n"/>
      <c r="AB2492" s="3" t="n"/>
      <c r="AE2492" s="146">
        <f>IF(AND(F2492="Closed",X2492&gt;=DATE(2026,6,1),X2492&lt;=DATE(2026,6,30)),"Closed in June","other")</f>
        <v/>
      </c>
    </row>
    <row r="2493" hidden="1">
      <c r="A2493" s="49" t="n">
        <v>46177</v>
      </c>
      <c r="B2493" s="1" t="n">
        <v>2026</v>
      </c>
      <c r="C2493" s="8" t="inlineStr">
        <is>
          <t>Ayana</t>
        </is>
      </c>
      <c r="D2493" s="11" t="inlineStr">
        <is>
          <t>Utility and C&amp;I</t>
        </is>
      </c>
      <c r="E2493" s="1" t="n"/>
      <c r="F2493" s="1" t="inlineStr">
        <is>
          <t>Closed</t>
        </is>
      </c>
      <c r="G2493" s="11" t="inlineStr">
        <is>
          <t>Vasu.N</t>
        </is>
      </c>
      <c r="H2493" s="8" t="n">
        <v>9578099893</v>
      </c>
      <c r="I2493" s="10" t="inlineStr">
        <is>
          <t>PE04062601</t>
        </is>
      </c>
      <c r="J2493" s="28" t="inlineStr">
        <is>
          <t>Module burnt</t>
        </is>
      </c>
      <c r="K2493" s="8" t="inlineStr">
        <is>
          <t>Zura</t>
        </is>
      </c>
      <c r="L2493" s="8" t="inlineStr">
        <is>
          <t>Gujarat</t>
        </is>
      </c>
      <c r="M2493" s="2" t="inlineStr">
        <is>
          <t xml:space="preserve">damage </t>
        </is>
      </c>
      <c r="N2493" s="6" t="inlineStr">
        <is>
          <t>Module Breakage</t>
        </is>
      </c>
      <c r="O2493" s="32" t="n">
        <v>590</v>
      </c>
      <c r="P2493" s="2" t="inlineStr">
        <is>
          <t>NSMI24110813454</t>
        </is>
      </c>
      <c r="Q2493" s="29">
        <f>MID(P2493,5,2)</f>
        <v/>
      </c>
      <c r="R2493" s="14">
        <f>MID(P2493,7,2)</f>
        <v/>
      </c>
      <c r="S2493" s="6" t="inlineStr">
        <is>
          <t>G2G</t>
        </is>
      </c>
      <c r="T2493" s="1" t="inlineStr">
        <is>
          <t>P4 - PEIPL</t>
        </is>
      </c>
      <c r="U2493" s="2" t="inlineStr">
        <is>
          <t xml:space="preserve">physically damaged </t>
        </is>
      </c>
      <c r="V2493" s="1" t="inlineStr">
        <is>
          <t>Inspection</t>
        </is>
      </c>
      <c r="W2493" s="1" t="inlineStr">
        <is>
          <t>Rejected</t>
        </is>
      </c>
      <c r="X2493" s="5">
        <f>Z2493</f>
        <v/>
      </c>
      <c r="Y2493" s="1">
        <f>X2493-A2493</f>
        <v/>
      </c>
      <c r="Z2493" s="5" t="n">
        <v>46199</v>
      </c>
      <c r="AA2493" s="3" t="n"/>
      <c r="AB2493" s="3" t="n"/>
      <c r="AE2493" s="146">
        <f>IF(AND(F2493="Closed",X2493&gt;=DATE(2026,6,1),X2493&lt;=DATE(2026,6,30)),"Closed in June","other")</f>
        <v/>
      </c>
    </row>
    <row r="2494" hidden="1">
      <c r="A2494" s="49" t="n">
        <v>46177</v>
      </c>
      <c r="B2494" s="1" t="n">
        <v>2026</v>
      </c>
      <c r="C2494" s="8" t="inlineStr">
        <is>
          <t>Ayana</t>
        </is>
      </c>
      <c r="D2494" s="11" t="inlineStr">
        <is>
          <t>Utility and C&amp;I</t>
        </is>
      </c>
      <c r="E2494" s="1" t="n"/>
      <c r="F2494" s="1" t="inlineStr">
        <is>
          <t>Closed</t>
        </is>
      </c>
      <c r="G2494" s="11" t="inlineStr">
        <is>
          <t>Vasu.N</t>
        </is>
      </c>
      <c r="H2494" s="8" t="n">
        <v>9578099893</v>
      </c>
      <c r="I2494" s="10" t="inlineStr">
        <is>
          <t>PE04062601</t>
        </is>
      </c>
      <c r="J2494" s="28" t="inlineStr">
        <is>
          <t>Module burnt</t>
        </is>
      </c>
      <c r="K2494" s="8" t="inlineStr">
        <is>
          <t>Zura</t>
        </is>
      </c>
      <c r="L2494" s="8" t="inlineStr">
        <is>
          <t>Gujarat</t>
        </is>
      </c>
      <c r="M2494" s="2" t="inlineStr">
        <is>
          <t xml:space="preserve">damage </t>
        </is>
      </c>
      <c r="N2494" s="6" t="inlineStr">
        <is>
          <t>Module Breakage</t>
        </is>
      </c>
      <c r="O2494" s="32" t="n">
        <v>590</v>
      </c>
      <c r="P2494" s="2" t="inlineStr">
        <is>
          <t>NSMI24110814255</t>
        </is>
      </c>
      <c r="Q2494" s="29">
        <f>MID(P2494,5,2)</f>
        <v/>
      </c>
      <c r="R2494" s="14">
        <f>MID(P2494,7,2)</f>
        <v/>
      </c>
      <c r="S2494" s="6" t="inlineStr">
        <is>
          <t>G2G</t>
        </is>
      </c>
      <c r="T2494" s="1" t="inlineStr">
        <is>
          <t>P4 - PEIPL</t>
        </is>
      </c>
      <c r="U2494" s="2" t="inlineStr">
        <is>
          <t xml:space="preserve">physically damaged </t>
        </is>
      </c>
      <c r="V2494" s="1" t="inlineStr">
        <is>
          <t>Inspection</t>
        </is>
      </c>
      <c r="W2494" s="1" t="inlineStr">
        <is>
          <t>Rejected</t>
        </is>
      </c>
      <c r="X2494" s="5">
        <f>Z2494</f>
        <v/>
      </c>
      <c r="Y2494" s="1">
        <f>X2494-A2494</f>
        <v/>
      </c>
      <c r="Z2494" s="5" t="n">
        <v>46199</v>
      </c>
      <c r="AA2494" s="3" t="n"/>
      <c r="AB2494" s="3" t="n"/>
      <c r="AE2494" s="146">
        <f>IF(AND(F2494="Closed",X2494&gt;=DATE(2026,6,1),X2494&lt;=DATE(2026,6,30)),"Closed in June","other")</f>
        <v/>
      </c>
    </row>
    <row r="2495" hidden="1">
      <c r="A2495" s="49" t="n">
        <v>46177</v>
      </c>
      <c r="B2495" s="1" t="n">
        <v>2026</v>
      </c>
      <c r="C2495" s="8" t="inlineStr">
        <is>
          <t>Ayana</t>
        </is>
      </c>
      <c r="D2495" s="11" t="inlineStr">
        <is>
          <t>Utility and C&amp;I</t>
        </is>
      </c>
      <c r="E2495" s="1" t="n"/>
      <c r="F2495" s="1" t="inlineStr">
        <is>
          <t>Closed</t>
        </is>
      </c>
      <c r="G2495" s="11" t="inlineStr">
        <is>
          <t>Vasu.N</t>
        </is>
      </c>
      <c r="H2495" s="8" t="n">
        <v>9578099893</v>
      </c>
      <c r="I2495" s="10" t="inlineStr">
        <is>
          <t>PE04062601</t>
        </is>
      </c>
      <c r="J2495" s="28" t="inlineStr">
        <is>
          <t>Module burnt</t>
        </is>
      </c>
      <c r="K2495" s="8" t="inlineStr">
        <is>
          <t>Zura</t>
        </is>
      </c>
      <c r="L2495" s="8" t="inlineStr">
        <is>
          <t>Gujarat</t>
        </is>
      </c>
      <c r="M2495" s="2" t="inlineStr">
        <is>
          <t xml:space="preserve">damage </t>
        </is>
      </c>
      <c r="N2495" s="6" t="inlineStr">
        <is>
          <t>Module Breakage</t>
        </is>
      </c>
      <c r="O2495" s="32" t="n">
        <v>590</v>
      </c>
      <c r="P2495" s="2" t="inlineStr">
        <is>
          <t>NSMI24110853291</t>
        </is>
      </c>
      <c r="Q2495" s="29">
        <f>MID(P2495,5,2)</f>
        <v/>
      </c>
      <c r="R2495" s="14">
        <f>MID(P2495,7,2)</f>
        <v/>
      </c>
      <c r="S2495" s="6" t="inlineStr">
        <is>
          <t>G2G</t>
        </is>
      </c>
      <c r="T2495" s="1" t="inlineStr">
        <is>
          <t>P4 - PEIPL</t>
        </is>
      </c>
      <c r="U2495" s="2" t="inlineStr">
        <is>
          <t xml:space="preserve">physically damaged </t>
        </is>
      </c>
      <c r="V2495" s="1" t="inlineStr">
        <is>
          <t>Inspection</t>
        </is>
      </c>
      <c r="W2495" s="1" t="inlineStr">
        <is>
          <t>Rejected</t>
        </is>
      </c>
      <c r="X2495" s="5">
        <f>Z2495</f>
        <v/>
      </c>
      <c r="Y2495" s="1">
        <f>X2495-A2495</f>
        <v/>
      </c>
      <c r="Z2495" s="5" t="n">
        <v>46199</v>
      </c>
      <c r="AA2495" s="3" t="n"/>
      <c r="AB2495" s="3" t="n"/>
      <c r="AE2495" s="146">
        <f>IF(AND(F2495="Closed",X2495&gt;=DATE(2026,6,1),X2495&lt;=DATE(2026,6,30)),"Closed in June","other")</f>
        <v/>
      </c>
    </row>
    <row r="2496" hidden="1">
      <c r="A2496" s="49" t="n">
        <v>46177</v>
      </c>
      <c r="B2496" s="1" t="n">
        <v>2026</v>
      </c>
      <c r="C2496" s="8" t="inlineStr">
        <is>
          <t>Ayana</t>
        </is>
      </c>
      <c r="D2496" s="11" t="inlineStr">
        <is>
          <t>Utility and C&amp;I</t>
        </is>
      </c>
      <c r="E2496" s="1" t="n"/>
      <c r="F2496" s="1" t="inlineStr">
        <is>
          <t>Closed</t>
        </is>
      </c>
      <c r="G2496" s="11" t="inlineStr">
        <is>
          <t>Vasu.N</t>
        </is>
      </c>
      <c r="H2496" s="8" t="n">
        <v>9578099893</v>
      </c>
      <c r="I2496" s="10" t="inlineStr">
        <is>
          <t>PE04062601</t>
        </is>
      </c>
      <c r="J2496" s="28" t="inlineStr">
        <is>
          <t>Module burnt</t>
        </is>
      </c>
      <c r="K2496" s="8" t="inlineStr">
        <is>
          <t>Zura</t>
        </is>
      </c>
      <c r="L2496" s="8" t="inlineStr">
        <is>
          <t>Gujarat</t>
        </is>
      </c>
      <c r="M2496" s="2" t="inlineStr">
        <is>
          <t xml:space="preserve">damage </t>
        </is>
      </c>
      <c r="N2496" s="6" t="inlineStr">
        <is>
          <t>Module Breakage</t>
        </is>
      </c>
      <c r="O2496" s="32" t="n">
        <v>590</v>
      </c>
      <c r="P2496" s="2" t="inlineStr">
        <is>
          <t>NSMI24110853252</t>
        </is>
      </c>
      <c r="Q2496" s="29">
        <f>MID(P2496,5,2)</f>
        <v/>
      </c>
      <c r="R2496" s="14">
        <f>MID(P2496,7,2)</f>
        <v/>
      </c>
      <c r="S2496" s="6" t="inlineStr">
        <is>
          <t>G2G</t>
        </is>
      </c>
      <c r="T2496" s="1" t="inlineStr">
        <is>
          <t>P4 - PEIPL</t>
        </is>
      </c>
      <c r="U2496" s="2" t="inlineStr">
        <is>
          <t xml:space="preserve">physically damaged </t>
        </is>
      </c>
      <c r="V2496" s="1" t="inlineStr">
        <is>
          <t>Inspection</t>
        </is>
      </c>
      <c r="W2496" s="1" t="inlineStr">
        <is>
          <t>Rejected</t>
        </is>
      </c>
      <c r="X2496" s="5">
        <f>Z2496</f>
        <v/>
      </c>
      <c r="Y2496" s="1">
        <f>X2496-A2496</f>
        <v/>
      </c>
      <c r="Z2496" s="5" t="n">
        <v>46199</v>
      </c>
      <c r="AA2496" s="3" t="n"/>
      <c r="AB2496" s="3" t="n"/>
      <c r="AE2496" s="146">
        <f>IF(AND(F2496="Closed",X2496&gt;=DATE(2026,6,1),X2496&lt;=DATE(2026,6,30)),"Closed in June","other")</f>
        <v/>
      </c>
    </row>
    <row r="2497" hidden="1">
      <c r="A2497" s="49" t="n">
        <v>46177</v>
      </c>
      <c r="B2497" s="1" t="n">
        <v>2026</v>
      </c>
      <c r="C2497" s="8" t="inlineStr">
        <is>
          <t>Ayana</t>
        </is>
      </c>
      <c r="D2497" s="11" t="inlineStr">
        <is>
          <t>Utility and C&amp;I</t>
        </is>
      </c>
      <c r="E2497" s="1" t="n"/>
      <c r="F2497" s="1" t="inlineStr">
        <is>
          <t>Closed</t>
        </is>
      </c>
      <c r="G2497" s="11" t="inlineStr">
        <is>
          <t>Vasu.N</t>
        </is>
      </c>
      <c r="H2497" s="8" t="n">
        <v>9578099893</v>
      </c>
      <c r="I2497" s="10" t="inlineStr">
        <is>
          <t>PE04062601</t>
        </is>
      </c>
      <c r="J2497" s="28" t="inlineStr">
        <is>
          <t>Module burnt</t>
        </is>
      </c>
      <c r="K2497" s="8" t="inlineStr">
        <is>
          <t>Zura</t>
        </is>
      </c>
      <c r="L2497" s="8" t="inlineStr">
        <is>
          <t>Gujarat</t>
        </is>
      </c>
      <c r="M2497" s="2" t="inlineStr">
        <is>
          <t xml:space="preserve">damage </t>
        </is>
      </c>
      <c r="N2497" s="6" t="inlineStr">
        <is>
          <t>Module Breakage</t>
        </is>
      </c>
      <c r="O2497" s="32" t="n">
        <v>590</v>
      </c>
      <c r="P2497" s="2" t="inlineStr">
        <is>
          <t>NSMI24110853282</t>
        </is>
      </c>
      <c r="Q2497" s="29">
        <f>MID(P2497,5,2)</f>
        <v/>
      </c>
      <c r="R2497" s="14">
        <f>MID(P2497,7,2)</f>
        <v/>
      </c>
      <c r="S2497" s="6" t="inlineStr">
        <is>
          <t>G2G</t>
        </is>
      </c>
      <c r="T2497" s="1" t="inlineStr">
        <is>
          <t>P4 - PEIPL</t>
        </is>
      </c>
      <c r="U2497" s="2" t="inlineStr">
        <is>
          <t xml:space="preserve">physically damaged </t>
        </is>
      </c>
      <c r="V2497" s="1" t="inlineStr">
        <is>
          <t>Inspection</t>
        </is>
      </c>
      <c r="W2497" s="1" t="inlineStr">
        <is>
          <t>Rejected</t>
        </is>
      </c>
      <c r="X2497" s="5">
        <f>Z2497</f>
        <v/>
      </c>
      <c r="Y2497" s="1">
        <f>X2497-A2497</f>
        <v/>
      </c>
      <c r="Z2497" s="5" t="n">
        <v>46199</v>
      </c>
      <c r="AA2497" s="3" t="n"/>
      <c r="AB2497" s="3" t="n"/>
      <c r="AE2497" s="146">
        <f>IF(AND(F2497="Closed",X2497&gt;=DATE(2026,6,1),X2497&lt;=DATE(2026,6,30)),"Closed in June","other")</f>
        <v/>
      </c>
    </row>
    <row r="2498" hidden="1">
      <c r="A2498" s="49" t="n">
        <v>46177</v>
      </c>
      <c r="B2498" s="1" t="n">
        <v>2026</v>
      </c>
      <c r="C2498" s="8" t="inlineStr">
        <is>
          <t>Ayana</t>
        </is>
      </c>
      <c r="D2498" s="11" t="inlineStr">
        <is>
          <t>Utility and C&amp;I</t>
        </is>
      </c>
      <c r="E2498" s="1" t="n"/>
      <c r="F2498" s="1" t="inlineStr">
        <is>
          <t>Closed</t>
        </is>
      </c>
      <c r="G2498" s="11" t="inlineStr">
        <is>
          <t>Vasu.N</t>
        </is>
      </c>
      <c r="H2498" s="8" t="n">
        <v>9578099893</v>
      </c>
      <c r="I2498" s="10" t="inlineStr">
        <is>
          <t>PE04062601</t>
        </is>
      </c>
      <c r="J2498" s="28" t="inlineStr">
        <is>
          <t>Module burnt</t>
        </is>
      </c>
      <c r="K2498" s="8" t="inlineStr">
        <is>
          <t>Zura</t>
        </is>
      </c>
      <c r="L2498" s="8" t="inlineStr">
        <is>
          <t>Gujarat</t>
        </is>
      </c>
      <c r="M2498" s="2" t="inlineStr">
        <is>
          <t xml:space="preserve">damage </t>
        </is>
      </c>
      <c r="N2498" s="6" t="inlineStr">
        <is>
          <t>Module Breakage</t>
        </is>
      </c>
      <c r="O2498" s="32" t="n">
        <v>590</v>
      </c>
      <c r="P2498" s="2" t="inlineStr">
        <is>
          <t>NSMI24110807282</t>
        </is>
      </c>
      <c r="Q2498" s="29">
        <f>MID(P2498,5,2)</f>
        <v/>
      </c>
      <c r="R2498" s="14">
        <f>MID(P2498,7,2)</f>
        <v/>
      </c>
      <c r="S2498" s="6" t="inlineStr">
        <is>
          <t>G2G</t>
        </is>
      </c>
      <c r="T2498" s="1" t="inlineStr">
        <is>
          <t>P4 - PEIPL</t>
        </is>
      </c>
      <c r="U2498" s="2" t="inlineStr">
        <is>
          <t xml:space="preserve">physically damaged </t>
        </is>
      </c>
      <c r="V2498" s="1" t="inlineStr">
        <is>
          <t>Inspection</t>
        </is>
      </c>
      <c r="W2498" s="1" t="inlineStr">
        <is>
          <t>Rejected</t>
        </is>
      </c>
      <c r="X2498" s="5">
        <f>Z2498</f>
        <v/>
      </c>
      <c r="Y2498" s="1">
        <f>X2498-A2498</f>
        <v/>
      </c>
      <c r="Z2498" s="5" t="n">
        <v>46199</v>
      </c>
      <c r="AA2498" s="3" t="n"/>
      <c r="AB2498" s="3" t="n"/>
      <c r="AE2498" s="146">
        <f>IF(AND(F2498="Closed",X2498&gt;=DATE(2026,6,1),X2498&lt;=DATE(2026,6,30)),"Closed in June","other")</f>
        <v/>
      </c>
    </row>
    <row r="2499" hidden="1">
      <c r="A2499" s="49" t="n">
        <v>46177</v>
      </c>
      <c r="B2499" s="1" t="n">
        <v>2026</v>
      </c>
      <c r="C2499" s="8" t="inlineStr">
        <is>
          <t>Ayana</t>
        </is>
      </c>
      <c r="D2499" s="11" t="inlineStr">
        <is>
          <t>Utility and C&amp;I</t>
        </is>
      </c>
      <c r="E2499" s="1" t="n"/>
      <c r="F2499" s="1" t="inlineStr">
        <is>
          <t>Closed</t>
        </is>
      </c>
      <c r="G2499" s="11" t="inlineStr">
        <is>
          <t>Vasu.N</t>
        </is>
      </c>
      <c r="H2499" s="8" t="n">
        <v>9578099893</v>
      </c>
      <c r="I2499" s="10" t="inlineStr">
        <is>
          <t>PE04062601</t>
        </is>
      </c>
      <c r="J2499" s="28" t="inlineStr">
        <is>
          <t>Module burnt</t>
        </is>
      </c>
      <c r="K2499" s="8" t="inlineStr">
        <is>
          <t>Zura</t>
        </is>
      </c>
      <c r="L2499" s="8" t="inlineStr">
        <is>
          <t>Gujarat</t>
        </is>
      </c>
      <c r="M2499" s="2" t="inlineStr">
        <is>
          <t xml:space="preserve">damage </t>
        </is>
      </c>
      <c r="N2499" s="6" t="inlineStr">
        <is>
          <t>Module Breakage</t>
        </is>
      </c>
      <c r="O2499" s="32" t="n">
        <v>590</v>
      </c>
      <c r="P2499" s="2" t="inlineStr">
        <is>
          <t>NSMI24100598310</t>
        </is>
      </c>
      <c r="Q2499" s="29">
        <f>MID(P2499,5,2)</f>
        <v/>
      </c>
      <c r="R2499" s="14">
        <f>MID(P2499,7,2)</f>
        <v/>
      </c>
      <c r="S2499" s="6" t="inlineStr">
        <is>
          <t>G2G</t>
        </is>
      </c>
      <c r="T2499" s="1" t="inlineStr">
        <is>
          <t>P4 - PEIPL</t>
        </is>
      </c>
      <c r="U2499" s="2" t="inlineStr">
        <is>
          <t xml:space="preserve">physically damaged </t>
        </is>
      </c>
      <c r="V2499" s="1" t="inlineStr">
        <is>
          <t>Inspection</t>
        </is>
      </c>
      <c r="W2499" s="1" t="inlineStr">
        <is>
          <t>Rejected</t>
        </is>
      </c>
      <c r="X2499" s="5">
        <f>Z2499</f>
        <v/>
      </c>
      <c r="Y2499" s="1">
        <f>X2499-A2499</f>
        <v/>
      </c>
      <c r="Z2499" s="5" t="n">
        <v>46199</v>
      </c>
      <c r="AA2499" s="3" t="n"/>
      <c r="AB2499" s="3" t="n"/>
      <c r="AE2499" s="146">
        <f>IF(AND(F2499="Closed",X2499&gt;=DATE(2026,6,1),X2499&lt;=DATE(2026,6,30)),"Closed in June","other")</f>
        <v/>
      </c>
    </row>
    <row r="2500" hidden="1">
      <c r="A2500" s="49" t="n">
        <v>46177</v>
      </c>
      <c r="B2500" s="1" t="n">
        <v>2026</v>
      </c>
      <c r="C2500" s="8" t="inlineStr">
        <is>
          <t>Ayana</t>
        </is>
      </c>
      <c r="D2500" s="11" t="inlineStr">
        <is>
          <t>Utility and C&amp;I</t>
        </is>
      </c>
      <c r="E2500" s="1" t="n"/>
      <c r="F2500" s="1" t="inlineStr">
        <is>
          <t>WIP</t>
        </is>
      </c>
      <c r="G2500" s="11" t="inlineStr">
        <is>
          <t>Vasu.N</t>
        </is>
      </c>
      <c r="H2500" s="8" t="n">
        <v>9578099893</v>
      </c>
      <c r="I2500" s="10" t="inlineStr">
        <is>
          <t>PE04062601</t>
        </is>
      </c>
      <c r="J2500" s="28" t="inlineStr">
        <is>
          <t>Module burnt</t>
        </is>
      </c>
      <c r="K2500" s="8" t="inlineStr">
        <is>
          <t>Zura</t>
        </is>
      </c>
      <c r="L2500" s="8" t="inlineStr">
        <is>
          <t>Gujarat</t>
        </is>
      </c>
      <c r="M2500" s="2" t="inlineStr">
        <is>
          <t xml:space="preserve">damage </t>
        </is>
      </c>
      <c r="N2500" s="6" t="inlineStr">
        <is>
          <t>Module Breakage</t>
        </is>
      </c>
      <c r="O2500" s="32" t="n">
        <v>590</v>
      </c>
      <c r="P2500" s="2" t="inlineStr">
        <is>
          <t>NSMI24110846450</t>
        </is>
      </c>
      <c r="Q2500" s="29">
        <f>MID(P2500,5,2)</f>
        <v/>
      </c>
      <c r="R2500" s="14">
        <f>MID(P2500,7,2)</f>
        <v/>
      </c>
      <c r="S2500" s="6" t="inlineStr">
        <is>
          <t>G2G</t>
        </is>
      </c>
      <c r="T2500" s="1" t="inlineStr">
        <is>
          <t>P4 - PEIPL</t>
        </is>
      </c>
      <c r="U2500" s="2" t="inlineStr">
        <is>
          <t>Damage &amp; burn</t>
        </is>
      </c>
      <c r="V2500" s="47" t="inlineStr">
        <is>
          <t>WIP</t>
        </is>
      </c>
      <c r="W2500" s="1" t="inlineStr">
        <is>
          <t>WIP</t>
        </is>
      </c>
      <c r="X2500" s="12" t="n"/>
      <c r="Y2500" s="1">
        <f>IF(X2500="","",X2500-A2500)</f>
        <v/>
      </c>
      <c r="Z2500" s="5" t="n">
        <v>46199</v>
      </c>
      <c r="AA2500" s="3" t="n"/>
      <c r="AB2500" s="3" t="n"/>
      <c r="AE2500" s="146">
        <f>IF(AND(F2500="Closed",X2500&gt;=DATE(2026,6,1),X2500&lt;=DATE(2026,6,30)),"Closed in June","other")</f>
        <v/>
      </c>
    </row>
    <row r="2501" hidden="1">
      <c r="A2501" s="49" t="n">
        <v>46177</v>
      </c>
      <c r="B2501" s="1" t="n">
        <v>2026</v>
      </c>
      <c r="C2501" s="8" t="inlineStr">
        <is>
          <t>Ayana</t>
        </is>
      </c>
      <c r="D2501" s="11" t="inlineStr">
        <is>
          <t>Utility and C&amp;I</t>
        </is>
      </c>
      <c r="E2501" s="1" t="n"/>
      <c r="F2501" s="1" t="inlineStr">
        <is>
          <t>Closed</t>
        </is>
      </c>
      <c r="G2501" s="11" t="inlineStr">
        <is>
          <t>Vasu.N</t>
        </is>
      </c>
      <c r="H2501" s="8" t="n">
        <v>9578099893</v>
      </c>
      <c r="I2501" s="10" t="inlineStr">
        <is>
          <t>PE04062601</t>
        </is>
      </c>
      <c r="J2501" s="28" t="inlineStr">
        <is>
          <t>Module burnt</t>
        </is>
      </c>
      <c r="K2501" s="8" t="inlineStr">
        <is>
          <t>Zura</t>
        </is>
      </c>
      <c r="L2501" s="8" t="inlineStr">
        <is>
          <t>Gujarat</t>
        </is>
      </c>
      <c r="M2501" s="2" t="inlineStr">
        <is>
          <t xml:space="preserve">damage </t>
        </is>
      </c>
      <c r="N2501" s="6" t="inlineStr">
        <is>
          <t>Module Breakage</t>
        </is>
      </c>
      <c r="O2501" s="32" t="n">
        <v>590</v>
      </c>
      <c r="P2501" s="2" t="inlineStr">
        <is>
          <t>NSMI24110850853</t>
        </is>
      </c>
      <c r="Q2501" s="29">
        <f>MID(P2501,5,2)</f>
        <v/>
      </c>
      <c r="R2501" s="14">
        <f>MID(P2501,7,2)</f>
        <v/>
      </c>
      <c r="S2501" s="6" t="inlineStr">
        <is>
          <t>G2G</t>
        </is>
      </c>
      <c r="T2501" s="1" t="inlineStr">
        <is>
          <t>P4 - PEIPL</t>
        </is>
      </c>
      <c r="U2501" s="2" t="inlineStr">
        <is>
          <t xml:space="preserve">physically damaged </t>
        </is>
      </c>
      <c r="V2501" s="1" t="inlineStr">
        <is>
          <t>Inspection</t>
        </is>
      </c>
      <c r="W2501" s="1" t="inlineStr">
        <is>
          <t>Rejected</t>
        </is>
      </c>
      <c r="X2501" s="5">
        <f>Z2501</f>
        <v/>
      </c>
      <c r="Y2501" s="1">
        <f>X2501-A2501</f>
        <v/>
      </c>
      <c r="Z2501" s="5" t="n">
        <v>46199</v>
      </c>
      <c r="AA2501" s="3" t="n"/>
      <c r="AB2501" s="3" t="n"/>
      <c r="AE2501" s="146">
        <f>IF(AND(F2501="Closed",X2501&gt;=DATE(2026,6,1),X2501&lt;=DATE(2026,6,30)),"Closed in June","other")</f>
        <v/>
      </c>
    </row>
    <row r="2502" hidden="1">
      <c r="A2502" s="49" t="n">
        <v>46177</v>
      </c>
      <c r="B2502" s="1" t="n">
        <v>2026</v>
      </c>
      <c r="C2502" s="8" t="inlineStr">
        <is>
          <t>Ayana</t>
        </is>
      </c>
      <c r="D2502" s="11" t="inlineStr">
        <is>
          <t>Utility and C&amp;I</t>
        </is>
      </c>
      <c r="E2502" s="1" t="n"/>
      <c r="F2502" s="1" t="inlineStr">
        <is>
          <t>Closed</t>
        </is>
      </c>
      <c r="G2502" s="11" t="inlineStr">
        <is>
          <t>Vasu.N</t>
        </is>
      </c>
      <c r="H2502" s="8" t="n">
        <v>9578099893</v>
      </c>
      <c r="I2502" s="10" t="inlineStr">
        <is>
          <t>PE04062601</t>
        </is>
      </c>
      <c r="J2502" s="28" t="inlineStr">
        <is>
          <t>Module burnt</t>
        </is>
      </c>
      <c r="K2502" s="8" t="inlineStr">
        <is>
          <t>Zura</t>
        </is>
      </c>
      <c r="L2502" s="8" t="inlineStr">
        <is>
          <t>Gujarat</t>
        </is>
      </c>
      <c r="M2502" s="2" t="inlineStr">
        <is>
          <t xml:space="preserve">damage </t>
        </is>
      </c>
      <c r="N2502" s="6" t="inlineStr">
        <is>
          <t>Module Breakage</t>
        </is>
      </c>
      <c r="O2502" s="32" t="n">
        <v>590</v>
      </c>
      <c r="P2502" s="2" t="inlineStr">
        <is>
          <t>NSMI24100580556</t>
        </is>
      </c>
      <c r="Q2502" s="29">
        <f>MID(P2502,5,2)</f>
        <v/>
      </c>
      <c r="R2502" s="14">
        <f>MID(P2502,7,2)</f>
        <v/>
      </c>
      <c r="S2502" s="6" t="inlineStr">
        <is>
          <t>G2G</t>
        </is>
      </c>
      <c r="T2502" s="1" t="inlineStr">
        <is>
          <t>P4 - PEIPL</t>
        </is>
      </c>
      <c r="U2502" s="2" t="inlineStr">
        <is>
          <t xml:space="preserve">physically damaged </t>
        </is>
      </c>
      <c r="V2502" s="1" t="inlineStr">
        <is>
          <t>Inspection</t>
        </is>
      </c>
      <c r="W2502" s="1" t="inlineStr">
        <is>
          <t>Rejected</t>
        </is>
      </c>
      <c r="X2502" s="5">
        <f>Z2502</f>
        <v/>
      </c>
      <c r="Y2502" s="1">
        <f>X2502-A2502</f>
        <v/>
      </c>
      <c r="Z2502" s="5" t="n">
        <v>46199</v>
      </c>
      <c r="AA2502" s="3" t="n"/>
      <c r="AB2502" s="3" t="n"/>
      <c r="AE2502" s="146">
        <f>IF(AND(F2502="Closed",X2502&gt;=DATE(2026,6,1),X2502&lt;=DATE(2026,6,30)),"Closed in June","other")</f>
        <v/>
      </c>
    </row>
    <row r="2503" hidden="1">
      <c r="A2503" s="49" t="n">
        <v>46177</v>
      </c>
      <c r="B2503" s="1" t="n">
        <v>2026</v>
      </c>
      <c r="C2503" s="8" t="inlineStr">
        <is>
          <t>Ayana</t>
        </is>
      </c>
      <c r="D2503" s="11" t="inlineStr">
        <is>
          <t>Utility and C&amp;I</t>
        </is>
      </c>
      <c r="E2503" s="1" t="n"/>
      <c r="F2503" s="1" t="inlineStr">
        <is>
          <t>Closed</t>
        </is>
      </c>
      <c r="G2503" s="11" t="inlineStr">
        <is>
          <t>Vasu.N</t>
        </is>
      </c>
      <c r="H2503" s="8" t="n">
        <v>9578099893</v>
      </c>
      <c r="I2503" s="10" t="inlineStr">
        <is>
          <t>PE04062601</t>
        </is>
      </c>
      <c r="J2503" s="28" t="inlineStr">
        <is>
          <t>Module burnt</t>
        </is>
      </c>
      <c r="K2503" s="8" t="inlineStr">
        <is>
          <t>Zura</t>
        </is>
      </c>
      <c r="L2503" s="8" t="inlineStr">
        <is>
          <t>Gujarat</t>
        </is>
      </c>
      <c r="M2503" s="2" t="inlineStr">
        <is>
          <t xml:space="preserve">damage </t>
        </is>
      </c>
      <c r="N2503" s="6" t="inlineStr">
        <is>
          <t>Module Breakage</t>
        </is>
      </c>
      <c r="O2503" s="32" t="n">
        <v>590</v>
      </c>
      <c r="P2503" s="2" t="inlineStr">
        <is>
          <t>NSMI24110831568</t>
        </is>
      </c>
      <c r="Q2503" s="29">
        <f>MID(P2503,5,2)</f>
        <v/>
      </c>
      <c r="R2503" s="14">
        <f>MID(P2503,7,2)</f>
        <v/>
      </c>
      <c r="S2503" s="6" t="inlineStr">
        <is>
          <t>G2G</t>
        </is>
      </c>
      <c r="T2503" s="1" t="inlineStr">
        <is>
          <t>P4 - PEIPL</t>
        </is>
      </c>
      <c r="U2503" s="2" t="inlineStr">
        <is>
          <t xml:space="preserve">physically damaged </t>
        </is>
      </c>
      <c r="V2503" s="1" t="inlineStr">
        <is>
          <t>Inspection</t>
        </is>
      </c>
      <c r="W2503" s="1" t="inlineStr">
        <is>
          <t>Rejected</t>
        </is>
      </c>
      <c r="X2503" s="5">
        <f>Z2503</f>
        <v/>
      </c>
      <c r="Y2503" s="1">
        <f>X2503-A2503</f>
        <v/>
      </c>
      <c r="Z2503" s="5" t="n">
        <v>46199</v>
      </c>
      <c r="AA2503" s="3" t="n"/>
      <c r="AB2503" s="3" t="n"/>
      <c r="AE2503" s="146">
        <f>IF(AND(F2503="Closed",X2503&gt;=DATE(2026,6,1),X2503&lt;=DATE(2026,6,30)),"Closed in June","other")</f>
        <v/>
      </c>
    </row>
    <row r="2504" hidden="1">
      <c r="A2504" s="49" t="n">
        <v>46177</v>
      </c>
      <c r="B2504" s="1" t="n">
        <v>2026</v>
      </c>
      <c r="C2504" s="8" t="inlineStr">
        <is>
          <t>Ayana</t>
        </is>
      </c>
      <c r="D2504" s="11" t="inlineStr">
        <is>
          <t>Utility and C&amp;I</t>
        </is>
      </c>
      <c r="E2504" s="1" t="n"/>
      <c r="F2504" s="1" t="inlineStr">
        <is>
          <t>Closed</t>
        </is>
      </c>
      <c r="G2504" s="11" t="inlineStr">
        <is>
          <t>Vasu.N</t>
        </is>
      </c>
      <c r="H2504" s="8" t="n">
        <v>9578099893</v>
      </c>
      <c r="I2504" s="10" t="inlineStr">
        <is>
          <t>PE04062601</t>
        </is>
      </c>
      <c r="J2504" s="28" t="inlineStr">
        <is>
          <t>Module burnt</t>
        </is>
      </c>
      <c r="K2504" s="8" t="inlineStr">
        <is>
          <t>Zura</t>
        </is>
      </c>
      <c r="L2504" s="8" t="inlineStr">
        <is>
          <t>Gujarat</t>
        </is>
      </c>
      <c r="M2504" s="2" t="inlineStr">
        <is>
          <t xml:space="preserve">damage </t>
        </is>
      </c>
      <c r="N2504" s="6" t="inlineStr">
        <is>
          <t>Module Breakage</t>
        </is>
      </c>
      <c r="O2504" s="32" t="n">
        <v>590</v>
      </c>
      <c r="P2504" s="2" t="inlineStr">
        <is>
          <t>NSMI24100580388</t>
        </is>
      </c>
      <c r="Q2504" s="29">
        <f>MID(P2504,5,2)</f>
        <v/>
      </c>
      <c r="R2504" s="14">
        <f>MID(P2504,7,2)</f>
        <v/>
      </c>
      <c r="S2504" s="6" t="inlineStr">
        <is>
          <t>G2G</t>
        </is>
      </c>
      <c r="T2504" s="1" t="inlineStr">
        <is>
          <t>P4 - PEIPL</t>
        </is>
      </c>
      <c r="U2504" s="2" t="inlineStr">
        <is>
          <t xml:space="preserve">physically damaged </t>
        </is>
      </c>
      <c r="V2504" s="1" t="inlineStr">
        <is>
          <t>Inspection</t>
        </is>
      </c>
      <c r="W2504" s="1" t="inlineStr">
        <is>
          <t>Rejected</t>
        </is>
      </c>
      <c r="X2504" s="5">
        <f>Z2504</f>
        <v/>
      </c>
      <c r="Y2504" s="1">
        <f>X2504-A2504</f>
        <v/>
      </c>
      <c r="Z2504" s="5" t="n">
        <v>46199</v>
      </c>
      <c r="AA2504" s="3" t="n"/>
      <c r="AB2504" s="3" t="n"/>
      <c r="AE2504" s="146">
        <f>IF(AND(F2504="Closed",X2504&gt;=DATE(2026,6,1),X2504&lt;=DATE(2026,6,30)),"Closed in June","other")</f>
        <v/>
      </c>
    </row>
    <row r="2505" hidden="1">
      <c r="A2505" s="49" t="n">
        <v>46177</v>
      </c>
      <c r="B2505" s="1" t="n">
        <v>2026</v>
      </c>
      <c r="C2505" s="8" t="inlineStr">
        <is>
          <t>Ayana</t>
        </is>
      </c>
      <c r="D2505" s="11" t="inlineStr">
        <is>
          <t>Utility and C&amp;I</t>
        </is>
      </c>
      <c r="E2505" s="1" t="n"/>
      <c r="F2505" s="1" t="inlineStr">
        <is>
          <t>Closed</t>
        </is>
      </c>
      <c r="G2505" s="11" t="inlineStr">
        <is>
          <t>Vasu.N</t>
        </is>
      </c>
      <c r="H2505" s="8" t="n">
        <v>9578099893</v>
      </c>
      <c r="I2505" s="10" t="inlineStr">
        <is>
          <t>PE04062601</t>
        </is>
      </c>
      <c r="J2505" s="28" t="inlineStr">
        <is>
          <t>Module burnt</t>
        </is>
      </c>
      <c r="K2505" s="8" t="inlineStr">
        <is>
          <t>Zura</t>
        </is>
      </c>
      <c r="L2505" s="8" t="inlineStr">
        <is>
          <t>Gujarat</t>
        </is>
      </c>
      <c r="M2505" s="2" t="inlineStr">
        <is>
          <t xml:space="preserve">damage </t>
        </is>
      </c>
      <c r="N2505" s="6" t="inlineStr">
        <is>
          <t>Module Breakage</t>
        </is>
      </c>
      <c r="O2505" s="32" t="n">
        <v>590</v>
      </c>
      <c r="P2505" s="2" t="inlineStr">
        <is>
          <t>NSMI24110845446</t>
        </is>
      </c>
      <c r="Q2505" s="29">
        <f>MID(P2505,5,2)</f>
        <v/>
      </c>
      <c r="R2505" s="14">
        <f>MID(P2505,7,2)</f>
        <v/>
      </c>
      <c r="S2505" s="6" t="inlineStr">
        <is>
          <t>G2G</t>
        </is>
      </c>
      <c r="T2505" s="1" t="inlineStr">
        <is>
          <t>P4 - PEIPL</t>
        </is>
      </c>
      <c r="U2505" s="2" t="inlineStr">
        <is>
          <t xml:space="preserve">physically damaged </t>
        </is>
      </c>
      <c r="V2505" s="1" t="inlineStr">
        <is>
          <t>Inspection</t>
        </is>
      </c>
      <c r="W2505" s="1" t="inlineStr">
        <is>
          <t>Rejected</t>
        </is>
      </c>
      <c r="X2505" s="5">
        <f>Z2505</f>
        <v/>
      </c>
      <c r="Y2505" s="1">
        <f>X2505-A2505</f>
        <v/>
      </c>
      <c r="Z2505" s="5" t="n">
        <v>46199</v>
      </c>
      <c r="AA2505" s="3" t="n"/>
      <c r="AB2505" s="3" t="n"/>
      <c r="AE2505" s="146">
        <f>IF(AND(F2505="Closed",X2505&gt;=DATE(2026,6,1),X2505&lt;=DATE(2026,6,30)),"Closed in June","other")</f>
        <v/>
      </c>
    </row>
    <row r="2506" hidden="1">
      <c r="A2506" s="9" t="n">
        <v>46134</v>
      </c>
      <c r="B2506" s="1" t="n">
        <v>2026</v>
      </c>
      <c r="C2506" s="8" t="inlineStr">
        <is>
          <t>First Energy</t>
        </is>
      </c>
      <c r="D2506" s="11" t="inlineStr">
        <is>
          <t>Utility and C&amp;I</t>
        </is>
      </c>
      <c r="E2506" s="1" t="n"/>
      <c r="F2506" s="1" t="inlineStr">
        <is>
          <t>Closed</t>
        </is>
      </c>
      <c r="G2506" s="8" t="inlineStr">
        <is>
          <t>Saravanakumar</t>
        </is>
      </c>
      <c r="H2506" s="8" t="n">
        <v>8248438488</v>
      </c>
      <c r="I2506" s="10" t="inlineStr">
        <is>
          <t>PE22042601</t>
        </is>
      </c>
      <c r="J2506" s="8" t="inlineStr">
        <is>
          <t>Anomalies/defects in the modules</t>
        </is>
      </c>
      <c r="K2506" s="8" t="inlineStr">
        <is>
          <t>Tirunelveli</t>
        </is>
      </c>
      <c r="L2506" s="8" t="inlineStr">
        <is>
          <t>Tamil Nadu</t>
        </is>
      </c>
      <c r="M2506" s="60" t="inlineStr">
        <is>
          <t>PS</t>
        </is>
      </c>
      <c r="N2506" s="6" t="inlineStr">
        <is>
          <t>Cold Soldering</t>
        </is>
      </c>
      <c r="O2506" s="11" t="n">
        <v>550</v>
      </c>
      <c r="P2506" s="60" t="inlineStr">
        <is>
          <t>NSMP2305160355</t>
        </is>
      </c>
      <c r="Q2506" s="29">
        <f>MID(P2506,5,2)</f>
        <v/>
      </c>
      <c r="R2506" s="14">
        <f>MID(P2506,7,2)</f>
        <v/>
      </c>
      <c r="S2506" s="6" t="inlineStr">
        <is>
          <t>G2B</t>
        </is>
      </c>
      <c r="T2506" s="1" t="inlineStr">
        <is>
          <t>P2 - PEPPL</t>
        </is>
      </c>
      <c r="U2506" s="6" t="inlineStr">
        <is>
          <t>P JB Cold Soldering</t>
        </is>
      </c>
      <c r="V2506" s="1" t="inlineStr">
        <is>
          <t>Soldering</t>
        </is>
      </c>
      <c r="W2506" s="1" t="inlineStr">
        <is>
          <t>Repair</t>
        </is>
      </c>
      <c r="X2506" s="5" t="n">
        <v>46200</v>
      </c>
      <c r="Y2506" s="1">
        <f>IF(X2506="","",X2506-A2506)</f>
        <v/>
      </c>
      <c r="Z2506" s="5" t="n">
        <v>46200</v>
      </c>
      <c r="AA2506" s="3" t="n"/>
      <c r="AB2506" s="3" t="n"/>
      <c r="AE2506" s="146">
        <f>IF(AND(F2506="Closed",X2506&gt;=DATE(2026,6,1),X2506&lt;=DATE(2026,6,30)),"Closed in June","other")</f>
        <v/>
      </c>
    </row>
    <row r="2507" hidden="1">
      <c r="A2507" s="9" t="n">
        <v>46134</v>
      </c>
      <c r="B2507" s="1" t="n">
        <v>2026</v>
      </c>
      <c r="C2507" s="8" t="inlineStr">
        <is>
          <t>First Energy</t>
        </is>
      </c>
      <c r="D2507" s="11" t="inlineStr">
        <is>
          <t>Utility and C&amp;I</t>
        </is>
      </c>
      <c r="E2507" s="1" t="n"/>
      <c r="F2507" s="1" t="inlineStr">
        <is>
          <t>Closed</t>
        </is>
      </c>
      <c r="G2507" s="8" t="inlineStr">
        <is>
          <t>Saravanakumar</t>
        </is>
      </c>
      <c r="H2507" s="8" t="n">
        <v>8248438488</v>
      </c>
      <c r="I2507" s="10" t="inlineStr">
        <is>
          <t>PE22042601</t>
        </is>
      </c>
      <c r="J2507" s="8" t="inlineStr">
        <is>
          <t>Anomalies/defects in the modules</t>
        </is>
      </c>
      <c r="K2507" s="8" t="inlineStr">
        <is>
          <t>Tirunelveli</t>
        </is>
      </c>
      <c r="L2507" s="8" t="inlineStr">
        <is>
          <t>Tamil Nadu</t>
        </is>
      </c>
      <c r="M2507" s="60" t="inlineStr">
        <is>
          <t>PS</t>
        </is>
      </c>
      <c r="N2507" s="6" t="inlineStr">
        <is>
          <t>Cold Soldering</t>
        </is>
      </c>
      <c r="O2507" s="11" t="n">
        <v>550</v>
      </c>
      <c r="P2507" s="60" t="inlineStr">
        <is>
          <t>NSMP2305161065</t>
        </is>
      </c>
      <c r="Q2507" s="29">
        <f>MID(P2507,5,2)</f>
        <v/>
      </c>
      <c r="R2507" s="14">
        <f>MID(P2507,7,2)</f>
        <v/>
      </c>
      <c r="S2507" s="6" t="inlineStr">
        <is>
          <t>G2B</t>
        </is>
      </c>
      <c r="T2507" s="1" t="inlineStr">
        <is>
          <t>P2 - PEPPL</t>
        </is>
      </c>
      <c r="U2507" s="6" t="inlineStr">
        <is>
          <t>P JB Cold Soldering</t>
        </is>
      </c>
      <c r="V2507" s="1" t="inlineStr">
        <is>
          <t>Soldering</t>
        </is>
      </c>
      <c r="W2507" s="1" t="inlineStr">
        <is>
          <t>Repair</t>
        </is>
      </c>
      <c r="X2507" s="5" t="n">
        <v>46200</v>
      </c>
      <c r="Y2507" s="1">
        <f>IF(X2507="","",X2507-A2507)</f>
        <v/>
      </c>
      <c r="Z2507" s="5" t="n">
        <v>46200</v>
      </c>
      <c r="AA2507" s="3" t="n"/>
      <c r="AB2507" s="3" t="n"/>
      <c r="AE2507" s="146">
        <f>IF(AND(F2507="Closed",X2507&gt;=DATE(2026,6,1),X2507&lt;=DATE(2026,6,30)),"Closed in June","other")</f>
        <v/>
      </c>
    </row>
    <row r="2508" hidden="1">
      <c r="A2508" s="9" t="n">
        <v>46134</v>
      </c>
      <c r="B2508" s="1" t="n">
        <v>2026</v>
      </c>
      <c r="C2508" s="8" t="inlineStr">
        <is>
          <t>First Energy</t>
        </is>
      </c>
      <c r="D2508" s="11" t="inlineStr">
        <is>
          <t>Utility and C&amp;I</t>
        </is>
      </c>
      <c r="E2508" s="1" t="n"/>
      <c r="F2508" s="1" t="inlineStr">
        <is>
          <t>Closed</t>
        </is>
      </c>
      <c r="G2508" s="8" t="inlineStr">
        <is>
          <t>Saravanakumar</t>
        </is>
      </c>
      <c r="H2508" s="8" t="n">
        <v>8248438488</v>
      </c>
      <c r="I2508" s="10" t="inlineStr">
        <is>
          <t>PE22042601</t>
        </is>
      </c>
      <c r="J2508" s="8" t="inlineStr">
        <is>
          <t>Anomalies/defects in the modules</t>
        </is>
      </c>
      <c r="K2508" s="8" t="inlineStr">
        <is>
          <t>Tirunelveli</t>
        </is>
      </c>
      <c r="L2508" s="8" t="inlineStr">
        <is>
          <t>Tamil Nadu</t>
        </is>
      </c>
      <c r="M2508" s="60" t="inlineStr">
        <is>
          <t>NR</t>
        </is>
      </c>
      <c r="N2508" s="8" t="inlineStr">
        <is>
          <t>JB Issue</t>
        </is>
      </c>
      <c r="O2508" s="11" t="n">
        <v>550</v>
      </c>
      <c r="P2508" s="60" t="inlineStr">
        <is>
          <t>NSMP2307338859</t>
        </is>
      </c>
      <c r="Q2508" s="29">
        <f>MID(P2508,5,2)</f>
        <v/>
      </c>
      <c r="R2508" s="14">
        <f>MID(P2508,7,2)</f>
        <v/>
      </c>
      <c r="S2508" s="6" t="inlineStr">
        <is>
          <t>G2B</t>
        </is>
      </c>
      <c r="T2508" s="1" t="inlineStr">
        <is>
          <t>P2 - PEPPL</t>
        </is>
      </c>
      <c r="U2508" s="6" t="inlineStr">
        <is>
          <t>N JB Diode Issue</t>
        </is>
      </c>
      <c r="V2508" s="6" t="inlineStr">
        <is>
          <t>JB Changed</t>
        </is>
      </c>
      <c r="W2508" s="1" t="inlineStr">
        <is>
          <t>Repair</t>
        </is>
      </c>
      <c r="X2508" s="5" t="n">
        <v>46200</v>
      </c>
      <c r="Y2508" s="1">
        <f>IF(X2508="","",X2508-A2508)</f>
        <v/>
      </c>
      <c r="Z2508" s="5" t="n">
        <v>46200</v>
      </c>
      <c r="AA2508" s="3" t="n"/>
      <c r="AB2508" s="3" t="n"/>
      <c r="AE2508" s="146">
        <f>IF(AND(F2508="Closed",X2508&gt;=DATE(2026,6,1),X2508&lt;=DATE(2026,6,30)),"Closed in June","other")</f>
        <v/>
      </c>
    </row>
    <row r="2509" hidden="1">
      <c r="A2509" s="9" t="n">
        <v>46134</v>
      </c>
      <c r="B2509" s="1" t="n">
        <v>2026</v>
      </c>
      <c r="C2509" s="8" t="inlineStr">
        <is>
          <t>First Energy</t>
        </is>
      </c>
      <c r="D2509" s="11" t="inlineStr">
        <is>
          <t>Utility and C&amp;I</t>
        </is>
      </c>
      <c r="E2509" s="1" t="n"/>
      <c r="F2509" s="1" t="inlineStr">
        <is>
          <t>Closed</t>
        </is>
      </c>
      <c r="G2509" s="8" t="inlineStr">
        <is>
          <t>Saravanakumar</t>
        </is>
      </c>
      <c r="H2509" s="8" t="n">
        <v>8248438488</v>
      </c>
      <c r="I2509" s="10" t="inlineStr">
        <is>
          <t>PE22042601</t>
        </is>
      </c>
      <c r="J2509" s="8" t="inlineStr">
        <is>
          <t>Anomalies/defects in the modules</t>
        </is>
      </c>
      <c r="K2509" s="8" t="inlineStr">
        <is>
          <t>Tirunelveli</t>
        </is>
      </c>
      <c r="L2509" s="8" t="inlineStr">
        <is>
          <t>Tamil Nadu</t>
        </is>
      </c>
      <c r="M2509" s="60" t="inlineStr">
        <is>
          <t>PR</t>
        </is>
      </c>
      <c r="N2509" s="1" t="inlineStr">
        <is>
          <t>JB Issue</t>
        </is>
      </c>
      <c r="O2509" s="11" t="n">
        <v>550</v>
      </c>
      <c r="P2509" s="60" t="inlineStr">
        <is>
          <t>NSMP2307339293</t>
        </is>
      </c>
      <c r="Q2509" s="29">
        <f>MID(P2509,5,2)</f>
        <v/>
      </c>
      <c r="R2509" s="14">
        <f>MID(P2509,7,2)</f>
        <v/>
      </c>
      <c r="S2509" s="6" t="inlineStr">
        <is>
          <t>G2B</t>
        </is>
      </c>
      <c r="T2509" s="1" t="inlineStr">
        <is>
          <t>P2 - PEPPL</t>
        </is>
      </c>
      <c r="U2509" s="6" t="inlineStr">
        <is>
          <t>P JB Diode Issue</t>
        </is>
      </c>
      <c r="V2509" s="6" t="inlineStr">
        <is>
          <t>JB Changed</t>
        </is>
      </c>
      <c r="W2509" s="1" t="inlineStr">
        <is>
          <t>Repair</t>
        </is>
      </c>
      <c r="X2509" s="5" t="n">
        <v>46200</v>
      </c>
      <c r="Y2509" s="1">
        <f>IF(X2509="","",X2509-A2509)</f>
        <v/>
      </c>
      <c r="Z2509" s="5" t="n">
        <v>46200</v>
      </c>
      <c r="AA2509" s="3" t="n"/>
      <c r="AB2509" s="3" t="n"/>
      <c r="AE2509" s="146">
        <f>IF(AND(F2509="Closed",X2509&gt;=DATE(2026,6,1),X2509&lt;=DATE(2026,6,30)),"Closed in June","other")</f>
        <v/>
      </c>
    </row>
    <row r="2510" hidden="1">
      <c r="A2510" s="9" t="n">
        <v>46134</v>
      </c>
      <c r="B2510" s="1" t="n">
        <v>2026</v>
      </c>
      <c r="C2510" s="8" t="inlineStr">
        <is>
          <t>First Energy</t>
        </is>
      </c>
      <c r="D2510" s="11" t="inlineStr">
        <is>
          <t>Utility and C&amp;I</t>
        </is>
      </c>
      <c r="E2510" s="1" t="n"/>
      <c r="F2510" s="1" t="inlineStr">
        <is>
          <t>Closed</t>
        </is>
      </c>
      <c r="G2510" s="8" t="inlineStr">
        <is>
          <t>Saravanakumar</t>
        </is>
      </c>
      <c r="H2510" s="8" t="n">
        <v>8248438488</v>
      </c>
      <c r="I2510" s="10" t="inlineStr">
        <is>
          <t>PE22042601</t>
        </is>
      </c>
      <c r="J2510" s="8" t="inlineStr">
        <is>
          <t>Anomalies/defects in the modules</t>
        </is>
      </c>
      <c r="K2510" s="8" t="inlineStr">
        <is>
          <t>Tirunelveli</t>
        </is>
      </c>
      <c r="L2510" s="8" t="inlineStr">
        <is>
          <t>Tamil Nadu</t>
        </is>
      </c>
      <c r="M2510" s="60" t="inlineStr">
        <is>
          <t>PS</t>
        </is>
      </c>
      <c r="N2510" s="6" t="inlineStr">
        <is>
          <t>Cold Soldering</t>
        </is>
      </c>
      <c r="O2510" s="11" t="n">
        <v>550</v>
      </c>
      <c r="P2510" s="60" t="inlineStr">
        <is>
          <t>NSMP2306319154</t>
        </is>
      </c>
      <c r="Q2510" s="29">
        <f>MID(P2510,5,2)</f>
        <v/>
      </c>
      <c r="R2510" s="14">
        <f>MID(P2510,7,2)</f>
        <v/>
      </c>
      <c r="S2510" s="6" t="inlineStr">
        <is>
          <t>G2B</t>
        </is>
      </c>
      <c r="T2510" s="1" t="inlineStr">
        <is>
          <t>P2 - PEPPL</t>
        </is>
      </c>
      <c r="U2510" s="6" t="inlineStr">
        <is>
          <t>P JB Cold Soldering</t>
        </is>
      </c>
      <c r="V2510" s="1" t="inlineStr">
        <is>
          <t>Soldering</t>
        </is>
      </c>
      <c r="W2510" s="1" t="inlineStr">
        <is>
          <t>Repair</t>
        </is>
      </c>
      <c r="X2510" s="5" t="n">
        <v>46200</v>
      </c>
      <c r="Y2510" s="1">
        <f>IF(X2510="","",X2510-A2510)</f>
        <v/>
      </c>
      <c r="Z2510" s="5" t="n">
        <v>46200</v>
      </c>
      <c r="AA2510" s="3" t="n"/>
      <c r="AB2510" s="3" t="n"/>
      <c r="AE2510" s="146">
        <f>IF(AND(F2510="Closed",X2510&gt;=DATE(2026,6,1),X2510&lt;=DATE(2026,6,30)),"Closed in June","other")</f>
        <v/>
      </c>
    </row>
    <row r="2511" hidden="1">
      <c r="A2511" s="9" t="n">
        <v>46134</v>
      </c>
      <c r="B2511" s="1" t="n">
        <v>2026</v>
      </c>
      <c r="C2511" s="8" t="inlineStr">
        <is>
          <t>First Energy</t>
        </is>
      </c>
      <c r="D2511" s="11" t="inlineStr">
        <is>
          <t>Utility and C&amp;I</t>
        </is>
      </c>
      <c r="E2511" s="1" t="n"/>
      <c r="F2511" s="1" t="inlineStr">
        <is>
          <t>Closed</t>
        </is>
      </c>
      <c r="G2511" s="8" t="inlineStr">
        <is>
          <t>Saravanakumar</t>
        </is>
      </c>
      <c r="H2511" s="8" t="n">
        <v>8248438488</v>
      </c>
      <c r="I2511" s="10" t="inlineStr">
        <is>
          <t>PE22042601</t>
        </is>
      </c>
      <c r="J2511" s="8" t="inlineStr">
        <is>
          <t>Anomalies/defects in the modules</t>
        </is>
      </c>
      <c r="K2511" s="8" t="inlineStr">
        <is>
          <t>Tirunelveli</t>
        </is>
      </c>
      <c r="L2511" s="8" t="inlineStr">
        <is>
          <t>Tamil Nadu</t>
        </is>
      </c>
      <c r="M2511" s="60" t="inlineStr">
        <is>
          <t>PS</t>
        </is>
      </c>
      <c r="N2511" s="6" t="inlineStr">
        <is>
          <t>Cold Soldering</t>
        </is>
      </c>
      <c r="O2511" s="11" t="n">
        <v>550</v>
      </c>
      <c r="P2511" s="60" t="inlineStr">
        <is>
          <t>NSMP2306315000</t>
        </is>
      </c>
      <c r="Q2511" s="29">
        <f>MID(P2511,5,2)</f>
        <v/>
      </c>
      <c r="R2511" s="14">
        <f>MID(P2511,7,2)</f>
        <v/>
      </c>
      <c r="S2511" s="6" t="inlineStr">
        <is>
          <t>G2B</t>
        </is>
      </c>
      <c r="T2511" s="1" t="inlineStr">
        <is>
          <t>P2 - PEPPL</t>
        </is>
      </c>
      <c r="U2511" s="6" t="inlineStr">
        <is>
          <t>P JB Cold Soldering</t>
        </is>
      </c>
      <c r="V2511" s="1" t="inlineStr">
        <is>
          <t>Soldering</t>
        </is>
      </c>
      <c r="W2511" s="1" t="inlineStr">
        <is>
          <t>Repair</t>
        </is>
      </c>
      <c r="X2511" s="5" t="n">
        <v>46200</v>
      </c>
      <c r="Y2511" s="1">
        <f>IF(X2511="","",X2511-A2511)</f>
        <v/>
      </c>
      <c r="Z2511" s="5" t="n">
        <v>46200</v>
      </c>
      <c r="AA2511" s="3" t="n"/>
      <c r="AB2511" s="3" t="n"/>
      <c r="AE2511" s="146">
        <f>IF(AND(F2511="Closed",X2511&gt;=DATE(2026,6,1),X2511&lt;=DATE(2026,6,30)),"Closed in June","other")</f>
        <v/>
      </c>
    </row>
    <row r="2512" hidden="1">
      <c r="A2512" s="9" t="n">
        <v>46134</v>
      </c>
      <c r="B2512" s="1" t="n">
        <v>2026</v>
      </c>
      <c r="C2512" s="8" t="inlineStr">
        <is>
          <t>First Energy</t>
        </is>
      </c>
      <c r="D2512" s="11" t="inlineStr">
        <is>
          <t>Utility and C&amp;I</t>
        </is>
      </c>
      <c r="E2512" s="1" t="n"/>
      <c r="F2512" s="1" t="inlineStr">
        <is>
          <t>Closed</t>
        </is>
      </c>
      <c r="G2512" s="8" t="inlineStr">
        <is>
          <t>Saravanakumar</t>
        </is>
      </c>
      <c r="H2512" s="8" t="n">
        <v>8248438488</v>
      </c>
      <c r="I2512" s="10" t="inlineStr">
        <is>
          <t>PE22042601</t>
        </is>
      </c>
      <c r="J2512" s="8" t="inlineStr">
        <is>
          <t>Anomalies/defects in the modules</t>
        </is>
      </c>
      <c r="K2512" s="8" t="inlineStr">
        <is>
          <t>Tirunelveli</t>
        </is>
      </c>
      <c r="L2512" s="8" t="inlineStr">
        <is>
          <t>Tamil Nadu</t>
        </is>
      </c>
      <c r="M2512" s="60" t="inlineStr">
        <is>
          <t>PS</t>
        </is>
      </c>
      <c r="N2512" s="6" t="inlineStr">
        <is>
          <t>Cold Soldering</t>
        </is>
      </c>
      <c r="O2512" s="11" t="n">
        <v>550</v>
      </c>
      <c r="P2512" s="60" t="inlineStr">
        <is>
          <t>NSMP2305159551</t>
        </is>
      </c>
      <c r="Q2512" s="29">
        <f>MID(P2512,5,2)</f>
        <v/>
      </c>
      <c r="R2512" s="14">
        <f>MID(P2512,7,2)</f>
        <v/>
      </c>
      <c r="S2512" s="6" t="inlineStr">
        <is>
          <t>G2B</t>
        </is>
      </c>
      <c r="T2512" s="1" t="inlineStr">
        <is>
          <t>P2 - PEPPL</t>
        </is>
      </c>
      <c r="U2512" s="6" t="inlineStr">
        <is>
          <t>P JB Cold Soldering</t>
        </is>
      </c>
      <c r="V2512" s="1" t="inlineStr">
        <is>
          <t>Soldering</t>
        </is>
      </c>
      <c r="W2512" s="1" t="inlineStr">
        <is>
          <t>Repair</t>
        </is>
      </c>
      <c r="X2512" s="5" t="n">
        <v>46200</v>
      </c>
      <c r="Y2512" s="1">
        <f>IF(X2512="","",X2512-A2512)</f>
        <v/>
      </c>
      <c r="Z2512" s="5" t="n">
        <v>46200</v>
      </c>
      <c r="AA2512" s="3" t="n"/>
      <c r="AB2512" s="3" t="n"/>
      <c r="AE2512" s="146">
        <f>IF(AND(F2512="Closed",X2512&gt;=DATE(2026,6,1),X2512&lt;=DATE(2026,6,30)),"Closed in June","other")</f>
        <v/>
      </c>
    </row>
    <row r="2513" hidden="1">
      <c r="A2513" s="9" t="n">
        <v>46134</v>
      </c>
      <c r="B2513" s="1" t="n">
        <v>2026</v>
      </c>
      <c r="C2513" s="8" t="inlineStr">
        <is>
          <t>First Energy</t>
        </is>
      </c>
      <c r="D2513" s="11" t="inlineStr">
        <is>
          <t>Utility and C&amp;I</t>
        </is>
      </c>
      <c r="E2513" s="1" t="n"/>
      <c r="F2513" s="1" t="inlineStr">
        <is>
          <t>Closed</t>
        </is>
      </c>
      <c r="G2513" s="8" t="inlineStr">
        <is>
          <t>Saravanakumar</t>
        </is>
      </c>
      <c r="H2513" s="8" t="n">
        <v>8248438488</v>
      </c>
      <c r="I2513" s="10" t="inlineStr">
        <is>
          <t>PE22042601</t>
        </is>
      </c>
      <c r="J2513" s="8" t="inlineStr">
        <is>
          <t>Anomalies/defects in the modules</t>
        </is>
      </c>
      <c r="K2513" s="8" t="inlineStr">
        <is>
          <t>Tirunelveli</t>
        </is>
      </c>
      <c r="L2513" s="8" t="inlineStr">
        <is>
          <t>Tamil Nadu</t>
        </is>
      </c>
      <c r="M2513" s="60" t="inlineStr">
        <is>
          <t>PS</t>
        </is>
      </c>
      <c r="N2513" s="6" t="inlineStr">
        <is>
          <t>Cold Soldering</t>
        </is>
      </c>
      <c r="O2513" s="11" t="n">
        <v>550</v>
      </c>
      <c r="P2513" s="60" t="inlineStr">
        <is>
          <t>NSMP2305161819</t>
        </is>
      </c>
      <c r="Q2513" s="29">
        <f>MID(P2513,5,2)</f>
        <v/>
      </c>
      <c r="R2513" s="14">
        <f>MID(P2513,7,2)</f>
        <v/>
      </c>
      <c r="S2513" s="6" t="inlineStr">
        <is>
          <t>G2B</t>
        </is>
      </c>
      <c r="T2513" s="1" t="inlineStr">
        <is>
          <t>P2 - PEPPL</t>
        </is>
      </c>
      <c r="U2513" s="6" t="inlineStr">
        <is>
          <t>P JB Cold Soldering</t>
        </is>
      </c>
      <c r="V2513" s="1" t="inlineStr">
        <is>
          <t>Soldering</t>
        </is>
      </c>
      <c r="W2513" s="1" t="inlineStr">
        <is>
          <t>Repair</t>
        </is>
      </c>
      <c r="X2513" s="5" t="n">
        <v>46200</v>
      </c>
      <c r="Y2513" s="1">
        <f>IF(X2513="","",X2513-A2513)</f>
        <v/>
      </c>
      <c r="Z2513" s="5" t="n">
        <v>46200</v>
      </c>
      <c r="AA2513" s="3" t="n"/>
      <c r="AB2513" s="3" t="n"/>
      <c r="AE2513" s="146">
        <f>IF(AND(F2513="Closed",X2513&gt;=DATE(2026,6,1),X2513&lt;=DATE(2026,6,30)),"Closed in June","other")</f>
        <v/>
      </c>
    </row>
    <row r="2514" hidden="1">
      <c r="A2514" s="9" t="n">
        <v>46134</v>
      </c>
      <c r="B2514" s="1" t="n">
        <v>2026</v>
      </c>
      <c r="C2514" s="8" t="inlineStr">
        <is>
          <t>First Energy</t>
        </is>
      </c>
      <c r="D2514" s="11" t="inlineStr">
        <is>
          <t>Utility and C&amp;I</t>
        </is>
      </c>
      <c r="E2514" s="1" t="n"/>
      <c r="F2514" s="1" t="inlineStr">
        <is>
          <t>Closed</t>
        </is>
      </c>
      <c r="G2514" s="8" t="inlineStr">
        <is>
          <t>Saravanakumar</t>
        </is>
      </c>
      <c r="H2514" s="8" t="n">
        <v>8248438488</v>
      </c>
      <c r="I2514" s="10" t="inlineStr">
        <is>
          <t>PE22042601</t>
        </is>
      </c>
      <c r="J2514" s="8" t="inlineStr">
        <is>
          <t>Anomalies/defects in the modules</t>
        </is>
      </c>
      <c r="K2514" s="8" t="inlineStr">
        <is>
          <t>Tirunelveli</t>
        </is>
      </c>
      <c r="L2514" s="8" t="inlineStr">
        <is>
          <t>Tamil Nadu</t>
        </is>
      </c>
      <c r="M2514" s="60" t="inlineStr">
        <is>
          <t>PS</t>
        </is>
      </c>
      <c r="N2514" s="6" t="inlineStr">
        <is>
          <t>Cold Soldering</t>
        </is>
      </c>
      <c r="O2514" s="11" t="n">
        <v>550</v>
      </c>
      <c r="P2514" s="60" t="inlineStr">
        <is>
          <t>NSMP2305187181</t>
        </is>
      </c>
      <c r="Q2514" s="29">
        <f>MID(P2514,5,2)</f>
        <v/>
      </c>
      <c r="R2514" s="14">
        <f>MID(P2514,7,2)</f>
        <v/>
      </c>
      <c r="S2514" s="6" t="inlineStr">
        <is>
          <t>G2B</t>
        </is>
      </c>
      <c r="T2514" s="1" t="inlineStr">
        <is>
          <t>P2 - PEPPL</t>
        </is>
      </c>
      <c r="U2514" s="6" t="inlineStr">
        <is>
          <t>P JB Cold Soldering</t>
        </is>
      </c>
      <c r="V2514" s="1" t="inlineStr">
        <is>
          <t>Soldering</t>
        </is>
      </c>
      <c r="W2514" s="1" t="inlineStr">
        <is>
          <t>Repair</t>
        </is>
      </c>
      <c r="X2514" s="5" t="n">
        <v>46200</v>
      </c>
      <c r="Y2514" s="1">
        <f>IF(X2514="","",X2514-A2514)</f>
        <v/>
      </c>
      <c r="Z2514" s="5" t="n">
        <v>46200</v>
      </c>
      <c r="AA2514" s="3" t="n"/>
      <c r="AB2514" s="3" t="n"/>
      <c r="AE2514" s="146">
        <f>IF(AND(F2514="Closed",X2514&gt;=DATE(2026,6,1),X2514&lt;=DATE(2026,6,30)),"Closed in June","other")</f>
        <v/>
      </c>
    </row>
    <row r="2515" hidden="1">
      <c r="A2515" s="9" t="n">
        <v>46134</v>
      </c>
      <c r="B2515" s="1" t="n">
        <v>2026</v>
      </c>
      <c r="C2515" s="8" t="inlineStr">
        <is>
          <t>First Energy</t>
        </is>
      </c>
      <c r="D2515" s="11" t="inlineStr">
        <is>
          <t>Utility and C&amp;I</t>
        </is>
      </c>
      <c r="E2515" s="1" t="n"/>
      <c r="F2515" s="1" t="inlineStr">
        <is>
          <t>Closed</t>
        </is>
      </c>
      <c r="G2515" s="8" t="inlineStr">
        <is>
          <t>Saravanakumar</t>
        </is>
      </c>
      <c r="H2515" s="8" t="n">
        <v>8248438488</v>
      </c>
      <c r="I2515" s="10" t="inlineStr">
        <is>
          <t>PE22042601</t>
        </is>
      </c>
      <c r="J2515" s="8" t="inlineStr">
        <is>
          <t>Anomalies/defects in the modules</t>
        </is>
      </c>
      <c r="K2515" s="8" t="inlineStr">
        <is>
          <t>Tirunelveli</t>
        </is>
      </c>
      <c r="L2515" s="8" t="inlineStr">
        <is>
          <t>Tamil Nadu</t>
        </is>
      </c>
      <c r="M2515" s="60" t="inlineStr">
        <is>
          <t>PS</t>
        </is>
      </c>
      <c r="N2515" s="6" t="inlineStr">
        <is>
          <t>Cold Soldering</t>
        </is>
      </c>
      <c r="O2515" s="11" t="n">
        <v>550</v>
      </c>
      <c r="P2515" s="60" t="inlineStr">
        <is>
          <t>NSMP2305187145</t>
        </is>
      </c>
      <c r="Q2515" s="29">
        <f>MID(P2515,5,2)</f>
        <v/>
      </c>
      <c r="R2515" s="14">
        <f>MID(P2515,7,2)</f>
        <v/>
      </c>
      <c r="S2515" s="6" t="inlineStr">
        <is>
          <t>G2B</t>
        </is>
      </c>
      <c r="T2515" s="1" t="inlineStr">
        <is>
          <t>P2 - PEPPL</t>
        </is>
      </c>
      <c r="U2515" s="6" t="inlineStr">
        <is>
          <t>P JB Cold Soldering</t>
        </is>
      </c>
      <c r="V2515" s="1" t="inlineStr">
        <is>
          <t>Soldering</t>
        </is>
      </c>
      <c r="W2515" s="1" t="inlineStr">
        <is>
          <t>Repair</t>
        </is>
      </c>
      <c r="X2515" s="5" t="n">
        <v>46200</v>
      </c>
      <c r="Y2515" s="1">
        <f>IF(X2515="","",X2515-A2515)</f>
        <v/>
      </c>
      <c r="Z2515" s="5" t="n">
        <v>46200</v>
      </c>
      <c r="AA2515" s="3" t="n"/>
      <c r="AB2515" s="3" t="n"/>
      <c r="AE2515" s="146">
        <f>IF(AND(F2515="Closed",X2515&gt;=DATE(2026,6,1),X2515&lt;=DATE(2026,6,30)),"Closed in June","other")</f>
        <v/>
      </c>
    </row>
    <row r="2516" hidden="1">
      <c r="A2516" s="9" t="n">
        <v>46134</v>
      </c>
      <c r="B2516" s="1" t="n">
        <v>2026</v>
      </c>
      <c r="C2516" s="8" t="inlineStr">
        <is>
          <t>First Energy</t>
        </is>
      </c>
      <c r="D2516" s="11" t="inlineStr">
        <is>
          <t>Utility and C&amp;I</t>
        </is>
      </c>
      <c r="E2516" s="1" t="n"/>
      <c r="F2516" s="1" t="inlineStr">
        <is>
          <t>Closed</t>
        </is>
      </c>
      <c r="G2516" s="8" t="inlineStr">
        <is>
          <t>Saravanakumar</t>
        </is>
      </c>
      <c r="H2516" s="8" t="n">
        <v>8248438488</v>
      </c>
      <c r="I2516" s="10" t="inlineStr">
        <is>
          <t>PE22042601</t>
        </is>
      </c>
      <c r="J2516" s="8" t="inlineStr">
        <is>
          <t>Anomalies/defects in the modules</t>
        </is>
      </c>
      <c r="K2516" s="8" t="inlineStr">
        <is>
          <t>Tirunelveli</t>
        </is>
      </c>
      <c r="L2516" s="8" t="inlineStr">
        <is>
          <t>Tamil Nadu</t>
        </is>
      </c>
      <c r="M2516" s="60" t="inlineStr">
        <is>
          <t>PS</t>
        </is>
      </c>
      <c r="N2516" s="6" t="inlineStr">
        <is>
          <t>Cold Soldering</t>
        </is>
      </c>
      <c r="O2516" s="11" t="n">
        <v>550</v>
      </c>
      <c r="P2516" s="60" t="inlineStr">
        <is>
          <t>NSMP2305185743</t>
        </is>
      </c>
      <c r="Q2516" s="29">
        <f>MID(P2516,5,2)</f>
        <v/>
      </c>
      <c r="R2516" s="14">
        <f>MID(P2516,7,2)</f>
        <v/>
      </c>
      <c r="S2516" s="6" t="inlineStr">
        <is>
          <t>G2B</t>
        </is>
      </c>
      <c r="T2516" s="1" t="inlineStr">
        <is>
          <t>P2 - PEPPL</t>
        </is>
      </c>
      <c r="U2516" s="6" t="inlineStr">
        <is>
          <t>P JB Cold Soldering</t>
        </is>
      </c>
      <c r="V2516" s="1" t="inlineStr">
        <is>
          <t>Soldering</t>
        </is>
      </c>
      <c r="W2516" s="1" t="inlineStr">
        <is>
          <t>Repair</t>
        </is>
      </c>
      <c r="X2516" s="5" t="n">
        <v>46200</v>
      </c>
      <c r="Y2516" s="1">
        <f>IF(X2516="","",X2516-A2516)</f>
        <v/>
      </c>
      <c r="Z2516" s="5" t="n">
        <v>46200</v>
      </c>
      <c r="AA2516" s="3" t="n"/>
      <c r="AB2516" s="3" t="n"/>
      <c r="AE2516" s="146">
        <f>IF(AND(F2516="Closed",X2516&gt;=DATE(2026,6,1),X2516&lt;=DATE(2026,6,30)),"Closed in June","other")</f>
        <v/>
      </c>
    </row>
    <row r="2517" hidden="1">
      <c r="A2517" s="9" t="n">
        <v>46134</v>
      </c>
      <c r="B2517" s="1" t="n">
        <v>2026</v>
      </c>
      <c r="C2517" s="8" t="inlineStr">
        <is>
          <t>First Energy</t>
        </is>
      </c>
      <c r="D2517" s="11" t="inlineStr">
        <is>
          <t>Utility and C&amp;I</t>
        </is>
      </c>
      <c r="E2517" s="1" t="n"/>
      <c r="F2517" s="1" t="inlineStr">
        <is>
          <t>Closed</t>
        </is>
      </c>
      <c r="G2517" s="8" t="inlineStr">
        <is>
          <t>Saravanakumar</t>
        </is>
      </c>
      <c r="H2517" s="8" t="n">
        <v>8248438488</v>
      </c>
      <c r="I2517" s="10" t="inlineStr">
        <is>
          <t>PE22042601</t>
        </is>
      </c>
      <c r="J2517" s="8" t="inlineStr">
        <is>
          <t>Anomalies/defects in the modules</t>
        </is>
      </c>
      <c r="K2517" s="8" t="inlineStr">
        <is>
          <t>Tirunelveli</t>
        </is>
      </c>
      <c r="L2517" s="8" t="inlineStr">
        <is>
          <t>Tamil Nadu</t>
        </is>
      </c>
      <c r="M2517" s="60" t="inlineStr">
        <is>
          <t>PS</t>
        </is>
      </c>
      <c r="N2517" s="6" t="inlineStr">
        <is>
          <t>Cold Soldering</t>
        </is>
      </c>
      <c r="O2517" s="11" t="n">
        <v>550</v>
      </c>
      <c r="P2517" s="60" t="inlineStr">
        <is>
          <t>NSMP2306305403</t>
        </is>
      </c>
      <c r="Q2517" s="29">
        <f>MID(P2517,5,2)</f>
        <v/>
      </c>
      <c r="R2517" s="14">
        <f>MID(P2517,7,2)</f>
        <v/>
      </c>
      <c r="S2517" s="6" t="inlineStr">
        <is>
          <t>G2B</t>
        </is>
      </c>
      <c r="T2517" s="1" t="inlineStr">
        <is>
          <t>P2 - PEPPL</t>
        </is>
      </c>
      <c r="U2517" s="6" t="inlineStr">
        <is>
          <t>P JB Cold Soldering</t>
        </is>
      </c>
      <c r="V2517" s="1" t="inlineStr">
        <is>
          <t>Soldering</t>
        </is>
      </c>
      <c r="W2517" s="1" t="inlineStr">
        <is>
          <t>Repair</t>
        </is>
      </c>
      <c r="X2517" s="5" t="n">
        <v>46200</v>
      </c>
      <c r="Y2517" s="1">
        <f>IF(X2517="","",X2517-A2517)</f>
        <v/>
      </c>
      <c r="Z2517" s="5" t="n">
        <v>46200</v>
      </c>
      <c r="AA2517" s="3" t="n"/>
      <c r="AB2517" s="3" t="n"/>
      <c r="AE2517" s="146">
        <f>IF(AND(F2517="Closed",X2517&gt;=DATE(2026,6,1),X2517&lt;=DATE(2026,6,30)),"Closed in June","other")</f>
        <v/>
      </c>
    </row>
    <row r="2518" hidden="1">
      <c r="A2518" s="9" t="n">
        <v>46134</v>
      </c>
      <c r="B2518" s="1" t="n">
        <v>2026</v>
      </c>
      <c r="C2518" s="8" t="inlineStr">
        <is>
          <t>First Energy</t>
        </is>
      </c>
      <c r="D2518" s="11" t="inlineStr">
        <is>
          <t>Utility and C&amp;I</t>
        </is>
      </c>
      <c r="E2518" s="1" t="n"/>
      <c r="F2518" s="1" t="inlineStr">
        <is>
          <t>Closed</t>
        </is>
      </c>
      <c r="G2518" s="8" t="inlineStr">
        <is>
          <t>Saravanakumar</t>
        </is>
      </c>
      <c r="H2518" s="8" t="n">
        <v>8248438488</v>
      </c>
      <c r="I2518" s="10" t="inlineStr">
        <is>
          <t>PE22042601</t>
        </is>
      </c>
      <c r="J2518" s="8" t="inlineStr">
        <is>
          <t>Anomalies/defects in the modules</t>
        </is>
      </c>
      <c r="K2518" s="8" t="inlineStr">
        <is>
          <t>Tirunelveli</t>
        </is>
      </c>
      <c r="L2518" s="8" t="inlineStr">
        <is>
          <t>Tamil Nadu</t>
        </is>
      </c>
      <c r="M2518" s="60" t="inlineStr">
        <is>
          <t>PS</t>
        </is>
      </c>
      <c r="N2518" s="6" t="inlineStr">
        <is>
          <t>Cold Soldering</t>
        </is>
      </c>
      <c r="O2518" s="11" t="n">
        <v>550</v>
      </c>
      <c r="P2518" s="60" t="inlineStr">
        <is>
          <t>NSMP2305161091</t>
        </is>
      </c>
      <c r="Q2518" s="29">
        <f>MID(P2518,5,2)</f>
        <v/>
      </c>
      <c r="R2518" s="14">
        <f>MID(P2518,7,2)</f>
        <v/>
      </c>
      <c r="S2518" s="6" t="inlineStr">
        <is>
          <t>G2B</t>
        </is>
      </c>
      <c r="T2518" s="1" t="inlineStr">
        <is>
          <t>P2 - PEPPL</t>
        </is>
      </c>
      <c r="U2518" s="6" t="inlineStr">
        <is>
          <t>P JB Cold Soldering</t>
        </is>
      </c>
      <c r="V2518" s="1" t="inlineStr">
        <is>
          <t>Soldering</t>
        </is>
      </c>
      <c r="W2518" s="1" t="inlineStr">
        <is>
          <t>Repair</t>
        </is>
      </c>
      <c r="X2518" s="5" t="n">
        <v>46200</v>
      </c>
      <c r="Y2518" s="1">
        <f>IF(X2518="","",X2518-A2518)</f>
        <v/>
      </c>
      <c r="Z2518" s="5" t="n">
        <v>46200</v>
      </c>
      <c r="AA2518" s="3" t="n"/>
      <c r="AB2518" s="3" t="n"/>
      <c r="AE2518" s="146">
        <f>IF(AND(F2518="Closed",X2518&gt;=DATE(2026,6,1),X2518&lt;=DATE(2026,6,30)),"Closed in June","other")</f>
        <v/>
      </c>
    </row>
    <row r="2519" hidden="1">
      <c r="A2519" s="9" t="n">
        <v>46134</v>
      </c>
      <c r="B2519" s="1" t="n">
        <v>2026</v>
      </c>
      <c r="C2519" s="8" t="inlineStr">
        <is>
          <t>First Energy</t>
        </is>
      </c>
      <c r="D2519" s="11" t="inlineStr">
        <is>
          <t>Utility and C&amp;I</t>
        </is>
      </c>
      <c r="E2519" s="1" t="n"/>
      <c r="F2519" s="1" t="inlineStr">
        <is>
          <t>Closed</t>
        </is>
      </c>
      <c r="G2519" s="8" t="inlineStr">
        <is>
          <t>Saravanakumar</t>
        </is>
      </c>
      <c r="H2519" s="8" t="n">
        <v>8248438488</v>
      </c>
      <c r="I2519" s="10" t="inlineStr">
        <is>
          <t>PE22042601</t>
        </is>
      </c>
      <c r="J2519" s="8" t="inlineStr">
        <is>
          <t>Anomalies/defects in the modules</t>
        </is>
      </c>
      <c r="K2519" s="8" t="inlineStr">
        <is>
          <t>Tirunelveli</t>
        </is>
      </c>
      <c r="L2519" s="8" t="inlineStr">
        <is>
          <t>Tamil Nadu</t>
        </is>
      </c>
      <c r="M2519" s="60" t="inlineStr">
        <is>
          <t>PS</t>
        </is>
      </c>
      <c r="N2519" s="6" t="inlineStr">
        <is>
          <t>Cold Soldering</t>
        </is>
      </c>
      <c r="O2519" s="11" t="n">
        <v>550</v>
      </c>
      <c r="P2519" s="60" t="inlineStr">
        <is>
          <t>NSMP2305159225</t>
        </is>
      </c>
      <c r="Q2519" s="29">
        <f>MID(P2519,5,2)</f>
        <v/>
      </c>
      <c r="R2519" s="14">
        <f>MID(P2519,7,2)</f>
        <v/>
      </c>
      <c r="S2519" s="6" t="inlineStr">
        <is>
          <t>G2B</t>
        </is>
      </c>
      <c r="T2519" s="1" t="inlineStr">
        <is>
          <t>P2 - PEPPL</t>
        </is>
      </c>
      <c r="U2519" s="6" t="inlineStr">
        <is>
          <t>P JB Cold Soldering</t>
        </is>
      </c>
      <c r="V2519" s="1" t="inlineStr">
        <is>
          <t>Soldering</t>
        </is>
      </c>
      <c r="W2519" s="1" t="inlineStr">
        <is>
          <t>Repair</t>
        </is>
      </c>
      <c r="X2519" s="5" t="n">
        <v>46200</v>
      </c>
      <c r="Y2519" s="1">
        <f>IF(X2519="","",X2519-A2519)</f>
        <v/>
      </c>
      <c r="Z2519" s="5" t="n">
        <v>46200</v>
      </c>
      <c r="AA2519" s="3" t="n"/>
      <c r="AB2519" s="3" t="n"/>
      <c r="AE2519" s="146">
        <f>IF(AND(F2519="Closed",X2519&gt;=DATE(2026,6,1),X2519&lt;=DATE(2026,6,30)),"Closed in June","other")</f>
        <v/>
      </c>
    </row>
    <row r="2520" hidden="1">
      <c r="A2520" s="9" t="n">
        <v>46134</v>
      </c>
      <c r="B2520" s="1" t="n">
        <v>2026</v>
      </c>
      <c r="C2520" s="8" t="inlineStr">
        <is>
          <t>First Energy</t>
        </is>
      </c>
      <c r="D2520" s="11" t="inlineStr">
        <is>
          <t>Utility and C&amp;I</t>
        </is>
      </c>
      <c r="E2520" s="1" t="n"/>
      <c r="F2520" s="1" t="inlineStr">
        <is>
          <t>Closed</t>
        </is>
      </c>
      <c r="G2520" s="8" t="inlineStr">
        <is>
          <t>Saravanakumar</t>
        </is>
      </c>
      <c r="H2520" s="8" t="n">
        <v>8248438488</v>
      </c>
      <c r="I2520" s="10" t="inlineStr">
        <is>
          <t>PE22042601</t>
        </is>
      </c>
      <c r="J2520" s="8" t="inlineStr">
        <is>
          <t>Anomalies/defects in the modules</t>
        </is>
      </c>
      <c r="K2520" s="8" t="inlineStr">
        <is>
          <t>Tirunelveli</t>
        </is>
      </c>
      <c r="L2520" s="8" t="inlineStr">
        <is>
          <t>Tamil Nadu</t>
        </is>
      </c>
      <c r="M2520" s="60" t="inlineStr">
        <is>
          <t>PS</t>
        </is>
      </c>
      <c r="N2520" s="6" t="inlineStr">
        <is>
          <t>Cold Soldering</t>
        </is>
      </c>
      <c r="O2520" s="11" t="n">
        <v>550</v>
      </c>
      <c r="P2520" s="60" t="inlineStr">
        <is>
          <t>NSMP2306216645</t>
        </is>
      </c>
      <c r="Q2520" s="29">
        <f>MID(P2520,5,2)</f>
        <v/>
      </c>
      <c r="R2520" s="14">
        <f>MID(P2520,7,2)</f>
        <v/>
      </c>
      <c r="S2520" s="6" t="inlineStr">
        <is>
          <t>G2B</t>
        </is>
      </c>
      <c r="T2520" s="1" t="inlineStr">
        <is>
          <t>P2 - PEPPL</t>
        </is>
      </c>
      <c r="U2520" s="6" t="inlineStr">
        <is>
          <t>P JB Cold Soldering</t>
        </is>
      </c>
      <c r="V2520" s="1" t="inlineStr">
        <is>
          <t>Soldering</t>
        </is>
      </c>
      <c r="W2520" s="1" t="inlineStr">
        <is>
          <t>Repair</t>
        </is>
      </c>
      <c r="X2520" s="5" t="n">
        <v>46200</v>
      </c>
      <c r="Y2520" s="1">
        <f>IF(X2520="","",X2520-A2520)</f>
        <v/>
      </c>
      <c r="Z2520" s="5" t="n">
        <v>46200</v>
      </c>
      <c r="AA2520" s="3" t="n"/>
      <c r="AB2520" s="3" t="n"/>
      <c r="AE2520" s="146">
        <f>IF(AND(F2520="Closed",X2520&gt;=DATE(2026,6,1),X2520&lt;=DATE(2026,6,30)),"Closed in June","other")</f>
        <v/>
      </c>
    </row>
    <row r="2521" hidden="1">
      <c r="A2521" s="9" t="n">
        <v>46134</v>
      </c>
      <c r="B2521" s="1" t="n">
        <v>2026</v>
      </c>
      <c r="C2521" s="8" t="inlineStr">
        <is>
          <t>First Energy</t>
        </is>
      </c>
      <c r="D2521" s="11" t="inlineStr">
        <is>
          <t>Utility and C&amp;I</t>
        </is>
      </c>
      <c r="E2521" s="1" t="n"/>
      <c r="F2521" s="1" t="inlineStr">
        <is>
          <t>Closed</t>
        </is>
      </c>
      <c r="G2521" s="8" t="inlineStr">
        <is>
          <t>Saravanakumar</t>
        </is>
      </c>
      <c r="H2521" s="8" t="n">
        <v>8248438488</v>
      </c>
      <c r="I2521" s="10" t="inlineStr">
        <is>
          <t>PE22042601</t>
        </is>
      </c>
      <c r="J2521" s="8" t="inlineStr">
        <is>
          <t>Anomalies/defects in the modules</t>
        </is>
      </c>
      <c r="K2521" s="8" t="inlineStr">
        <is>
          <t>Tirunelveli</t>
        </is>
      </c>
      <c r="L2521" s="8" t="inlineStr">
        <is>
          <t>Tamil Nadu</t>
        </is>
      </c>
      <c r="M2521" s="60" t="inlineStr">
        <is>
          <t>PS</t>
        </is>
      </c>
      <c r="N2521" s="6" t="inlineStr">
        <is>
          <t>Cold Soldering</t>
        </is>
      </c>
      <c r="O2521" s="11" t="n">
        <v>550</v>
      </c>
      <c r="P2521" s="60" t="inlineStr">
        <is>
          <t>NSMP2305159226</t>
        </is>
      </c>
      <c r="Q2521" s="29">
        <f>MID(P2521,5,2)</f>
        <v/>
      </c>
      <c r="R2521" s="14">
        <f>MID(P2521,7,2)</f>
        <v/>
      </c>
      <c r="S2521" s="6" t="inlineStr">
        <is>
          <t>G2B</t>
        </is>
      </c>
      <c r="T2521" s="1" t="inlineStr">
        <is>
          <t>P2 - PEPPL</t>
        </is>
      </c>
      <c r="U2521" s="6" t="inlineStr">
        <is>
          <t>P JB Cold Soldering</t>
        </is>
      </c>
      <c r="V2521" s="1" t="inlineStr">
        <is>
          <t>Soldering</t>
        </is>
      </c>
      <c r="W2521" s="1" t="inlineStr">
        <is>
          <t>Repair</t>
        </is>
      </c>
      <c r="X2521" s="5" t="n">
        <v>46200</v>
      </c>
      <c r="Y2521" s="1">
        <f>IF(X2521="","",X2521-A2521)</f>
        <v/>
      </c>
      <c r="Z2521" s="5" t="n">
        <v>46200</v>
      </c>
      <c r="AA2521" s="3" t="n"/>
      <c r="AB2521" s="3" t="n"/>
      <c r="AE2521" s="146">
        <f>IF(AND(F2521="Closed",X2521&gt;=DATE(2026,6,1),X2521&lt;=DATE(2026,6,30)),"Closed in June","other")</f>
        <v/>
      </c>
    </row>
    <row r="2522" hidden="1">
      <c r="A2522" s="9" t="n">
        <v>46134</v>
      </c>
      <c r="B2522" s="1" t="n">
        <v>2026</v>
      </c>
      <c r="C2522" s="8" t="inlineStr">
        <is>
          <t>First Energy</t>
        </is>
      </c>
      <c r="D2522" s="11" t="inlineStr">
        <is>
          <t>Utility and C&amp;I</t>
        </is>
      </c>
      <c r="E2522" s="1" t="n"/>
      <c r="F2522" s="1" t="inlineStr">
        <is>
          <t>Closed</t>
        </is>
      </c>
      <c r="G2522" s="8" t="inlineStr">
        <is>
          <t>Saravanakumar</t>
        </is>
      </c>
      <c r="H2522" s="8" t="n">
        <v>8248438488</v>
      </c>
      <c r="I2522" s="10" t="inlineStr">
        <is>
          <t>PE22042601</t>
        </is>
      </c>
      <c r="J2522" s="8" t="inlineStr">
        <is>
          <t>Anomalies/defects in the modules</t>
        </is>
      </c>
      <c r="K2522" s="8" t="inlineStr">
        <is>
          <t>Tirunelveli</t>
        </is>
      </c>
      <c r="L2522" s="8" t="inlineStr">
        <is>
          <t>Tamil Nadu</t>
        </is>
      </c>
      <c r="M2522" s="60" t="inlineStr">
        <is>
          <t>OK</t>
        </is>
      </c>
      <c r="N2522" s="2" t="inlineStr">
        <is>
          <t>No Issue Found</t>
        </is>
      </c>
      <c r="O2522" s="11" t="n">
        <v>550</v>
      </c>
      <c r="P2522" s="60" t="inlineStr">
        <is>
          <t>NSMP2306224130</t>
        </is>
      </c>
      <c r="Q2522" s="29">
        <f>MID(P2522,5,2)</f>
        <v/>
      </c>
      <c r="R2522" s="14">
        <f>MID(P2522,7,2)</f>
        <v/>
      </c>
      <c r="S2522" s="6" t="inlineStr">
        <is>
          <t>G2B</t>
        </is>
      </c>
      <c r="T2522" s="1" t="inlineStr">
        <is>
          <t>P2 - PEPPL</t>
        </is>
      </c>
      <c r="U2522" s="6" t="inlineStr">
        <is>
          <t>No Issue Found</t>
        </is>
      </c>
      <c r="V2522" s="6" t="inlineStr">
        <is>
          <t>Inspection</t>
        </is>
      </c>
      <c r="W2522" s="1" t="inlineStr">
        <is>
          <t>Rejected</t>
        </is>
      </c>
      <c r="X2522" s="5" t="n">
        <v>46200</v>
      </c>
      <c r="Y2522" s="1">
        <f>IF(X2522="","",X2522-A2522)</f>
        <v/>
      </c>
      <c r="Z2522" s="5" t="n">
        <v>46200</v>
      </c>
      <c r="AA2522" s="3" t="n"/>
      <c r="AB2522" s="3" t="n"/>
      <c r="AE2522" s="146">
        <f>IF(AND(F2522="Closed",X2522&gt;=DATE(2026,6,1),X2522&lt;=DATE(2026,6,30)),"Closed in June","other")</f>
        <v/>
      </c>
    </row>
    <row r="2523" hidden="1">
      <c r="A2523" s="9" t="n">
        <v>46134</v>
      </c>
      <c r="B2523" s="1" t="n">
        <v>2026</v>
      </c>
      <c r="C2523" s="8" t="inlineStr">
        <is>
          <t>First Energy</t>
        </is>
      </c>
      <c r="D2523" s="11" t="inlineStr">
        <is>
          <t>Utility and C&amp;I</t>
        </is>
      </c>
      <c r="E2523" s="1" t="n"/>
      <c r="F2523" s="1" t="inlineStr">
        <is>
          <t>Closed</t>
        </is>
      </c>
      <c r="G2523" s="8" t="inlineStr">
        <is>
          <t>Saravanakumar</t>
        </is>
      </c>
      <c r="H2523" s="8" t="n">
        <v>8248438488</v>
      </c>
      <c r="I2523" s="10" t="inlineStr">
        <is>
          <t>PE22042601</t>
        </is>
      </c>
      <c r="J2523" s="8" t="inlineStr">
        <is>
          <t>Anomalies/defects in the modules</t>
        </is>
      </c>
      <c r="K2523" s="8" t="inlineStr">
        <is>
          <t>Tirunelveli</t>
        </is>
      </c>
      <c r="L2523" s="8" t="inlineStr">
        <is>
          <t>Tamil Nadu</t>
        </is>
      </c>
      <c r="M2523" s="60" t="inlineStr">
        <is>
          <t>PS</t>
        </is>
      </c>
      <c r="N2523" s="6" t="inlineStr">
        <is>
          <t>Cold Soldering</t>
        </is>
      </c>
      <c r="O2523" s="11" t="n">
        <v>550</v>
      </c>
      <c r="P2523" s="60" t="inlineStr">
        <is>
          <t>NSMP2305186693</t>
        </is>
      </c>
      <c r="Q2523" s="29">
        <f>MID(P2523,5,2)</f>
        <v/>
      </c>
      <c r="R2523" s="14">
        <f>MID(P2523,7,2)</f>
        <v/>
      </c>
      <c r="S2523" s="6" t="inlineStr">
        <is>
          <t>G2B</t>
        </is>
      </c>
      <c r="T2523" s="1" t="inlineStr">
        <is>
          <t>P2 - PEPPL</t>
        </is>
      </c>
      <c r="U2523" s="6" t="inlineStr">
        <is>
          <t>P JB Cold Soldering</t>
        </is>
      </c>
      <c r="V2523" s="1" t="inlineStr">
        <is>
          <t>Soldering</t>
        </is>
      </c>
      <c r="W2523" s="1" t="inlineStr">
        <is>
          <t>Repair</t>
        </is>
      </c>
      <c r="X2523" s="5" t="n">
        <v>46200</v>
      </c>
      <c r="Y2523" s="1">
        <f>IF(X2523="","",X2523-A2523)</f>
        <v/>
      </c>
      <c r="Z2523" s="5" t="n">
        <v>46200</v>
      </c>
      <c r="AA2523" s="3" t="n"/>
      <c r="AB2523" s="3" t="n"/>
      <c r="AE2523" s="146">
        <f>IF(AND(F2523="Closed",X2523&gt;=DATE(2026,6,1),X2523&lt;=DATE(2026,6,30)),"Closed in June","other")</f>
        <v/>
      </c>
    </row>
    <row r="2524" hidden="1">
      <c r="A2524" s="9" t="n">
        <v>46134</v>
      </c>
      <c r="B2524" s="1" t="n">
        <v>2026</v>
      </c>
      <c r="C2524" s="8" t="inlineStr">
        <is>
          <t>First Energy</t>
        </is>
      </c>
      <c r="D2524" s="11" t="inlineStr">
        <is>
          <t>Utility and C&amp;I</t>
        </is>
      </c>
      <c r="E2524" s="1" t="n"/>
      <c r="F2524" s="1" t="inlineStr">
        <is>
          <t>Closed</t>
        </is>
      </c>
      <c r="G2524" s="8" t="inlineStr">
        <is>
          <t>Saravanakumar</t>
        </is>
      </c>
      <c r="H2524" s="8" t="n">
        <v>8248438488</v>
      </c>
      <c r="I2524" s="10" t="inlineStr">
        <is>
          <t>PE22042601</t>
        </is>
      </c>
      <c r="J2524" s="8" t="inlineStr">
        <is>
          <t>Anomalies/defects in the modules</t>
        </is>
      </c>
      <c r="K2524" s="8" t="inlineStr">
        <is>
          <t>Tirunelveli</t>
        </is>
      </c>
      <c r="L2524" s="8" t="inlineStr">
        <is>
          <t>Tamil Nadu</t>
        </is>
      </c>
      <c r="M2524" s="60" t="inlineStr">
        <is>
          <t>PS</t>
        </is>
      </c>
      <c r="N2524" s="6" t="inlineStr">
        <is>
          <t>Cold Soldering</t>
        </is>
      </c>
      <c r="O2524" s="11" t="n">
        <v>550</v>
      </c>
      <c r="P2524" s="60" t="inlineStr">
        <is>
          <t>NSMP2306215992</t>
        </is>
      </c>
      <c r="Q2524" s="29">
        <f>MID(P2524,5,2)</f>
        <v/>
      </c>
      <c r="R2524" s="14">
        <f>MID(P2524,7,2)</f>
        <v/>
      </c>
      <c r="S2524" s="6" t="inlineStr">
        <is>
          <t>G2B</t>
        </is>
      </c>
      <c r="T2524" s="1" t="inlineStr">
        <is>
          <t>P2 - PEPPL</t>
        </is>
      </c>
      <c r="U2524" s="6" t="inlineStr">
        <is>
          <t>P JB Cold Soldering</t>
        </is>
      </c>
      <c r="V2524" s="1" t="inlineStr">
        <is>
          <t>Soldering</t>
        </is>
      </c>
      <c r="W2524" s="1" t="inlineStr">
        <is>
          <t>Repair</t>
        </is>
      </c>
      <c r="X2524" s="5" t="n">
        <v>46200</v>
      </c>
      <c r="Y2524" s="1">
        <f>IF(X2524="","",X2524-A2524)</f>
        <v/>
      </c>
      <c r="Z2524" s="5" t="n">
        <v>46200</v>
      </c>
      <c r="AA2524" s="3" t="n"/>
      <c r="AB2524" s="3" t="n"/>
      <c r="AE2524" s="146">
        <f>IF(AND(F2524="Closed",X2524&gt;=DATE(2026,6,1),X2524&lt;=DATE(2026,6,30)),"Closed in June","other")</f>
        <v/>
      </c>
    </row>
    <row r="2525" hidden="1">
      <c r="A2525" s="9" t="n">
        <v>46134</v>
      </c>
      <c r="B2525" s="1" t="n">
        <v>2026</v>
      </c>
      <c r="C2525" s="8" t="inlineStr">
        <is>
          <t>First Energy</t>
        </is>
      </c>
      <c r="D2525" s="11" t="inlineStr">
        <is>
          <t>Utility and C&amp;I</t>
        </is>
      </c>
      <c r="E2525" s="1" t="n"/>
      <c r="F2525" s="1" t="inlineStr">
        <is>
          <t>Closed</t>
        </is>
      </c>
      <c r="G2525" s="8" t="inlineStr">
        <is>
          <t>Saravanakumar</t>
        </is>
      </c>
      <c r="H2525" s="8" t="n">
        <v>8248438488</v>
      </c>
      <c r="I2525" s="10" t="inlineStr">
        <is>
          <t>PE22042601</t>
        </is>
      </c>
      <c r="J2525" s="8" t="inlineStr">
        <is>
          <t>Anomalies/defects in the modules</t>
        </is>
      </c>
      <c r="K2525" s="8" t="inlineStr">
        <is>
          <t>Tirunelveli</t>
        </is>
      </c>
      <c r="L2525" s="8" t="inlineStr">
        <is>
          <t>Tamil Nadu</t>
        </is>
      </c>
      <c r="M2525" s="60" t="inlineStr">
        <is>
          <t>PS</t>
        </is>
      </c>
      <c r="N2525" s="6" t="inlineStr">
        <is>
          <t>Cold Soldering</t>
        </is>
      </c>
      <c r="O2525" s="11" t="n">
        <v>550</v>
      </c>
      <c r="P2525" s="60" t="inlineStr">
        <is>
          <t>NSMP2307381849</t>
        </is>
      </c>
      <c r="Q2525" s="29">
        <f>MID(P2525,5,2)</f>
        <v/>
      </c>
      <c r="R2525" s="14">
        <f>MID(P2525,7,2)</f>
        <v/>
      </c>
      <c r="S2525" s="6" t="inlineStr">
        <is>
          <t>G2B</t>
        </is>
      </c>
      <c r="T2525" s="1" t="inlineStr">
        <is>
          <t>P2 - PEPPL</t>
        </is>
      </c>
      <c r="U2525" s="6" t="inlineStr">
        <is>
          <t>P JB Cold Soldering</t>
        </is>
      </c>
      <c r="V2525" s="1" t="inlineStr">
        <is>
          <t>Soldering</t>
        </is>
      </c>
      <c r="W2525" s="1" t="inlineStr">
        <is>
          <t>Repair</t>
        </is>
      </c>
      <c r="X2525" s="5" t="n">
        <v>46200</v>
      </c>
      <c r="Y2525" s="1">
        <f>IF(X2525="","",X2525-A2525)</f>
        <v/>
      </c>
      <c r="Z2525" s="5" t="n">
        <v>46200</v>
      </c>
      <c r="AA2525" s="3" t="n"/>
      <c r="AB2525" s="3" t="n"/>
      <c r="AE2525" s="146">
        <f>IF(AND(F2525="Closed",X2525&gt;=DATE(2026,6,1),X2525&lt;=DATE(2026,6,30)),"Closed in June","other")</f>
        <v/>
      </c>
    </row>
    <row r="2526" hidden="1">
      <c r="A2526" s="9" t="n">
        <v>46134</v>
      </c>
      <c r="B2526" s="1" t="n">
        <v>2026</v>
      </c>
      <c r="C2526" s="8" t="inlineStr">
        <is>
          <t>First Energy</t>
        </is>
      </c>
      <c r="D2526" s="11" t="inlineStr">
        <is>
          <t>Utility and C&amp;I</t>
        </is>
      </c>
      <c r="E2526" s="1" t="n"/>
      <c r="F2526" s="1" t="inlineStr">
        <is>
          <t>Closed</t>
        </is>
      </c>
      <c r="G2526" s="8" t="inlineStr">
        <is>
          <t>Saravanakumar</t>
        </is>
      </c>
      <c r="H2526" s="8" t="n">
        <v>8248438488</v>
      </c>
      <c r="I2526" s="10" t="inlineStr">
        <is>
          <t>PE22042601</t>
        </is>
      </c>
      <c r="J2526" s="8" t="inlineStr">
        <is>
          <t>Anomalies/defects in the modules</t>
        </is>
      </c>
      <c r="K2526" s="8" t="inlineStr">
        <is>
          <t>Tirunelveli</t>
        </is>
      </c>
      <c r="L2526" s="8" t="inlineStr">
        <is>
          <t>Tamil Nadu</t>
        </is>
      </c>
      <c r="M2526" s="60" t="inlineStr">
        <is>
          <t>PS</t>
        </is>
      </c>
      <c r="N2526" s="6" t="inlineStr">
        <is>
          <t>Cold Soldering</t>
        </is>
      </c>
      <c r="O2526" s="11" t="n">
        <v>550</v>
      </c>
      <c r="P2526" s="60" t="inlineStr">
        <is>
          <t>NSMP2306216386</t>
        </is>
      </c>
      <c r="Q2526" s="29">
        <f>MID(P2526,5,2)</f>
        <v/>
      </c>
      <c r="R2526" s="14">
        <f>MID(P2526,7,2)</f>
        <v/>
      </c>
      <c r="S2526" s="6" t="inlineStr">
        <is>
          <t>G2B</t>
        </is>
      </c>
      <c r="T2526" s="1" t="inlineStr">
        <is>
          <t>P2 - PEPPL</t>
        </is>
      </c>
      <c r="U2526" s="6" t="inlineStr">
        <is>
          <t>P JB Cold Soldering</t>
        </is>
      </c>
      <c r="V2526" s="1" t="inlineStr">
        <is>
          <t>Soldering</t>
        </is>
      </c>
      <c r="W2526" s="1" t="inlineStr">
        <is>
          <t>Repair</t>
        </is>
      </c>
      <c r="X2526" s="5" t="n">
        <v>46200</v>
      </c>
      <c r="Y2526" s="1">
        <f>IF(X2526="","",X2526-A2526)</f>
        <v/>
      </c>
      <c r="Z2526" s="5" t="n">
        <v>46200</v>
      </c>
      <c r="AA2526" s="3" t="n"/>
      <c r="AB2526" s="3" t="n"/>
      <c r="AE2526" s="146">
        <f>IF(AND(F2526="Closed",X2526&gt;=DATE(2026,6,1),X2526&lt;=DATE(2026,6,30)),"Closed in June","other")</f>
        <v/>
      </c>
    </row>
    <row r="2527" hidden="1">
      <c r="A2527" s="9" t="n">
        <v>46134</v>
      </c>
      <c r="B2527" s="1" t="n">
        <v>2026</v>
      </c>
      <c r="C2527" s="8" t="inlineStr">
        <is>
          <t>First Energy</t>
        </is>
      </c>
      <c r="D2527" s="11" t="inlineStr">
        <is>
          <t>Utility and C&amp;I</t>
        </is>
      </c>
      <c r="E2527" s="1" t="n"/>
      <c r="F2527" s="1" t="inlineStr">
        <is>
          <t>Closed</t>
        </is>
      </c>
      <c r="G2527" s="8" t="inlineStr">
        <is>
          <t>Saravanakumar</t>
        </is>
      </c>
      <c r="H2527" s="8" t="n">
        <v>8248438488</v>
      </c>
      <c r="I2527" s="10" t="inlineStr">
        <is>
          <t>PE22042601</t>
        </is>
      </c>
      <c r="J2527" s="8" t="inlineStr">
        <is>
          <t>Anomalies/defects in the modules</t>
        </is>
      </c>
      <c r="K2527" s="8" t="inlineStr">
        <is>
          <t>Tirunelveli</t>
        </is>
      </c>
      <c r="L2527" s="8" t="inlineStr">
        <is>
          <t>Tamil Nadu</t>
        </is>
      </c>
      <c r="M2527" s="60" t="inlineStr">
        <is>
          <t>PS</t>
        </is>
      </c>
      <c r="N2527" s="6" t="inlineStr">
        <is>
          <t>Cold Soldering</t>
        </is>
      </c>
      <c r="O2527" s="11" t="n">
        <v>550</v>
      </c>
      <c r="P2527" s="60" t="inlineStr">
        <is>
          <t>NSMP2306222564</t>
        </is>
      </c>
      <c r="Q2527" s="29">
        <f>MID(P2527,5,2)</f>
        <v/>
      </c>
      <c r="R2527" s="14">
        <f>MID(P2527,7,2)</f>
        <v/>
      </c>
      <c r="S2527" s="6" t="inlineStr">
        <is>
          <t>G2B</t>
        </is>
      </c>
      <c r="T2527" s="1" t="inlineStr">
        <is>
          <t>P2 - PEPPL</t>
        </is>
      </c>
      <c r="U2527" s="6" t="inlineStr">
        <is>
          <t>P JB Cold Soldering</t>
        </is>
      </c>
      <c r="V2527" s="1" t="inlineStr">
        <is>
          <t>Soldering</t>
        </is>
      </c>
      <c r="W2527" s="1" t="inlineStr">
        <is>
          <t>Repair</t>
        </is>
      </c>
      <c r="X2527" s="5" t="n">
        <v>46200</v>
      </c>
      <c r="Y2527" s="1">
        <f>IF(X2527="","",X2527-A2527)</f>
        <v/>
      </c>
      <c r="Z2527" s="5" t="n">
        <v>46200</v>
      </c>
      <c r="AA2527" s="3" t="n"/>
      <c r="AB2527" s="3" t="n"/>
      <c r="AE2527" s="146">
        <f>IF(AND(F2527="Closed",X2527&gt;=DATE(2026,6,1),X2527&lt;=DATE(2026,6,30)),"Closed in June","other")</f>
        <v/>
      </c>
    </row>
    <row r="2528" hidden="1">
      <c r="A2528" s="9" t="n">
        <v>46134</v>
      </c>
      <c r="B2528" s="1" t="n">
        <v>2026</v>
      </c>
      <c r="C2528" s="8" t="inlineStr">
        <is>
          <t>First Energy</t>
        </is>
      </c>
      <c r="D2528" s="11" t="inlineStr">
        <is>
          <t>Utility and C&amp;I</t>
        </is>
      </c>
      <c r="E2528" s="1" t="n"/>
      <c r="F2528" s="1" t="inlineStr">
        <is>
          <t>Closed</t>
        </is>
      </c>
      <c r="G2528" s="8" t="inlineStr">
        <is>
          <t>Saravanakumar</t>
        </is>
      </c>
      <c r="H2528" s="8" t="n">
        <v>8248438488</v>
      </c>
      <c r="I2528" s="10" t="inlineStr">
        <is>
          <t>PE22042601</t>
        </is>
      </c>
      <c r="J2528" s="8" t="inlineStr">
        <is>
          <t>Anomalies/defects in the modules</t>
        </is>
      </c>
      <c r="K2528" s="8" t="inlineStr">
        <is>
          <t>Tirunelveli</t>
        </is>
      </c>
      <c r="L2528" s="8" t="inlineStr">
        <is>
          <t>Tamil Nadu</t>
        </is>
      </c>
      <c r="M2528" s="60" t="inlineStr">
        <is>
          <t>OK</t>
        </is>
      </c>
      <c r="N2528" s="2" t="inlineStr">
        <is>
          <t>No Issue Found</t>
        </is>
      </c>
      <c r="O2528" s="11" t="n">
        <v>550</v>
      </c>
      <c r="P2528" s="60" t="inlineStr">
        <is>
          <t>NSMP2306222575</t>
        </is>
      </c>
      <c r="Q2528" s="29">
        <f>MID(P2528,5,2)</f>
        <v/>
      </c>
      <c r="R2528" s="14">
        <f>MID(P2528,7,2)</f>
        <v/>
      </c>
      <c r="S2528" s="6" t="inlineStr">
        <is>
          <t>G2B</t>
        </is>
      </c>
      <c r="T2528" s="1" t="inlineStr">
        <is>
          <t>P2 - PEPPL</t>
        </is>
      </c>
      <c r="U2528" s="6" t="inlineStr">
        <is>
          <t>No Issue Found</t>
        </is>
      </c>
      <c r="V2528" s="6" t="inlineStr">
        <is>
          <t>Inspection</t>
        </is>
      </c>
      <c r="W2528" s="1" t="inlineStr">
        <is>
          <t>Rejected</t>
        </is>
      </c>
      <c r="X2528" s="5" t="n">
        <v>46200</v>
      </c>
      <c r="Y2528" s="1">
        <f>IF(X2528="","",X2528-A2528)</f>
        <v/>
      </c>
      <c r="Z2528" s="5" t="n">
        <v>46200</v>
      </c>
      <c r="AA2528" s="3" t="n"/>
      <c r="AB2528" s="3" t="n"/>
      <c r="AE2528" s="146">
        <f>IF(AND(F2528="Closed",X2528&gt;=DATE(2026,6,1),X2528&lt;=DATE(2026,6,30)),"Closed in June","other")</f>
        <v/>
      </c>
    </row>
    <row r="2529" hidden="1">
      <c r="A2529" s="9" t="n">
        <v>46134</v>
      </c>
      <c r="B2529" s="1" t="n">
        <v>2026</v>
      </c>
      <c r="C2529" s="8" t="inlineStr">
        <is>
          <t>First Energy</t>
        </is>
      </c>
      <c r="D2529" s="11" t="inlineStr">
        <is>
          <t>Utility and C&amp;I</t>
        </is>
      </c>
      <c r="E2529" s="1" t="n"/>
      <c r="F2529" s="1" t="inlineStr">
        <is>
          <t>Closed</t>
        </is>
      </c>
      <c r="G2529" s="8" t="inlineStr">
        <is>
          <t>Saravanakumar</t>
        </is>
      </c>
      <c r="H2529" s="8" t="n">
        <v>8248438488</v>
      </c>
      <c r="I2529" s="10" t="inlineStr">
        <is>
          <t>PE22042601</t>
        </is>
      </c>
      <c r="J2529" s="8" t="inlineStr">
        <is>
          <t>Anomalies/defects in the modules</t>
        </is>
      </c>
      <c r="K2529" s="8" t="inlineStr">
        <is>
          <t>Tirunelveli</t>
        </is>
      </c>
      <c r="L2529" s="8" t="inlineStr">
        <is>
          <t>Tamil Nadu</t>
        </is>
      </c>
      <c r="M2529" s="60" t="inlineStr">
        <is>
          <t>OK</t>
        </is>
      </c>
      <c r="N2529" s="2" t="inlineStr">
        <is>
          <t>No Issue Found</t>
        </is>
      </c>
      <c r="O2529" s="11" t="n">
        <v>550</v>
      </c>
      <c r="P2529" s="60" t="inlineStr">
        <is>
          <t>NSMP2306218150</t>
        </is>
      </c>
      <c r="Q2529" s="29">
        <f>MID(P2529,5,2)</f>
        <v/>
      </c>
      <c r="R2529" s="14">
        <f>MID(P2529,7,2)</f>
        <v/>
      </c>
      <c r="S2529" s="6" t="inlineStr">
        <is>
          <t>G2B</t>
        </is>
      </c>
      <c r="T2529" s="1" t="inlineStr">
        <is>
          <t>P2 - PEPPL</t>
        </is>
      </c>
      <c r="U2529" s="6" t="inlineStr">
        <is>
          <t>No Issue Found</t>
        </is>
      </c>
      <c r="V2529" s="6" t="inlineStr">
        <is>
          <t>Inspection</t>
        </is>
      </c>
      <c r="W2529" s="1" t="inlineStr">
        <is>
          <t>Rejected</t>
        </is>
      </c>
      <c r="X2529" s="5" t="n">
        <v>46200</v>
      </c>
      <c r="Y2529" s="1">
        <f>IF(X2529="","",X2529-A2529)</f>
        <v/>
      </c>
      <c r="Z2529" s="5" t="n">
        <v>46200</v>
      </c>
      <c r="AA2529" s="3" t="n"/>
      <c r="AB2529" s="3" t="n"/>
      <c r="AE2529" s="146">
        <f>IF(AND(F2529="Closed",X2529&gt;=DATE(2026,6,1),X2529&lt;=DATE(2026,6,30)),"Closed in June","other")</f>
        <v/>
      </c>
    </row>
    <row r="2530" hidden="1">
      <c r="A2530" s="9" t="n">
        <v>46134</v>
      </c>
      <c r="B2530" s="1" t="n">
        <v>2026</v>
      </c>
      <c r="C2530" s="8" t="inlineStr">
        <is>
          <t>First Energy</t>
        </is>
      </c>
      <c r="D2530" s="11" t="inlineStr">
        <is>
          <t>Utility and C&amp;I</t>
        </is>
      </c>
      <c r="E2530" s="1" t="n"/>
      <c r="F2530" s="1" t="inlineStr">
        <is>
          <t>Closed</t>
        </is>
      </c>
      <c r="G2530" s="8" t="inlineStr">
        <is>
          <t>Saravanakumar</t>
        </is>
      </c>
      <c r="H2530" s="8" t="n">
        <v>8248438488</v>
      </c>
      <c r="I2530" s="10" t="inlineStr">
        <is>
          <t>PE22042601</t>
        </is>
      </c>
      <c r="J2530" s="8" t="inlineStr">
        <is>
          <t>Anomalies/defects in the modules</t>
        </is>
      </c>
      <c r="K2530" s="8" t="inlineStr">
        <is>
          <t>Tirunelveli</t>
        </is>
      </c>
      <c r="L2530" s="8" t="inlineStr">
        <is>
          <t>Tamil Nadu</t>
        </is>
      </c>
      <c r="M2530" s="60" t="inlineStr">
        <is>
          <t>OK</t>
        </is>
      </c>
      <c r="N2530" s="2" t="inlineStr">
        <is>
          <t>No Issue Found</t>
        </is>
      </c>
      <c r="O2530" s="11" t="n">
        <v>550</v>
      </c>
      <c r="P2530" s="60" t="inlineStr">
        <is>
          <t>NSMP2306216322</t>
        </is>
      </c>
      <c r="Q2530" s="29">
        <f>MID(P2530,5,2)</f>
        <v/>
      </c>
      <c r="R2530" s="14">
        <f>MID(P2530,7,2)</f>
        <v/>
      </c>
      <c r="S2530" s="6" t="inlineStr">
        <is>
          <t>G2B</t>
        </is>
      </c>
      <c r="T2530" s="1" t="inlineStr">
        <is>
          <t>P2 - PEPPL</t>
        </is>
      </c>
      <c r="U2530" s="6" t="inlineStr">
        <is>
          <t>No Issue Found</t>
        </is>
      </c>
      <c r="V2530" s="6" t="inlineStr">
        <is>
          <t>Inspection</t>
        </is>
      </c>
      <c r="W2530" s="1" t="inlineStr">
        <is>
          <t>Rejected</t>
        </is>
      </c>
      <c r="X2530" s="5" t="n">
        <v>46200</v>
      </c>
      <c r="Y2530" s="1">
        <f>IF(X2530="","",X2530-A2530)</f>
        <v/>
      </c>
      <c r="Z2530" s="5" t="n">
        <v>46200</v>
      </c>
      <c r="AA2530" s="3" t="n"/>
      <c r="AB2530" s="3" t="n"/>
      <c r="AE2530" s="146">
        <f>IF(AND(F2530="Closed",X2530&gt;=DATE(2026,6,1),X2530&lt;=DATE(2026,6,30)),"Closed in June","other")</f>
        <v/>
      </c>
    </row>
    <row r="2531" hidden="1">
      <c r="A2531" s="9" t="n">
        <v>46134</v>
      </c>
      <c r="B2531" s="1" t="n">
        <v>2026</v>
      </c>
      <c r="C2531" s="8" t="inlineStr">
        <is>
          <t>First Energy</t>
        </is>
      </c>
      <c r="D2531" s="11" t="inlineStr">
        <is>
          <t>Utility and C&amp;I</t>
        </is>
      </c>
      <c r="E2531" s="1" t="n"/>
      <c r="F2531" s="1" t="inlineStr">
        <is>
          <t>Closed</t>
        </is>
      </c>
      <c r="G2531" s="8" t="inlineStr">
        <is>
          <t>Saravanakumar</t>
        </is>
      </c>
      <c r="H2531" s="8" t="n">
        <v>8248438488</v>
      </c>
      <c r="I2531" s="10" t="inlineStr">
        <is>
          <t>PE22042601</t>
        </is>
      </c>
      <c r="J2531" s="8" t="inlineStr">
        <is>
          <t>Anomalies/defects in the modules</t>
        </is>
      </c>
      <c r="K2531" s="8" t="inlineStr">
        <is>
          <t>Tirunelveli</t>
        </is>
      </c>
      <c r="L2531" s="8" t="inlineStr">
        <is>
          <t>Tamil Nadu</t>
        </is>
      </c>
      <c r="M2531" s="60" t="inlineStr">
        <is>
          <t>OK</t>
        </is>
      </c>
      <c r="N2531" s="2" t="inlineStr">
        <is>
          <t>No Issue Found</t>
        </is>
      </c>
      <c r="O2531" s="11" t="n">
        <v>550</v>
      </c>
      <c r="P2531" s="60" t="inlineStr">
        <is>
          <t>NSMP2306214558</t>
        </is>
      </c>
      <c r="Q2531" s="29">
        <f>MID(P2531,5,2)</f>
        <v/>
      </c>
      <c r="R2531" s="14">
        <f>MID(P2531,7,2)</f>
        <v/>
      </c>
      <c r="S2531" s="6" t="inlineStr">
        <is>
          <t>G2B</t>
        </is>
      </c>
      <c r="T2531" s="1" t="inlineStr">
        <is>
          <t>P2 - PEPPL</t>
        </is>
      </c>
      <c r="U2531" s="6" t="inlineStr">
        <is>
          <t>No Issue Found</t>
        </is>
      </c>
      <c r="V2531" s="6" t="inlineStr">
        <is>
          <t>Inspection</t>
        </is>
      </c>
      <c r="W2531" s="1" t="inlineStr">
        <is>
          <t>Rejected</t>
        </is>
      </c>
      <c r="X2531" s="5" t="n">
        <v>46200</v>
      </c>
      <c r="Y2531" s="1">
        <f>IF(X2531="","",X2531-A2531)</f>
        <v/>
      </c>
      <c r="Z2531" s="5" t="n">
        <v>46200</v>
      </c>
      <c r="AA2531" s="3" t="n"/>
      <c r="AB2531" s="3" t="n"/>
      <c r="AE2531" s="146">
        <f>IF(AND(F2531="Closed",X2531&gt;=DATE(2026,6,1),X2531&lt;=DATE(2026,6,30)),"Closed in June","other")</f>
        <v/>
      </c>
    </row>
    <row r="2532" hidden="1">
      <c r="A2532" s="9" t="n">
        <v>46134</v>
      </c>
      <c r="B2532" s="1" t="n">
        <v>2026</v>
      </c>
      <c r="C2532" s="8" t="inlineStr">
        <is>
          <t>First Energy</t>
        </is>
      </c>
      <c r="D2532" s="11" t="inlineStr">
        <is>
          <t>Utility and C&amp;I</t>
        </is>
      </c>
      <c r="E2532" s="1" t="n"/>
      <c r="F2532" s="1" t="inlineStr">
        <is>
          <t>Closed</t>
        </is>
      </c>
      <c r="G2532" s="8" t="inlineStr">
        <is>
          <t>Saravanakumar</t>
        </is>
      </c>
      <c r="H2532" s="8" t="n">
        <v>8248438488</v>
      </c>
      <c r="I2532" s="10" t="inlineStr">
        <is>
          <t>PE22042601</t>
        </is>
      </c>
      <c r="J2532" s="8" t="inlineStr">
        <is>
          <t>Anomalies/defects in the modules</t>
        </is>
      </c>
      <c r="K2532" s="8" t="inlineStr">
        <is>
          <t>Tirunelveli</t>
        </is>
      </c>
      <c r="L2532" s="8" t="inlineStr">
        <is>
          <t>Tamil Nadu</t>
        </is>
      </c>
      <c r="M2532" s="60" t="inlineStr">
        <is>
          <t>PS</t>
        </is>
      </c>
      <c r="N2532" s="6" t="inlineStr">
        <is>
          <t>Cold Soldering</t>
        </is>
      </c>
      <c r="O2532" s="11" t="n">
        <v>550</v>
      </c>
      <c r="P2532" s="60" t="inlineStr">
        <is>
          <t>NSMP2306216536</t>
        </is>
      </c>
      <c r="Q2532" s="29">
        <f>MID(P2532,5,2)</f>
        <v/>
      </c>
      <c r="R2532" s="14">
        <f>MID(P2532,7,2)</f>
        <v/>
      </c>
      <c r="S2532" s="6" t="inlineStr">
        <is>
          <t>G2B</t>
        </is>
      </c>
      <c r="T2532" s="1" t="inlineStr">
        <is>
          <t>P2 - PEPPL</t>
        </is>
      </c>
      <c r="U2532" s="6" t="inlineStr">
        <is>
          <t>P JB Cold Soldering</t>
        </is>
      </c>
      <c r="V2532" s="1" t="inlineStr">
        <is>
          <t>Soldering</t>
        </is>
      </c>
      <c r="W2532" s="1" t="inlineStr">
        <is>
          <t>Repair</t>
        </is>
      </c>
      <c r="X2532" s="5" t="n">
        <v>46200</v>
      </c>
      <c r="Y2532" s="1">
        <f>IF(X2532="","",X2532-A2532)</f>
        <v/>
      </c>
      <c r="Z2532" s="5" t="n">
        <v>46200</v>
      </c>
      <c r="AA2532" s="3" t="n"/>
      <c r="AB2532" s="3" t="n"/>
      <c r="AE2532" s="146">
        <f>IF(AND(F2532="Closed",X2532&gt;=DATE(2026,6,1),X2532&lt;=DATE(2026,6,30)),"Closed in June","other")</f>
        <v/>
      </c>
    </row>
    <row r="2533" hidden="1">
      <c r="A2533" s="9" t="n">
        <v>46134</v>
      </c>
      <c r="B2533" s="1" t="n">
        <v>2026</v>
      </c>
      <c r="C2533" s="8" t="inlineStr">
        <is>
          <t>First Energy</t>
        </is>
      </c>
      <c r="D2533" s="11" t="inlineStr">
        <is>
          <t>Utility and C&amp;I</t>
        </is>
      </c>
      <c r="E2533" s="1" t="n"/>
      <c r="F2533" s="1" t="inlineStr">
        <is>
          <t>Closed</t>
        </is>
      </c>
      <c r="G2533" s="8" t="inlineStr">
        <is>
          <t>Saravanakumar</t>
        </is>
      </c>
      <c r="H2533" s="8" t="n">
        <v>8248438488</v>
      </c>
      <c r="I2533" s="10" t="inlineStr">
        <is>
          <t>PE22042601</t>
        </is>
      </c>
      <c r="J2533" s="8" t="inlineStr">
        <is>
          <t>Anomalies/defects in the modules</t>
        </is>
      </c>
      <c r="K2533" s="8" t="inlineStr">
        <is>
          <t>Tirunelveli</t>
        </is>
      </c>
      <c r="L2533" s="8" t="inlineStr">
        <is>
          <t>Tamil Nadu</t>
        </is>
      </c>
      <c r="M2533" s="60" t="inlineStr">
        <is>
          <t>OK</t>
        </is>
      </c>
      <c r="N2533" s="2" t="inlineStr">
        <is>
          <t>No Issue Found</t>
        </is>
      </c>
      <c r="O2533" s="11" t="n">
        <v>550</v>
      </c>
      <c r="P2533" s="60" t="inlineStr">
        <is>
          <t>NSMP2306218086</t>
        </is>
      </c>
      <c r="Q2533" s="29">
        <f>MID(P2533,5,2)</f>
        <v/>
      </c>
      <c r="R2533" s="14">
        <f>MID(P2533,7,2)</f>
        <v/>
      </c>
      <c r="S2533" s="6" t="inlineStr">
        <is>
          <t>G2B</t>
        </is>
      </c>
      <c r="T2533" s="1" t="inlineStr">
        <is>
          <t>P2 - PEPPL</t>
        </is>
      </c>
      <c r="U2533" s="6" t="inlineStr">
        <is>
          <t>No Issue Found</t>
        </is>
      </c>
      <c r="V2533" s="6" t="inlineStr">
        <is>
          <t>Inspection</t>
        </is>
      </c>
      <c r="W2533" s="1" t="inlineStr">
        <is>
          <t>Rejected</t>
        </is>
      </c>
      <c r="X2533" s="5" t="n">
        <v>46200</v>
      </c>
      <c r="Y2533" s="1">
        <f>IF(X2533="","",X2533-A2533)</f>
        <v/>
      </c>
      <c r="Z2533" s="5" t="n">
        <v>46200</v>
      </c>
      <c r="AA2533" s="3" t="n"/>
      <c r="AB2533" s="3" t="n"/>
      <c r="AE2533" s="146">
        <f>IF(AND(F2533="Closed",X2533&gt;=DATE(2026,6,1),X2533&lt;=DATE(2026,6,30)),"Closed in June","other")</f>
        <v/>
      </c>
    </row>
    <row r="2534" hidden="1">
      <c r="A2534" s="9" t="n">
        <v>46134</v>
      </c>
      <c r="B2534" s="1" t="n">
        <v>2026</v>
      </c>
      <c r="C2534" s="8" t="inlineStr">
        <is>
          <t>First Energy</t>
        </is>
      </c>
      <c r="D2534" s="11" t="inlineStr">
        <is>
          <t>Utility and C&amp;I</t>
        </is>
      </c>
      <c r="E2534" s="1" t="n"/>
      <c r="F2534" s="1" t="inlineStr">
        <is>
          <t>Closed</t>
        </is>
      </c>
      <c r="G2534" s="8" t="inlineStr">
        <is>
          <t>Saravanakumar</t>
        </is>
      </c>
      <c r="H2534" s="8" t="n">
        <v>8248438488</v>
      </c>
      <c r="I2534" s="10" t="inlineStr">
        <is>
          <t>PE22042601</t>
        </is>
      </c>
      <c r="J2534" s="8" t="inlineStr">
        <is>
          <t>Anomalies/defects in the modules</t>
        </is>
      </c>
      <c r="K2534" s="8" t="inlineStr">
        <is>
          <t>Tirunelveli</t>
        </is>
      </c>
      <c r="L2534" s="8" t="inlineStr">
        <is>
          <t>Tamil Nadu</t>
        </is>
      </c>
      <c r="M2534" s="60" t="inlineStr">
        <is>
          <t>OK</t>
        </is>
      </c>
      <c r="N2534" s="2" t="inlineStr">
        <is>
          <t>No Issue Found</t>
        </is>
      </c>
      <c r="O2534" s="11" t="n">
        <v>550</v>
      </c>
      <c r="P2534" s="60" t="inlineStr">
        <is>
          <t>NSMP2306223994</t>
        </is>
      </c>
      <c r="Q2534" s="29">
        <f>MID(P2534,5,2)</f>
        <v/>
      </c>
      <c r="R2534" s="14">
        <f>MID(P2534,7,2)</f>
        <v/>
      </c>
      <c r="S2534" s="6" t="inlineStr">
        <is>
          <t>G2B</t>
        </is>
      </c>
      <c r="T2534" s="1" t="inlineStr">
        <is>
          <t>P2 - PEPPL</t>
        </is>
      </c>
      <c r="U2534" s="6" t="inlineStr">
        <is>
          <t>No Issue Found</t>
        </is>
      </c>
      <c r="V2534" s="6" t="inlineStr">
        <is>
          <t>Inspection</t>
        </is>
      </c>
      <c r="W2534" s="1" t="inlineStr">
        <is>
          <t>Rejected</t>
        </is>
      </c>
      <c r="X2534" s="5" t="n">
        <v>46200</v>
      </c>
      <c r="Y2534" s="1">
        <f>IF(X2534="","",X2534-A2534)</f>
        <v/>
      </c>
      <c r="Z2534" s="5" t="n">
        <v>46200</v>
      </c>
      <c r="AA2534" s="3" t="n"/>
      <c r="AB2534" s="3" t="n"/>
      <c r="AE2534" s="146">
        <f>IF(AND(F2534="Closed",X2534&gt;=DATE(2026,6,1),X2534&lt;=DATE(2026,6,30)),"Closed in June","other")</f>
        <v/>
      </c>
    </row>
    <row r="2535" hidden="1">
      <c r="A2535" s="9" t="n">
        <v>46134</v>
      </c>
      <c r="B2535" s="1" t="n">
        <v>2026</v>
      </c>
      <c r="C2535" s="8" t="inlineStr">
        <is>
          <t>First Energy</t>
        </is>
      </c>
      <c r="D2535" s="11" t="inlineStr">
        <is>
          <t>Utility and C&amp;I</t>
        </is>
      </c>
      <c r="E2535" s="1" t="n"/>
      <c r="F2535" s="1" t="inlineStr">
        <is>
          <t>Closed</t>
        </is>
      </c>
      <c r="G2535" s="8" t="inlineStr">
        <is>
          <t>Saravanakumar</t>
        </is>
      </c>
      <c r="H2535" s="8" t="n">
        <v>8248438488</v>
      </c>
      <c r="I2535" s="10" t="inlineStr">
        <is>
          <t>PE22042601</t>
        </is>
      </c>
      <c r="J2535" s="8" t="inlineStr">
        <is>
          <t>Anomalies/defects in the modules</t>
        </is>
      </c>
      <c r="K2535" s="8" t="inlineStr">
        <is>
          <t>Tirunelveli</t>
        </is>
      </c>
      <c r="L2535" s="8" t="inlineStr">
        <is>
          <t>Tamil Nadu</t>
        </is>
      </c>
      <c r="M2535" s="60" t="inlineStr">
        <is>
          <t>OK</t>
        </is>
      </c>
      <c r="N2535" s="2" t="inlineStr">
        <is>
          <t>No Issue Found</t>
        </is>
      </c>
      <c r="O2535" s="11" t="n">
        <v>550</v>
      </c>
      <c r="P2535" s="60" t="inlineStr">
        <is>
          <t>NSMP2306223928</t>
        </is>
      </c>
      <c r="Q2535" s="29">
        <f>MID(P2535,5,2)</f>
        <v/>
      </c>
      <c r="R2535" s="14">
        <f>MID(P2535,7,2)</f>
        <v/>
      </c>
      <c r="S2535" s="6" t="inlineStr">
        <is>
          <t>G2B</t>
        </is>
      </c>
      <c r="T2535" s="1" t="inlineStr">
        <is>
          <t>P2 - PEPPL</t>
        </is>
      </c>
      <c r="U2535" s="6" t="inlineStr">
        <is>
          <t>No Issue Found</t>
        </is>
      </c>
      <c r="V2535" s="6" t="inlineStr">
        <is>
          <t>Inspection</t>
        </is>
      </c>
      <c r="W2535" s="1" t="inlineStr">
        <is>
          <t>Rejected</t>
        </is>
      </c>
      <c r="X2535" s="5" t="n">
        <v>46200</v>
      </c>
      <c r="Y2535" s="1">
        <f>IF(X2535="","",X2535-A2535)</f>
        <v/>
      </c>
      <c r="Z2535" s="5" t="n">
        <v>46200</v>
      </c>
      <c r="AA2535" s="3" t="n"/>
      <c r="AB2535" s="3" t="n"/>
      <c r="AE2535" s="146">
        <f>IF(AND(F2535="Closed",X2535&gt;=DATE(2026,6,1),X2535&lt;=DATE(2026,6,30)),"Closed in June","other")</f>
        <v/>
      </c>
    </row>
    <row r="2536" hidden="1">
      <c r="A2536" s="9" t="n">
        <v>46134</v>
      </c>
      <c r="B2536" s="1" t="n">
        <v>2026</v>
      </c>
      <c r="C2536" s="8" t="inlineStr">
        <is>
          <t>First Energy</t>
        </is>
      </c>
      <c r="D2536" s="11" t="inlineStr">
        <is>
          <t>Utility and C&amp;I</t>
        </is>
      </c>
      <c r="E2536" s="1" t="n"/>
      <c r="F2536" s="1" t="inlineStr">
        <is>
          <t>Closed</t>
        </is>
      </c>
      <c r="G2536" s="8" t="inlineStr">
        <is>
          <t>Saravanakumar</t>
        </is>
      </c>
      <c r="H2536" s="8" t="n">
        <v>8248438488</v>
      </c>
      <c r="I2536" s="10" t="inlineStr">
        <is>
          <t>PE22042601</t>
        </is>
      </c>
      <c r="J2536" s="8" t="inlineStr">
        <is>
          <t>Anomalies/defects in the modules</t>
        </is>
      </c>
      <c r="K2536" s="8" t="inlineStr">
        <is>
          <t>Tirunelveli</t>
        </is>
      </c>
      <c r="L2536" s="8" t="inlineStr">
        <is>
          <t>Tamil Nadu</t>
        </is>
      </c>
      <c r="M2536" s="60" t="inlineStr">
        <is>
          <t>OK</t>
        </is>
      </c>
      <c r="N2536" s="2" t="inlineStr">
        <is>
          <t>No Issue Found</t>
        </is>
      </c>
      <c r="O2536" s="11" t="n">
        <v>550</v>
      </c>
      <c r="P2536" s="60" t="inlineStr">
        <is>
          <t>NSMP2306216791</t>
        </is>
      </c>
      <c r="Q2536" s="29">
        <f>MID(P2536,5,2)</f>
        <v/>
      </c>
      <c r="R2536" s="14">
        <f>MID(P2536,7,2)</f>
        <v/>
      </c>
      <c r="S2536" s="6" t="inlineStr">
        <is>
          <t>G2B</t>
        </is>
      </c>
      <c r="T2536" s="1" t="inlineStr">
        <is>
          <t>P2 - PEPPL</t>
        </is>
      </c>
      <c r="U2536" s="6" t="inlineStr">
        <is>
          <t>No Issue Found</t>
        </is>
      </c>
      <c r="V2536" s="6" t="inlineStr">
        <is>
          <t>Inspection</t>
        </is>
      </c>
      <c r="W2536" s="1" t="inlineStr">
        <is>
          <t>Rejected</t>
        </is>
      </c>
      <c r="X2536" s="5" t="n">
        <v>46200</v>
      </c>
      <c r="Y2536" s="1">
        <f>IF(X2536="","",X2536-A2536)</f>
        <v/>
      </c>
      <c r="Z2536" s="5" t="n">
        <v>46200</v>
      </c>
      <c r="AA2536" s="3" t="n"/>
      <c r="AB2536" s="3" t="n"/>
      <c r="AE2536" s="146">
        <f>IF(AND(F2536="Closed",X2536&gt;=DATE(2026,6,1),X2536&lt;=DATE(2026,6,30)),"Closed in June","other")</f>
        <v/>
      </c>
    </row>
    <row r="2537" hidden="1">
      <c r="A2537" s="9" t="n">
        <v>46134</v>
      </c>
      <c r="B2537" s="1" t="n">
        <v>2026</v>
      </c>
      <c r="C2537" s="8" t="inlineStr">
        <is>
          <t>First Energy</t>
        </is>
      </c>
      <c r="D2537" s="11" t="inlineStr">
        <is>
          <t>Utility and C&amp;I</t>
        </is>
      </c>
      <c r="E2537" s="1" t="n"/>
      <c r="F2537" s="1" t="inlineStr">
        <is>
          <t>Closed</t>
        </is>
      </c>
      <c r="G2537" s="8" t="inlineStr">
        <is>
          <t>Saravanakumar</t>
        </is>
      </c>
      <c r="H2537" s="8" t="n">
        <v>8248438488</v>
      </c>
      <c r="I2537" s="10" t="inlineStr">
        <is>
          <t>PE22042601</t>
        </is>
      </c>
      <c r="J2537" s="8" t="inlineStr">
        <is>
          <t>Anomalies/defects in the modules</t>
        </is>
      </c>
      <c r="K2537" s="8" t="inlineStr">
        <is>
          <t>Tirunelveli</t>
        </is>
      </c>
      <c r="L2537" s="8" t="inlineStr">
        <is>
          <t>Tamil Nadu</t>
        </is>
      </c>
      <c r="M2537" s="60" t="inlineStr">
        <is>
          <t>OK</t>
        </is>
      </c>
      <c r="N2537" s="2" t="inlineStr">
        <is>
          <t>No Issue Found</t>
        </is>
      </c>
      <c r="O2537" s="11" t="n">
        <v>550</v>
      </c>
      <c r="P2537" s="60" t="inlineStr">
        <is>
          <t>NSMP2306216702</t>
        </is>
      </c>
      <c r="Q2537" s="29">
        <f>MID(P2537,5,2)</f>
        <v/>
      </c>
      <c r="R2537" s="14">
        <f>MID(P2537,7,2)</f>
        <v/>
      </c>
      <c r="S2537" s="6" t="inlineStr">
        <is>
          <t>G2B</t>
        </is>
      </c>
      <c r="T2537" s="1" t="inlineStr">
        <is>
          <t>P2 - PEPPL</t>
        </is>
      </c>
      <c r="U2537" s="6" t="inlineStr">
        <is>
          <t>No Issue Found</t>
        </is>
      </c>
      <c r="V2537" s="6" t="inlineStr">
        <is>
          <t>Inspection</t>
        </is>
      </c>
      <c r="W2537" s="1" t="inlineStr">
        <is>
          <t>Rejected</t>
        </is>
      </c>
      <c r="X2537" s="5" t="n">
        <v>46200</v>
      </c>
      <c r="Y2537" s="1">
        <f>IF(X2537="","",X2537-A2537)</f>
        <v/>
      </c>
      <c r="Z2537" s="5" t="n">
        <v>46200</v>
      </c>
      <c r="AA2537" s="3" t="n"/>
      <c r="AB2537" s="3" t="n"/>
      <c r="AE2537" s="146">
        <f>IF(AND(F2537="Closed",X2537&gt;=DATE(2026,6,1),X2537&lt;=DATE(2026,6,30)),"Closed in June","other")</f>
        <v/>
      </c>
    </row>
    <row r="2538" hidden="1">
      <c r="A2538" s="9" t="n">
        <v>46134</v>
      </c>
      <c r="B2538" s="1" t="n">
        <v>2026</v>
      </c>
      <c r="C2538" s="8" t="inlineStr">
        <is>
          <t>First Energy</t>
        </is>
      </c>
      <c r="D2538" s="11" t="inlineStr">
        <is>
          <t>Utility and C&amp;I</t>
        </is>
      </c>
      <c r="E2538" s="1" t="n"/>
      <c r="F2538" s="1" t="inlineStr">
        <is>
          <t>Closed</t>
        </is>
      </c>
      <c r="G2538" s="8" t="inlineStr">
        <is>
          <t>Saravanakumar</t>
        </is>
      </c>
      <c r="H2538" s="8" t="n">
        <v>8248438488</v>
      </c>
      <c r="I2538" s="10" t="inlineStr">
        <is>
          <t>PE22042601</t>
        </is>
      </c>
      <c r="J2538" s="8" t="inlineStr">
        <is>
          <t>Anomalies/defects in the modules</t>
        </is>
      </c>
      <c r="K2538" s="8" t="inlineStr">
        <is>
          <t>Tirunelveli</t>
        </is>
      </c>
      <c r="L2538" s="8" t="inlineStr">
        <is>
          <t>Tamil Nadu</t>
        </is>
      </c>
      <c r="M2538" s="60" t="inlineStr">
        <is>
          <t>MS</t>
        </is>
      </c>
      <c r="N2538" s="6" t="inlineStr">
        <is>
          <t>Cold Soldering</t>
        </is>
      </c>
      <c r="O2538" s="11" t="n">
        <v>550</v>
      </c>
      <c r="P2538" s="60" t="inlineStr">
        <is>
          <t>NSMP2306274493</t>
        </is>
      </c>
      <c r="Q2538" s="29">
        <f>MID(P2538,5,2)</f>
        <v/>
      </c>
      <c r="R2538" s="14">
        <f>MID(P2538,7,2)</f>
        <v/>
      </c>
      <c r="S2538" s="6" t="inlineStr">
        <is>
          <t>G2B</t>
        </is>
      </c>
      <c r="T2538" s="1" t="inlineStr">
        <is>
          <t>P2 - PEPPL</t>
        </is>
      </c>
      <c r="U2538" s="6" t="inlineStr">
        <is>
          <t>M JB Cold Soldering</t>
        </is>
      </c>
      <c r="V2538" s="1" t="inlineStr">
        <is>
          <t>Soldering</t>
        </is>
      </c>
      <c r="W2538" s="1" t="inlineStr">
        <is>
          <t>Repair</t>
        </is>
      </c>
      <c r="X2538" s="5" t="n">
        <v>46200</v>
      </c>
      <c r="Y2538" s="1">
        <f>IF(X2538="","",X2538-A2538)</f>
        <v/>
      </c>
      <c r="Z2538" s="5" t="n">
        <v>46200</v>
      </c>
      <c r="AA2538" s="3" t="n"/>
      <c r="AB2538" s="3" t="n"/>
      <c r="AE2538" s="146">
        <f>IF(AND(F2538="Closed",X2538&gt;=DATE(2026,6,1),X2538&lt;=DATE(2026,6,30)),"Closed in June","other")</f>
        <v/>
      </c>
    </row>
    <row r="2539" hidden="1">
      <c r="A2539" s="9" t="n">
        <v>46134</v>
      </c>
      <c r="B2539" s="1" t="n">
        <v>2026</v>
      </c>
      <c r="C2539" s="8" t="inlineStr">
        <is>
          <t>First Energy</t>
        </is>
      </c>
      <c r="D2539" s="11" t="inlineStr">
        <is>
          <t>Utility and C&amp;I</t>
        </is>
      </c>
      <c r="E2539" s="1" t="n"/>
      <c r="F2539" s="1" t="inlineStr">
        <is>
          <t>Closed</t>
        </is>
      </c>
      <c r="G2539" s="8" t="inlineStr">
        <is>
          <t>Saravanakumar</t>
        </is>
      </c>
      <c r="H2539" s="8" t="n">
        <v>8248438488</v>
      </c>
      <c r="I2539" s="10" t="inlineStr">
        <is>
          <t>PE22042601</t>
        </is>
      </c>
      <c r="J2539" s="8" t="inlineStr">
        <is>
          <t>Anomalies/defects in the modules</t>
        </is>
      </c>
      <c r="K2539" s="8" t="inlineStr">
        <is>
          <t>Tirunelveli</t>
        </is>
      </c>
      <c r="L2539" s="8" t="inlineStr">
        <is>
          <t>Tamil Nadu</t>
        </is>
      </c>
      <c r="M2539" s="60" t="inlineStr">
        <is>
          <t>OK</t>
        </is>
      </c>
      <c r="N2539" s="2" t="inlineStr">
        <is>
          <t>No Issue Found</t>
        </is>
      </c>
      <c r="O2539" s="11" t="n">
        <v>550</v>
      </c>
      <c r="P2539" s="60" t="inlineStr">
        <is>
          <t>NSMP2306272648</t>
        </is>
      </c>
      <c r="Q2539" s="29">
        <f>MID(P2539,5,2)</f>
        <v/>
      </c>
      <c r="R2539" s="14">
        <f>MID(P2539,7,2)</f>
        <v/>
      </c>
      <c r="S2539" s="6" t="inlineStr">
        <is>
          <t>G2B</t>
        </is>
      </c>
      <c r="T2539" s="1" t="inlineStr">
        <is>
          <t>P2 - PEPPL</t>
        </is>
      </c>
      <c r="U2539" s="6" t="inlineStr">
        <is>
          <t>No Issue Found</t>
        </is>
      </c>
      <c r="V2539" s="6" t="inlineStr">
        <is>
          <t>Inspection</t>
        </is>
      </c>
      <c r="W2539" s="1" t="inlineStr">
        <is>
          <t>Rejected</t>
        </is>
      </c>
      <c r="X2539" s="5" t="n">
        <v>46200</v>
      </c>
      <c r="Y2539" s="1">
        <f>IF(X2539="","",X2539-A2539)</f>
        <v/>
      </c>
      <c r="Z2539" s="5" t="n">
        <v>46200</v>
      </c>
      <c r="AA2539" s="3" t="n"/>
      <c r="AB2539" s="3" t="n"/>
      <c r="AE2539" s="146">
        <f>IF(AND(F2539="Closed",X2539&gt;=DATE(2026,6,1),X2539&lt;=DATE(2026,6,30)),"Closed in June","other")</f>
        <v/>
      </c>
    </row>
    <row r="2540" hidden="1">
      <c r="A2540" s="9" t="n">
        <v>46134</v>
      </c>
      <c r="B2540" s="1" t="n">
        <v>2026</v>
      </c>
      <c r="C2540" s="8" t="inlineStr">
        <is>
          <t>First Energy</t>
        </is>
      </c>
      <c r="D2540" s="11" t="inlineStr">
        <is>
          <t>Utility and C&amp;I</t>
        </is>
      </c>
      <c r="E2540" s="1" t="n"/>
      <c r="F2540" s="1" t="inlineStr">
        <is>
          <t>Closed</t>
        </is>
      </c>
      <c r="G2540" s="8" t="inlineStr">
        <is>
          <t>Saravanakumar</t>
        </is>
      </c>
      <c r="H2540" s="8" t="n">
        <v>8248438488</v>
      </c>
      <c r="I2540" s="10" t="inlineStr">
        <is>
          <t>PE22042601</t>
        </is>
      </c>
      <c r="J2540" s="8" t="inlineStr">
        <is>
          <t>Anomalies/defects in the modules</t>
        </is>
      </c>
      <c r="K2540" s="8" t="inlineStr">
        <is>
          <t>Tirunelveli</t>
        </is>
      </c>
      <c r="L2540" s="8" t="inlineStr">
        <is>
          <t>Tamil Nadu</t>
        </is>
      </c>
      <c r="M2540" s="60" t="inlineStr">
        <is>
          <t>OK</t>
        </is>
      </c>
      <c r="N2540" s="2" t="inlineStr">
        <is>
          <t>No Issue Found</t>
        </is>
      </c>
      <c r="O2540" s="11" t="n">
        <v>550</v>
      </c>
      <c r="P2540" s="60" t="inlineStr">
        <is>
          <t>NSMP2306243694</t>
        </is>
      </c>
      <c r="Q2540" s="29">
        <f>MID(P2540,5,2)</f>
        <v/>
      </c>
      <c r="R2540" s="14">
        <f>MID(P2540,7,2)</f>
        <v/>
      </c>
      <c r="S2540" s="6" t="inlineStr">
        <is>
          <t>G2B</t>
        </is>
      </c>
      <c r="T2540" s="1" t="inlineStr">
        <is>
          <t>P2 - PEPPL</t>
        </is>
      </c>
      <c r="U2540" s="6" t="inlineStr">
        <is>
          <t>No Issue Found</t>
        </is>
      </c>
      <c r="V2540" s="6" t="inlineStr">
        <is>
          <t>Inspection</t>
        </is>
      </c>
      <c r="W2540" s="1" t="inlineStr">
        <is>
          <t>Rejected</t>
        </is>
      </c>
      <c r="X2540" s="5" t="n">
        <v>46200</v>
      </c>
      <c r="Y2540" s="1">
        <f>IF(X2540="","",X2540-A2540)</f>
        <v/>
      </c>
      <c r="Z2540" s="5" t="n">
        <v>46200</v>
      </c>
      <c r="AA2540" s="3" t="n"/>
      <c r="AB2540" s="3" t="n"/>
      <c r="AE2540" s="146">
        <f>IF(AND(F2540="Closed",X2540&gt;=DATE(2026,6,1),X2540&lt;=DATE(2026,6,30)),"Closed in June","other")</f>
        <v/>
      </c>
    </row>
    <row r="2541" hidden="1">
      <c r="A2541" s="9" t="n">
        <v>46134</v>
      </c>
      <c r="B2541" s="1" t="n">
        <v>2026</v>
      </c>
      <c r="C2541" s="8" t="inlineStr">
        <is>
          <t>First Energy</t>
        </is>
      </c>
      <c r="D2541" s="11" t="inlineStr">
        <is>
          <t>Utility and C&amp;I</t>
        </is>
      </c>
      <c r="E2541" s="1" t="n"/>
      <c r="F2541" s="1" t="inlineStr">
        <is>
          <t>Closed</t>
        </is>
      </c>
      <c r="G2541" s="8" t="inlineStr">
        <is>
          <t>Saravanakumar</t>
        </is>
      </c>
      <c r="H2541" s="8" t="n">
        <v>8248438488</v>
      </c>
      <c r="I2541" s="10" t="inlineStr">
        <is>
          <t>PE22042601</t>
        </is>
      </c>
      <c r="J2541" s="8" t="inlineStr">
        <is>
          <t>Anomalies/defects in the modules</t>
        </is>
      </c>
      <c r="K2541" s="8" t="inlineStr">
        <is>
          <t>Tirunelveli</t>
        </is>
      </c>
      <c r="L2541" s="8" t="inlineStr">
        <is>
          <t>Tamil Nadu</t>
        </is>
      </c>
      <c r="M2541" s="60" t="inlineStr">
        <is>
          <t>OK</t>
        </is>
      </c>
      <c r="N2541" s="2" t="inlineStr">
        <is>
          <t>No Issue Found</t>
        </is>
      </c>
      <c r="O2541" s="11" t="n">
        <v>550</v>
      </c>
      <c r="P2541" s="60" t="inlineStr">
        <is>
          <t>NSMP2306214603</t>
        </is>
      </c>
      <c r="Q2541" s="29">
        <f>MID(P2541,5,2)</f>
        <v/>
      </c>
      <c r="R2541" s="14">
        <f>MID(P2541,7,2)</f>
        <v/>
      </c>
      <c r="S2541" s="6" t="inlineStr">
        <is>
          <t>G2B</t>
        </is>
      </c>
      <c r="T2541" s="1" t="inlineStr">
        <is>
          <t>P2 - PEPPL</t>
        </is>
      </c>
      <c r="U2541" s="6" t="inlineStr">
        <is>
          <t>No Issue Found</t>
        </is>
      </c>
      <c r="V2541" s="6" t="inlineStr">
        <is>
          <t>Inspection</t>
        </is>
      </c>
      <c r="W2541" s="1" t="inlineStr">
        <is>
          <t>Rejected</t>
        </is>
      </c>
      <c r="X2541" s="5" t="n">
        <v>46200</v>
      </c>
      <c r="Y2541" s="1">
        <f>IF(X2541="","",X2541-A2541)</f>
        <v/>
      </c>
      <c r="Z2541" s="5" t="n">
        <v>46200</v>
      </c>
      <c r="AA2541" s="3" t="n"/>
      <c r="AB2541" s="3" t="n"/>
      <c r="AE2541" s="146">
        <f>IF(AND(F2541="Closed",X2541&gt;=DATE(2026,6,1),X2541&lt;=DATE(2026,6,30)),"Closed in June","other")</f>
        <v/>
      </c>
    </row>
    <row r="2542" hidden="1">
      <c r="A2542" s="9" t="n">
        <v>46134</v>
      </c>
      <c r="B2542" s="1" t="n">
        <v>2026</v>
      </c>
      <c r="C2542" s="8" t="inlineStr">
        <is>
          <t>First Energy</t>
        </is>
      </c>
      <c r="D2542" s="11" t="inlineStr">
        <is>
          <t>Utility and C&amp;I</t>
        </is>
      </c>
      <c r="E2542" s="1" t="n"/>
      <c r="F2542" s="1" t="inlineStr">
        <is>
          <t>Closed</t>
        </is>
      </c>
      <c r="G2542" s="8" t="inlineStr">
        <is>
          <t>Saravanakumar</t>
        </is>
      </c>
      <c r="H2542" s="8" t="n">
        <v>8248438488</v>
      </c>
      <c r="I2542" s="10" t="inlineStr">
        <is>
          <t>PE22042601</t>
        </is>
      </c>
      <c r="J2542" s="8" t="inlineStr">
        <is>
          <t>Anomalies/defects in the modules</t>
        </is>
      </c>
      <c r="K2542" s="8" t="inlineStr">
        <is>
          <t>Tirunelveli</t>
        </is>
      </c>
      <c r="L2542" s="8" t="inlineStr">
        <is>
          <t>Tamil Nadu</t>
        </is>
      </c>
      <c r="M2542" s="60" t="inlineStr">
        <is>
          <t>OK</t>
        </is>
      </c>
      <c r="N2542" s="2" t="inlineStr">
        <is>
          <t>No Issue Found</t>
        </is>
      </c>
      <c r="O2542" s="11" t="n">
        <v>550</v>
      </c>
      <c r="P2542" s="60" t="inlineStr">
        <is>
          <t>NSMP2306222821</t>
        </is>
      </c>
      <c r="Q2542" s="29">
        <f>MID(P2542,5,2)</f>
        <v/>
      </c>
      <c r="R2542" s="14">
        <f>MID(P2542,7,2)</f>
        <v/>
      </c>
      <c r="S2542" s="6" t="inlineStr">
        <is>
          <t>G2B</t>
        </is>
      </c>
      <c r="T2542" s="1" t="inlineStr">
        <is>
          <t>P2 - PEPPL</t>
        </is>
      </c>
      <c r="U2542" s="6" t="inlineStr">
        <is>
          <t>No Issue Found</t>
        </is>
      </c>
      <c r="V2542" s="6" t="inlineStr">
        <is>
          <t>Inspection</t>
        </is>
      </c>
      <c r="W2542" s="1" t="inlineStr">
        <is>
          <t>Rejected</t>
        </is>
      </c>
      <c r="X2542" s="5" t="n">
        <v>46200</v>
      </c>
      <c r="Y2542" s="1">
        <f>IF(X2542="","",X2542-A2542)</f>
        <v/>
      </c>
      <c r="Z2542" s="5" t="n">
        <v>46200</v>
      </c>
      <c r="AA2542" s="3" t="n"/>
      <c r="AB2542" s="3" t="n"/>
      <c r="AE2542" s="146">
        <f>IF(AND(F2542="Closed",X2542&gt;=DATE(2026,6,1),X2542&lt;=DATE(2026,6,30)),"Closed in June","other")</f>
        <v/>
      </c>
    </row>
    <row r="2543" hidden="1">
      <c r="A2543" s="9" t="n">
        <v>46134</v>
      </c>
      <c r="B2543" s="1" t="n">
        <v>2026</v>
      </c>
      <c r="C2543" s="8" t="inlineStr">
        <is>
          <t>First Energy</t>
        </is>
      </c>
      <c r="D2543" s="11" t="inlineStr">
        <is>
          <t>Utility and C&amp;I</t>
        </is>
      </c>
      <c r="E2543" s="1" t="n"/>
      <c r="F2543" s="1" t="inlineStr">
        <is>
          <t>Closed</t>
        </is>
      </c>
      <c r="G2543" s="8" t="inlineStr">
        <is>
          <t>Saravanakumar</t>
        </is>
      </c>
      <c r="H2543" s="8" t="n">
        <v>8248438488</v>
      </c>
      <c r="I2543" s="10" t="inlineStr">
        <is>
          <t>PE22042601</t>
        </is>
      </c>
      <c r="J2543" s="8" t="inlineStr">
        <is>
          <t>Anomalies/defects in the modules</t>
        </is>
      </c>
      <c r="K2543" s="8" t="inlineStr">
        <is>
          <t>Tirunelveli</t>
        </is>
      </c>
      <c r="L2543" s="8" t="inlineStr">
        <is>
          <t>Tamil Nadu</t>
        </is>
      </c>
      <c r="M2543" s="60" t="inlineStr">
        <is>
          <t>PR</t>
        </is>
      </c>
      <c r="N2543" s="1" t="inlineStr">
        <is>
          <t>JB Issue</t>
        </is>
      </c>
      <c r="O2543" s="11" t="n">
        <v>550</v>
      </c>
      <c r="P2543" s="60" t="inlineStr">
        <is>
          <t>NSMP2307339557</t>
        </is>
      </c>
      <c r="Q2543" s="29">
        <f>MID(P2543,5,2)</f>
        <v/>
      </c>
      <c r="R2543" s="14">
        <f>MID(P2543,7,2)</f>
        <v/>
      </c>
      <c r="S2543" s="6" t="inlineStr">
        <is>
          <t>G2B</t>
        </is>
      </c>
      <c r="T2543" s="1" t="inlineStr">
        <is>
          <t>P2 - PEPPL</t>
        </is>
      </c>
      <c r="U2543" s="6" t="inlineStr">
        <is>
          <t>P JB MC4 Connector Cutting Issue</t>
        </is>
      </c>
      <c r="V2543" s="6" t="inlineStr">
        <is>
          <t>JB Changed</t>
        </is>
      </c>
      <c r="W2543" s="1" t="inlineStr">
        <is>
          <t>Repair</t>
        </is>
      </c>
      <c r="X2543" s="5" t="n">
        <v>46200</v>
      </c>
      <c r="Y2543" s="1">
        <f>IF(X2543="","",X2543-A2543)</f>
        <v/>
      </c>
      <c r="Z2543" s="5" t="n">
        <v>46200</v>
      </c>
      <c r="AA2543" s="3" t="n"/>
      <c r="AB2543" s="3" t="n"/>
      <c r="AE2543" s="146">
        <f>IF(AND(F2543="Closed",X2543&gt;=DATE(2026,6,1),X2543&lt;=DATE(2026,6,30)),"Closed in June","other")</f>
        <v/>
      </c>
    </row>
    <row r="2544" hidden="1">
      <c r="A2544" s="9" t="n">
        <v>46134</v>
      </c>
      <c r="B2544" s="1" t="n">
        <v>2026</v>
      </c>
      <c r="C2544" s="8" t="inlineStr">
        <is>
          <t>First Energy</t>
        </is>
      </c>
      <c r="D2544" s="11" t="inlineStr">
        <is>
          <t>Utility and C&amp;I</t>
        </is>
      </c>
      <c r="E2544" s="1" t="n"/>
      <c r="F2544" s="1" t="inlineStr">
        <is>
          <t>Closed</t>
        </is>
      </c>
      <c r="G2544" s="8" t="inlineStr">
        <is>
          <t>Saravanakumar</t>
        </is>
      </c>
      <c r="H2544" s="8" t="n">
        <v>8248438488</v>
      </c>
      <c r="I2544" s="10" t="inlineStr">
        <is>
          <t>PE22042601</t>
        </is>
      </c>
      <c r="J2544" s="8" t="inlineStr">
        <is>
          <t>Anomalies/defects in the modules</t>
        </is>
      </c>
      <c r="K2544" s="8" t="inlineStr">
        <is>
          <t>Tirunelveli</t>
        </is>
      </c>
      <c r="L2544" s="8" t="inlineStr">
        <is>
          <t>Tamil Nadu</t>
        </is>
      </c>
      <c r="M2544" s="60" t="inlineStr">
        <is>
          <t>OK</t>
        </is>
      </c>
      <c r="N2544" s="2" t="inlineStr">
        <is>
          <t>No Issue Found</t>
        </is>
      </c>
      <c r="O2544" s="11" t="n">
        <v>550</v>
      </c>
      <c r="P2544" s="60" t="inlineStr">
        <is>
          <t>NSMP2307339102</t>
        </is>
      </c>
      <c r="Q2544" s="29">
        <f>MID(P2544,5,2)</f>
        <v/>
      </c>
      <c r="R2544" s="14">
        <f>MID(P2544,7,2)</f>
        <v/>
      </c>
      <c r="S2544" s="6" t="inlineStr">
        <is>
          <t>G2B</t>
        </is>
      </c>
      <c r="T2544" s="1" t="inlineStr">
        <is>
          <t>P2 - PEPPL</t>
        </is>
      </c>
      <c r="U2544" s="6" t="inlineStr">
        <is>
          <t>No Issue Found</t>
        </is>
      </c>
      <c r="V2544" s="6" t="inlineStr">
        <is>
          <t>Inspection</t>
        </is>
      </c>
      <c r="W2544" s="1" t="inlineStr">
        <is>
          <t>Rejected</t>
        </is>
      </c>
      <c r="X2544" s="5" t="n">
        <v>46200</v>
      </c>
      <c r="Y2544" s="1">
        <f>IF(X2544="","",X2544-A2544)</f>
        <v/>
      </c>
      <c r="Z2544" s="5" t="n">
        <v>46200</v>
      </c>
      <c r="AA2544" s="3" t="n"/>
      <c r="AB2544" s="3" t="n"/>
      <c r="AE2544" s="146">
        <f>IF(AND(F2544="Closed",X2544&gt;=DATE(2026,6,1),X2544&lt;=DATE(2026,6,30)),"Closed in June","other")</f>
        <v/>
      </c>
    </row>
    <row r="2545" hidden="1">
      <c r="A2545" s="9" t="n">
        <v>46134</v>
      </c>
      <c r="B2545" s="1" t="n">
        <v>2026</v>
      </c>
      <c r="C2545" s="8" t="inlineStr">
        <is>
          <t>First Energy</t>
        </is>
      </c>
      <c r="D2545" s="11" t="inlineStr">
        <is>
          <t>Utility and C&amp;I</t>
        </is>
      </c>
      <c r="E2545" s="1" t="n"/>
      <c r="F2545" s="1" t="inlineStr">
        <is>
          <t>Closed</t>
        </is>
      </c>
      <c r="G2545" s="8" t="inlineStr">
        <is>
          <t>Saravanakumar</t>
        </is>
      </c>
      <c r="H2545" s="8" t="n">
        <v>8248438488</v>
      </c>
      <c r="I2545" s="10" t="inlineStr">
        <is>
          <t>PE22042601</t>
        </is>
      </c>
      <c r="J2545" s="8" t="inlineStr">
        <is>
          <t>Anomalies/defects in the modules</t>
        </is>
      </c>
      <c r="K2545" s="8" t="inlineStr">
        <is>
          <t>Tirunelveli</t>
        </is>
      </c>
      <c r="L2545" s="8" t="inlineStr">
        <is>
          <t>Tamil Nadu</t>
        </is>
      </c>
      <c r="M2545" s="60" t="inlineStr">
        <is>
          <t>OK</t>
        </is>
      </c>
      <c r="N2545" s="2" t="inlineStr">
        <is>
          <t>No Issue Found</t>
        </is>
      </c>
      <c r="O2545" s="11" t="n">
        <v>550</v>
      </c>
      <c r="P2545" s="60" t="inlineStr">
        <is>
          <t>NSMP2307370455</t>
        </is>
      </c>
      <c r="Q2545" s="29">
        <f>MID(P2545,5,2)</f>
        <v/>
      </c>
      <c r="R2545" s="14">
        <f>MID(P2545,7,2)</f>
        <v/>
      </c>
      <c r="S2545" s="6" t="inlineStr">
        <is>
          <t>G2B</t>
        </is>
      </c>
      <c r="T2545" s="1" t="inlineStr">
        <is>
          <t>P2 - PEPPL</t>
        </is>
      </c>
      <c r="U2545" s="6" t="inlineStr">
        <is>
          <t>No Issue Found</t>
        </is>
      </c>
      <c r="V2545" s="6" t="inlineStr">
        <is>
          <t>Inspection</t>
        </is>
      </c>
      <c r="W2545" s="1" t="inlineStr">
        <is>
          <t>Rejected</t>
        </is>
      </c>
      <c r="X2545" s="5" t="n">
        <v>46200</v>
      </c>
      <c r="Y2545" s="1">
        <f>IF(X2545="","",X2545-A2545)</f>
        <v/>
      </c>
      <c r="Z2545" s="5" t="n">
        <v>46200</v>
      </c>
      <c r="AA2545" s="3" t="n"/>
      <c r="AB2545" s="3" t="n"/>
      <c r="AE2545" s="146">
        <f>IF(AND(F2545="Closed",X2545&gt;=DATE(2026,6,1),X2545&lt;=DATE(2026,6,30)),"Closed in June","other")</f>
        <v/>
      </c>
    </row>
    <row r="2546" hidden="1">
      <c r="A2546" s="9" t="n">
        <v>46134</v>
      </c>
      <c r="B2546" s="1" t="n">
        <v>2026</v>
      </c>
      <c r="C2546" s="8" t="inlineStr">
        <is>
          <t>First Energy</t>
        </is>
      </c>
      <c r="D2546" s="11" t="inlineStr">
        <is>
          <t>Utility and C&amp;I</t>
        </is>
      </c>
      <c r="E2546" s="1" t="n"/>
      <c r="F2546" s="1" t="inlineStr">
        <is>
          <t>Closed</t>
        </is>
      </c>
      <c r="G2546" s="8" t="inlineStr">
        <is>
          <t>Saravanakumar</t>
        </is>
      </c>
      <c r="H2546" s="8" t="n">
        <v>8248438488</v>
      </c>
      <c r="I2546" s="10" t="inlineStr">
        <is>
          <t>PE22042601</t>
        </is>
      </c>
      <c r="J2546" s="8" t="inlineStr">
        <is>
          <t>Anomalies/defects in the modules</t>
        </is>
      </c>
      <c r="K2546" s="8" t="inlineStr">
        <is>
          <t>Tirunelveli</t>
        </is>
      </c>
      <c r="L2546" s="8" t="inlineStr">
        <is>
          <t>Tamil Nadu</t>
        </is>
      </c>
      <c r="M2546" s="60" t="inlineStr">
        <is>
          <t>MS</t>
        </is>
      </c>
      <c r="N2546" s="6" t="inlineStr">
        <is>
          <t>Cold Soldering</t>
        </is>
      </c>
      <c r="O2546" s="11" t="n">
        <v>550</v>
      </c>
      <c r="P2546" s="60" t="inlineStr">
        <is>
          <t>NSMP2308472580</t>
        </is>
      </c>
      <c r="Q2546" s="29">
        <f>MID(P2546,5,2)</f>
        <v/>
      </c>
      <c r="R2546" s="14">
        <f>MID(P2546,7,2)</f>
        <v/>
      </c>
      <c r="S2546" s="6" t="inlineStr">
        <is>
          <t>G2B</t>
        </is>
      </c>
      <c r="T2546" s="1" t="inlineStr">
        <is>
          <t>P2 - PEPPL</t>
        </is>
      </c>
      <c r="U2546" s="6" t="inlineStr">
        <is>
          <t>M JB Cold Soldering</t>
        </is>
      </c>
      <c r="V2546" s="1" t="inlineStr">
        <is>
          <t>Soldering</t>
        </is>
      </c>
      <c r="W2546" s="1" t="inlineStr">
        <is>
          <t>Repair</t>
        </is>
      </c>
      <c r="X2546" s="5" t="n">
        <v>46200</v>
      </c>
      <c r="Y2546" s="1">
        <f>IF(X2546="","",X2546-A2546)</f>
        <v/>
      </c>
      <c r="Z2546" s="5" t="n">
        <v>46200</v>
      </c>
      <c r="AA2546" s="3" t="n"/>
      <c r="AB2546" s="3" t="n"/>
      <c r="AE2546" s="146">
        <f>IF(AND(F2546="Closed",X2546&gt;=DATE(2026,6,1),X2546&lt;=DATE(2026,6,30)),"Closed in June","other")</f>
        <v/>
      </c>
    </row>
    <row r="2547" hidden="1">
      <c r="A2547" s="9" t="n">
        <v>46134</v>
      </c>
      <c r="B2547" s="1" t="n">
        <v>2026</v>
      </c>
      <c r="C2547" s="8" t="inlineStr">
        <is>
          <t>First Energy</t>
        </is>
      </c>
      <c r="D2547" s="11" t="inlineStr">
        <is>
          <t>Utility and C&amp;I</t>
        </is>
      </c>
      <c r="E2547" s="1" t="n"/>
      <c r="F2547" s="1" t="inlineStr">
        <is>
          <t>Closed</t>
        </is>
      </c>
      <c r="G2547" s="8" t="inlineStr">
        <is>
          <t>Saravanakumar</t>
        </is>
      </c>
      <c r="H2547" s="8" t="n">
        <v>8248438488</v>
      </c>
      <c r="I2547" s="10" t="inlineStr">
        <is>
          <t>PE22042601</t>
        </is>
      </c>
      <c r="J2547" s="8" t="inlineStr">
        <is>
          <t>Anomalies/defects in the modules</t>
        </is>
      </c>
      <c r="K2547" s="8" t="inlineStr">
        <is>
          <t>Tirunelveli</t>
        </is>
      </c>
      <c r="L2547" s="8" t="inlineStr">
        <is>
          <t>Tamil Nadu</t>
        </is>
      </c>
      <c r="M2547" s="60" t="inlineStr">
        <is>
          <t>OK</t>
        </is>
      </c>
      <c r="N2547" s="2" t="inlineStr">
        <is>
          <t>No Issue Found</t>
        </is>
      </c>
      <c r="O2547" s="11" t="n">
        <v>550</v>
      </c>
      <c r="P2547" s="60" t="inlineStr">
        <is>
          <t>NSMP2308482310</t>
        </is>
      </c>
      <c r="Q2547" s="29">
        <f>MID(P2547,5,2)</f>
        <v/>
      </c>
      <c r="R2547" s="14">
        <f>MID(P2547,7,2)</f>
        <v/>
      </c>
      <c r="S2547" s="6" t="inlineStr">
        <is>
          <t>G2B</t>
        </is>
      </c>
      <c r="T2547" s="1" t="inlineStr">
        <is>
          <t>P2 - PEPPL</t>
        </is>
      </c>
      <c r="U2547" s="6" t="inlineStr">
        <is>
          <t>No Issue Found</t>
        </is>
      </c>
      <c r="V2547" s="6" t="inlineStr">
        <is>
          <t>Inspection</t>
        </is>
      </c>
      <c r="W2547" s="1" t="inlineStr">
        <is>
          <t>Rejected</t>
        </is>
      </c>
      <c r="X2547" s="5" t="n">
        <v>46200</v>
      </c>
      <c r="Y2547" s="1">
        <f>IF(X2547="","",X2547-A2547)</f>
        <v/>
      </c>
      <c r="Z2547" s="5" t="n">
        <v>46200</v>
      </c>
      <c r="AA2547" s="3" t="n"/>
      <c r="AB2547" s="3" t="n"/>
      <c r="AE2547" s="146">
        <f>IF(AND(F2547="Closed",X2547&gt;=DATE(2026,6,1),X2547&lt;=DATE(2026,6,30)),"Closed in June","other")</f>
        <v/>
      </c>
    </row>
    <row r="2548" hidden="1">
      <c r="A2548" s="9" t="n">
        <v>46134</v>
      </c>
      <c r="B2548" s="1" t="n">
        <v>2026</v>
      </c>
      <c r="C2548" s="8" t="inlineStr">
        <is>
          <t>First Energy</t>
        </is>
      </c>
      <c r="D2548" s="11" t="inlineStr">
        <is>
          <t>Utility and C&amp;I</t>
        </is>
      </c>
      <c r="E2548" s="1" t="n"/>
      <c r="F2548" s="1" t="inlineStr">
        <is>
          <t>Closed</t>
        </is>
      </c>
      <c r="G2548" s="8" t="inlineStr">
        <is>
          <t>Saravanakumar</t>
        </is>
      </c>
      <c r="H2548" s="8" t="n">
        <v>8248438488</v>
      </c>
      <c r="I2548" s="10" t="inlineStr">
        <is>
          <t>PE22042601</t>
        </is>
      </c>
      <c r="J2548" s="8" t="inlineStr">
        <is>
          <t>Anomalies/defects in the modules</t>
        </is>
      </c>
      <c r="K2548" s="8" t="inlineStr">
        <is>
          <t>Tirunelveli</t>
        </is>
      </c>
      <c r="L2548" s="8" t="inlineStr">
        <is>
          <t>Tamil Nadu</t>
        </is>
      </c>
      <c r="M2548" s="60" t="inlineStr">
        <is>
          <t>OK</t>
        </is>
      </c>
      <c r="N2548" s="2" t="inlineStr">
        <is>
          <t>No Issue Found</t>
        </is>
      </c>
      <c r="O2548" s="11" t="n">
        <v>550</v>
      </c>
      <c r="P2548" s="60" t="inlineStr">
        <is>
          <t>NSMP2307329583</t>
        </is>
      </c>
      <c r="Q2548" s="29">
        <f>MID(P2548,5,2)</f>
        <v/>
      </c>
      <c r="R2548" s="14">
        <f>MID(P2548,7,2)</f>
        <v/>
      </c>
      <c r="S2548" s="6" t="inlineStr">
        <is>
          <t>G2B</t>
        </is>
      </c>
      <c r="T2548" s="1" t="inlineStr">
        <is>
          <t>P2 - PEPPL</t>
        </is>
      </c>
      <c r="U2548" s="6" t="inlineStr">
        <is>
          <t>No Issue Found</t>
        </is>
      </c>
      <c r="V2548" s="6" t="inlineStr">
        <is>
          <t>Inspection</t>
        </is>
      </c>
      <c r="W2548" s="1" t="inlineStr">
        <is>
          <t>Rejected</t>
        </is>
      </c>
      <c r="X2548" s="5" t="n">
        <v>46200</v>
      </c>
      <c r="Y2548" s="1">
        <f>IF(X2548="","",X2548-A2548)</f>
        <v/>
      </c>
      <c r="Z2548" s="5" t="n">
        <v>46200</v>
      </c>
      <c r="AA2548" s="3" t="n"/>
      <c r="AB2548" s="3" t="n"/>
      <c r="AE2548" s="146">
        <f>IF(AND(F2548="Closed",X2548&gt;=DATE(2026,6,1),X2548&lt;=DATE(2026,6,30)),"Closed in June","other")</f>
        <v/>
      </c>
    </row>
    <row r="2549" hidden="1">
      <c r="A2549" s="9" t="n">
        <v>46134</v>
      </c>
      <c r="B2549" s="1" t="n">
        <v>2026</v>
      </c>
      <c r="C2549" s="8" t="inlineStr">
        <is>
          <t>First Energy</t>
        </is>
      </c>
      <c r="D2549" s="11" t="inlineStr">
        <is>
          <t>Utility and C&amp;I</t>
        </is>
      </c>
      <c r="E2549" s="1" t="n"/>
      <c r="F2549" s="1" t="inlineStr">
        <is>
          <t>Closed</t>
        </is>
      </c>
      <c r="G2549" s="8" t="inlineStr">
        <is>
          <t>Saravanakumar</t>
        </is>
      </c>
      <c r="H2549" s="8" t="n">
        <v>8248438488</v>
      </c>
      <c r="I2549" s="10" t="inlineStr">
        <is>
          <t>PE22042601</t>
        </is>
      </c>
      <c r="J2549" s="8" t="inlineStr">
        <is>
          <t>Anomalies/defects in the modules</t>
        </is>
      </c>
      <c r="K2549" s="8" t="inlineStr">
        <is>
          <t>Tirunelveli</t>
        </is>
      </c>
      <c r="L2549" s="8" t="inlineStr">
        <is>
          <t>Tamil Nadu</t>
        </is>
      </c>
      <c r="M2549" s="60" t="inlineStr">
        <is>
          <t>OK</t>
        </is>
      </c>
      <c r="N2549" s="2" t="inlineStr">
        <is>
          <t>No Issue Found</t>
        </is>
      </c>
      <c r="O2549" s="11" t="n">
        <v>550</v>
      </c>
      <c r="P2549" s="60" t="inlineStr">
        <is>
          <t>NSMP2308481660</t>
        </is>
      </c>
      <c r="Q2549" s="29">
        <f>MID(P2549,5,2)</f>
        <v/>
      </c>
      <c r="R2549" s="14">
        <f>MID(P2549,7,2)</f>
        <v/>
      </c>
      <c r="S2549" s="6" t="inlineStr">
        <is>
          <t>G2B</t>
        </is>
      </c>
      <c r="T2549" s="1" t="inlineStr">
        <is>
          <t>P2 - PEPPL</t>
        </is>
      </c>
      <c r="U2549" s="6" t="inlineStr">
        <is>
          <t>No Issue Found</t>
        </is>
      </c>
      <c r="V2549" s="6" t="inlineStr">
        <is>
          <t>Inspection</t>
        </is>
      </c>
      <c r="W2549" s="1" t="inlineStr">
        <is>
          <t>Rejected</t>
        </is>
      </c>
      <c r="X2549" s="5" t="n">
        <v>46200</v>
      </c>
      <c r="Y2549" s="1">
        <f>IF(X2549="","",X2549-A2549)</f>
        <v/>
      </c>
      <c r="Z2549" s="5" t="n">
        <v>46200</v>
      </c>
      <c r="AA2549" s="3" t="n"/>
      <c r="AB2549" s="3" t="n"/>
      <c r="AE2549" s="146">
        <f>IF(AND(F2549="Closed",X2549&gt;=DATE(2026,6,1),X2549&lt;=DATE(2026,6,30)),"Closed in June","other")</f>
        <v/>
      </c>
    </row>
    <row r="2550" hidden="1">
      <c r="A2550" s="9" t="n">
        <v>46134</v>
      </c>
      <c r="B2550" s="1" t="n">
        <v>2026</v>
      </c>
      <c r="C2550" s="8" t="inlineStr">
        <is>
          <t>First Energy</t>
        </is>
      </c>
      <c r="D2550" s="11" t="inlineStr">
        <is>
          <t>Utility and C&amp;I</t>
        </is>
      </c>
      <c r="E2550" s="1" t="n"/>
      <c r="F2550" s="1" t="inlineStr">
        <is>
          <t>Closed</t>
        </is>
      </c>
      <c r="G2550" s="8" t="inlineStr">
        <is>
          <t>Saravanakumar</t>
        </is>
      </c>
      <c r="H2550" s="8" t="n">
        <v>8248438488</v>
      </c>
      <c r="I2550" s="10" t="inlineStr">
        <is>
          <t>PE22042601</t>
        </is>
      </c>
      <c r="J2550" s="8" t="inlineStr">
        <is>
          <t>Anomalies/defects in the modules</t>
        </is>
      </c>
      <c r="K2550" s="8" t="inlineStr">
        <is>
          <t>Tirunelveli</t>
        </is>
      </c>
      <c r="L2550" s="8" t="inlineStr">
        <is>
          <t>Tamil Nadu</t>
        </is>
      </c>
      <c r="M2550" s="60" t="inlineStr">
        <is>
          <t>OK</t>
        </is>
      </c>
      <c r="N2550" s="2" t="inlineStr">
        <is>
          <t>No Issue Found</t>
        </is>
      </c>
      <c r="O2550" s="11" t="n">
        <v>550</v>
      </c>
      <c r="P2550" s="60" t="inlineStr">
        <is>
          <t>NSMP2307335325</t>
        </is>
      </c>
      <c r="Q2550" s="29">
        <f>MID(P2550,5,2)</f>
        <v/>
      </c>
      <c r="R2550" s="14">
        <f>MID(P2550,7,2)</f>
        <v/>
      </c>
      <c r="S2550" s="6" t="inlineStr">
        <is>
          <t>G2B</t>
        </is>
      </c>
      <c r="T2550" s="1" t="inlineStr">
        <is>
          <t>P2 - PEPPL</t>
        </is>
      </c>
      <c r="U2550" s="6" t="inlineStr">
        <is>
          <t>No Issue Found</t>
        </is>
      </c>
      <c r="V2550" s="6" t="inlineStr">
        <is>
          <t>Inspection</t>
        </is>
      </c>
      <c r="W2550" s="1" t="inlineStr">
        <is>
          <t>Rejected</t>
        </is>
      </c>
      <c r="X2550" s="5" t="n">
        <v>46200</v>
      </c>
      <c r="Y2550" s="1">
        <f>IF(X2550="","",X2550-A2550)</f>
        <v/>
      </c>
      <c r="Z2550" s="5" t="n">
        <v>46200</v>
      </c>
      <c r="AA2550" s="3" t="n"/>
      <c r="AB2550" s="3" t="n"/>
      <c r="AE2550" s="146">
        <f>IF(AND(F2550="Closed",X2550&gt;=DATE(2026,6,1),X2550&lt;=DATE(2026,6,30)),"Closed in June","other")</f>
        <v/>
      </c>
    </row>
    <row r="2551" hidden="1">
      <c r="A2551" s="9" t="n">
        <v>46134</v>
      </c>
      <c r="B2551" s="1" t="n">
        <v>2026</v>
      </c>
      <c r="C2551" s="8" t="inlineStr">
        <is>
          <t>First Energy</t>
        </is>
      </c>
      <c r="D2551" s="11" t="inlineStr">
        <is>
          <t>Utility and C&amp;I</t>
        </is>
      </c>
      <c r="E2551" s="1" t="n"/>
      <c r="F2551" s="1" t="inlineStr">
        <is>
          <t>Closed</t>
        </is>
      </c>
      <c r="G2551" s="8" t="inlineStr">
        <is>
          <t>Saravanakumar</t>
        </is>
      </c>
      <c r="H2551" s="8" t="n">
        <v>8248438488</v>
      </c>
      <c r="I2551" s="10" t="inlineStr">
        <is>
          <t>PE22042601</t>
        </is>
      </c>
      <c r="J2551" s="8" t="inlineStr">
        <is>
          <t>Anomalies/defects in the modules</t>
        </is>
      </c>
      <c r="K2551" s="8" t="inlineStr">
        <is>
          <t>Tirunelveli</t>
        </is>
      </c>
      <c r="L2551" s="8" t="inlineStr">
        <is>
          <t>Tamil Nadu</t>
        </is>
      </c>
      <c r="M2551" s="60" t="inlineStr">
        <is>
          <t>OK</t>
        </is>
      </c>
      <c r="N2551" s="2" t="inlineStr">
        <is>
          <t>No Issue Found</t>
        </is>
      </c>
      <c r="O2551" s="11" t="n">
        <v>550</v>
      </c>
      <c r="P2551" s="60" t="inlineStr">
        <is>
          <t>NSMP2307329613</t>
        </is>
      </c>
      <c r="Q2551" s="29">
        <f>MID(P2551,5,2)</f>
        <v/>
      </c>
      <c r="R2551" s="14">
        <f>MID(P2551,7,2)</f>
        <v/>
      </c>
      <c r="S2551" s="6" t="inlineStr">
        <is>
          <t>G2B</t>
        </is>
      </c>
      <c r="T2551" s="1" t="inlineStr">
        <is>
          <t>P2 - PEPPL</t>
        </is>
      </c>
      <c r="U2551" s="6" t="inlineStr">
        <is>
          <t>No Issue Found</t>
        </is>
      </c>
      <c r="V2551" s="6" t="inlineStr">
        <is>
          <t>Inspection</t>
        </is>
      </c>
      <c r="W2551" s="1" t="inlineStr">
        <is>
          <t>Rejected</t>
        </is>
      </c>
      <c r="X2551" s="5" t="n">
        <v>46200</v>
      </c>
      <c r="Y2551" s="1">
        <f>IF(X2551="","",X2551-A2551)</f>
        <v/>
      </c>
      <c r="Z2551" s="5" t="n">
        <v>46200</v>
      </c>
      <c r="AA2551" s="3" t="n"/>
      <c r="AB2551" s="3" t="n"/>
      <c r="AE2551" s="146">
        <f>IF(AND(F2551="Closed",X2551&gt;=DATE(2026,6,1),X2551&lt;=DATE(2026,6,30)),"Closed in June","other")</f>
        <v/>
      </c>
    </row>
    <row r="2552" hidden="1">
      <c r="A2552" s="9" t="n">
        <v>46134</v>
      </c>
      <c r="B2552" s="1" t="n">
        <v>2026</v>
      </c>
      <c r="C2552" s="8" t="inlineStr">
        <is>
          <t>First Energy</t>
        </is>
      </c>
      <c r="D2552" s="11" t="inlineStr">
        <is>
          <t>Utility and C&amp;I</t>
        </is>
      </c>
      <c r="E2552" s="1" t="n"/>
      <c r="F2552" s="1" t="inlineStr">
        <is>
          <t>Closed</t>
        </is>
      </c>
      <c r="G2552" s="8" t="inlineStr">
        <is>
          <t>Saravanakumar</t>
        </is>
      </c>
      <c r="H2552" s="8" t="n">
        <v>8248438488</v>
      </c>
      <c r="I2552" s="10" t="inlineStr">
        <is>
          <t>PE22042601</t>
        </is>
      </c>
      <c r="J2552" s="8" t="inlineStr">
        <is>
          <t>Anomalies/defects in the modules</t>
        </is>
      </c>
      <c r="K2552" s="8" t="inlineStr">
        <is>
          <t>Tirunelveli</t>
        </is>
      </c>
      <c r="L2552" s="8" t="inlineStr">
        <is>
          <t>Tamil Nadu</t>
        </is>
      </c>
      <c r="M2552" s="60" t="inlineStr">
        <is>
          <t>OK</t>
        </is>
      </c>
      <c r="N2552" s="2" t="inlineStr">
        <is>
          <t>No Issue Found</t>
        </is>
      </c>
      <c r="O2552" s="11" t="n">
        <v>550</v>
      </c>
      <c r="P2552" s="60" t="inlineStr">
        <is>
          <t>NSMP2307330697</t>
        </is>
      </c>
      <c r="Q2552" s="29">
        <f>MID(P2552,5,2)</f>
        <v/>
      </c>
      <c r="R2552" s="14">
        <f>MID(P2552,7,2)</f>
        <v/>
      </c>
      <c r="S2552" s="6" t="inlineStr">
        <is>
          <t>G2B</t>
        </is>
      </c>
      <c r="T2552" s="1" t="inlineStr">
        <is>
          <t>P2 - PEPPL</t>
        </is>
      </c>
      <c r="U2552" s="6" t="inlineStr">
        <is>
          <t>No Issue Found</t>
        </is>
      </c>
      <c r="V2552" s="6" t="inlineStr">
        <is>
          <t>Inspection</t>
        </is>
      </c>
      <c r="W2552" s="1" t="inlineStr">
        <is>
          <t>Rejected</t>
        </is>
      </c>
      <c r="X2552" s="5" t="n">
        <v>46200</v>
      </c>
      <c r="Y2552" s="1">
        <f>IF(X2552="","",X2552-A2552)</f>
        <v/>
      </c>
      <c r="Z2552" s="5" t="n">
        <v>46200</v>
      </c>
      <c r="AA2552" s="3" t="n"/>
      <c r="AB2552" s="3" t="n"/>
      <c r="AE2552" s="146">
        <f>IF(AND(F2552="Closed",X2552&gt;=DATE(2026,6,1),X2552&lt;=DATE(2026,6,30)),"Closed in June","other")</f>
        <v/>
      </c>
    </row>
    <row r="2553" hidden="1">
      <c r="A2553" s="9" t="n">
        <v>46134</v>
      </c>
      <c r="B2553" s="1" t="n">
        <v>2026</v>
      </c>
      <c r="C2553" s="8" t="inlineStr">
        <is>
          <t>First Energy</t>
        </is>
      </c>
      <c r="D2553" s="11" t="inlineStr">
        <is>
          <t>Utility and C&amp;I</t>
        </is>
      </c>
      <c r="E2553" s="1" t="n"/>
      <c r="F2553" s="1" t="inlineStr">
        <is>
          <t>Closed</t>
        </is>
      </c>
      <c r="G2553" s="8" t="inlineStr">
        <is>
          <t>Saravanakumar</t>
        </is>
      </c>
      <c r="H2553" s="8" t="n">
        <v>8248438488</v>
      </c>
      <c r="I2553" s="10" t="inlineStr">
        <is>
          <t>PE22042601</t>
        </is>
      </c>
      <c r="J2553" s="8" t="inlineStr">
        <is>
          <t>Anomalies/defects in the modules</t>
        </is>
      </c>
      <c r="K2553" s="8" t="inlineStr">
        <is>
          <t>Tirunelveli</t>
        </is>
      </c>
      <c r="L2553" s="8" t="inlineStr">
        <is>
          <t>Tamil Nadu</t>
        </is>
      </c>
      <c r="M2553" s="60" t="inlineStr">
        <is>
          <t>OK</t>
        </is>
      </c>
      <c r="N2553" s="2" t="inlineStr">
        <is>
          <t>No Issue Found</t>
        </is>
      </c>
      <c r="O2553" s="11" t="n">
        <v>550</v>
      </c>
      <c r="P2553" s="60" t="inlineStr">
        <is>
          <t>NSMP2307329606</t>
        </is>
      </c>
      <c r="Q2553" s="29">
        <f>MID(P2553,5,2)</f>
        <v/>
      </c>
      <c r="R2553" s="14">
        <f>MID(P2553,7,2)</f>
        <v/>
      </c>
      <c r="S2553" s="6" t="inlineStr">
        <is>
          <t>G2B</t>
        </is>
      </c>
      <c r="T2553" s="1" t="inlineStr">
        <is>
          <t>P2 - PEPPL</t>
        </is>
      </c>
      <c r="U2553" s="6" t="inlineStr">
        <is>
          <t>No Issue Found</t>
        </is>
      </c>
      <c r="V2553" s="6" t="inlineStr">
        <is>
          <t>Inspection</t>
        </is>
      </c>
      <c r="W2553" s="1" t="inlineStr">
        <is>
          <t>Rejected</t>
        </is>
      </c>
      <c r="X2553" s="5" t="n">
        <v>46200</v>
      </c>
      <c r="Y2553" s="1">
        <f>IF(X2553="","",X2553-A2553)</f>
        <v/>
      </c>
      <c r="Z2553" s="5" t="n">
        <v>46200</v>
      </c>
      <c r="AA2553" s="3" t="n"/>
      <c r="AB2553" s="3" t="n"/>
      <c r="AE2553" s="146">
        <f>IF(AND(F2553="Closed",X2553&gt;=DATE(2026,6,1),X2553&lt;=DATE(2026,6,30)),"Closed in June","other")</f>
        <v/>
      </c>
    </row>
    <row r="2554" hidden="1">
      <c r="A2554" s="9" t="n">
        <v>46134</v>
      </c>
      <c r="B2554" s="1" t="n">
        <v>2026</v>
      </c>
      <c r="C2554" s="8" t="inlineStr">
        <is>
          <t>First Energy</t>
        </is>
      </c>
      <c r="D2554" s="11" t="inlineStr">
        <is>
          <t>Utility and C&amp;I</t>
        </is>
      </c>
      <c r="E2554" s="1" t="n"/>
      <c r="F2554" s="1" t="inlineStr">
        <is>
          <t>Closed</t>
        </is>
      </c>
      <c r="G2554" s="8" t="inlineStr">
        <is>
          <t>Saravanakumar</t>
        </is>
      </c>
      <c r="H2554" s="8" t="n">
        <v>8248438488</v>
      </c>
      <c r="I2554" s="10" t="inlineStr">
        <is>
          <t>PE22042601</t>
        </is>
      </c>
      <c r="J2554" s="8" t="inlineStr">
        <is>
          <t>Anomalies/defects in the modules</t>
        </is>
      </c>
      <c r="K2554" s="8" t="inlineStr">
        <is>
          <t>Tirunelveli</t>
        </is>
      </c>
      <c r="L2554" s="8" t="inlineStr">
        <is>
          <t>Tamil Nadu</t>
        </is>
      </c>
      <c r="M2554" s="60" t="inlineStr">
        <is>
          <t>OK</t>
        </is>
      </c>
      <c r="N2554" s="2" t="inlineStr">
        <is>
          <t>No Issue Found</t>
        </is>
      </c>
      <c r="O2554" s="11" t="n">
        <v>550</v>
      </c>
      <c r="P2554" s="60" t="inlineStr">
        <is>
          <t>NSMP2307329655</t>
        </is>
      </c>
      <c r="Q2554" s="29">
        <f>MID(P2554,5,2)</f>
        <v/>
      </c>
      <c r="R2554" s="14">
        <f>MID(P2554,7,2)</f>
        <v/>
      </c>
      <c r="S2554" s="6" t="inlineStr">
        <is>
          <t>G2B</t>
        </is>
      </c>
      <c r="T2554" s="1" t="inlineStr">
        <is>
          <t>P2 - PEPPL</t>
        </is>
      </c>
      <c r="U2554" s="6" t="inlineStr">
        <is>
          <t>No Issue Found</t>
        </is>
      </c>
      <c r="V2554" s="6" t="inlineStr">
        <is>
          <t>Inspection</t>
        </is>
      </c>
      <c r="W2554" s="1" t="inlineStr">
        <is>
          <t>Rejected</t>
        </is>
      </c>
      <c r="X2554" s="5" t="n">
        <v>46200</v>
      </c>
      <c r="Y2554" s="1">
        <f>IF(X2554="","",X2554-A2554)</f>
        <v/>
      </c>
      <c r="Z2554" s="5" t="n">
        <v>46200</v>
      </c>
      <c r="AA2554" s="3" t="n"/>
      <c r="AB2554" s="3" t="n"/>
      <c r="AE2554" s="146">
        <f>IF(AND(F2554="Closed",X2554&gt;=DATE(2026,6,1),X2554&lt;=DATE(2026,6,30)),"Closed in June","other")</f>
        <v/>
      </c>
    </row>
    <row r="2555" hidden="1">
      <c r="A2555" s="9" t="n">
        <v>46134</v>
      </c>
      <c r="B2555" s="1" t="n">
        <v>2026</v>
      </c>
      <c r="C2555" s="8" t="inlineStr">
        <is>
          <t>First Energy</t>
        </is>
      </c>
      <c r="D2555" s="11" t="inlineStr">
        <is>
          <t>Utility and C&amp;I</t>
        </is>
      </c>
      <c r="E2555" s="1" t="n"/>
      <c r="F2555" s="1" t="inlineStr">
        <is>
          <t>Closed</t>
        </is>
      </c>
      <c r="G2555" s="8" t="inlineStr">
        <is>
          <t>Saravanakumar</t>
        </is>
      </c>
      <c r="H2555" s="8" t="n">
        <v>8248438488</v>
      </c>
      <c r="I2555" s="10" t="inlineStr">
        <is>
          <t>PE22042601</t>
        </is>
      </c>
      <c r="J2555" s="8" t="inlineStr">
        <is>
          <t>Anomalies/defects in the modules</t>
        </is>
      </c>
      <c r="K2555" s="8" t="inlineStr">
        <is>
          <t>Tirunelveli</t>
        </is>
      </c>
      <c r="L2555" s="8" t="inlineStr">
        <is>
          <t>Tamil Nadu</t>
        </is>
      </c>
      <c r="M2555" s="60" t="inlineStr">
        <is>
          <t>OK</t>
        </is>
      </c>
      <c r="N2555" s="2" t="inlineStr">
        <is>
          <t>No Issue Found</t>
        </is>
      </c>
      <c r="O2555" s="11" t="n">
        <v>550</v>
      </c>
      <c r="P2555" s="60" t="inlineStr">
        <is>
          <t>NSMP2307345853</t>
        </is>
      </c>
      <c r="Q2555" s="29">
        <f>MID(P2555,5,2)</f>
        <v/>
      </c>
      <c r="R2555" s="14">
        <f>MID(P2555,7,2)</f>
        <v/>
      </c>
      <c r="S2555" s="6" t="inlineStr">
        <is>
          <t>G2B</t>
        </is>
      </c>
      <c r="T2555" s="1" t="inlineStr">
        <is>
          <t>P2 - PEPPL</t>
        </is>
      </c>
      <c r="U2555" s="6" t="inlineStr">
        <is>
          <t>No Issue Found</t>
        </is>
      </c>
      <c r="V2555" s="6" t="inlineStr">
        <is>
          <t>Inspection</t>
        </is>
      </c>
      <c r="W2555" s="1" t="inlineStr">
        <is>
          <t>Rejected</t>
        </is>
      </c>
      <c r="X2555" s="5" t="n">
        <v>46200</v>
      </c>
      <c r="Y2555" s="1">
        <f>IF(X2555="","",X2555-A2555)</f>
        <v/>
      </c>
      <c r="Z2555" s="5" t="n">
        <v>46200</v>
      </c>
      <c r="AA2555" s="3" t="n"/>
      <c r="AB2555" s="3" t="n"/>
      <c r="AE2555" s="146">
        <f>IF(AND(F2555="Closed",X2555&gt;=DATE(2026,6,1),X2555&lt;=DATE(2026,6,30)),"Closed in June","other")</f>
        <v/>
      </c>
    </row>
    <row r="2556" hidden="1">
      <c r="A2556" s="9" t="n">
        <v>46134</v>
      </c>
      <c r="B2556" s="1" t="n">
        <v>2026</v>
      </c>
      <c r="C2556" s="8" t="inlineStr">
        <is>
          <t>First Energy</t>
        </is>
      </c>
      <c r="D2556" s="11" t="inlineStr">
        <is>
          <t>Utility and C&amp;I</t>
        </is>
      </c>
      <c r="E2556" s="1" t="n"/>
      <c r="F2556" s="1" t="inlineStr">
        <is>
          <t>Closed</t>
        </is>
      </c>
      <c r="G2556" s="8" t="inlineStr">
        <is>
          <t>Saravanakumar</t>
        </is>
      </c>
      <c r="H2556" s="8" t="n">
        <v>8248438488</v>
      </c>
      <c r="I2556" s="10" t="inlineStr">
        <is>
          <t>PE22042601</t>
        </is>
      </c>
      <c r="J2556" s="8" t="inlineStr">
        <is>
          <t>Anomalies/defects in the modules</t>
        </is>
      </c>
      <c r="K2556" s="8" t="inlineStr">
        <is>
          <t>Tirunelveli</t>
        </is>
      </c>
      <c r="L2556" s="8" t="inlineStr">
        <is>
          <t>Tamil Nadu</t>
        </is>
      </c>
      <c r="M2556" s="60" t="inlineStr">
        <is>
          <t>OK</t>
        </is>
      </c>
      <c r="N2556" s="2" t="inlineStr">
        <is>
          <t>No Issue Found</t>
        </is>
      </c>
      <c r="O2556" s="11" t="n">
        <v>550</v>
      </c>
      <c r="P2556" s="60" t="inlineStr">
        <is>
          <t>NSMP2307356400</t>
        </is>
      </c>
      <c r="Q2556" s="29">
        <f>MID(P2556,5,2)</f>
        <v/>
      </c>
      <c r="R2556" s="14">
        <f>MID(P2556,7,2)</f>
        <v/>
      </c>
      <c r="S2556" s="6" t="inlineStr">
        <is>
          <t>G2B</t>
        </is>
      </c>
      <c r="T2556" s="1" t="inlineStr">
        <is>
          <t>P2 - PEPPL</t>
        </is>
      </c>
      <c r="U2556" s="6" t="inlineStr">
        <is>
          <t>No Issue Found</t>
        </is>
      </c>
      <c r="V2556" s="6" t="inlineStr">
        <is>
          <t>Inspection</t>
        </is>
      </c>
      <c r="W2556" s="1" t="inlineStr">
        <is>
          <t>Rejected</t>
        </is>
      </c>
      <c r="X2556" s="5" t="n">
        <v>46200</v>
      </c>
      <c r="Y2556" s="1">
        <f>IF(X2556="","",X2556-A2556)</f>
        <v/>
      </c>
      <c r="Z2556" s="5" t="n">
        <v>46200</v>
      </c>
      <c r="AA2556" s="3" t="n"/>
      <c r="AB2556" s="3" t="n"/>
      <c r="AE2556" s="146">
        <f>IF(AND(F2556="Closed",X2556&gt;=DATE(2026,6,1),X2556&lt;=DATE(2026,6,30)),"Closed in June","other")</f>
        <v/>
      </c>
    </row>
    <row r="2557" hidden="1">
      <c r="A2557" s="9" t="n">
        <v>46134</v>
      </c>
      <c r="B2557" s="1" t="n">
        <v>2026</v>
      </c>
      <c r="C2557" s="8" t="inlineStr">
        <is>
          <t>First Energy</t>
        </is>
      </c>
      <c r="D2557" s="11" t="inlineStr">
        <is>
          <t>Utility and C&amp;I</t>
        </is>
      </c>
      <c r="E2557" s="1" t="n"/>
      <c r="F2557" s="1" t="inlineStr">
        <is>
          <t>Closed</t>
        </is>
      </c>
      <c r="G2557" s="8" t="inlineStr">
        <is>
          <t>Saravanakumar</t>
        </is>
      </c>
      <c r="H2557" s="8" t="n">
        <v>8248438488</v>
      </c>
      <c r="I2557" s="10" t="inlineStr">
        <is>
          <t>PE22042601</t>
        </is>
      </c>
      <c r="J2557" s="8" t="inlineStr">
        <is>
          <t>Anomalies/defects in the modules</t>
        </is>
      </c>
      <c r="K2557" s="8" t="inlineStr">
        <is>
          <t>Tirunelveli</t>
        </is>
      </c>
      <c r="L2557" s="8" t="inlineStr">
        <is>
          <t>Tamil Nadu</t>
        </is>
      </c>
      <c r="M2557" s="60" t="inlineStr">
        <is>
          <t>NS</t>
        </is>
      </c>
      <c r="N2557" s="6" t="inlineStr">
        <is>
          <t>Cold Soldering</t>
        </is>
      </c>
      <c r="O2557" s="11" t="n">
        <v>550</v>
      </c>
      <c r="P2557" s="60" t="inlineStr">
        <is>
          <t>NSMP2308482066</t>
        </is>
      </c>
      <c r="Q2557" s="29">
        <f>MID(P2557,5,2)</f>
        <v/>
      </c>
      <c r="R2557" s="14">
        <f>MID(P2557,7,2)</f>
        <v/>
      </c>
      <c r="S2557" s="6" t="inlineStr">
        <is>
          <t>G2B</t>
        </is>
      </c>
      <c r="T2557" s="1" t="inlineStr">
        <is>
          <t>P2 - PEPPL</t>
        </is>
      </c>
      <c r="U2557" s="6" t="inlineStr">
        <is>
          <t>N JB Cold Soldering</t>
        </is>
      </c>
      <c r="V2557" s="1" t="inlineStr">
        <is>
          <t>Soldering</t>
        </is>
      </c>
      <c r="W2557" s="1" t="inlineStr">
        <is>
          <t>Repair</t>
        </is>
      </c>
      <c r="X2557" s="5" t="n">
        <v>46200</v>
      </c>
      <c r="Y2557" s="1">
        <f>IF(X2557="","",X2557-A2557)</f>
        <v/>
      </c>
      <c r="Z2557" s="5" t="n">
        <v>46200</v>
      </c>
      <c r="AA2557" s="3" t="n"/>
      <c r="AB2557" s="3" t="n"/>
      <c r="AE2557" s="146">
        <f>IF(AND(F2557="Closed",X2557&gt;=DATE(2026,6,1),X2557&lt;=DATE(2026,6,30)),"Closed in June","other")</f>
        <v/>
      </c>
    </row>
    <row r="2558" hidden="1">
      <c r="A2558" s="9" t="n">
        <v>46134</v>
      </c>
      <c r="B2558" s="1" t="n">
        <v>2026</v>
      </c>
      <c r="C2558" s="8" t="inlineStr">
        <is>
          <t>First Energy</t>
        </is>
      </c>
      <c r="D2558" s="11" t="inlineStr">
        <is>
          <t>Utility and C&amp;I</t>
        </is>
      </c>
      <c r="E2558" s="1" t="n"/>
      <c r="F2558" s="1" t="inlineStr">
        <is>
          <t>Closed</t>
        </is>
      </c>
      <c r="G2558" s="8" t="inlineStr">
        <is>
          <t>Saravanakumar</t>
        </is>
      </c>
      <c r="H2558" s="8" t="n">
        <v>8248438488</v>
      </c>
      <c r="I2558" s="10" t="inlineStr">
        <is>
          <t>PE22042601</t>
        </is>
      </c>
      <c r="J2558" s="8" t="inlineStr">
        <is>
          <t>Anomalies/defects in the modules</t>
        </is>
      </c>
      <c r="K2558" s="8" t="inlineStr">
        <is>
          <t>Tirunelveli</t>
        </is>
      </c>
      <c r="L2558" s="8" t="inlineStr">
        <is>
          <t>Tamil Nadu</t>
        </is>
      </c>
      <c r="M2558" s="60" t="inlineStr">
        <is>
          <t>OK</t>
        </is>
      </c>
      <c r="N2558" s="2" t="inlineStr">
        <is>
          <t>No Issue Found</t>
        </is>
      </c>
      <c r="O2558" s="11" t="n">
        <v>550</v>
      </c>
      <c r="P2558" s="60" t="inlineStr">
        <is>
          <t>NSMP2307329616</t>
        </is>
      </c>
      <c r="Q2558" s="29">
        <f>MID(P2558,5,2)</f>
        <v/>
      </c>
      <c r="R2558" s="14">
        <f>MID(P2558,7,2)</f>
        <v/>
      </c>
      <c r="S2558" s="6" t="inlineStr">
        <is>
          <t>G2B</t>
        </is>
      </c>
      <c r="T2558" s="1" t="inlineStr">
        <is>
          <t>P2 - PEPPL</t>
        </is>
      </c>
      <c r="U2558" s="6" t="inlineStr">
        <is>
          <t>No Issue Found</t>
        </is>
      </c>
      <c r="V2558" s="6" t="inlineStr">
        <is>
          <t>Inspection</t>
        </is>
      </c>
      <c r="W2558" s="1" t="inlineStr">
        <is>
          <t>Rejected</t>
        </is>
      </c>
      <c r="X2558" s="5" t="n">
        <v>46200</v>
      </c>
      <c r="Y2558" s="1">
        <f>IF(X2558="","",X2558-A2558)</f>
        <v/>
      </c>
      <c r="Z2558" s="5" t="n">
        <v>46200</v>
      </c>
      <c r="AA2558" s="3" t="n"/>
      <c r="AB2558" s="3" t="n"/>
      <c r="AE2558" s="146">
        <f>IF(AND(F2558="Closed",X2558&gt;=DATE(2026,6,1),X2558&lt;=DATE(2026,6,30)),"Closed in June","other")</f>
        <v/>
      </c>
    </row>
    <row r="2559" hidden="1">
      <c r="A2559" s="9" t="n">
        <v>46134</v>
      </c>
      <c r="B2559" s="1" t="n">
        <v>2026</v>
      </c>
      <c r="C2559" s="8" t="inlineStr">
        <is>
          <t>First Energy</t>
        </is>
      </c>
      <c r="D2559" s="11" t="inlineStr">
        <is>
          <t>Utility and C&amp;I</t>
        </is>
      </c>
      <c r="E2559" s="1" t="n"/>
      <c r="F2559" s="1" t="inlineStr">
        <is>
          <t>Closed</t>
        </is>
      </c>
      <c r="G2559" s="8" t="inlineStr">
        <is>
          <t>Saravanakumar</t>
        </is>
      </c>
      <c r="H2559" s="8" t="n">
        <v>8248438488</v>
      </c>
      <c r="I2559" s="10" t="inlineStr">
        <is>
          <t>PE22042601</t>
        </is>
      </c>
      <c r="J2559" s="8" t="inlineStr">
        <is>
          <t>Anomalies/defects in the modules</t>
        </is>
      </c>
      <c r="K2559" s="8" t="inlineStr">
        <is>
          <t>Tirunelveli</t>
        </is>
      </c>
      <c r="L2559" s="8" t="inlineStr">
        <is>
          <t>Tamil Nadu</t>
        </is>
      </c>
      <c r="M2559" s="60" t="inlineStr">
        <is>
          <t>OK</t>
        </is>
      </c>
      <c r="N2559" s="2" t="inlineStr">
        <is>
          <t>No Issue Found</t>
        </is>
      </c>
      <c r="O2559" s="11" t="n">
        <v>550</v>
      </c>
      <c r="P2559" s="60" t="inlineStr">
        <is>
          <t>NSMP2306322461</t>
        </is>
      </c>
      <c r="Q2559" s="29">
        <f>MID(P2559,5,2)</f>
        <v/>
      </c>
      <c r="R2559" s="14">
        <f>MID(P2559,7,2)</f>
        <v/>
      </c>
      <c r="S2559" s="6" t="inlineStr">
        <is>
          <t>G2B</t>
        </is>
      </c>
      <c r="T2559" s="1" t="inlineStr">
        <is>
          <t>P2 - PEPPL</t>
        </is>
      </c>
      <c r="U2559" s="6" t="inlineStr">
        <is>
          <t>No Issue Found</t>
        </is>
      </c>
      <c r="V2559" s="6" t="inlineStr">
        <is>
          <t>Inspection</t>
        </is>
      </c>
      <c r="W2559" s="1" t="inlineStr">
        <is>
          <t>Rejected</t>
        </is>
      </c>
      <c r="X2559" s="5" t="n">
        <v>46200</v>
      </c>
      <c r="Y2559" s="1">
        <f>IF(X2559="","",X2559-A2559)</f>
        <v/>
      </c>
      <c r="Z2559" s="5" t="n">
        <v>46200</v>
      </c>
      <c r="AA2559" s="3" t="n"/>
      <c r="AB2559" s="3" t="n"/>
      <c r="AE2559" s="146">
        <f>IF(AND(F2559="Closed",X2559&gt;=DATE(2026,6,1),X2559&lt;=DATE(2026,6,30)),"Closed in June","other")</f>
        <v/>
      </c>
    </row>
    <row r="2560" hidden="1">
      <c r="A2560" s="9" t="n">
        <v>46134</v>
      </c>
      <c r="B2560" s="1" t="n">
        <v>2026</v>
      </c>
      <c r="C2560" s="8" t="inlineStr">
        <is>
          <t>First Energy</t>
        </is>
      </c>
      <c r="D2560" s="11" t="inlineStr">
        <is>
          <t>Utility and C&amp;I</t>
        </is>
      </c>
      <c r="E2560" s="1" t="n"/>
      <c r="F2560" s="1" t="inlineStr">
        <is>
          <t>Closed</t>
        </is>
      </c>
      <c r="G2560" s="8" t="inlineStr">
        <is>
          <t>Saravanakumar</t>
        </is>
      </c>
      <c r="H2560" s="8" t="n">
        <v>8248438488</v>
      </c>
      <c r="I2560" s="10" t="inlineStr">
        <is>
          <t>PE22042601</t>
        </is>
      </c>
      <c r="J2560" s="8" t="inlineStr">
        <is>
          <t>Anomalies/defects in the modules</t>
        </is>
      </c>
      <c r="K2560" s="8" t="inlineStr">
        <is>
          <t>Tirunelveli</t>
        </is>
      </c>
      <c r="L2560" s="8" t="inlineStr">
        <is>
          <t>Tamil Nadu</t>
        </is>
      </c>
      <c r="M2560" s="60" t="inlineStr">
        <is>
          <t>OK</t>
        </is>
      </c>
      <c r="N2560" s="2" t="inlineStr">
        <is>
          <t>No Issue Found</t>
        </is>
      </c>
      <c r="O2560" s="11" t="n">
        <v>550</v>
      </c>
      <c r="P2560" s="60" t="inlineStr">
        <is>
          <t>NSMP2306217892</t>
        </is>
      </c>
      <c r="Q2560" s="29">
        <f>MID(P2560,5,2)</f>
        <v/>
      </c>
      <c r="R2560" s="14">
        <f>MID(P2560,7,2)</f>
        <v/>
      </c>
      <c r="S2560" s="6" t="inlineStr">
        <is>
          <t>G2B</t>
        </is>
      </c>
      <c r="T2560" s="1" t="inlineStr">
        <is>
          <t>P2 - PEPPL</t>
        </is>
      </c>
      <c r="U2560" s="6" t="inlineStr">
        <is>
          <t>No Issue Found</t>
        </is>
      </c>
      <c r="V2560" s="6" t="inlineStr">
        <is>
          <t>Inspection</t>
        </is>
      </c>
      <c r="W2560" s="1" t="inlineStr">
        <is>
          <t>Rejected</t>
        </is>
      </c>
      <c r="X2560" s="5" t="n">
        <v>46200</v>
      </c>
      <c r="Y2560" s="1">
        <f>IF(X2560="","",X2560-A2560)</f>
        <v/>
      </c>
      <c r="Z2560" s="5" t="n">
        <v>46200</v>
      </c>
      <c r="AA2560" s="3" t="n"/>
      <c r="AB2560" s="3" t="n"/>
      <c r="AE2560" s="146">
        <f>IF(AND(F2560="Closed",X2560&gt;=DATE(2026,6,1),X2560&lt;=DATE(2026,6,30)),"Closed in June","other")</f>
        <v/>
      </c>
    </row>
    <row r="2561" hidden="1">
      <c r="A2561" s="9" t="n">
        <v>46134</v>
      </c>
      <c r="B2561" s="1" t="n">
        <v>2026</v>
      </c>
      <c r="C2561" s="8" t="inlineStr">
        <is>
          <t>First Energy</t>
        </is>
      </c>
      <c r="D2561" s="11" t="inlineStr">
        <is>
          <t>Utility and C&amp;I</t>
        </is>
      </c>
      <c r="E2561" s="1" t="n"/>
      <c r="F2561" s="1" t="inlineStr">
        <is>
          <t>Closed</t>
        </is>
      </c>
      <c r="G2561" s="8" t="inlineStr">
        <is>
          <t>Saravanakumar</t>
        </is>
      </c>
      <c r="H2561" s="8" t="n">
        <v>8248438488</v>
      </c>
      <c r="I2561" s="10" t="inlineStr">
        <is>
          <t>PE22042601</t>
        </is>
      </c>
      <c r="J2561" s="8" t="inlineStr">
        <is>
          <t>Anomalies/defects in the modules</t>
        </is>
      </c>
      <c r="K2561" s="8" t="inlineStr">
        <is>
          <t>Tirunelveli</t>
        </is>
      </c>
      <c r="L2561" s="8" t="inlineStr">
        <is>
          <t>Tamil Nadu</t>
        </is>
      </c>
      <c r="M2561" s="60" t="inlineStr">
        <is>
          <t>OK</t>
        </is>
      </c>
      <c r="N2561" s="2" t="inlineStr">
        <is>
          <t>No Issue Found</t>
        </is>
      </c>
      <c r="O2561" s="11" t="n">
        <v>550</v>
      </c>
      <c r="P2561" s="60" t="inlineStr">
        <is>
          <t>NSMP2306317952</t>
        </is>
      </c>
      <c r="Q2561" s="29">
        <f>MID(P2561,5,2)</f>
        <v/>
      </c>
      <c r="R2561" s="14">
        <f>MID(P2561,7,2)</f>
        <v/>
      </c>
      <c r="S2561" s="6" t="inlineStr">
        <is>
          <t>G2B</t>
        </is>
      </c>
      <c r="T2561" s="1" t="inlineStr">
        <is>
          <t>P2 - PEPPL</t>
        </is>
      </c>
      <c r="U2561" s="6" t="inlineStr">
        <is>
          <t>No Issue Found</t>
        </is>
      </c>
      <c r="V2561" s="6" t="inlineStr">
        <is>
          <t>Inspection</t>
        </is>
      </c>
      <c r="W2561" s="1" t="inlineStr">
        <is>
          <t>Rejected</t>
        </is>
      </c>
      <c r="X2561" s="5" t="n">
        <v>46200</v>
      </c>
      <c r="Y2561" s="1">
        <f>IF(X2561="","",X2561-A2561)</f>
        <v/>
      </c>
      <c r="Z2561" s="5" t="n">
        <v>46200</v>
      </c>
      <c r="AA2561" s="3" t="n"/>
      <c r="AB2561" s="3" t="n"/>
      <c r="AE2561" s="146">
        <f>IF(AND(F2561="Closed",X2561&gt;=DATE(2026,6,1),X2561&lt;=DATE(2026,6,30)),"Closed in June","other")</f>
        <v/>
      </c>
    </row>
    <row r="2562" hidden="1">
      <c r="A2562" s="9" t="n">
        <v>46134</v>
      </c>
      <c r="B2562" s="1" t="n">
        <v>2026</v>
      </c>
      <c r="C2562" s="8" t="inlineStr">
        <is>
          <t>First Energy</t>
        </is>
      </c>
      <c r="D2562" s="11" t="inlineStr">
        <is>
          <t>Utility and C&amp;I</t>
        </is>
      </c>
      <c r="E2562" s="1" t="n"/>
      <c r="F2562" s="1" t="inlineStr">
        <is>
          <t>Closed</t>
        </is>
      </c>
      <c r="G2562" s="8" t="inlineStr">
        <is>
          <t>Saravanakumar</t>
        </is>
      </c>
      <c r="H2562" s="8" t="n">
        <v>8248438488</v>
      </c>
      <c r="I2562" s="10" t="inlineStr">
        <is>
          <t>PE22042601</t>
        </is>
      </c>
      <c r="J2562" s="8" t="inlineStr">
        <is>
          <t>Anomalies/defects in the modules</t>
        </is>
      </c>
      <c r="K2562" s="8" t="inlineStr">
        <is>
          <t>Tirunelveli</t>
        </is>
      </c>
      <c r="L2562" s="8" t="inlineStr">
        <is>
          <t>Tamil Nadu</t>
        </is>
      </c>
      <c r="M2562" s="60" t="inlineStr">
        <is>
          <t>PS</t>
        </is>
      </c>
      <c r="N2562" s="6" t="inlineStr">
        <is>
          <t>Cold Soldering</t>
        </is>
      </c>
      <c r="O2562" s="11" t="n">
        <v>550</v>
      </c>
      <c r="P2562" s="60" t="inlineStr">
        <is>
          <t>NSMP2306326205</t>
        </is>
      </c>
      <c r="Q2562" s="29">
        <f>MID(P2562,5,2)</f>
        <v/>
      </c>
      <c r="R2562" s="14">
        <f>MID(P2562,7,2)</f>
        <v/>
      </c>
      <c r="S2562" s="6" t="inlineStr">
        <is>
          <t>G2B</t>
        </is>
      </c>
      <c r="T2562" s="1" t="inlineStr">
        <is>
          <t>P2 - PEPPL</t>
        </is>
      </c>
      <c r="U2562" s="6" t="inlineStr">
        <is>
          <t>P JB Cold Soldering</t>
        </is>
      </c>
      <c r="V2562" s="1" t="inlineStr">
        <is>
          <t>Soldering</t>
        </is>
      </c>
      <c r="W2562" s="1" t="inlineStr">
        <is>
          <t>Repair</t>
        </is>
      </c>
      <c r="X2562" s="5" t="n">
        <v>46200</v>
      </c>
      <c r="Y2562" s="1">
        <f>IF(X2562="","",X2562-A2562)</f>
        <v/>
      </c>
      <c r="Z2562" s="5" t="n">
        <v>46200</v>
      </c>
      <c r="AA2562" s="3" t="n"/>
      <c r="AB2562" s="3" t="n"/>
      <c r="AE2562" s="146">
        <f>IF(AND(F2562="Closed",X2562&gt;=DATE(2026,6,1),X2562&lt;=DATE(2026,6,30)),"Closed in June","other")</f>
        <v/>
      </c>
    </row>
    <row r="2563" hidden="1">
      <c r="A2563" s="9" t="n">
        <v>46134</v>
      </c>
      <c r="B2563" s="1" t="n">
        <v>2026</v>
      </c>
      <c r="C2563" s="8" t="inlineStr">
        <is>
          <t>First Energy</t>
        </is>
      </c>
      <c r="D2563" s="11" t="inlineStr">
        <is>
          <t>Utility and C&amp;I</t>
        </is>
      </c>
      <c r="E2563" s="1" t="n"/>
      <c r="F2563" s="1" t="inlineStr">
        <is>
          <t>Closed</t>
        </is>
      </c>
      <c r="G2563" s="8" t="inlineStr">
        <is>
          <t>Saravanakumar</t>
        </is>
      </c>
      <c r="H2563" s="8" t="n">
        <v>8248438488</v>
      </c>
      <c r="I2563" s="10" t="inlineStr">
        <is>
          <t>PE22042601</t>
        </is>
      </c>
      <c r="J2563" s="8" t="inlineStr">
        <is>
          <t>Anomalies/defects in the modules</t>
        </is>
      </c>
      <c r="K2563" s="8" t="inlineStr">
        <is>
          <t>Tirunelveli</t>
        </is>
      </c>
      <c r="L2563" s="8" t="inlineStr">
        <is>
          <t>Tamil Nadu</t>
        </is>
      </c>
      <c r="M2563" s="60" t="inlineStr">
        <is>
          <t>OK</t>
        </is>
      </c>
      <c r="N2563" s="2" t="inlineStr">
        <is>
          <t>No Issue Found</t>
        </is>
      </c>
      <c r="O2563" s="11" t="n">
        <v>550</v>
      </c>
      <c r="P2563" s="60" t="inlineStr">
        <is>
          <t>NSMP2306325059</t>
        </is>
      </c>
      <c r="Q2563" s="29">
        <f>MID(P2563,5,2)</f>
        <v/>
      </c>
      <c r="R2563" s="14">
        <f>MID(P2563,7,2)</f>
        <v/>
      </c>
      <c r="S2563" s="6" t="inlineStr">
        <is>
          <t>G2B</t>
        </is>
      </c>
      <c r="T2563" s="1" t="inlineStr">
        <is>
          <t>P2 - PEPPL</t>
        </is>
      </c>
      <c r="U2563" s="6" t="inlineStr">
        <is>
          <t>No Issue Found</t>
        </is>
      </c>
      <c r="V2563" s="6" t="inlineStr">
        <is>
          <t>Inspection</t>
        </is>
      </c>
      <c r="W2563" s="1" t="inlineStr">
        <is>
          <t>Rejected</t>
        </is>
      </c>
      <c r="X2563" s="5" t="n">
        <v>46200</v>
      </c>
      <c r="Y2563" s="1">
        <f>IF(X2563="","",X2563-A2563)</f>
        <v/>
      </c>
      <c r="Z2563" s="5" t="n">
        <v>46200</v>
      </c>
      <c r="AA2563" s="3" t="n"/>
      <c r="AB2563" s="3" t="n"/>
      <c r="AE2563" s="146">
        <f>IF(AND(F2563="Closed",X2563&gt;=DATE(2026,6,1),X2563&lt;=DATE(2026,6,30)),"Closed in June","other")</f>
        <v/>
      </c>
    </row>
    <row r="2564" hidden="1">
      <c r="A2564" s="9" t="n">
        <v>46134</v>
      </c>
      <c r="B2564" s="1" t="n">
        <v>2026</v>
      </c>
      <c r="C2564" s="8" t="inlineStr">
        <is>
          <t>First Energy</t>
        </is>
      </c>
      <c r="D2564" s="11" t="inlineStr">
        <is>
          <t>Utility and C&amp;I</t>
        </is>
      </c>
      <c r="E2564" s="1" t="n"/>
      <c r="F2564" s="1" t="inlineStr">
        <is>
          <t>Closed</t>
        </is>
      </c>
      <c r="G2564" s="8" t="inlineStr">
        <is>
          <t>Saravanakumar</t>
        </is>
      </c>
      <c r="H2564" s="8" t="n">
        <v>8248438488</v>
      </c>
      <c r="I2564" s="10" t="inlineStr">
        <is>
          <t>PE22042601</t>
        </is>
      </c>
      <c r="J2564" s="8" t="inlineStr">
        <is>
          <t>Anomalies/defects in the modules</t>
        </is>
      </c>
      <c r="K2564" s="8" t="inlineStr">
        <is>
          <t>Tirunelveli</t>
        </is>
      </c>
      <c r="L2564" s="8" t="inlineStr">
        <is>
          <t>Tamil Nadu</t>
        </is>
      </c>
      <c r="M2564" s="60" t="inlineStr">
        <is>
          <t>OK</t>
        </is>
      </c>
      <c r="N2564" s="2" t="inlineStr">
        <is>
          <t>No Issue Found</t>
        </is>
      </c>
      <c r="O2564" s="11" t="n">
        <v>550</v>
      </c>
      <c r="P2564" s="60" t="inlineStr">
        <is>
          <t>NSMP2306260627</t>
        </is>
      </c>
      <c r="Q2564" s="29">
        <f>MID(P2564,5,2)</f>
        <v/>
      </c>
      <c r="R2564" s="14">
        <f>MID(P2564,7,2)</f>
        <v/>
      </c>
      <c r="S2564" s="6" t="inlineStr">
        <is>
          <t>G2B</t>
        </is>
      </c>
      <c r="T2564" s="1" t="inlineStr">
        <is>
          <t>P2 - PEPPL</t>
        </is>
      </c>
      <c r="U2564" s="6" t="inlineStr">
        <is>
          <t>No Issue Found</t>
        </is>
      </c>
      <c r="V2564" s="6" t="inlineStr">
        <is>
          <t>Inspection</t>
        </is>
      </c>
      <c r="W2564" s="1" t="inlineStr">
        <is>
          <t>Rejected</t>
        </is>
      </c>
      <c r="X2564" s="5" t="n">
        <v>46200</v>
      </c>
      <c r="Y2564" s="1">
        <f>IF(X2564="","",X2564-A2564)</f>
        <v/>
      </c>
      <c r="Z2564" s="5" t="n">
        <v>46200</v>
      </c>
      <c r="AA2564" s="3" t="n"/>
      <c r="AB2564" s="3" t="n"/>
      <c r="AE2564" s="146">
        <f>IF(AND(F2564="Closed",X2564&gt;=DATE(2026,6,1),X2564&lt;=DATE(2026,6,30)),"Closed in June","other")</f>
        <v/>
      </c>
    </row>
    <row r="2565" hidden="1">
      <c r="A2565" s="9" t="n">
        <v>46134</v>
      </c>
      <c r="B2565" s="1" t="n">
        <v>2026</v>
      </c>
      <c r="C2565" s="8" t="inlineStr">
        <is>
          <t>First Energy</t>
        </is>
      </c>
      <c r="D2565" s="11" t="inlineStr">
        <is>
          <t>Utility and C&amp;I</t>
        </is>
      </c>
      <c r="E2565" s="1" t="n"/>
      <c r="F2565" s="1" t="inlineStr">
        <is>
          <t>Closed</t>
        </is>
      </c>
      <c r="G2565" s="8" t="inlineStr">
        <is>
          <t>Saravanakumar</t>
        </is>
      </c>
      <c r="H2565" s="8" t="n">
        <v>8248438488</v>
      </c>
      <c r="I2565" s="10" t="inlineStr">
        <is>
          <t>PE22042601</t>
        </is>
      </c>
      <c r="J2565" s="8" t="inlineStr">
        <is>
          <t>Anomalies/defects in the modules</t>
        </is>
      </c>
      <c r="K2565" s="8" t="inlineStr">
        <is>
          <t>Tirunelveli</t>
        </is>
      </c>
      <c r="L2565" s="8" t="inlineStr">
        <is>
          <t>Tamil Nadu</t>
        </is>
      </c>
      <c r="M2565" s="60" t="inlineStr">
        <is>
          <t>OK</t>
        </is>
      </c>
      <c r="N2565" s="2" t="inlineStr">
        <is>
          <t>No Issue Found</t>
        </is>
      </c>
      <c r="O2565" s="11" t="n">
        <v>550</v>
      </c>
      <c r="P2565" s="60" t="inlineStr">
        <is>
          <t>NSMP2306321404</t>
        </is>
      </c>
      <c r="Q2565" s="29">
        <f>MID(P2565,5,2)</f>
        <v/>
      </c>
      <c r="R2565" s="14">
        <f>MID(P2565,7,2)</f>
        <v/>
      </c>
      <c r="S2565" s="6" t="inlineStr">
        <is>
          <t>G2B</t>
        </is>
      </c>
      <c r="T2565" s="1" t="inlineStr">
        <is>
          <t>P2 - PEPPL</t>
        </is>
      </c>
      <c r="U2565" s="6" t="inlineStr">
        <is>
          <t>No Issue Found</t>
        </is>
      </c>
      <c r="V2565" s="6" t="inlineStr">
        <is>
          <t>Inspection</t>
        </is>
      </c>
      <c r="W2565" s="1" t="inlineStr">
        <is>
          <t>Rejected</t>
        </is>
      </c>
      <c r="X2565" s="5" t="n">
        <v>46200</v>
      </c>
      <c r="Y2565" s="1">
        <f>IF(X2565="","",X2565-A2565)</f>
        <v/>
      </c>
      <c r="Z2565" s="5" t="n">
        <v>46200</v>
      </c>
      <c r="AA2565" s="3" t="n"/>
      <c r="AB2565" s="3" t="n"/>
      <c r="AE2565" s="146">
        <f>IF(AND(F2565="Closed",X2565&gt;=DATE(2026,6,1),X2565&lt;=DATE(2026,6,30)),"Closed in June","other")</f>
        <v/>
      </c>
    </row>
    <row r="2566" hidden="1">
      <c r="A2566" s="9" t="n">
        <v>46134</v>
      </c>
      <c r="B2566" s="1" t="n">
        <v>2026</v>
      </c>
      <c r="C2566" s="8" t="inlineStr">
        <is>
          <t>First Energy</t>
        </is>
      </c>
      <c r="D2566" s="11" t="inlineStr">
        <is>
          <t>Utility and C&amp;I</t>
        </is>
      </c>
      <c r="E2566" s="1" t="n"/>
      <c r="F2566" s="1" t="inlineStr">
        <is>
          <t>Closed</t>
        </is>
      </c>
      <c r="G2566" s="8" t="inlineStr">
        <is>
          <t>Saravanakumar</t>
        </is>
      </c>
      <c r="H2566" s="8" t="n">
        <v>8248438488</v>
      </c>
      <c r="I2566" s="10" t="inlineStr">
        <is>
          <t>PE22042601</t>
        </is>
      </c>
      <c r="J2566" s="8" t="inlineStr">
        <is>
          <t>Anomalies/defects in the modules</t>
        </is>
      </c>
      <c r="K2566" s="8" t="inlineStr">
        <is>
          <t>Tirunelveli</t>
        </is>
      </c>
      <c r="L2566" s="8" t="inlineStr">
        <is>
          <t>Tamil Nadu</t>
        </is>
      </c>
      <c r="M2566" s="60" t="inlineStr">
        <is>
          <t>OK</t>
        </is>
      </c>
      <c r="N2566" s="2" t="inlineStr">
        <is>
          <t>No Issue Found</t>
        </is>
      </c>
      <c r="O2566" s="11" t="n">
        <v>550</v>
      </c>
      <c r="P2566" s="60" t="inlineStr">
        <is>
          <t>NSMP2307327516</t>
        </is>
      </c>
      <c r="Q2566" s="29">
        <f>MID(P2566,5,2)</f>
        <v/>
      </c>
      <c r="R2566" s="14">
        <f>MID(P2566,7,2)</f>
        <v/>
      </c>
      <c r="S2566" s="6" t="inlineStr">
        <is>
          <t>G2B</t>
        </is>
      </c>
      <c r="T2566" s="1" t="inlineStr">
        <is>
          <t>P2 - PEPPL</t>
        </is>
      </c>
      <c r="U2566" s="6" t="inlineStr">
        <is>
          <t>No Issue Found</t>
        </is>
      </c>
      <c r="V2566" s="6" t="inlineStr">
        <is>
          <t>Inspection</t>
        </is>
      </c>
      <c r="W2566" s="1" t="inlineStr">
        <is>
          <t>Rejected</t>
        </is>
      </c>
      <c r="X2566" s="5" t="n">
        <v>46200</v>
      </c>
      <c r="Y2566" s="1">
        <f>IF(X2566="","",X2566-A2566)</f>
        <v/>
      </c>
      <c r="Z2566" s="5" t="n">
        <v>46200</v>
      </c>
      <c r="AA2566" s="3" t="n"/>
      <c r="AB2566" s="3" t="n"/>
      <c r="AE2566" s="146">
        <f>IF(AND(F2566="Closed",X2566&gt;=DATE(2026,6,1),X2566&lt;=DATE(2026,6,30)),"Closed in June","other")</f>
        <v/>
      </c>
    </row>
    <row r="2567" hidden="1">
      <c r="A2567" s="9" t="n">
        <v>46134</v>
      </c>
      <c r="B2567" s="1" t="n">
        <v>2026</v>
      </c>
      <c r="C2567" s="8" t="inlineStr">
        <is>
          <t>First Energy</t>
        </is>
      </c>
      <c r="D2567" s="11" t="inlineStr">
        <is>
          <t>Utility and C&amp;I</t>
        </is>
      </c>
      <c r="E2567" s="1" t="n"/>
      <c r="F2567" s="1" t="inlineStr">
        <is>
          <t>Closed</t>
        </is>
      </c>
      <c r="G2567" s="8" t="inlineStr">
        <is>
          <t>Saravanakumar</t>
        </is>
      </c>
      <c r="H2567" s="8" t="n">
        <v>8248438488</v>
      </c>
      <c r="I2567" s="10" t="inlineStr">
        <is>
          <t>PE22042601</t>
        </is>
      </c>
      <c r="J2567" s="8" t="inlineStr">
        <is>
          <t>Anomalies/defects in the modules</t>
        </is>
      </c>
      <c r="K2567" s="8" t="inlineStr">
        <is>
          <t>Tirunelveli</t>
        </is>
      </c>
      <c r="L2567" s="8" t="inlineStr">
        <is>
          <t>Tamil Nadu</t>
        </is>
      </c>
      <c r="M2567" s="60" t="inlineStr">
        <is>
          <t>OK</t>
        </is>
      </c>
      <c r="N2567" s="2" t="inlineStr">
        <is>
          <t>No Issue Found</t>
        </is>
      </c>
      <c r="O2567" s="11" t="n">
        <v>550</v>
      </c>
      <c r="P2567" s="60" t="inlineStr">
        <is>
          <t>NSMP2306321453</t>
        </is>
      </c>
      <c r="Q2567" s="29">
        <f>MID(P2567,5,2)</f>
        <v/>
      </c>
      <c r="R2567" s="14">
        <f>MID(P2567,7,2)</f>
        <v/>
      </c>
      <c r="S2567" s="6" t="inlineStr">
        <is>
          <t>G2B</t>
        </is>
      </c>
      <c r="T2567" s="1" t="inlineStr">
        <is>
          <t>P2 - PEPPL</t>
        </is>
      </c>
      <c r="U2567" s="6" t="inlineStr">
        <is>
          <t>No Issue Found</t>
        </is>
      </c>
      <c r="V2567" s="6" t="inlineStr">
        <is>
          <t>Inspection</t>
        </is>
      </c>
      <c r="W2567" s="1" t="inlineStr">
        <is>
          <t>Rejected</t>
        </is>
      </c>
      <c r="X2567" s="5" t="n">
        <v>46200</v>
      </c>
      <c r="Y2567" s="1">
        <f>IF(X2567="","",X2567-A2567)</f>
        <v/>
      </c>
      <c r="Z2567" s="5" t="n">
        <v>46200</v>
      </c>
      <c r="AA2567" s="3" t="n"/>
      <c r="AB2567" s="3" t="n"/>
      <c r="AE2567" s="146">
        <f>IF(AND(F2567="Closed",X2567&gt;=DATE(2026,6,1),X2567&lt;=DATE(2026,6,30)),"Closed in June","other")</f>
        <v/>
      </c>
    </row>
    <row r="2568" hidden="1">
      <c r="A2568" s="9" t="n">
        <v>46134</v>
      </c>
      <c r="B2568" s="1" t="n">
        <v>2026</v>
      </c>
      <c r="C2568" s="8" t="inlineStr">
        <is>
          <t>First Energy</t>
        </is>
      </c>
      <c r="D2568" s="11" t="inlineStr">
        <is>
          <t>Utility and C&amp;I</t>
        </is>
      </c>
      <c r="E2568" s="1" t="n"/>
      <c r="F2568" s="1" t="inlineStr">
        <is>
          <t>Closed</t>
        </is>
      </c>
      <c r="G2568" s="8" t="inlineStr">
        <is>
          <t>Saravanakumar</t>
        </is>
      </c>
      <c r="H2568" s="8" t="n">
        <v>8248438488</v>
      </c>
      <c r="I2568" s="10" t="inlineStr">
        <is>
          <t>PE22042601</t>
        </is>
      </c>
      <c r="J2568" s="8" t="inlineStr">
        <is>
          <t>Anomalies/defects in the modules</t>
        </is>
      </c>
      <c r="K2568" s="8" t="inlineStr">
        <is>
          <t>Tirunelveli</t>
        </is>
      </c>
      <c r="L2568" s="8" t="inlineStr">
        <is>
          <t>Tamil Nadu</t>
        </is>
      </c>
      <c r="M2568" s="60" t="inlineStr">
        <is>
          <t>OK</t>
        </is>
      </c>
      <c r="N2568" s="2" t="inlineStr">
        <is>
          <t>No Issue Found</t>
        </is>
      </c>
      <c r="O2568" s="11" t="n">
        <v>550</v>
      </c>
      <c r="P2568" s="60" t="inlineStr">
        <is>
          <t>NSMP2306260513</t>
        </is>
      </c>
      <c r="Q2568" s="29">
        <f>MID(P2568,5,2)</f>
        <v/>
      </c>
      <c r="R2568" s="14">
        <f>MID(P2568,7,2)</f>
        <v/>
      </c>
      <c r="S2568" s="6" t="inlineStr">
        <is>
          <t>G2B</t>
        </is>
      </c>
      <c r="T2568" s="1" t="inlineStr">
        <is>
          <t>P2 - PEPPL</t>
        </is>
      </c>
      <c r="U2568" s="6" t="inlineStr">
        <is>
          <t>No Issue Found</t>
        </is>
      </c>
      <c r="V2568" s="6" t="inlineStr">
        <is>
          <t>Inspection</t>
        </is>
      </c>
      <c r="W2568" s="1" t="inlineStr">
        <is>
          <t>Rejected</t>
        </is>
      </c>
      <c r="X2568" s="5" t="n">
        <v>46200</v>
      </c>
      <c r="Y2568" s="1">
        <f>IF(X2568="","",X2568-A2568)</f>
        <v/>
      </c>
      <c r="Z2568" s="5" t="n">
        <v>46200</v>
      </c>
      <c r="AA2568" s="3" t="n"/>
      <c r="AB2568" s="3" t="n"/>
      <c r="AE2568" s="146">
        <f>IF(AND(F2568="Closed",X2568&gt;=DATE(2026,6,1),X2568&lt;=DATE(2026,6,30)),"Closed in June","other")</f>
        <v/>
      </c>
    </row>
    <row r="2569" hidden="1">
      <c r="A2569" s="9" t="n">
        <v>46134</v>
      </c>
      <c r="B2569" s="1" t="n">
        <v>2026</v>
      </c>
      <c r="C2569" s="8" t="inlineStr">
        <is>
          <t>First Energy</t>
        </is>
      </c>
      <c r="D2569" s="11" t="inlineStr">
        <is>
          <t>Utility and C&amp;I</t>
        </is>
      </c>
      <c r="E2569" s="1" t="n"/>
      <c r="F2569" s="1" t="inlineStr">
        <is>
          <t>Closed</t>
        </is>
      </c>
      <c r="G2569" s="8" t="inlineStr">
        <is>
          <t>Saravanakumar</t>
        </is>
      </c>
      <c r="H2569" s="8" t="n">
        <v>8248438488</v>
      </c>
      <c r="I2569" s="10" t="inlineStr">
        <is>
          <t>PE22042601</t>
        </is>
      </c>
      <c r="J2569" s="8" t="inlineStr">
        <is>
          <t>Anomalies/defects in the modules</t>
        </is>
      </c>
      <c r="K2569" s="8" t="inlineStr">
        <is>
          <t>Tirunelveli</t>
        </is>
      </c>
      <c r="L2569" s="8" t="inlineStr">
        <is>
          <t>Tamil Nadu</t>
        </is>
      </c>
      <c r="M2569" s="60" t="inlineStr">
        <is>
          <t>OK</t>
        </is>
      </c>
      <c r="N2569" s="2" t="inlineStr">
        <is>
          <t>No Issue Found</t>
        </is>
      </c>
      <c r="O2569" s="11" t="n">
        <v>550</v>
      </c>
      <c r="P2569" s="60" t="inlineStr">
        <is>
          <t>NSMP2306326250</t>
        </is>
      </c>
      <c r="Q2569" s="29">
        <f>MID(P2569,5,2)</f>
        <v/>
      </c>
      <c r="R2569" s="14">
        <f>MID(P2569,7,2)</f>
        <v/>
      </c>
      <c r="S2569" s="6" t="inlineStr">
        <is>
          <t>G2B</t>
        </is>
      </c>
      <c r="T2569" s="1" t="inlineStr">
        <is>
          <t>P2 - PEPPL</t>
        </is>
      </c>
      <c r="U2569" s="6" t="inlineStr">
        <is>
          <t>No Issue Found</t>
        </is>
      </c>
      <c r="V2569" s="6" t="inlineStr">
        <is>
          <t>Inspection</t>
        </is>
      </c>
      <c r="W2569" s="1" t="inlineStr">
        <is>
          <t>Rejected</t>
        </is>
      </c>
      <c r="X2569" s="5" t="n">
        <v>46200</v>
      </c>
      <c r="Y2569" s="1">
        <f>IF(X2569="","",X2569-A2569)</f>
        <v/>
      </c>
      <c r="Z2569" s="5" t="n">
        <v>46200</v>
      </c>
      <c r="AA2569" s="3" t="n"/>
      <c r="AB2569" s="3" t="n"/>
      <c r="AE2569" s="146">
        <f>IF(AND(F2569="Closed",X2569&gt;=DATE(2026,6,1),X2569&lt;=DATE(2026,6,30)),"Closed in June","other")</f>
        <v/>
      </c>
    </row>
    <row r="2570" hidden="1">
      <c r="A2570" s="9" t="n">
        <v>46134</v>
      </c>
      <c r="B2570" s="1" t="n">
        <v>2026</v>
      </c>
      <c r="C2570" s="8" t="inlineStr">
        <is>
          <t>First Energy</t>
        </is>
      </c>
      <c r="D2570" s="11" t="inlineStr">
        <is>
          <t>Utility and C&amp;I</t>
        </is>
      </c>
      <c r="E2570" s="1" t="n"/>
      <c r="F2570" s="1" t="inlineStr">
        <is>
          <t>Closed</t>
        </is>
      </c>
      <c r="G2570" s="8" t="inlineStr">
        <is>
          <t>Saravanakumar</t>
        </is>
      </c>
      <c r="H2570" s="8" t="n">
        <v>8248438488</v>
      </c>
      <c r="I2570" s="10" t="inlineStr">
        <is>
          <t>PE22042601</t>
        </is>
      </c>
      <c r="J2570" s="8" t="inlineStr">
        <is>
          <t>Anomalies/defects in the modules</t>
        </is>
      </c>
      <c r="K2570" s="8" t="inlineStr">
        <is>
          <t>Tirunelveli</t>
        </is>
      </c>
      <c r="L2570" s="8" t="inlineStr">
        <is>
          <t>Tamil Nadu</t>
        </is>
      </c>
      <c r="M2570" s="60" t="inlineStr">
        <is>
          <t>OK</t>
        </is>
      </c>
      <c r="N2570" s="2" t="inlineStr">
        <is>
          <t>No Issue Found</t>
        </is>
      </c>
      <c r="O2570" s="11" t="n">
        <v>550</v>
      </c>
      <c r="P2570" s="60" t="inlineStr">
        <is>
          <t>NSMP2306317069</t>
        </is>
      </c>
      <c r="Q2570" s="29">
        <f>MID(P2570,5,2)</f>
        <v/>
      </c>
      <c r="R2570" s="14">
        <f>MID(P2570,7,2)</f>
        <v/>
      </c>
      <c r="S2570" s="6" t="inlineStr">
        <is>
          <t>G2B</t>
        </is>
      </c>
      <c r="T2570" s="1" t="inlineStr">
        <is>
          <t>P2 - PEPPL</t>
        </is>
      </c>
      <c r="U2570" s="6" t="inlineStr">
        <is>
          <t>No Issue Found</t>
        </is>
      </c>
      <c r="V2570" s="6" t="inlineStr">
        <is>
          <t>Inspection</t>
        </is>
      </c>
      <c r="W2570" s="1" t="inlineStr">
        <is>
          <t>Rejected</t>
        </is>
      </c>
      <c r="X2570" s="5" t="n">
        <v>46200</v>
      </c>
      <c r="Y2570" s="1">
        <f>IF(X2570="","",X2570-A2570)</f>
        <v/>
      </c>
      <c r="Z2570" s="5" t="n">
        <v>46200</v>
      </c>
      <c r="AA2570" s="3" t="n"/>
      <c r="AB2570" s="3" t="n"/>
      <c r="AE2570" s="146">
        <f>IF(AND(F2570="Closed",X2570&gt;=DATE(2026,6,1),X2570&lt;=DATE(2026,6,30)),"Closed in June","other")</f>
        <v/>
      </c>
    </row>
    <row r="2571" hidden="1">
      <c r="A2571" s="9" t="n">
        <v>46134</v>
      </c>
      <c r="B2571" s="1" t="n">
        <v>2026</v>
      </c>
      <c r="C2571" s="8" t="inlineStr">
        <is>
          <t>First Energy</t>
        </is>
      </c>
      <c r="D2571" s="11" t="inlineStr">
        <is>
          <t>Utility and C&amp;I</t>
        </is>
      </c>
      <c r="E2571" s="1" t="n"/>
      <c r="F2571" s="1" t="inlineStr">
        <is>
          <t>Closed</t>
        </is>
      </c>
      <c r="G2571" s="8" t="inlineStr">
        <is>
          <t>Saravanakumar</t>
        </is>
      </c>
      <c r="H2571" s="8" t="n">
        <v>8248438488</v>
      </c>
      <c r="I2571" s="10" t="inlineStr">
        <is>
          <t>PE22042601</t>
        </is>
      </c>
      <c r="J2571" s="8" t="inlineStr">
        <is>
          <t>Anomalies/defects in the modules</t>
        </is>
      </c>
      <c r="K2571" s="8" t="inlineStr">
        <is>
          <t>Tirunelveli</t>
        </is>
      </c>
      <c r="L2571" s="8" t="inlineStr">
        <is>
          <t>Tamil Nadu</t>
        </is>
      </c>
      <c r="M2571" s="60" t="inlineStr">
        <is>
          <t>OK</t>
        </is>
      </c>
      <c r="N2571" s="2" t="inlineStr">
        <is>
          <t>No Issue Found</t>
        </is>
      </c>
      <c r="O2571" s="11" t="n">
        <v>550</v>
      </c>
      <c r="P2571" s="60" t="inlineStr">
        <is>
          <t>NSMP2306271994</t>
        </is>
      </c>
      <c r="Q2571" s="29">
        <f>MID(P2571,5,2)</f>
        <v/>
      </c>
      <c r="R2571" s="14">
        <f>MID(P2571,7,2)</f>
        <v/>
      </c>
      <c r="S2571" s="6" t="inlineStr">
        <is>
          <t>G2B</t>
        </is>
      </c>
      <c r="T2571" s="1" t="inlineStr">
        <is>
          <t>P2 - PEPPL</t>
        </is>
      </c>
      <c r="U2571" s="6" t="inlineStr">
        <is>
          <t>No Issue Found</t>
        </is>
      </c>
      <c r="V2571" s="6" t="inlineStr">
        <is>
          <t>Inspection</t>
        </is>
      </c>
      <c r="W2571" s="1" t="inlineStr">
        <is>
          <t>Rejected</t>
        </is>
      </c>
      <c r="X2571" s="5" t="n">
        <v>46200</v>
      </c>
      <c r="Y2571" s="1">
        <f>IF(X2571="","",X2571-A2571)</f>
        <v/>
      </c>
      <c r="Z2571" s="5" t="n">
        <v>46200</v>
      </c>
      <c r="AA2571" s="3" t="n"/>
      <c r="AB2571" s="3" t="n"/>
      <c r="AE2571" s="146">
        <f>IF(AND(F2571="Closed",X2571&gt;=DATE(2026,6,1),X2571&lt;=DATE(2026,6,30)),"Closed in June","other")</f>
        <v/>
      </c>
    </row>
    <row r="2572" hidden="1">
      <c r="A2572" s="9" t="n">
        <v>46134</v>
      </c>
      <c r="B2572" s="1" t="n">
        <v>2026</v>
      </c>
      <c r="C2572" s="8" t="inlineStr">
        <is>
          <t>First Energy</t>
        </is>
      </c>
      <c r="D2572" s="11" t="inlineStr">
        <is>
          <t>Utility and C&amp;I</t>
        </is>
      </c>
      <c r="E2572" s="1" t="n"/>
      <c r="F2572" s="1" t="inlineStr">
        <is>
          <t>Closed</t>
        </is>
      </c>
      <c r="G2572" s="8" t="inlineStr">
        <is>
          <t>Saravanakumar</t>
        </is>
      </c>
      <c r="H2572" s="8" t="n">
        <v>8248438488</v>
      </c>
      <c r="I2572" s="10" t="inlineStr">
        <is>
          <t>PE22042601</t>
        </is>
      </c>
      <c r="J2572" s="8" t="inlineStr">
        <is>
          <t>Anomalies/defects in the modules</t>
        </is>
      </c>
      <c r="K2572" s="8" t="inlineStr">
        <is>
          <t>Tirunelveli</t>
        </is>
      </c>
      <c r="L2572" s="8" t="inlineStr">
        <is>
          <t>Tamil Nadu</t>
        </is>
      </c>
      <c r="M2572" s="60" t="inlineStr">
        <is>
          <t>OK</t>
        </is>
      </c>
      <c r="N2572" s="2" t="inlineStr">
        <is>
          <t>No Issue Found</t>
        </is>
      </c>
      <c r="O2572" s="11" t="n">
        <v>550</v>
      </c>
      <c r="P2572" s="60" t="inlineStr">
        <is>
          <t>NSMP2306325784</t>
        </is>
      </c>
      <c r="Q2572" s="29">
        <f>MID(P2572,5,2)</f>
        <v/>
      </c>
      <c r="R2572" s="14">
        <f>MID(P2572,7,2)</f>
        <v/>
      </c>
      <c r="S2572" s="6" t="inlineStr">
        <is>
          <t>G2B</t>
        </is>
      </c>
      <c r="T2572" s="1" t="inlineStr">
        <is>
          <t>P2 - PEPPL</t>
        </is>
      </c>
      <c r="U2572" s="6" t="inlineStr">
        <is>
          <t>No Issue Found</t>
        </is>
      </c>
      <c r="V2572" s="6" t="inlineStr">
        <is>
          <t>Inspection</t>
        </is>
      </c>
      <c r="W2572" s="1" t="inlineStr">
        <is>
          <t>Rejected</t>
        </is>
      </c>
      <c r="X2572" s="5" t="n">
        <v>46200</v>
      </c>
      <c r="Y2572" s="1">
        <f>IF(X2572="","",X2572-A2572)</f>
        <v/>
      </c>
      <c r="Z2572" s="5" t="n">
        <v>46200</v>
      </c>
      <c r="AA2572" s="3" t="n"/>
      <c r="AB2572" s="3" t="n"/>
      <c r="AE2572" s="146">
        <f>IF(AND(F2572="Closed",X2572&gt;=DATE(2026,6,1),X2572&lt;=DATE(2026,6,30)),"Closed in June","other")</f>
        <v/>
      </c>
    </row>
    <row r="2573" hidden="1">
      <c r="A2573" s="9" t="n">
        <v>46134</v>
      </c>
      <c r="B2573" s="1" t="n">
        <v>2026</v>
      </c>
      <c r="C2573" s="8" t="inlineStr">
        <is>
          <t>First Energy</t>
        </is>
      </c>
      <c r="D2573" s="11" t="inlineStr">
        <is>
          <t>Utility and C&amp;I</t>
        </is>
      </c>
      <c r="E2573" s="1" t="n"/>
      <c r="F2573" s="1" t="inlineStr">
        <is>
          <t>Closed</t>
        </is>
      </c>
      <c r="G2573" s="8" t="inlineStr">
        <is>
          <t>Saravanakumar</t>
        </is>
      </c>
      <c r="H2573" s="8" t="n">
        <v>8248438488</v>
      </c>
      <c r="I2573" s="10" t="inlineStr">
        <is>
          <t>PE22042601</t>
        </is>
      </c>
      <c r="J2573" s="8" t="inlineStr">
        <is>
          <t>Anomalies/defects in the modules</t>
        </is>
      </c>
      <c r="K2573" s="8" t="inlineStr">
        <is>
          <t>Tirunelveli</t>
        </is>
      </c>
      <c r="L2573" s="8" t="inlineStr">
        <is>
          <t>Tamil Nadu</t>
        </is>
      </c>
      <c r="M2573" s="60" t="inlineStr">
        <is>
          <t>OK</t>
        </is>
      </c>
      <c r="N2573" s="2" t="inlineStr">
        <is>
          <t>No Issue Found</t>
        </is>
      </c>
      <c r="O2573" s="11" t="n">
        <v>550</v>
      </c>
      <c r="P2573" s="60" t="inlineStr">
        <is>
          <t>NSMP2306283611</t>
        </is>
      </c>
      <c r="Q2573" s="29">
        <f>MID(P2573,5,2)</f>
        <v/>
      </c>
      <c r="R2573" s="14">
        <f>MID(P2573,7,2)</f>
        <v/>
      </c>
      <c r="S2573" s="6" t="inlineStr">
        <is>
          <t>G2B</t>
        </is>
      </c>
      <c r="T2573" s="1" t="inlineStr">
        <is>
          <t>P2 - PEPPL</t>
        </is>
      </c>
      <c r="U2573" s="6" t="inlineStr">
        <is>
          <t>No Issue Found</t>
        </is>
      </c>
      <c r="V2573" s="6" t="inlineStr">
        <is>
          <t>Inspection</t>
        </is>
      </c>
      <c r="W2573" s="1" t="inlineStr">
        <is>
          <t>Rejected</t>
        </is>
      </c>
      <c r="X2573" s="5" t="n">
        <v>46200</v>
      </c>
      <c r="Y2573" s="1">
        <f>IF(X2573="","",X2573-A2573)</f>
        <v/>
      </c>
      <c r="Z2573" s="5" t="n">
        <v>46200</v>
      </c>
      <c r="AA2573" s="3" t="n"/>
      <c r="AB2573" s="3" t="n"/>
      <c r="AE2573" s="146">
        <f>IF(AND(F2573="Closed",X2573&gt;=DATE(2026,6,1),X2573&lt;=DATE(2026,6,30)),"Closed in June","other")</f>
        <v/>
      </c>
    </row>
    <row r="2574" hidden="1">
      <c r="A2574" s="9" t="n">
        <v>46134</v>
      </c>
      <c r="B2574" s="1" t="n">
        <v>2026</v>
      </c>
      <c r="C2574" s="8" t="inlineStr">
        <is>
          <t>First Energy</t>
        </is>
      </c>
      <c r="D2574" s="11" t="inlineStr">
        <is>
          <t>Utility and C&amp;I</t>
        </is>
      </c>
      <c r="E2574" s="1" t="n"/>
      <c r="F2574" s="1" t="inlineStr">
        <is>
          <t>Closed</t>
        </is>
      </c>
      <c r="G2574" s="8" t="inlineStr">
        <is>
          <t>Saravanakumar</t>
        </is>
      </c>
      <c r="H2574" s="8" t="n">
        <v>8248438488</v>
      </c>
      <c r="I2574" s="10" t="inlineStr">
        <is>
          <t>PE22042601</t>
        </is>
      </c>
      <c r="J2574" s="8" t="inlineStr">
        <is>
          <t>Anomalies/defects in the modules</t>
        </is>
      </c>
      <c r="K2574" s="8" t="inlineStr">
        <is>
          <t>Tirunelveli</t>
        </is>
      </c>
      <c r="L2574" s="8" t="inlineStr">
        <is>
          <t>Tamil Nadu</t>
        </is>
      </c>
      <c r="M2574" s="60" t="inlineStr">
        <is>
          <t>OK</t>
        </is>
      </c>
      <c r="N2574" s="2" t="inlineStr">
        <is>
          <t>No Issue Found</t>
        </is>
      </c>
      <c r="O2574" s="11" t="n">
        <v>550</v>
      </c>
      <c r="P2574" s="60" t="inlineStr">
        <is>
          <t>NSMP2306259147</t>
        </is>
      </c>
      <c r="Q2574" s="29">
        <f>MID(P2574,5,2)</f>
        <v/>
      </c>
      <c r="R2574" s="14">
        <f>MID(P2574,7,2)</f>
        <v/>
      </c>
      <c r="S2574" s="6" t="inlineStr">
        <is>
          <t>G2B</t>
        </is>
      </c>
      <c r="T2574" s="1" t="inlineStr">
        <is>
          <t>P2 - PEPPL</t>
        </is>
      </c>
      <c r="U2574" s="6" t="inlineStr">
        <is>
          <t>No Issue Found</t>
        </is>
      </c>
      <c r="V2574" s="6" t="inlineStr">
        <is>
          <t>Inspection</t>
        </is>
      </c>
      <c r="W2574" s="1" t="inlineStr">
        <is>
          <t>Rejected</t>
        </is>
      </c>
      <c r="X2574" s="5" t="n">
        <v>46200</v>
      </c>
      <c r="Y2574" s="1">
        <f>IF(X2574="","",X2574-A2574)</f>
        <v/>
      </c>
      <c r="Z2574" s="5" t="n">
        <v>46200</v>
      </c>
      <c r="AA2574" s="3" t="n"/>
      <c r="AB2574" s="3" t="n"/>
      <c r="AE2574" s="146">
        <f>IF(AND(F2574="Closed",X2574&gt;=DATE(2026,6,1),X2574&lt;=DATE(2026,6,30)),"Closed in June","other")</f>
        <v/>
      </c>
    </row>
    <row r="2575" hidden="1">
      <c r="A2575" s="9" t="n">
        <v>46134</v>
      </c>
      <c r="B2575" s="1" t="n">
        <v>2026</v>
      </c>
      <c r="C2575" s="8" t="inlineStr">
        <is>
          <t>First Energy</t>
        </is>
      </c>
      <c r="D2575" s="11" t="inlineStr">
        <is>
          <t>Utility and C&amp;I</t>
        </is>
      </c>
      <c r="E2575" s="1" t="n"/>
      <c r="F2575" s="1" t="inlineStr">
        <is>
          <t>Closed</t>
        </is>
      </c>
      <c r="G2575" s="8" t="inlineStr">
        <is>
          <t>Saravanakumar</t>
        </is>
      </c>
      <c r="H2575" s="8" t="n">
        <v>8248438488</v>
      </c>
      <c r="I2575" s="10" t="inlineStr">
        <is>
          <t>PE22042601</t>
        </is>
      </c>
      <c r="J2575" s="8" t="inlineStr">
        <is>
          <t>Anomalies/defects in the modules</t>
        </is>
      </c>
      <c r="K2575" s="8" t="inlineStr">
        <is>
          <t>Tirunelveli</t>
        </is>
      </c>
      <c r="L2575" s="8" t="inlineStr">
        <is>
          <t>Tamil Nadu</t>
        </is>
      </c>
      <c r="M2575" s="60" t="inlineStr">
        <is>
          <t>PS</t>
        </is>
      </c>
      <c r="N2575" s="6" t="inlineStr">
        <is>
          <t>Cold Soldering</t>
        </is>
      </c>
      <c r="O2575" s="11" t="n">
        <v>550</v>
      </c>
      <c r="P2575" s="60" t="inlineStr">
        <is>
          <t>NSMP2306259181</t>
        </is>
      </c>
      <c r="Q2575" s="29">
        <f>MID(P2575,5,2)</f>
        <v/>
      </c>
      <c r="R2575" s="14">
        <f>MID(P2575,7,2)</f>
        <v/>
      </c>
      <c r="S2575" s="6" t="inlineStr">
        <is>
          <t>G2B</t>
        </is>
      </c>
      <c r="T2575" s="1" t="inlineStr">
        <is>
          <t>P2 - PEPPL</t>
        </is>
      </c>
      <c r="U2575" s="6" t="inlineStr">
        <is>
          <t>P JB Cold Soldering</t>
        </is>
      </c>
      <c r="V2575" s="1" t="inlineStr">
        <is>
          <t>Soldering</t>
        </is>
      </c>
      <c r="W2575" s="1" t="inlineStr">
        <is>
          <t>Repair</t>
        </is>
      </c>
      <c r="X2575" s="5" t="n">
        <v>46200</v>
      </c>
      <c r="Y2575" s="1">
        <f>IF(X2575="","",X2575-A2575)</f>
        <v/>
      </c>
      <c r="Z2575" s="5" t="n">
        <v>46200</v>
      </c>
      <c r="AA2575" s="3" t="n"/>
      <c r="AB2575" s="3" t="n"/>
      <c r="AE2575" s="146">
        <f>IF(AND(F2575="Closed",X2575&gt;=DATE(2026,6,1),X2575&lt;=DATE(2026,6,30)),"Closed in June","other")</f>
        <v/>
      </c>
    </row>
    <row r="2576" hidden="1">
      <c r="A2576" s="9" t="n">
        <v>46134</v>
      </c>
      <c r="B2576" s="1" t="n">
        <v>2026</v>
      </c>
      <c r="C2576" s="8" t="inlineStr">
        <is>
          <t>First Energy</t>
        </is>
      </c>
      <c r="D2576" s="11" t="inlineStr">
        <is>
          <t>Utility and C&amp;I</t>
        </is>
      </c>
      <c r="E2576" s="1" t="n"/>
      <c r="F2576" s="1" t="inlineStr">
        <is>
          <t>Closed</t>
        </is>
      </c>
      <c r="G2576" s="8" t="inlineStr">
        <is>
          <t>Saravanakumar</t>
        </is>
      </c>
      <c r="H2576" s="8" t="n">
        <v>8248438488</v>
      </c>
      <c r="I2576" s="10" t="inlineStr">
        <is>
          <t>PE22042601</t>
        </is>
      </c>
      <c r="J2576" s="8" t="inlineStr">
        <is>
          <t>Anomalies/defects in the modules</t>
        </is>
      </c>
      <c r="K2576" s="8" t="inlineStr">
        <is>
          <t>Tirunelveli</t>
        </is>
      </c>
      <c r="L2576" s="8" t="inlineStr">
        <is>
          <t>Tamil Nadu</t>
        </is>
      </c>
      <c r="M2576" s="60" t="inlineStr">
        <is>
          <t>OK</t>
        </is>
      </c>
      <c r="N2576" s="2" t="inlineStr">
        <is>
          <t>No Issue Found</t>
        </is>
      </c>
      <c r="O2576" s="11" t="n">
        <v>550</v>
      </c>
      <c r="P2576" s="60" t="inlineStr">
        <is>
          <t>NSMP2306217834</t>
        </is>
      </c>
      <c r="Q2576" s="29">
        <f>MID(P2576,5,2)</f>
        <v/>
      </c>
      <c r="R2576" s="14">
        <f>MID(P2576,7,2)</f>
        <v/>
      </c>
      <c r="S2576" s="6" t="inlineStr">
        <is>
          <t>G2B</t>
        </is>
      </c>
      <c r="T2576" s="1" t="inlineStr">
        <is>
          <t>P2 - PEPPL</t>
        </is>
      </c>
      <c r="U2576" s="6" t="inlineStr">
        <is>
          <t>No Issue Found</t>
        </is>
      </c>
      <c r="V2576" s="6" t="inlineStr">
        <is>
          <t>Inspection</t>
        </is>
      </c>
      <c r="W2576" s="1" t="inlineStr">
        <is>
          <t>Rejected</t>
        </is>
      </c>
      <c r="X2576" s="5" t="n">
        <v>46200</v>
      </c>
      <c r="Y2576" s="1">
        <f>IF(X2576="","",X2576-A2576)</f>
        <v/>
      </c>
      <c r="Z2576" s="5" t="n">
        <v>46200</v>
      </c>
      <c r="AA2576" s="3" t="n"/>
      <c r="AB2576" s="3" t="n"/>
      <c r="AE2576" s="146">
        <f>IF(AND(F2576="Closed",X2576&gt;=DATE(2026,6,1),X2576&lt;=DATE(2026,6,30)),"Closed in June","other")</f>
        <v/>
      </c>
    </row>
    <row r="2577" hidden="1">
      <c r="A2577" s="9" t="n">
        <v>46134</v>
      </c>
      <c r="B2577" s="1" t="n">
        <v>2026</v>
      </c>
      <c r="C2577" s="8" t="inlineStr">
        <is>
          <t>First Energy</t>
        </is>
      </c>
      <c r="D2577" s="11" t="inlineStr">
        <is>
          <t>Utility and C&amp;I</t>
        </is>
      </c>
      <c r="E2577" s="1" t="n"/>
      <c r="F2577" s="1" t="inlineStr">
        <is>
          <t>Closed</t>
        </is>
      </c>
      <c r="G2577" s="8" t="inlineStr">
        <is>
          <t>Saravanakumar</t>
        </is>
      </c>
      <c r="H2577" s="8" t="n">
        <v>8248438488</v>
      </c>
      <c r="I2577" s="10" t="inlineStr">
        <is>
          <t>PE22042601</t>
        </is>
      </c>
      <c r="J2577" s="8" t="inlineStr">
        <is>
          <t>Anomalies/defects in the modules</t>
        </is>
      </c>
      <c r="K2577" s="8" t="inlineStr">
        <is>
          <t>Tirunelveli</t>
        </is>
      </c>
      <c r="L2577" s="8" t="inlineStr">
        <is>
          <t>Tamil Nadu</t>
        </is>
      </c>
      <c r="M2577" s="60" t="inlineStr">
        <is>
          <t>PS</t>
        </is>
      </c>
      <c r="N2577" s="6" t="inlineStr">
        <is>
          <t>Cold Soldering</t>
        </is>
      </c>
      <c r="O2577" s="11" t="n">
        <v>550</v>
      </c>
      <c r="P2577" s="60" t="inlineStr">
        <is>
          <t>NSMP2307327837</t>
        </is>
      </c>
      <c r="Q2577" s="29">
        <f>MID(P2577,5,2)</f>
        <v/>
      </c>
      <c r="R2577" s="14">
        <f>MID(P2577,7,2)</f>
        <v/>
      </c>
      <c r="S2577" s="6" t="inlineStr">
        <is>
          <t>G2B</t>
        </is>
      </c>
      <c r="T2577" s="1" t="inlineStr">
        <is>
          <t>P2 - PEPPL</t>
        </is>
      </c>
      <c r="U2577" s="6" t="inlineStr">
        <is>
          <t>P JB Cold Soldering</t>
        </is>
      </c>
      <c r="V2577" s="1" t="inlineStr">
        <is>
          <t>Soldering</t>
        </is>
      </c>
      <c r="W2577" s="1" t="inlineStr">
        <is>
          <t>Repair</t>
        </is>
      </c>
      <c r="X2577" s="5" t="n">
        <v>46200</v>
      </c>
      <c r="Y2577" s="1">
        <f>IF(X2577="","",X2577-A2577)</f>
        <v/>
      </c>
      <c r="Z2577" s="5" t="n">
        <v>46200</v>
      </c>
      <c r="AA2577" s="3" t="n"/>
      <c r="AB2577" s="3" t="n"/>
      <c r="AE2577" s="146">
        <f>IF(AND(F2577="Closed",X2577&gt;=DATE(2026,6,1),X2577&lt;=DATE(2026,6,30)),"Closed in June","other")</f>
        <v/>
      </c>
    </row>
    <row r="2578" hidden="1">
      <c r="A2578" s="9" t="n">
        <v>46134</v>
      </c>
      <c r="B2578" s="1" t="n">
        <v>2026</v>
      </c>
      <c r="C2578" s="8" t="inlineStr">
        <is>
          <t>First Energy</t>
        </is>
      </c>
      <c r="D2578" s="11" t="inlineStr">
        <is>
          <t>Utility and C&amp;I</t>
        </is>
      </c>
      <c r="E2578" s="1" t="n"/>
      <c r="F2578" s="1" t="inlineStr">
        <is>
          <t>Closed</t>
        </is>
      </c>
      <c r="G2578" s="8" t="inlineStr">
        <is>
          <t>Saravanakumar</t>
        </is>
      </c>
      <c r="H2578" s="8" t="n">
        <v>8248438488</v>
      </c>
      <c r="I2578" s="10" t="inlineStr">
        <is>
          <t>PE22042601</t>
        </is>
      </c>
      <c r="J2578" s="8" t="inlineStr">
        <is>
          <t>Anomalies/defects in the modules</t>
        </is>
      </c>
      <c r="K2578" s="8" t="inlineStr">
        <is>
          <t>Tirunelveli</t>
        </is>
      </c>
      <c r="L2578" s="8" t="inlineStr">
        <is>
          <t>Tamil Nadu</t>
        </is>
      </c>
      <c r="M2578" s="60" t="inlineStr">
        <is>
          <t>PR</t>
        </is>
      </c>
      <c r="N2578" s="1" t="inlineStr">
        <is>
          <t>JB Issue</t>
        </is>
      </c>
      <c r="O2578" s="11" t="n">
        <v>550</v>
      </c>
      <c r="P2578" s="60" t="inlineStr">
        <is>
          <t>NSMP2307329271</t>
        </is>
      </c>
      <c r="Q2578" s="29">
        <f>MID(P2578,5,2)</f>
        <v/>
      </c>
      <c r="R2578" s="14">
        <f>MID(P2578,7,2)</f>
        <v/>
      </c>
      <c r="S2578" s="6" t="inlineStr">
        <is>
          <t>G2B</t>
        </is>
      </c>
      <c r="T2578" s="1" t="inlineStr">
        <is>
          <t>P2 - PEPPL</t>
        </is>
      </c>
      <c r="U2578" s="6" t="inlineStr">
        <is>
          <t>P JB Diode Issue</t>
        </is>
      </c>
      <c r="V2578" s="6" t="inlineStr">
        <is>
          <t>JB Changed</t>
        </is>
      </c>
      <c r="W2578" s="1" t="inlineStr">
        <is>
          <t>Repair</t>
        </is>
      </c>
      <c r="X2578" s="5" t="n">
        <v>46200</v>
      </c>
      <c r="Y2578" s="1">
        <f>IF(X2578="","",X2578-A2578)</f>
        <v/>
      </c>
      <c r="Z2578" s="5" t="n">
        <v>46200</v>
      </c>
      <c r="AA2578" s="3" t="n"/>
      <c r="AB2578" s="3" t="n"/>
      <c r="AE2578" s="146">
        <f>IF(AND(F2578="Closed",X2578&gt;=DATE(2026,6,1),X2578&lt;=DATE(2026,6,30)),"Closed in June","other")</f>
        <v/>
      </c>
    </row>
    <row r="2579" hidden="1">
      <c r="A2579" s="9" t="n">
        <v>46134</v>
      </c>
      <c r="B2579" s="1" t="n">
        <v>2026</v>
      </c>
      <c r="C2579" s="8" t="inlineStr">
        <is>
          <t>First Energy</t>
        </is>
      </c>
      <c r="D2579" s="11" t="inlineStr">
        <is>
          <t>Utility and C&amp;I</t>
        </is>
      </c>
      <c r="E2579" s="1" t="n"/>
      <c r="F2579" s="1" t="inlineStr">
        <is>
          <t>Closed</t>
        </is>
      </c>
      <c r="G2579" s="8" t="inlineStr">
        <is>
          <t>Saravanakumar</t>
        </is>
      </c>
      <c r="H2579" s="8" t="n">
        <v>8248438488</v>
      </c>
      <c r="I2579" s="10" t="inlineStr">
        <is>
          <t>PE22042601</t>
        </is>
      </c>
      <c r="J2579" s="8" t="inlineStr">
        <is>
          <t>Anomalies/defects in the modules</t>
        </is>
      </c>
      <c r="K2579" s="8" t="inlineStr">
        <is>
          <t>Tirunelveli</t>
        </is>
      </c>
      <c r="L2579" s="8" t="inlineStr">
        <is>
          <t>Tamil Nadu</t>
        </is>
      </c>
      <c r="M2579" s="60" t="inlineStr">
        <is>
          <t>PS</t>
        </is>
      </c>
      <c r="N2579" s="6" t="inlineStr">
        <is>
          <t>Cold Soldering</t>
        </is>
      </c>
      <c r="O2579" s="11" t="n">
        <v>550</v>
      </c>
      <c r="P2579" s="60" t="inlineStr">
        <is>
          <t>NSMP2306270301</t>
        </is>
      </c>
      <c r="Q2579" s="29">
        <f>MID(P2579,5,2)</f>
        <v/>
      </c>
      <c r="R2579" s="14">
        <f>MID(P2579,7,2)</f>
        <v/>
      </c>
      <c r="S2579" s="6" t="inlineStr">
        <is>
          <t>G2B</t>
        </is>
      </c>
      <c r="T2579" s="1" t="inlineStr">
        <is>
          <t>P2 - PEPPL</t>
        </is>
      </c>
      <c r="U2579" s="6" t="inlineStr">
        <is>
          <t>P JB Cold Soldering</t>
        </is>
      </c>
      <c r="V2579" s="1" t="inlineStr">
        <is>
          <t>Soldering</t>
        </is>
      </c>
      <c r="W2579" s="1" t="inlineStr">
        <is>
          <t>Repair</t>
        </is>
      </c>
      <c r="X2579" s="5" t="n">
        <v>46200</v>
      </c>
      <c r="Y2579" s="1">
        <f>IF(X2579="","",X2579-A2579)</f>
        <v/>
      </c>
      <c r="Z2579" s="5" t="n">
        <v>46200</v>
      </c>
      <c r="AA2579" s="3" t="n"/>
      <c r="AB2579" s="3" t="n"/>
      <c r="AE2579" s="146">
        <f>IF(AND(F2579="Closed",X2579&gt;=DATE(2026,6,1),X2579&lt;=DATE(2026,6,30)),"Closed in June","other")</f>
        <v/>
      </c>
    </row>
    <row r="2580" hidden="1">
      <c r="A2580" s="9" t="n">
        <v>46134</v>
      </c>
      <c r="B2580" s="1" t="n">
        <v>2026</v>
      </c>
      <c r="C2580" s="8" t="inlineStr">
        <is>
          <t>First Energy</t>
        </is>
      </c>
      <c r="D2580" s="11" t="inlineStr">
        <is>
          <t>Utility and C&amp;I</t>
        </is>
      </c>
      <c r="E2580" s="1" t="n"/>
      <c r="F2580" s="1" t="inlineStr">
        <is>
          <t>Closed</t>
        </is>
      </c>
      <c r="G2580" s="8" t="inlineStr">
        <is>
          <t>Saravanakumar</t>
        </is>
      </c>
      <c r="H2580" s="8" t="n">
        <v>8248438488</v>
      </c>
      <c r="I2580" s="10" t="inlineStr">
        <is>
          <t>PE22042601</t>
        </is>
      </c>
      <c r="J2580" s="8" t="inlineStr">
        <is>
          <t>Anomalies/defects in the modules</t>
        </is>
      </c>
      <c r="K2580" s="8" t="inlineStr">
        <is>
          <t>Tirunelveli</t>
        </is>
      </c>
      <c r="L2580" s="8" t="inlineStr">
        <is>
          <t>Tamil Nadu</t>
        </is>
      </c>
      <c r="M2580" s="60" t="inlineStr">
        <is>
          <t>OK</t>
        </is>
      </c>
      <c r="N2580" s="2" t="inlineStr">
        <is>
          <t>No Issue Found</t>
        </is>
      </c>
      <c r="O2580" s="11" t="n">
        <v>550</v>
      </c>
      <c r="P2580" s="60" t="inlineStr">
        <is>
          <t>NSMP2307381586</t>
        </is>
      </c>
      <c r="Q2580" s="29">
        <f>MID(P2580,5,2)</f>
        <v/>
      </c>
      <c r="R2580" s="14">
        <f>MID(P2580,7,2)</f>
        <v/>
      </c>
      <c r="S2580" s="6" t="inlineStr">
        <is>
          <t>G2B</t>
        </is>
      </c>
      <c r="T2580" s="1" t="inlineStr">
        <is>
          <t>P2 - PEPPL</t>
        </is>
      </c>
      <c r="U2580" s="6" t="inlineStr">
        <is>
          <t>No Issue Found</t>
        </is>
      </c>
      <c r="V2580" s="6" t="inlineStr">
        <is>
          <t>Inspection</t>
        </is>
      </c>
      <c r="W2580" s="1" t="inlineStr">
        <is>
          <t>Rejected</t>
        </is>
      </c>
      <c r="X2580" s="5" t="n">
        <v>46200</v>
      </c>
      <c r="Y2580" s="1">
        <f>IF(X2580="","",X2580-A2580)</f>
        <v/>
      </c>
      <c r="Z2580" s="5" t="n">
        <v>46200</v>
      </c>
      <c r="AA2580" s="3" t="n"/>
      <c r="AB2580" s="3" t="n"/>
      <c r="AE2580" s="146">
        <f>IF(AND(F2580="Closed",X2580&gt;=DATE(2026,6,1),X2580&lt;=DATE(2026,6,30)),"Closed in June","other")</f>
        <v/>
      </c>
    </row>
    <row r="2581" hidden="1">
      <c r="A2581" s="9" t="n">
        <v>46134</v>
      </c>
      <c r="B2581" s="1" t="n">
        <v>2026</v>
      </c>
      <c r="C2581" s="8" t="inlineStr">
        <is>
          <t>First Energy</t>
        </is>
      </c>
      <c r="D2581" s="11" t="inlineStr">
        <is>
          <t>Utility and C&amp;I</t>
        </is>
      </c>
      <c r="E2581" s="1" t="n"/>
      <c r="F2581" s="1" t="inlineStr">
        <is>
          <t>Closed</t>
        </is>
      </c>
      <c r="G2581" s="8" t="inlineStr">
        <is>
          <t>Saravanakumar</t>
        </is>
      </c>
      <c r="H2581" s="8" t="n">
        <v>8248438488</v>
      </c>
      <c r="I2581" s="10" t="inlineStr">
        <is>
          <t>PE22042601</t>
        </is>
      </c>
      <c r="J2581" s="8" t="inlineStr">
        <is>
          <t>Anomalies/defects in the modules</t>
        </is>
      </c>
      <c r="K2581" s="8" t="inlineStr">
        <is>
          <t>Tirunelveli</t>
        </is>
      </c>
      <c r="L2581" s="8" t="inlineStr">
        <is>
          <t>Tamil Nadu</t>
        </is>
      </c>
      <c r="M2581" s="60" t="inlineStr">
        <is>
          <t>PNR</t>
        </is>
      </c>
      <c r="N2581" s="1" t="inlineStr">
        <is>
          <t>JB Issue</t>
        </is>
      </c>
      <c r="O2581" s="11" t="n">
        <v>550</v>
      </c>
      <c r="P2581" s="60" t="inlineStr">
        <is>
          <t>NSMP2307337451</t>
        </is>
      </c>
      <c r="Q2581" s="29">
        <f>MID(P2581,5,2)</f>
        <v/>
      </c>
      <c r="R2581" s="14">
        <f>MID(P2581,7,2)</f>
        <v/>
      </c>
      <c r="S2581" s="6" t="inlineStr">
        <is>
          <t>G2B</t>
        </is>
      </c>
      <c r="T2581" s="1" t="inlineStr">
        <is>
          <t>P2 - PEPPL</t>
        </is>
      </c>
      <c r="U2581" s="1" t="inlineStr">
        <is>
          <t>P &amp; N JB Diode Issue</t>
        </is>
      </c>
      <c r="V2581" s="3" t="inlineStr">
        <is>
          <t>JB Changed</t>
        </is>
      </c>
      <c r="W2581" s="1" t="inlineStr">
        <is>
          <t>Repair</t>
        </is>
      </c>
      <c r="X2581" s="5" t="n">
        <v>46200</v>
      </c>
      <c r="Y2581" s="1">
        <f>IF(X2581="","",X2581-A2581)</f>
        <v/>
      </c>
      <c r="Z2581" s="5" t="n">
        <v>46200</v>
      </c>
      <c r="AA2581" s="3" t="n"/>
      <c r="AB2581" s="3" t="n"/>
      <c r="AE2581" s="146">
        <f>IF(AND(F2581="Closed",X2581&gt;=DATE(2026,6,1),X2581&lt;=DATE(2026,6,30)),"Closed in June","other")</f>
        <v/>
      </c>
    </row>
    <row r="2582" hidden="1">
      <c r="A2582" s="9" t="n">
        <v>46134</v>
      </c>
      <c r="B2582" s="1" t="n">
        <v>2026</v>
      </c>
      <c r="C2582" s="8" t="inlineStr">
        <is>
          <t>First Energy</t>
        </is>
      </c>
      <c r="D2582" s="11" t="inlineStr">
        <is>
          <t>Utility and C&amp;I</t>
        </is>
      </c>
      <c r="E2582" s="1" t="n"/>
      <c r="F2582" s="1" t="inlineStr">
        <is>
          <t>Closed</t>
        </is>
      </c>
      <c r="G2582" s="8" t="inlineStr">
        <is>
          <t>Saravanakumar</t>
        </is>
      </c>
      <c r="H2582" s="8" t="n">
        <v>8248438488</v>
      </c>
      <c r="I2582" s="10" t="inlineStr">
        <is>
          <t>PE22042601</t>
        </is>
      </c>
      <c r="J2582" s="8" t="inlineStr">
        <is>
          <t>Anomalies/defects in the modules</t>
        </is>
      </c>
      <c r="K2582" s="8" t="inlineStr">
        <is>
          <t>Tirunelveli</t>
        </is>
      </c>
      <c r="L2582" s="8" t="inlineStr">
        <is>
          <t>Tamil Nadu</t>
        </is>
      </c>
      <c r="M2582" s="60" t="inlineStr">
        <is>
          <t>OK</t>
        </is>
      </c>
      <c r="N2582" s="2" t="inlineStr">
        <is>
          <t>No Issue Found</t>
        </is>
      </c>
      <c r="O2582" s="11" t="n">
        <v>550</v>
      </c>
      <c r="P2582" s="60" t="inlineStr">
        <is>
          <t>NSMP2306326029</t>
        </is>
      </c>
      <c r="Q2582" s="29">
        <f>MID(P2582,5,2)</f>
        <v/>
      </c>
      <c r="R2582" s="14">
        <f>MID(P2582,7,2)</f>
        <v/>
      </c>
      <c r="S2582" s="6" t="inlineStr">
        <is>
          <t>G2B</t>
        </is>
      </c>
      <c r="T2582" s="1" t="inlineStr">
        <is>
          <t>P2 - PEPPL</t>
        </is>
      </c>
      <c r="U2582" s="6" t="inlineStr">
        <is>
          <t>No Issue Found</t>
        </is>
      </c>
      <c r="V2582" s="6" t="inlineStr">
        <is>
          <t>Inspection</t>
        </is>
      </c>
      <c r="W2582" s="1" t="inlineStr">
        <is>
          <t>Rejected</t>
        </is>
      </c>
      <c r="X2582" s="5" t="n">
        <v>46200</v>
      </c>
      <c r="Y2582" s="1">
        <f>IF(X2582="","",X2582-A2582)</f>
        <v/>
      </c>
      <c r="Z2582" s="5" t="n">
        <v>46200</v>
      </c>
      <c r="AA2582" s="3" t="n"/>
      <c r="AB2582" s="3" t="n"/>
      <c r="AE2582" s="146">
        <f>IF(AND(F2582="Closed",X2582&gt;=DATE(2026,6,1),X2582&lt;=DATE(2026,6,30)),"Closed in June","other")</f>
        <v/>
      </c>
    </row>
    <row r="2583" hidden="1">
      <c r="A2583" s="9" t="n">
        <v>46134</v>
      </c>
      <c r="B2583" s="1" t="n">
        <v>2026</v>
      </c>
      <c r="C2583" s="8" t="inlineStr">
        <is>
          <t>First Energy</t>
        </is>
      </c>
      <c r="D2583" s="11" t="inlineStr">
        <is>
          <t>Utility and C&amp;I</t>
        </is>
      </c>
      <c r="E2583" s="1" t="n"/>
      <c r="F2583" s="1" t="inlineStr">
        <is>
          <t>Closed</t>
        </is>
      </c>
      <c r="G2583" s="8" t="inlineStr">
        <is>
          <t>Saravanakumar</t>
        </is>
      </c>
      <c r="H2583" s="8" t="n">
        <v>8248438488</v>
      </c>
      <c r="I2583" s="10" t="inlineStr">
        <is>
          <t>PE22042601</t>
        </is>
      </c>
      <c r="J2583" s="8" t="inlineStr">
        <is>
          <t>Anomalies/defects in the modules</t>
        </is>
      </c>
      <c r="K2583" s="8" t="inlineStr">
        <is>
          <t>Tirunelveli</t>
        </is>
      </c>
      <c r="L2583" s="8" t="inlineStr">
        <is>
          <t>Tamil Nadu</t>
        </is>
      </c>
      <c r="M2583" s="60" t="inlineStr">
        <is>
          <t>OK</t>
        </is>
      </c>
      <c r="N2583" s="2" t="inlineStr">
        <is>
          <t>No Issue Found</t>
        </is>
      </c>
      <c r="O2583" s="11" t="n">
        <v>550</v>
      </c>
      <c r="P2583" s="60" t="inlineStr">
        <is>
          <t>NSMP2306323661</t>
        </is>
      </c>
      <c r="Q2583" s="29">
        <f>MID(P2583,5,2)</f>
        <v/>
      </c>
      <c r="R2583" s="14">
        <f>MID(P2583,7,2)</f>
        <v/>
      </c>
      <c r="S2583" s="6" t="inlineStr">
        <is>
          <t>G2B</t>
        </is>
      </c>
      <c r="T2583" s="1" t="inlineStr">
        <is>
          <t>P2 - PEPPL</t>
        </is>
      </c>
      <c r="U2583" s="6" t="inlineStr">
        <is>
          <t>No Issue Found</t>
        </is>
      </c>
      <c r="V2583" s="6" t="inlineStr">
        <is>
          <t>Inspection</t>
        </is>
      </c>
      <c r="W2583" s="1" t="inlineStr">
        <is>
          <t>Rejected</t>
        </is>
      </c>
      <c r="X2583" s="5" t="n">
        <v>46200</v>
      </c>
      <c r="Y2583" s="1">
        <f>IF(X2583="","",X2583-A2583)</f>
        <v/>
      </c>
      <c r="Z2583" s="5" t="n">
        <v>46200</v>
      </c>
      <c r="AA2583" s="3" t="n"/>
      <c r="AB2583" s="3" t="n"/>
      <c r="AE2583" s="146">
        <f>IF(AND(F2583="Closed",X2583&gt;=DATE(2026,6,1),X2583&lt;=DATE(2026,6,30)),"Closed in June","other")</f>
        <v/>
      </c>
    </row>
    <row r="2584" hidden="1">
      <c r="A2584" s="9" t="n">
        <v>46134</v>
      </c>
      <c r="B2584" s="1" t="n">
        <v>2026</v>
      </c>
      <c r="C2584" s="8" t="inlineStr">
        <is>
          <t>First Energy</t>
        </is>
      </c>
      <c r="D2584" s="11" t="inlineStr">
        <is>
          <t>Utility and C&amp;I</t>
        </is>
      </c>
      <c r="E2584" s="1" t="n"/>
      <c r="F2584" s="1" t="inlineStr">
        <is>
          <t>Closed</t>
        </is>
      </c>
      <c r="G2584" s="8" t="inlineStr">
        <is>
          <t>Saravanakumar</t>
        </is>
      </c>
      <c r="H2584" s="8" t="n">
        <v>8248438488</v>
      </c>
      <c r="I2584" s="10" t="inlineStr">
        <is>
          <t>PE22042601</t>
        </is>
      </c>
      <c r="J2584" s="8" t="inlineStr">
        <is>
          <t>Anomalies/defects in the modules</t>
        </is>
      </c>
      <c r="K2584" s="8" t="inlineStr">
        <is>
          <t>Tirunelveli</t>
        </is>
      </c>
      <c r="L2584" s="8" t="inlineStr">
        <is>
          <t>Tamil Nadu</t>
        </is>
      </c>
      <c r="M2584" s="60" t="inlineStr">
        <is>
          <t>NR</t>
        </is>
      </c>
      <c r="N2584" s="8" t="inlineStr">
        <is>
          <t>JB Issue</t>
        </is>
      </c>
      <c r="O2584" s="11" t="n">
        <v>550</v>
      </c>
      <c r="P2584" s="60" t="inlineStr">
        <is>
          <t>NSMP2307392662</t>
        </is>
      </c>
      <c r="Q2584" s="29">
        <f>MID(P2584,5,2)</f>
        <v/>
      </c>
      <c r="R2584" s="14">
        <f>MID(P2584,7,2)</f>
        <v/>
      </c>
      <c r="S2584" s="6" t="inlineStr">
        <is>
          <t>G2B</t>
        </is>
      </c>
      <c r="T2584" s="1" t="inlineStr">
        <is>
          <t>P2 - PEPPL</t>
        </is>
      </c>
      <c r="U2584" s="6" t="inlineStr">
        <is>
          <t>N JB Diode Issue</t>
        </is>
      </c>
      <c r="V2584" s="6" t="inlineStr">
        <is>
          <t>JB Changed</t>
        </is>
      </c>
      <c r="W2584" s="1" t="inlineStr">
        <is>
          <t>Repair</t>
        </is>
      </c>
      <c r="X2584" s="5" t="n">
        <v>46200</v>
      </c>
      <c r="Y2584" s="1">
        <f>IF(X2584="","",X2584-A2584)</f>
        <v/>
      </c>
      <c r="Z2584" s="5" t="n">
        <v>46200</v>
      </c>
      <c r="AA2584" s="3" t="n"/>
      <c r="AB2584" s="3" t="n"/>
      <c r="AE2584" s="146">
        <f>IF(AND(F2584="Closed",X2584&gt;=DATE(2026,6,1),X2584&lt;=DATE(2026,6,30)),"Closed in June","other")</f>
        <v/>
      </c>
    </row>
    <row r="2585" hidden="1">
      <c r="A2585" s="9" t="n">
        <v>46134</v>
      </c>
      <c r="B2585" s="1" t="n">
        <v>2026</v>
      </c>
      <c r="C2585" s="8" t="inlineStr">
        <is>
          <t>First Energy</t>
        </is>
      </c>
      <c r="D2585" s="11" t="inlineStr">
        <is>
          <t>Utility and C&amp;I</t>
        </is>
      </c>
      <c r="E2585" s="1" t="n"/>
      <c r="F2585" s="1" t="inlineStr">
        <is>
          <t>Closed</t>
        </is>
      </c>
      <c r="G2585" s="8" t="inlineStr">
        <is>
          <t>Saravanakumar</t>
        </is>
      </c>
      <c r="H2585" s="8" t="n">
        <v>8248438488</v>
      </c>
      <c r="I2585" s="10" t="inlineStr">
        <is>
          <t>PE22042601</t>
        </is>
      </c>
      <c r="J2585" s="8" t="inlineStr">
        <is>
          <t>Anomalies/defects in the modules</t>
        </is>
      </c>
      <c r="K2585" s="8" t="inlineStr">
        <is>
          <t>Tirunelveli</t>
        </is>
      </c>
      <c r="L2585" s="8" t="inlineStr">
        <is>
          <t>Tamil Nadu</t>
        </is>
      </c>
      <c r="M2585" s="60" t="inlineStr">
        <is>
          <t>PR</t>
        </is>
      </c>
      <c r="N2585" s="1" t="inlineStr">
        <is>
          <t>JB Issue</t>
        </is>
      </c>
      <c r="O2585" s="11" t="n">
        <v>550</v>
      </c>
      <c r="P2585" s="60" t="inlineStr">
        <is>
          <t>NSMP2307369094</t>
        </is>
      </c>
      <c r="Q2585" s="29">
        <f>MID(P2585,5,2)</f>
        <v/>
      </c>
      <c r="R2585" s="14">
        <f>MID(P2585,7,2)</f>
        <v/>
      </c>
      <c r="S2585" s="6" t="inlineStr">
        <is>
          <t>G2B</t>
        </is>
      </c>
      <c r="T2585" s="1" t="inlineStr">
        <is>
          <t>P2 - PEPPL</t>
        </is>
      </c>
      <c r="U2585" s="6" t="inlineStr">
        <is>
          <t>P JB Diode Issue</t>
        </is>
      </c>
      <c r="V2585" s="6" t="inlineStr">
        <is>
          <t>JB Changed</t>
        </is>
      </c>
      <c r="W2585" s="1" t="inlineStr">
        <is>
          <t>Repair</t>
        </is>
      </c>
      <c r="X2585" s="5" t="n">
        <v>46200</v>
      </c>
      <c r="Y2585" s="1">
        <f>IF(X2585="","",X2585-A2585)</f>
        <v/>
      </c>
      <c r="Z2585" s="5" t="n">
        <v>46200</v>
      </c>
      <c r="AA2585" s="3" t="n"/>
      <c r="AB2585" s="3" t="n"/>
      <c r="AE2585" s="146">
        <f>IF(AND(F2585="Closed",X2585&gt;=DATE(2026,6,1),X2585&lt;=DATE(2026,6,30)),"Closed in June","other")</f>
        <v/>
      </c>
    </row>
    <row r="2586" hidden="1">
      <c r="A2586" s="9" t="n">
        <v>46134</v>
      </c>
      <c r="B2586" s="1" t="n">
        <v>2026</v>
      </c>
      <c r="C2586" s="8" t="inlineStr">
        <is>
          <t>First Energy</t>
        </is>
      </c>
      <c r="D2586" s="11" t="inlineStr">
        <is>
          <t>Utility and C&amp;I</t>
        </is>
      </c>
      <c r="E2586" s="1" t="n"/>
      <c r="F2586" s="1" t="inlineStr">
        <is>
          <t>Closed</t>
        </is>
      </c>
      <c r="G2586" s="8" t="inlineStr">
        <is>
          <t>Saravanakumar</t>
        </is>
      </c>
      <c r="H2586" s="8" t="n">
        <v>8248438488</v>
      </c>
      <c r="I2586" s="10" t="inlineStr">
        <is>
          <t>PE22042601</t>
        </is>
      </c>
      <c r="J2586" s="8" t="inlineStr">
        <is>
          <t>Anomalies/defects in the modules</t>
        </is>
      </c>
      <c r="K2586" s="8" t="inlineStr">
        <is>
          <t>Tirunelveli</t>
        </is>
      </c>
      <c r="L2586" s="8" t="inlineStr">
        <is>
          <t>Tamil Nadu</t>
        </is>
      </c>
      <c r="M2586" s="60" t="inlineStr">
        <is>
          <t>OK</t>
        </is>
      </c>
      <c r="N2586" s="2" t="inlineStr">
        <is>
          <t>No Issue Found</t>
        </is>
      </c>
      <c r="O2586" s="11" t="n">
        <v>550</v>
      </c>
      <c r="P2586" s="60" t="inlineStr">
        <is>
          <t>NSMP2305143446</t>
        </is>
      </c>
      <c r="Q2586" s="29">
        <f>MID(P2586,5,2)</f>
        <v/>
      </c>
      <c r="R2586" s="14">
        <f>MID(P2586,7,2)</f>
        <v/>
      </c>
      <c r="S2586" s="6" t="inlineStr">
        <is>
          <t>G2B</t>
        </is>
      </c>
      <c r="T2586" s="1" t="inlineStr">
        <is>
          <t>P2 - PEPPL</t>
        </is>
      </c>
      <c r="U2586" s="6" t="inlineStr">
        <is>
          <t>No Issue Found</t>
        </is>
      </c>
      <c r="V2586" s="6" t="inlineStr">
        <is>
          <t>Inspection</t>
        </is>
      </c>
      <c r="W2586" s="1" t="inlineStr">
        <is>
          <t>Rejected</t>
        </is>
      </c>
      <c r="X2586" s="5" t="n">
        <v>46200</v>
      </c>
      <c r="Y2586" s="1">
        <f>IF(X2586="","",X2586-A2586)</f>
        <v/>
      </c>
      <c r="Z2586" s="5" t="n">
        <v>46200</v>
      </c>
      <c r="AA2586" s="3" t="n"/>
      <c r="AB2586" s="3" t="n"/>
      <c r="AE2586" s="146">
        <f>IF(AND(F2586="Closed",X2586&gt;=DATE(2026,6,1),X2586&lt;=DATE(2026,6,30)),"Closed in June","other")</f>
        <v/>
      </c>
    </row>
    <row r="2587" hidden="1">
      <c r="A2587" s="9" t="n">
        <v>46134</v>
      </c>
      <c r="B2587" s="1" t="n">
        <v>2026</v>
      </c>
      <c r="C2587" s="8" t="inlineStr">
        <is>
          <t>First Energy</t>
        </is>
      </c>
      <c r="D2587" s="11" t="inlineStr">
        <is>
          <t>Utility and C&amp;I</t>
        </is>
      </c>
      <c r="E2587" s="1" t="n"/>
      <c r="F2587" s="1" t="inlineStr">
        <is>
          <t>Closed</t>
        </is>
      </c>
      <c r="G2587" s="8" t="inlineStr">
        <is>
          <t>Saravanakumar</t>
        </is>
      </c>
      <c r="H2587" s="8" t="n">
        <v>8248438488</v>
      </c>
      <c r="I2587" s="10" t="inlineStr">
        <is>
          <t>PE22042601</t>
        </is>
      </c>
      <c r="J2587" s="8" t="inlineStr">
        <is>
          <t>Anomalies/defects in the modules</t>
        </is>
      </c>
      <c r="K2587" s="8" t="inlineStr">
        <is>
          <t>Tirunelveli</t>
        </is>
      </c>
      <c r="L2587" s="8" t="inlineStr">
        <is>
          <t>Tamil Nadu</t>
        </is>
      </c>
      <c r="M2587" s="60" t="inlineStr">
        <is>
          <t>NR</t>
        </is>
      </c>
      <c r="N2587" s="8" t="inlineStr">
        <is>
          <t>JB Issue</t>
        </is>
      </c>
      <c r="O2587" s="11" t="n">
        <v>550</v>
      </c>
      <c r="P2587" s="60" t="inlineStr">
        <is>
          <t>NSMP24091545497</t>
        </is>
      </c>
      <c r="Q2587" s="29">
        <f>MID(P2587,5,2)</f>
        <v/>
      </c>
      <c r="R2587" s="14">
        <f>MID(P2587,7,2)</f>
        <v/>
      </c>
      <c r="S2587" s="6" t="inlineStr">
        <is>
          <t>G2B</t>
        </is>
      </c>
      <c r="T2587" s="1" t="inlineStr">
        <is>
          <t>P2 - PEPPL</t>
        </is>
      </c>
      <c r="U2587" s="6" t="inlineStr">
        <is>
          <t>N JB Diode Issue</t>
        </is>
      </c>
      <c r="V2587" s="6" t="inlineStr">
        <is>
          <t>JB Changed</t>
        </is>
      </c>
      <c r="W2587" s="1" t="inlineStr">
        <is>
          <t>Repair</t>
        </is>
      </c>
      <c r="X2587" s="5" t="n">
        <v>46200</v>
      </c>
      <c r="Y2587" s="1">
        <f>IF(X2587="","",X2587-A2587)</f>
        <v/>
      </c>
      <c r="Z2587" s="5" t="n">
        <v>46200</v>
      </c>
      <c r="AA2587" s="3" t="n"/>
      <c r="AB2587" s="3" t="n"/>
      <c r="AE2587" s="146">
        <f>IF(AND(F2587="Closed",X2587&gt;=DATE(2026,6,1),X2587&lt;=DATE(2026,6,30)),"Closed in June","other")</f>
        <v/>
      </c>
    </row>
    <row r="2588" hidden="1">
      <c r="A2588" s="9" t="n">
        <v>46134</v>
      </c>
      <c r="B2588" s="1" t="n">
        <v>2026</v>
      </c>
      <c r="C2588" s="8" t="inlineStr">
        <is>
          <t>First Energy</t>
        </is>
      </c>
      <c r="D2588" s="11" t="inlineStr">
        <is>
          <t>Utility and C&amp;I</t>
        </is>
      </c>
      <c r="E2588" s="1" t="n"/>
      <c r="F2588" s="1" t="inlineStr">
        <is>
          <t>Closed</t>
        </is>
      </c>
      <c r="G2588" s="8" t="inlineStr">
        <is>
          <t>Saravanakumar</t>
        </is>
      </c>
      <c r="H2588" s="8" t="n">
        <v>8248438488</v>
      </c>
      <c r="I2588" s="10" t="inlineStr">
        <is>
          <t>PE22042601</t>
        </is>
      </c>
      <c r="J2588" s="8" t="inlineStr">
        <is>
          <t>Anomalies/defects in the modules</t>
        </is>
      </c>
      <c r="K2588" s="8" t="inlineStr">
        <is>
          <t>Tirunelveli</t>
        </is>
      </c>
      <c r="L2588" s="8" t="inlineStr">
        <is>
          <t>Tamil Nadu</t>
        </is>
      </c>
      <c r="M2588" s="60" t="inlineStr">
        <is>
          <t>PR</t>
        </is>
      </c>
      <c r="N2588" s="1" t="inlineStr">
        <is>
          <t>JB Issue</t>
        </is>
      </c>
      <c r="O2588" s="11" t="n">
        <v>550</v>
      </c>
      <c r="P2588" s="60" t="inlineStr">
        <is>
          <t>NSMP2307337450</t>
        </is>
      </c>
      <c r="Q2588" s="29">
        <f>MID(P2588,5,2)</f>
        <v/>
      </c>
      <c r="R2588" s="14">
        <f>MID(P2588,7,2)</f>
        <v/>
      </c>
      <c r="S2588" s="6" t="inlineStr">
        <is>
          <t>G2B</t>
        </is>
      </c>
      <c r="T2588" s="1" t="inlineStr">
        <is>
          <t>P2 - PEPPL</t>
        </is>
      </c>
      <c r="U2588" s="6" t="inlineStr">
        <is>
          <t>P JB Diode Issue</t>
        </is>
      </c>
      <c r="V2588" s="6" t="inlineStr">
        <is>
          <t>JB Changed</t>
        </is>
      </c>
      <c r="W2588" s="1" t="inlineStr">
        <is>
          <t>Repair</t>
        </is>
      </c>
      <c r="X2588" s="5" t="n">
        <v>46200</v>
      </c>
      <c r="Y2588" s="1">
        <f>IF(X2588="","",X2588-A2588)</f>
        <v/>
      </c>
      <c r="Z2588" s="5" t="n">
        <v>46200</v>
      </c>
      <c r="AA2588" s="3" t="n"/>
      <c r="AB2588" s="3" t="n"/>
      <c r="AE2588" s="146">
        <f>IF(AND(F2588="Closed",X2588&gt;=DATE(2026,6,1),X2588&lt;=DATE(2026,6,30)),"Closed in June","other")</f>
        <v/>
      </c>
    </row>
    <row r="2589" hidden="1">
      <c r="A2589" s="9" t="n">
        <v>46134</v>
      </c>
      <c r="B2589" s="1" t="n">
        <v>2026</v>
      </c>
      <c r="C2589" s="8" t="inlineStr">
        <is>
          <t>First Energy</t>
        </is>
      </c>
      <c r="D2589" s="11" t="inlineStr">
        <is>
          <t>Utility and C&amp;I</t>
        </is>
      </c>
      <c r="E2589" s="1" t="n"/>
      <c r="F2589" s="1" t="inlineStr">
        <is>
          <t>Closed</t>
        </is>
      </c>
      <c r="G2589" s="8" t="inlineStr">
        <is>
          <t>Saravanakumar</t>
        </is>
      </c>
      <c r="H2589" s="8" t="n">
        <v>8248438488</v>
      </c>
      <c r="I2589" s="10" t="inlineStr">
        <is>
          <t>PE22042601</t>
        </is>
      </c>
      <c r="J2589" s="8" t="inlineStr">
        <is>
          <t>Anomalies/defects in the modules</t>
        </is>
      </c>
      <c r="K2589" s="8" t="inlineStr">
        <is>
          <t>Tirunelveli</t>
        </is>
      </c>
      <c r="L2589" s="8" t="inlineStr">
        <is>
          <t>Tamil Nadu</t>
        </is>
      </c>
      <c r="M2589" s="60" t="inlineStr">
        <is>
          <t>OK</t>
        </is>
      </c>
      <c r="N2589" s="2" t="inlineStr">
        <is>
          <t>No Issue Found</t>
        </is>
      </c>
      <c r="O2589" s="11" t="n">
        <v>550</v>
      </c>
      <c r="P2589" s="60" t="inlineStr">
        <is>
          <t>NSMP2306217582</t>
        </is>
      </c>
      <c r="Q2589" s="29">
        <f>MID(P2589,5,2)</f>
        <v/>
      </c>
      <c r="R2589" s="14">
        <f>MID(P2589,7,2)</f>
        <v/>
      </c>
      <c r="S2589" s="6" t="inlineStr">
        <is>
          <t>G2B</t>
        </is>
      </c>
      <c r="T2589" s="1" t="inlineStr">
        <is>
          <t>P2 - PEPPL</t>
        </is>
      </c>
      <c r="U2589" s="6" t="inlineStr">
        <is>
          <t>No Issue Found</t>
        </is>
      </c>
      <c r="V2589" s="6" t="inlineStr">
        <is>
          <t>Inspection</t>
        </is>
      </c>
      <c r="W2589" s="1" t="inlineStr">
        <is>
          <t>Rejected</t>
        </is>
      </c>
      <c r="X2589" s="5" t="n">
        <v>46200</v>
      </c>
      <c r="Y2589" s="1">
        <f>IF(X2589="","",X2589-A2589)</f>
        <v/>
      </c>
      <c r="Z2589" s="5" t="n">
        <v>46200</v>
      </c>
      <c r="AA2589" s="3" t="n"/>
      <c r="AB2589" s="3" t="n"/>
      <c r="AE2589" s="146">
        <f>IF(AND(F2589="Closed",X2589&gt;=DATE(2026,6,1),X2589&lt;=DATE(2026,6,30)),"Closed in June","other")</f>
        <v/>
      </c>
    </row>
    <row r="2590" hidden="1">
      <c r="A2590" s="9" t="n">
        <v>46134</v>
      </c>
      <c r="B2590" s="1" t="n">
        <v>2026</v>
      </c>
      <c r="C2590" s="8" t="inlineStr">
        <is>
          <t>First Energy</t>
        </is>
      </c>
      <c r="D2590" s="11" t="inlineStr">
        <is>
          <t>Utility and C&amp;I</t>
        </is>
      </c>
      <c r="E2590" s="1" t="n"/>
      <c r="F2590" s="1" t="inlineStr">
        <is>
          <t>Closed</t>
        </is>
      </c>
      <c r="G2590" s="8" t="inlineStr">
        <is>
          <t>Saravanakumar</t>
        </is>
      </c>
      <c r="H2590" s="8" t="n">
        <v>8248438488</v>
      </c>
      <c r="I2590" s="10" t="inlineStr">
        <is>
          <t>PE22042601</t>
        </is>
      </c>
      <c r="J2590" s="8" t="inlineStr">
        <is>
          <t>Anomalies/defects in the modules</t>
        </is>
      </c>
      <c r="K2590" s="8" t="inlineStr">
        <is>
          <t>Tirunelveli</t>
        </is>
      </c>
      <c r="L2590" s="8" t="inlineStr">
        <is>
          <t>Tamil Nadu</t>
        </is>
      </c>
      <c r="M2590" s="60" t="inlineStr">
        <is>
          <t>OK</t>
        </is>
      </c>
      <c r="N2590" s="2" t="inlineStr">
        <is>
          <t>No Issue Found</t>
        </is>
      </c>
      <c r="O2590" s="11" t="n">
        <v>550</v>
      </c>
      <c r="P2590" s="60" t="inlineStr">
        <is>
          <t>NSMP2306275356</t>
        </is>
      </c>
      <c r="Q2590" s="29">
        <f>MID(P2590,5,2)</f>
        <v/>
      </c>
      <c r="R2590" s="14">
        <f>MID(P2590,7,2)</f>
        <v/>
      </c>
      <c r="S2590" s="6" t="inlineStr">
        <is>
          <t>G2B</t>
        </is>
      </c>
      <c r="T2590" s="1" t="inlineStr">
        <is>
          <t>P2 - PEPPL</t>
        </is>
      </c>
      <c r="U2590" s="6" t="inlineStr">
        <is>
          <t>No Issue Found</t>
        </is>
      </c>
      <c r="V2590" s="6" t="inlineStr">
        <is>
          <t>Inspection</t>
        </is>
      </c>
      <c r="W2590" s="1" t="inlineStr">
        <is>
          <t>Rejected</t>
        </is>
      </c>
      <c r="X2590" s="5" t="n">
        <v>46200</v>
      </c>
      <c r="Y2590" s="1">
        <f>IF(X2590="","",X2590-A2590)</f>
        <v/>
      </c>
      <c r="Z2590" s="5" t="n">
        <v>46200</v>
      </c>
      <c r="AA2590" s="3" t="n"/>
      <c r="AB2590" s="3" t="n"/>
      <c r="AE2590" s="146">
        <f>IF(AND(F2590="Closed",X2590&gt;=DATE(2026,6,1),X2590&lt;=DATE(2026,6,30)),"Closed in June","other")</f>
        <v/>
      </c>
    </row>
    <row r="2591" hidden="1">
      <c r="A2591" s="9" t="n">
        <v>46134</v>
      </c>
      <c r="B2591" s="1" t="n">
        <v>2026</v>
      </c>
      <c r="C2591" s="8" t="inlineStr">
        <is>
          <t>First Energy</t>
        </is>
      </c>
      <c r="D2591" s="11" t="inlineStr">
        <is>
          <t>Utility and C&amp;I</t>
        </is>
      </c>
      <c r="E2591" s="1" t="n"/>
      <c r="F2591" s="1" t="inlineStr">
        <is>
          <t>Closed</t>
        </is>
      </c>
      <c r="G2591" s="8" t="inlineStr">
        <is>
          <t>Saravanakumar</t>
        </is>
      </c>
      <c r="H2591" s="8" t="n">
        <v>8248438488</v>
      </c>
      <c r="I2591" s="10" t="inlineStr">
        <is>
          <t>PE22042601</t>
        </is>
      </c>
      <c r="J2591" s="8" t="inlineStr">
        <is>
          <t>Anomalies/defects in the modules</t>
        </is>
      </c>
      <c r="K2591" s="8" t="inlineStr">
        <is>
          <t>Tirunelveli</t>
        </is>
      </c>
      <c r="L2591" s="8" t="inlineStr">
        <is>
          <t>Tamil Nadu</t>
        </is>
      </c>
      <c r="M2591" s="60" t="inlineStr">
        <is>
          <t>OK</t>
        </is>
      </c>
      <c r="N2591" s="2" t="inlineStr">
        <is>
          <t>No Issue Found</t>
        </is>
      </c>
      <c r="O2591" s="11" t="n">
        <v>550</v>
      </c>
      <c r="P2591" s="60" t="inlineStr">
        <is>
          <t>NSMP2306243674</t>
        </is>
      </c>
      <c r="Q2591" s="29">
        <f>MID(P2591,5,2)</f>
        <v/>
      </c>
      <c r="R2591" s="14">
        <f>MID(P2591,7,2)</f>
        <v/>
      </c>
      <c r="S2591" s="6" t="inlineStr">
        <is>
          <t>G2B</t>
        </is>
      </c>
      <c r="T2591" s="1" t="inlineStr">
        <is>
          <t>P2 - PEPPL</t>
        </is>
      </c>
      <c r="U2591" s="6" t="inlineStr">
        <is>
          <t>No Issue Found</t>
        </is>
      </c>
      <c r="V2591" s="6" t="inlineStr">
        <is>
          <t>Inspection</t>
        </is>
      </c>
      <c r="W2591" s="1" t="inlineStr">
        <is>
          <t>Rejected</t>
        </is>
      </c>
      <c r="X2591" s="5" t="n">
        <v>46200</v>
      </c>
      <c r="Y2591" s="1">
        <f>IF(X2591="","",X2591-A2591)</f>
        <v/>
      </c>
      <c r="Z2591" s="5" t="n">
        <v>46200</v>
      </c>
      <c r="AA2591" s="3" t="n"/>
      <c r="AB2591" s="3" t="n"/>
      <c r="AE2591" s="146">
        <f>IF(AND(F2591="Closed",X2591&gt;=DATE(2026,6,1),X2591&lt;=DATE(2026,6,30)),"Closed in June","other")</f>
        <v/>
      </c>
    </row>
    <row r="2592" hidden="1">
      <c r="A2592" s="9" t="n">
        <v>46134</v>
      </c>
      <c r="B2592" s="1" t="n">
        <v>2026</v>
      </c>
      <c r="C2592" s="8" t="inlineStr">
        <is>
          <t>First Energy</t>
        </is>
      </c>
      <c r="D2592" s="11" t="inlineStr">
        <is>
          <t>Utility and C&amp;I</t>
        </is>
      </c>
      <c r="E2592" s="1" t="n"/>
      <c r="F2592" s="1" t="inlineStr">
        <is>
          <t>Closed</t>
        </is>
      </c>
      <c r="G2592" s="8" t="inlineStr">
        <is>
          <t>Saravanakumar</t>
        </is>
      </c>
      <c r="H2592" s="8" t="n">
        <v>8248438488</v>
      </c>
      <c r="I2592" s="10" t="inlineStr">
        <is>
          <t>PE22042601</t>
        </is>
      </c>
      <c r="J2592" s="8" t="inlineStr">
        <is>
          <t>Anomalies/defects in the modules</t>
        </is>
      </c>
      <c r="K2592" s="8" t="inlineStr">
        <is>
          <t>Tirunelveli</t>
        </is>
      </c>
      <c r="L2592" s="8" t="inlineStr">
        <is>
          <t>Tamil Nadu</t>
        </is>
      </c>
      <c r="M2592" s="60" t="inlineStr">
        <is>
          <t>OK</t>
        </is>
      </c>
      <c r="N2592" s="2" t="inlineStr">
        <is>
          <t>No Issue Found</t>
        </is>
      </c>
      <c r="O2592" s="11" t="n">
        <v>550</v>
      </c>
      <c r="P2592" s="60" t="inlineStr">
        <is>
          <t>NSMP2306243688</t>
        </is>
      </c>
      <c r="Q2592" s="29">
        <f>MID(P2592,5,2)</f>
        <v/>
      </c>
      <c r="R2592" s="14">
        <f>MID(P2592,7,2)</f>
        <v/>
      </c>
      <c r="S2592" s="6" t="inlineStr">
        <is>
          <t>G2B</t>
        </is>
      </c>
      <c r="T2592" s="1" t="inlineStr">
        <is>
          <t>P2 - PEPPL</t>
        </is>
      </c>
      <c r="U2592" s="6" t="inlineStr">
        <is>
          <t>No Issue Found</t>
        </is>
      </c>
      <c r="V2592" s="6" t="inlineStr">
        <is>
          <t>Inspection</t>
        </is>
      </c>
      <c r="W2592" s="1" t="inlineStr">
        <is>
          <t>Rejected</t>
        </is>
      </c>
      <c r="X2592" s="5" t="n">
        <v>46200</v>
      </c>
      <c r="Y2592" s="1">
        <f>IF(X2592="","",X2592-A2592)</f>
        <v/>
      </c>
      <c r="Z2592" s="5" t="n">
        <v>46200</v>
      </c>
      <c r="AA2592" s="3" t="n"/>
      <c r="AB2592" s="3" t="n"/>
      <c r="AE2592" s="146">
        <f>IF(AND(F2592="Closed",X2592&gt;=DATE(2026,6,1),X2592&lt;=DATE(2026,6,30)),"Closed in June","other")</f>
        <v/>
      </c>
    </row>
    <row r="2593" hidden="1">
      <c r="A2593" s="9" t="n">
        <v>46134</v>
      </c>
      <c r="B2593" s="1" t="n">
        <v>2026</v>
      </c>
      <c r="C2593" s="8" t="inlineStr">
        <is>
          <t>First Energy</t>
        </is>
      </c>
      <c r="D2593" s="11" t="inlineStr">
        <is>
          <t>Utility and C&amp;I</t>
        </is>
      </c>
      <c r="E2593" s="1" t="n"/>
      <c r="F2593" s="1" t="inlineStr">
        <is>
          <t>Closed</t>
        </is>
      </c>
      <c r="G2593" s="8" t="inlineStr">
        <is>
          <t>Saravanakumar</t>
        </is>
      </c>
      <c r="H2593" s="8" t="n">
        <v>8248438488</v>
      </c>
      <c r="I2593" s="10" t="inlineStr">
        <is>
          <t>PE22042601</t>
        </is>
      </c>
      <c r="J2593" s="8" t="inlineStr">
        <is>
          <t>Anomalies/defects in the modules</t>
        </is>
      </c>
      <c r="K2593" s="8" t="inlineStr">
        <is>
          <t>Tirunelveli</t>
        </is>
      </c>
      <c r="L2593" s="8" t="inlineStr">
        <is>
          <t>Tamil Nadu</t>
        </is>
      </c>
      <c r="M2593" s="60" t="inlineStr">
        <is>
          <t>OK</t>
        </is>
      </c>
      <c r="N2593" s="2" t="inlineStr">
        <is>
          <t>No Issue Found</t>
        </is>
      </c>
      <c r="O2593" s="11" t="n">
        <v>550</v>
      </c>
      <c r="P2593" s="60" t="inlineStr">
        <is>
          <t>NSMP2306272524</t>
        </is>
      </c>
      <c r="Q2593" s="29">
        <f>MID(P2593,5,2)</f>
        <v/>
      </c>
      <c r="R2593" s="14">
        <f>MID(P2593,7,2)</f>
        <v/>
      </c>
      <c r="S2593" s="6" t="inlineStr">
        <is>
          <t>G2B</t>
        </is>
      </c>
      <c r="T2593" s="1" t="inlineStr">
        <is>
          <t>P2 - PEPPL</t>
        </is>
      </c>
      <c r="U2593" s="6" t="inlineStr">
        <is>
          <t>No Issue Found</t>
        </is>
      </c>
      <c r="V2593" s="6" t="inlineStr">
        <is>
          <t>Inspection</t>
        </is>
      </c>
      <c r="W2593" s="1" t="inlineStr">
        <is>
          <t>Rejected</t>
        </is>
      </c>
      <c r="X2593" s="5" t="n">
        <v>46200</v>
      </c>
      <c r="Y2593" s="1">
        <f>IF(X2593="","",X2593-A2593)</f>
        <v/>
      </c>
      <c r="Z2593" s="5" t="n">
        <v>46200</v>
      </c>
      <c r="AA2593" s="3" t="n"/>
      <c r="AB2593" s="3" t="n"/>
      <c r="AE2593" s="146">
        <f>IF(AND(F2593="Closed",X2593&gt;=DATE(2026,6,1),X2593&lt;=DATE(2026,6,30)),"Closed in June","other")</f>
        <v/>
      </c>
    </row>
    <row r="2594" hidden="1">
      <c r="A2594" s="9" t="n">
        <v>46134</v>
      </c>
      <c r="B2594" s="1" t="n">
        <v>2026</v>
      </c>
      <c r="C2594" s="8" t="inlineStr">
        <is>
          <t>First Energy</t>
        </is>
      </c>
      <c r="D2594" s="11" t="inlineStr">
        <is>
          <t>Utility and C&amp;I</t>
        </is>
      </c>
      <c r="E2594" s="1" t="n"/>
      <c r="F2594" s="1" t="inlineStr">
        <is>
          <t>Closed</t>
        </is>
      </c>
      <c r="G2594" s="8" t="inlineStr">
        <is>
          <t>Saravanakumar</t>
        </is>
      </c>
      <c r="H2594" s="8" t="n">
        <v>8248438488</v>
      </c>
      <c r="I2594" s="10" t="inlineStr">
        <is>
          <t>PE22042601</t>
        </is>
      </c>
      <c r="J2594" s="8" t="inlineStr">
        <is>
          <t>Anomalies/defects in the modules</t>
        </is>
      </c>
      <c r="K2594" s="8" t="inlineStr">
        <is>
          <t>Tirunelveli</t>
        </is>
      </c>
      <c r="L2594" s="8" t="inlineStr">
        <is>
          <t>Tamil Nadu</t>
        </is>
      </c>
      <c r="M2594" s="60" t="inlineStr">
        <is>
          <t>OK</t>
        </is>
      </c>
      <c r="N2594" s="2" t="inlineStr">
        <is>
          <t>No Issue Found</t>
        </is>
      </c>
      <c r="O2594" s="11" t="n">
        <v>550</v>
      </c>
      <c r="P2594" s="60" t="inlineStr">
        <is>
          <t>NSMP2307335193</t>
        </is>
      </c>
      <c r="Q2594" s="29">
        <f>MID(P2594,5,2)</f>
        <v/>
      </c>
      <c r="R2594" s="14">
        <f>MID(P2594,7,2)</f>
        <v/>
      </c>
      <c r="S2594" s="6" t="inlineStr">
        <is>
          <t>G2B</t>
        </is>
      </c>
      <c r="T2594" s="1" t="inlineStr">
        <is>
          <t>P2 - PEPPL</t>
        </is>
      </c>
      <c r="U2594" s="6" t="inlineStr">
        <is>
          <t>No Issue Found</t>
        </is>
      </c>
      <c r="V2594" s="6" t="inlineStr">
        <is>
          <t>Inspection</t>
        </is>
      </c>
      <c r="W2594" s="1" t="inlineStr">
        <is>
          <t>Rejected</t>
        </is>
      </c>
      <c r="X2594" s="5" t="n">
        <v>46200</v>
      </c>
      <c r="Y2594" s="1">
        <f>IF(X2594="","",X2594-A2594)</f>
        <v/>
      </c>
      <c r="Z2594" s="5" t="n">
        <v>46200</v>
      </c>
      <c r="AA2594" s="3" t="n"/>
      <c r="AB2594" s="3" t="n"/>
      <c r="AE2594" s="146">
        <f>IF(AND(F2594="Closed",X2594&gt;=DATE(2026,6,1),X2594&lt;=DATE(2026,6,30)),"Closed in June","other")</f>
        <v/>
      </c>
    </row>
    <row r="2595" hidden="1">
      <c r="A2595" s="9" t="n">
        <v>46134</v>
      </c>
      <c r="B2595" s="1" t="n">
        <v>2026</v>
      </c>
      <c r="C2595" s="8" t="inlineStr">
        <is>
          <t>First Energy</t>
        </is>
      </c>
      <c r="D2595" s="11" t="inlineStr">
        <is>
          <t>Utility and C&amp;I</t>
        </is>
      </c>
      <c r="E2595" s="1" t="n"/>
      <c r="F2595" s="1" t="inlineStr">
        <is>
          <t>Closed</t>
        </is>
      </c>
      <c r="G2595" s="8" t="inlineStr">
        <is>
          <t>Saravanakumar</t>
        </is>
      </c>
      <c r="H2595" s="8" t="n">
        <v>8248438488</v>
      </c>
      <c r="I2595" s="10" t="inlineStr">
        <is>
          <t>PE22042601</t>
        </is>
      </c>
      <c r="J2595" s="8" t="inlineStr">
        <is>
          <t>Anomalies/defects in the modules</t>
        </is>
      </c>
      <c r="K2595" s="8" t="inlineStr">
        <is>
          <t>Tirunelveli</t>
        </is>
      </c>
      <c r="L2595" s="8" t="inlineStr">
        <is>
          <t>Tamil Nadu</t>
        </is>
      </c>
      <c r="M2595" s="60" t="inlineStr">
        <is>
          <t>OK</t>
        </is>
      </c>
      <c r="N2595" s="2" t="inlineStr">
        <is>
          <t>No Issue Found</t>
        </is>
      </c>
      <c r="O2595" s="11" t="n">
        <v>550</v>
      </c>
      <c r="P2595" s="60" t="inlineStr">
        <is>
          <t>NSMP2308481990</t>
        </is>
      </c>
      <c r="Q2595" s="29">
        <f>MID(P2595,5,2)</f>
        <v/>
      </c>
      <c r="R2595" s="14">
        <f>MID(P2595,7,2)</f>
        <v/>
      </c>
      <c r="S2595" s="6" t="inlineStr">
        <is>
          <t>G2B</t>
        </is>
      </c>
      <c r="T2595" s="1" t="inlineStr">
        <is>
          <t>P2 - PEPPL</t>
        </is>
      </c>
      <c r="U2595" s="6" t="inlineStr">
        <is>
          <t>No Issue Found</t>
        </is>
      </c>
      <c r="V2595" s="6" t="inlineStr">
        <is>
          <t>Inspection</t>
        </is>
      </c>
      <c r="W2595" s="1" t="inlineStr">
        <is>
          <t>Rejected</t>
        </is>
      </c>
      <c r="X2595" s="5" t="n">
        <v>46200</v>
      </c>
      <c r="Y2595" s="1">
        <f>IF(X2595="","",X2595-A2595)</f>
        <v/>
      </c>
      <c r="Z2595" s="5" t="n">
        <v>46200</v>
      </c>
      <c r="AA2595" s="3" t="n"/>
      <c r="AB2595" s="3" t="n"/>
      <c r="AE2595" s="146">
        <f>IF(AND(F2595="Closed",X2595&gt;=DATE(2026,6,1),X2595&lt;=DATE(2026,6,30)),"Closed in June","other")</f>
        <v/>
      </c>
    </row>
    <row r="2596" hidden="1">
      <c r="A2596" s="9" t="n">
        <v>46134</v>
      </c>
      <c r="B2596" s="1" t="n">
        <v>2026</v>
      </c>
      <c r="C2596" s="8" t="inlineStr">
        <is>
          <t>First Energy</t>
        </is>
      </c>
      <c r="D2596" s="11" t="inlineStr">
        <is>
          <t>Utility and C&amp;I</t>
        </is>
      </c>
      <c r="E2596" s="1" t="n"/>
      <c r="F2596" s="1" t="inlineStr">
        <is>
          <t>Closed</t>
        </is>
      </c>
      <c r="G2596" s="8" t="inlineStr">
        <is>
          <t>Saravanakumar</t>
        </is>
      </c>
      <c r="H2596" s="8" t="n">
        <v>8248438488</v>
      </c>
      <c r="I2596" s="10" t="inlineStr">
        <is>
          <t>PE22042601</t>
        </is>
      </c>
      <c r="J2596" s="8" t="inlineStr">
        <is>
          <t>Anomalies/defects in the modules</t>
        </is>
      </c>
      <c r="K2596" s="8" t="inlineStr">
        <is>
          <t>Tirunelveli</t>
        </is>
      </c>
      <c r="L2596" s="8" t="inlineStr">
        <is>
          <t>Tamil Nadu</t>
        </is>
      </c>
      <c r="M2596" s="60" t="inlineStr">
        <is>
          <t>OK</t>
        </is>
      </c>
      <c r="N2596" s="2" t="inlineStr">
        <is>
          <t>No Issue Found</t>
        </is>
      </c>
      <c r="O2596" s="11" t="n">
        <v>550</v>
      </c>
      <c r="P2596" s="60" t="inlineStr">
        <is>
          <t>NSMP2307345384</t>
        </is>
      </c>
      <c r="Q2596" s="29">
        <f>MID(P2596,5,2)</f>
        <v/>
      </c>
      <c r="R2596" s="14">
        <f>MID(P2596,7,2)</f>
        <v/>
      </c>
      <c r="S2596" s="6" t="inlineStr">
        <is>
          <t>G2B</t>
        </is>
      </c>
      <c r="T2596" s="1" t="inlineStr">
        <is>
          <t>P2 - PEPPL</t>
        </is>
      </c>
      <c r="U2596" s="6" t="inlineStr">
        <is>
          <t>No Issue Found</t>
        </is>
      </c>
      <c r="V2596" s="6" t="inlineStr">
        <is>
          <t>Inspection</t>
        </is>
      </c>
      <c r="W2596" s="1" t="inlineStr">
        <is>
          <t>Rejected</t>
        </is>
      </c>
      <c r="X2596" s="5" t="n">
        <v>46200</v>
      </c>
      <c r="Y2596" s="1">
        <f>IF(X2596="","",X2596-A2596)</f>
        <v/>
      </c>
      <c r="Z2596" s="5" t="n">
        <v>46200</v>
      </c>
      <c r="AA2596" s="3" t="n"/>
      <c r="AB2596" s="3" t="n"/>
      <c r="AE2596" s="146">
        <f>IF(AND(F2596="Closed",X2596&gt;=DATE(2026,6,1),X2596&lt;=DATE(2026,6,30)),"Closed in June","other")</f>
        <v/>
      </c>
    </row>
    <row r="2597" hidden="1">
      <c r="A2597" s="9" t="n">
        <v>46134</v>
      </c>
      <c r="B2597" s="1" t="n">
        <v>2026</v>
      </c>
      <c r="C2597" s="8" t="inlineStr">
        <is>
          <t>First Energy</t>
        </is>
      </c>
      <c r="D2597" s="11" t="inlineStr">
        <is>
          <t>Utility and C&amp;I</t>
        </is>
      </c>
      <c r="E2597" s="1" t="n"/>
      <c r="F2597" s="1" t="inlineStr">
        <is>
          <t>Closed</t>
        </is>
      </c>
      <c r="G2597" s="8" t="inlineStr">
        <is>
          <t>Saravanakumar</t>
        </is>
      </c>
      <c r="H2597" s="8" t="n">
        <v>8248438488</v>
      </c>
      <c r="I2597" s="10" t="inlineStr">
        <is>
          <t>PE22042601</t>
        </is>
      </c>
      <c r="J2597" s="8" t="inlineStr">
        <is>
          <t>Anomalies/defects in the modules</t>
        </is>
      </c>
      <c r="K2597" s="8" t="inlineStr">
        <is>
          <t>Tirunelveli</t>
        </is>
      </c>
      <c r="L2597" s="8" t="inlineStr">
        <is>
          <t>Tamil Nadu</t>
        </is>
      </c>
      <c r="M2597" s="60" t="inlineStr">
        <is>
          <t>OK</t>
        </is>
      </c>
      <c r="N2597" s="2" t="inlineStr">
        <is>
          <t>No Issue Found</t>
        </is>
      </c>
      <c r="O2597" s="11" t="n">
        <v>550</v>
      </c>
      <c r="P2597" s="60" t="inlineStr">
        <is>
          <t>NSMP2307327804</t>
        </is>
      </c>
      <c r="Q2597" s="29">
        <f>MID(P2597,5,2)</f>
        <v/>
      </c>
      <c r="R2597" s="14">
        <f>MID(P2597,7,2)</f>
        <v/>
      </c>
      <c r="S2597" s="6" t="inlineStr">
        <is>
          <t>G2B</t>
        </is>
      </c>
      <c r="T2597" s="1" t="inlineStr">
        <is>
          <t>P2 - PEPPL</t>
        </is>
      </c>
      <c r="U2597" s="6" t="inlineStr">
        <is>
          <t>No Issue Found</t>
        </is>
      </c>
      <c r="V2597" s="6" t="inlineStr">
        <is>
          <t>Inspection</t>
        </is>
      </c>
      <c r="W2597" s="1" t="inlineStr">
        <is>
          <t>Rejected</t>
        </is>
      </c>
      <c r="X2597" s="5" t="n">
        <v>46200</v>
      </c>
      <c r="Y2597" s="1">
        <f>IF(X2597="","",X2597-A2597)</f>
        <v/>
      </c>
      <c r="Z2597" s="5" t="n">
        <v>46200</v>
      </c>
      <c r="AA2597" s="3" t="n"/>
      <c r="AB2597" s="3" t="n"/>
      <c r="AE2597" s="146">
        <f>IF(AND(F2597="Closed",X2597&gt;=DATE(2026,6,1),X2597&lt;=DATE(2026,6,30)),"Closed in June","other")</f>
        <v/>
      </c>
    </row>
    <row r="2598" hidden="1">
      <c r="A2598" s="9" t="n">
        <v>46134</v>
      </c>
      <c r="B2598" s="1" t="n">
        <v>2026</v>
      </c>
      <c r="C2598" s="8" t="inlineStr">
        <is>
          <t>First Energy</t>
        </is>
      </c>
      <c r="D2598" s="11" t="inlineStr">
        <is>
          <t>Utility and C&amp;I</t>
        </is>
      </c>
      <c r="E2598" s="1" t="n"/>
      <c r="F2598" s="1" t="inlineStr">
        <is>
          <t>Closed</t>
        </is>
      </c>
      <c r="G2598" s="8" t="inlineStr">
        <is>
          <t>Saravanakumar</t>
        </is>
      </c>
      <c r="H2598" s="8" t="n">
        <v>8248438488</v>
      </c>
      <c r="I2598" s="10" t="inlineStr">
        <is>
          <t>PE22042601</t>
        </is>
      </c>
      <c r="J2598" s="8" t="inlineStr">
        <is>
          <t>Anomalies/defects in the modules</t>
        </is>
      </c>
      <c r="K2598" s="8" t="inlineStr">
        <is>
          <t>Tirunelveli</t>
        </is>
      </c>
      <c r="L2598" s="8" t="inlineStr">
        <is>
          <t>Tamil Nadu</t>
        </is>
      </c>
      <c r="M2598" s="60" t="inlineStr">
        <is>
          <t>OK</t>
        </is>
      </c>
      <c r="N2598" s="2" t="inlineStr">
        <is>
          <t>No Issue Found</t>
        </is>
      </c>
      <c r="O2598" s="11" t="n">
        <v>550</v>
      </c>
      <c r="P2598" s="60" t="inlineStr">
        <is>
          <t>NSMP2306324970</t>
        </is>
      </c>
      <c r="Q2598" s="29">
        <f>MID(P2598,5,2)</f>
        <v/>
      </c>
      <c r="R2598" s="14">
        <f>MID(P2598,7,2)</f>
        <v/>
      </c>
      <c r="S2598" s="6" t="inlineStr">
        <is>
          <t>G2B</t>
        </is>
      </c>
      <c r="T2598" s="1" t="inlineStr">
        <is>
          <t>P2 - PEPPL</t>
        </is>
      </c>
      <c r="U2598" s="6" t="inlineStr">
        <is>
          <t>No Issue Found</t>
        </is>
      </c>
      <c r="V2598" s="6" t="inlineStr">
        <is>
          <t>Inspection</t>
        </is>
      </c>
      <c r="W2598" s="1" t="inlineStr">
        <is>
          <t>Rejected</t>
        </is>
      </c>
      <c r="X2598" s="5" t="n">
        <v>46200</v>
      </c>
      <c r="Y2598" s="1">
        <f>IF(X2598="","",X2598-A2598)</f>
        <v/>
      </c>
      <c r="Z2598" s="5" t="n">
        <v>46200</v>
      </c>
      <c r="AA2598" s="3" t="n"/>
      <c r="AB2598" s="3" t="n"/>
      <c r="AE2598" s="146">
        <f>IF(AND(F2598="Closed",X2598&gt;=DATE(2026,6,1),X2598&lt;=DATE(2026,6,30)),"Closed in June","other")</f>
        <v/>
      </c>
    </row>
    <row r="2599" hidden="1">
      <c r="A2599" s="9" t="n">
        <v>46134</v>
      </c>
      <c r="B2599" s="1" t="n">
        <v>2026</v>
      </c>
      <c r="C2599" s="8" t="inlineStr">
        <is>
          <t>First Energy</t>
        </is>
      </c>
      <c r="D2599" s="11" t="inlineStr">
        <is>
          <t>Utility and C&amp;I</t>
        </is>
      </c>
      <c r="E2599" s="1" t="n"/>
      <c r="F2599" s="1" t="inlineStr">
        <is>
          <t>Closed</t>
        </is>
      </c>
      <c r="G2599" s="8" t="inlineStr">
        <is>
          <t>Saravanakumar</t>
        </is>
      </c>
      <c r="H2599" s="8" t="n">
        <v>8248438488</v>
      </c>
      <c r="I2599" s="10" t="inlineStr">
        <is>
          <t>PE22042601</t>
        </is>
      </c>
      <c r="J2599" s="8" t="inlineStr">
        <is>
          <t>Anomalies/defects in the modules</t>
        </is>
      </c>
      <c r="K2599" s="8" t="inlineStr">
        <is>
          <t>Tirunelveli</t>
        </is>
      </c>
      <c r="L2599" s="8" t="inlineStr">
        <is>
          <t>Tamil Nadu</t>
        </is>
      </c>
      <c r="M2599" s="60" t="inlineStr">
        <is>
          <t>OK</t>
        </is>
      </c>
      <c r="N2599" s="2" t="inlineStr">
        <is>
          <t>No Issue Found</t>
        </is>
      </c>
      <c r="O2599" s="11" t="n">
        <v>550</v>
      </c>
      <c r="P2599" s="60" t="inlineStr">
        <is>
          <t>NSMP2307330299</t>
        </is>
      </c>
      <c r="Q2599" s="29">
        <f>MID(P2599,5,2)</f>
        <v/>
      </c>
      <c r="R2599" s="14">
        <f>MID(P2599,7,2)</f>
        <v/>
      </c>
      <c r="S2599" s="6" t="inlineStr">
        <is>
          <t>G2B</t>
        </is>
      </c>
      <c r="T2599" s="1" t="inlineStr">
        <is>
          <t>P2 - PEPPL</t>
        </is>
      </c>
      <c r="U2599" s="6" t="inlineStr">
        <is>
          <t>No Issue Found</t>
        </is>
      </c>
      <c r="V2599" s="6" t="inlineStr">
        <is>
          <t>Inspection</t>
        </is>
      </c>
      <c r="W2599" s="1" t="inlineStr">
        <is>
          <t>Rejected</t>
        </is>
      </c>
      <c r="X2599" s="5" t="n">
        <v>46200</v>
      </c>
      <c r="Y2599" s="1">
        <f>IF(X2599="","",X2599-A2599)</f>
        <v/>
      </c>
      <c r="Z2599" s="5" t="n">
        <v>46200</v>
      </c>
      <c r="AA2599" s="3" t="n"/>
      <c r="AB2599" s="3" t="n"/>
      <c r="AE2599" s="146">
        <f>IF(AND(F2599="Closed",X2599&gt;=DATE(2026,6,1),X2599&lt;=DATE(2026,6,30)),"Closed in June","other")</f>
        <v/>
      </c>
    </row>
    <row r="2600" hidden="1">
      <c r="A2600" s="9" t="n">
        <v>46134</v>
      </c>
      <c r="B2600" s="1" t="n">
        <v>2026</v>
      </c>
      <c r="C2600" s="8" t="inlineStr">
        <is>
          <t>First Energy</t>
        </is>
      </c>
      <c r="D2600" s="11" t="inlineStr">
        <is>
          <t>Utility and C&amp;I</t>
        </is>
      </c>
      <c r="E2600" s="1" t="n"/>
      <c r="F2600" s="1" t="inlineStr">
        <is>
          <t>Closed</t>
        </is>
      </c>
      <c r="G2600" s="8" t="inlineStr">
        <is>
          <t>Saravanakumar</t>
        </is>
      </c>
      <c r="H2600" s="8" t="n">
        <v>8248438488</v>
      </c>
      <c r="I2600" s="10" t="inlineStr">
        <is>
          <t>PE22042601</t>
        </is>
      </c>
      <c r="J2600" s="8" t="inlineStr">
        <is>
          <t>Anomalies/defects in the modules</t>
        </is>
      </c>
      <c r="K2600" s="8" t="inlineStr">
        <is>
          <t>Tirunelveli</t>
        </is>
      </c>
      <c r="L2600" s="8" t="inlineStr">
        <is>
          <t>Tamil Nadu</t>
        </is>
      </c>
      <c r="M2600" s="60" t="inlineStr">
        <is>
          <t>OK</t>
        </is>
      </c>
      <c r="N2600" s="2" t="inlineStr">
        <is>
          <t>No Issue Found</t>
        </is>
      </c>
      <c r="O2600" s="11" t="n">
        <v>550</v>
      </c>
      <c r="P2600" s="60" t="inlineStr">
        <is>
          <t>NSMP2307345668</t>
        </is>
      </c>
      <c r="Q2600" s="29">
        <f>MID(P2600,5,2)</f>
        <v/>
      </c>
      <c r="R2600" s="14">
        <f>MID(P2600,7,2)</f>
        <v/>
      </c>
      <c r="S2600" s="6" t="inlineStr">
        <is>
          <t>G2B</t>
        </is>
      </c>
      <c r="T2600" s="1" t="inlineStr">
        <is>
          <t>P2 - PEPPL</t>
        </is>
      </c>
      <c r="U2600" s="6" t="inlineStr">
        <is>
          <t>No Issue Found</t>
        </is>
      </c>
      <c r="V2600" s="6" t="inlineStr">
        <is>
          <t>Inspection</t>
        </is>
      </c>
      <c r="W2600" s="1" t="inlineStr">
        <is>
          <t>Rejected</t>
        </is>
      </c>
      <c r="X2600" s="5" t="n">
        <v>46200</v>
      </c>
      <c r="Y2600" s="1">
        <f>IF(X2600="","",X2600-A2600)</f>
        <v/>
      </c>
      <c r="Z2600" s="5" t="n">
        <v>46200</v>
      </c>
      <c r="AA2600" s="3" t="n"/>
      <c r="AB2600" s="3" t="n"/>
      <c r="AE2600" s="146">
        <f>IF(AND(F2600="Closed",X2600&gt;=DATE(2026,6,1),X2600&lt;=DATE(2026,6,30)),"Closed in June","other")</f>
        <v/>
      </c>
    </row>
    <row r="2601" hidden="1">
      <c r="A2601" s="9" t="n">
        <v>46134</v>
      </c>
      <c r="B2601" s="1" t="n">
        <v>2026</v>
      </c>
      <c r="C2601" s="8" t="inlineStr">
        <is>
          <t>First Energy</t>
        </is>
      </c>
      <c r="D2601" s="11" t="inlineStr">
        <is>
          <t>Utility and C&amp;I</t>
        </is>
      </c>
      <c r="E2601" s="1" t="n"/>
      <c r="F2601" s="1" t="inlineStr">
        <is>
          <t>Closed</t>
        </is>
      </c>
      <c r="G2601" s="8" t="inlineStr">
        <is>
          <t>Saravanakumar</t>
        </is>
      </c>
      <c r="H2601" s="8" t="n">
        <v>8248438488</v>
      </c>
      <c r="I2601" s="10" t="inlineStr">
        <is>
          <t>PE22042601</t>
        </is>
      </c>
      <c r="J2601" s="8" t="inlineStr">
        <is>
          <t>Anomalies/defects in the modules</t>
        </is>
      </c>
      <c r="K2601" s="8" t="inlineStr">
        <is>
          <t>Tirunelveli</t>
        </is>
      </c>
      <c r="L2601" s="8" t="inlineStr">
        <is>
          <t>Tamil Nadu</t>
        </is>
      </c>
      <c r="M2601" s="60" t="inlineStr">
        <is>
          <t>OK</t>
        </is>
      </c>
      <c r="N2601" s="2" t="inlineStr">
        <is>
          <t>No Issue Found</t>
        </is>
      </c>
      <c r="O2601" s="11" t="n">
        <v>550</v>
      </c>
      <c r="P2601" s="60" t="inlineStr">
        <is>
          <t>NSMP2307329404</t>
        </is>
      </c>
      <c r="Q2601" s="29">
        <f>MID(P2601,5,2)</f>
        <v/>
      </c>
      <c r="R2601" s="14">
        <f>MID(P2601,7,2)</f>
        <v/>
      </c>
      <c r="S2601" s="6" t="inlineStr">
        <is>
          <t>G2B</t>
        </is>
      </c>
      <c r="T2601" s="1" t="inlineStr">
        <is>
          <t>P2 - PEPPL</t>
        </is>
      </c>
      <c r="U2601" s="6" t="inlineStr">
        <is>
          <t>No Issue Found</t>
        </is>
      </c>
      <c r="V2601" s="6" t="inlineStr">
        <is>
          <t>Inspection</t>
        </is>
      </c>
      <c r="W2601" s="1" t="inlineStr">
        <is>
          <t>Rejected</t>
        </is>
      </c>
      <c r="X2601" s="5" t="n">
        <v>46200</v>
      </c>
      <c r="Y2601" s="1">
        <f>IF(X2601="","",X2601-A2601)</f>
        <v/>
      </c>
      <c r="Z2601" s="5" t="n">
        <v>46200</v>
      </c>
      <c r="AA2601" s="3" t="n"/>
      <c r="AB2601" s="3" t="n"/>
      <c r="AE2601" s="146">
        <f>IF(AND(F2601="Closed",X2601&gt;=DATE(2026,6,1),X2601&lt;=DATE(2026,6,30)),"Closed in June","other")</f>
        <v/>
      </c>
    </row>
    <row r="2602" hidden="1">
      <c r="A2602" s="9" t="n">
        <v>46134</v>
      </c>
      <c r="B2602" s="1" t="n">
        <v>2026</v>
      </c>
      <c r="C2602" s="8" t="inlineStr">
        <is>
          <t>First Energy</t>
        </is>
      </c>
      <c r="D2602" s="11" t="inlineStr">
        <is>
          <t>Utility and C&amp;I</t>
        </is>
      </c>
      <c r="E2602" s="1" t="n"/>
      <c r="F2602" s="1" t="inlineStr">
        <is>
          <t>Closed</t>
        </is>
      </c>
      <c r="G2602" s="8" t="inlineStr">
        <is>
          <t>Saravanakumar</t>
        </is>
      </c>
      <c r="H2602" s="8" t="n">
        <v>8248438488</v>
      </c>
      <c r="I2602" s="10" t="inlineStr">
        <is>
          <t>PE22042601</t>
        </is>
      </c>
      <c r="J2602" s="8" t="inlineStr">
        <is>
          <t>Anomalies/defects in the modules</t>
        </is>
      </c>
      <c r="K2602" s="8" t="inlineStr">
        <is>
          <t>Tirunelveli</t>
        </is>
      </c>
      <c r="L2602" s="8" t="inlineStr">
        <is>
          <t>Tamil Nadu</t>
        </is>
      </c>
      <c r="M2602" s="60" t="inlineStr">
        <is>
          <t>OK</t>
        </is>
      </c>
      <c r="N2602" s="2" t="inlineStr">
        <is>
          <t>No Issue Found</t>
        </is>
      </c>
      <c r="O2602" s="11" t="n">
        <v>550</v>
      </c>
      <c r="P2602" s="60" t="inlineStr">
        <is>
          <t>NSMP2307329980</t>
        </is>
      </c>
      <c r="Q2602" s="29">
        <f>MID(P2602,5,2)</f>
        <v/>
      </c>
      <c r="R2602" s="14">
        <f>MID(P2602,7,2)</f>
        <v/>
      </c>
      <c r="S2602" s="6" t="inlineStr">
        <is>
          <t>G2B</t>
        </is>
      </c>
      <c r="T2602" s="1" t="inlineStr">
        <is>
          <t>P2 - PEPPL</t>
        </is>
      </c>
      <c r="U2602" s="6" t="inlineStr">
        <is>
          <t>No Issue Found</t>
        </is>
      </c>
      <c r="V2602" s="6" t="inlineStr">
        <is>
          <t>Inspection</t>
        </is>
      </c>
      <c r="W2602" s="1" t="inlineStr">
        <is>
          <t>Rejected</t>
        </is>
      </c>
      <c r="X2602" s="5" t="n">
        <v>46200</v>
      </c>
      <c r="Y2602" s="1">
        <f>IF(X2602="","",X2602-A2602)</f>
        <v/>
      </c>
      <c r="Z2602" s="5" t="n">
        <v>46200</v>
      </c>
      <c r="AA2602" s="3" t="n"/>
      <c r="AB2602" s="3" t="n"/>
      <c r="AE2602" s="146">
        <f>IF(AND(F2602="Closed",X2602&gt;=DATE(2026,6,1),X2602&lt;=DATE(2026,6,30)),"Closed in June","other")</f>
        <v/>
      </c>
    </row>
    <row r="2603" hidden="1">
      <c r="A2603" s="9" t="n">
        <v>46134</v>
      </c>
      <c r="B2603" s="1" t="n">
        <v>2026</v>
      </c>
      <c r="C2603" s="8" t="inlineStr">
        <is>
          <t>First Energy</t>
        </is>
      </c>
      <c r="D2603" s="11" t="inlineStr">
        <is>
          <t>Utility and C&amp;I</t>
        </is>
      </c>
      <c r="E2603" s="1" t="n"/>
      <c r="F2603" s="1" t="inlineStr">
        <is>
          <t>Closed</t>
        </is>
      </c>
      <c r="G2603" s="8" t="inlineStr">
        <is>
          <t>Saravanakumar</t>
        </is>
      </c>
      <c r="H2603" s="8" t="n">
        <v>8248438488</v>
      </c>
      <c r="I2603" s="10" t="inlineStr">
        <is>
          <t>PE22042601</t>
        </is>
      </c>
      <c r="J2603" s="8" t="inlineStr">
        <is>
          <t>Anomalies/defects in the modules</t>
        </is>
      </c>
      <c r="K2603" s="8" t="inlineStr">
        <is>
          <t>Tirunelveli</t>
        </is>
      </c>
      <c r="L2603" s="8" t="inlineStr">
        <is>
          <t>Tamil Nadu</t>
        </is>
      </c>
      <c r="M2603" s="60" t="inlineStr">
        <is>
          <t>OK</t>
        </is>
      </c>
      <c r="N2603" s="2" t="inlineStr">
        <is>
          <t>No Issue Found</t>
        </is>
      </c>
      <c r="O2603" s="11" t="n">
        <v>550</v>
      </c>
      <c r="P2603" s="60" t="inlineStr">
        <is>
          <t>NSMP2307338724</t>
        </is>
      </c>
      <c r="Q2603" s="29">
        <f>MID(P2603,5,2)</f>
        <v/>
      </c>
      <c r="R2603" s="14">
        <f>MID(P2603,7,2)</f>
        <v/>
      </c>
      <c r="S2603" s="6" t="inlineStr">
        <is>
          <t>G2B</t>
        </is>
      </c>
      <c r="T2603" s="1" t="inlineStr">
        <is>
          <t>P2 - PEPPL</t>
        </is>
      </c>
      <c r="U2603" s="6" t="inlineStr">
        <is>
          <t>No Issue Found</t>
        </is>
      </c>
      <c r="V2603" s="6" t="inlineStr">
        <is>
          <t>Inspection</t>
        </is>
      </c>
      <c r="W2603" s="1" t="inlineStr">
        <is>
          <t>Rejected</t>
        </is>
      </c>
      <c r="X2603" s="5" t="n">
        <v>46200</v>
      </c>
      <c r="Y2603" s="1">
        <f>IF(X2603="","",X2603-A2603)</f>
        <v/>
      </c>
      <c r="Z2603" s="5" t="n">
        <v>46200</v>
      </c>
      <c r="AA2603" s="3" t="n"/>
      <c r="AB2603" s="3" t="n"/>
      <c r="AE2603" s="146">
        <f>IF(AND(F2603="Closed",X2603&gt;=DATE(2026,6,1),X2603&lt;=DATE(2026,6,30)),"Closed in June","other")</f>
        <v/>
      </c>
    </row>
    <row r="2604" hidden="1">
      <c r="A2604" s="49" t="n">
        <v>46183</v>
      </c>
      <c r="B2604" s="1" t="n">
        <v>2026</v>
      </c>
      <c r="C2604" s="8" t="inlineStr">
        <is>
          <t>Solaark</t>
        </is>
      </c>
      <c r="D2604" s="8" t="inlineStr">
        <is>
          <t>Channel Sales</t>
        </is>
      </c>
      <c r="E2604" s="1" t="n"/>
      <c r="F2604" s="1" t="inlineStr">
        <is>
          <t>Closed</t>
        </is>
      </c>
      <c r="G2604" s="8" t="inlineStr">
        <is>
          <t>Ajith Shetty</t>
        </is>
      </c>
      <c r="H2604" s="66" t="n">
        <v>8660801821</v>
      </c>
      <c r="I2604" s="26" t="inlineStr">
        <is>
          <t>PE10062601</t>
        </is>
      </c>
      <c r="J2604" s="64" t="inlineStr">
        <is>
          <t>Generation Issue</t>
        </is>
      </c>
      <c r="K2604" s="8" t="inlineStr">
        <is>
          <t>Bangalore</t>
        </is>
      </c>
      <c r="L2604" s="8" t="inlineStr">
        <is>
          <t>Karnataka</t>
        </is>
      </c>
      <c r="M2604" s="60" t="inlineStr">
        <is>
          <t>PS</t>
        </is>
      </c>
      <c r="N2604" s="1" t="inlineStr">
        <is>
          <t>Cold Soldering</t>
        </is>
      </c>
      <c r="O2604" s="11" t="n">
        <v>590</v>
      </c>
      <c r="P2604" s="31" t="inlineStr">
        <is>
          <t>NSMI24100565136</t>
        </is>
      </c>
      <c r="Q2604" s="29">
        <f>MID(P2604,5,2)</f>
        <v/>
      </c>
      <c r="R2604" s="14">
        <f>MID(P2604,7,2)</f>
        <v/>
      </c>
      <c r="S2604" s="6" t="inlineStr">
        <is>
          <t>G2G</t>
        </is>
      </c>
      <c r="T2604" s="1" t="inlineStr">
        <is>
          <t>P4 - PEIPL</t>
        </is>
      </c>
      <c r="U2604" s="6" t="inlineStr">
        <is>
          <t>P JB Cold Soldering</t>
        </is>
      </c>
      <c r="V2604" s="6" t="inlineStr">
        <is>
          <t>Soldering</t>
        </is>
      </c>
      <c r="W2604" s="1" t="inlineStr">
        <is>
          <t>Repair</t>
        </is>
      </c>
      <c r="X2604" s="5" t="n">
        <v>46200</v>
      </c>
      <c r="Y2604" s="1">
        <f>IF(X2604="","",X2604-A2604)</f>
        <v/>
      </c>
      <c r="Z2604" s="5" t="n">
        <v>46200</v>
      </c>
      <c r="AA2604" s="3" t="n"/>
      <c r="AB2604" s="3" t="n"/>
      <c r="AE2604" s="146">
        <f>IF(AND(F2604="Closed",X2604&gt;=DATE(2026,6,1),X2604&lt;=DATE(2026,6,30)),"Closed in June","other")</f>
        <v/>
      </c>
    </row>
    <row r="2605" hidden="1">
      <c r="A2605" s="49" t="n">
        <v>46177</v>
      </c>
      <c r="B2605" s="1" t="n">
        <v>2026</v>
      </c>
      <c r="C2605" s="8" t="inlineStr">
        <is>
          <t>Ayana</t>
        </is>
      </c>
      <c r="D2605" s="11" t="inlineStr">
        <is>
          <t>Utility and C&amp;I</t>
        </is>
      </c>
      <c r="E2605" s="1" t="n"/>
      <c r="F2605" s="1" t="inlineStr">
        <is>
          <t>Closed</t>
        </is>
      </c>
      <c r="G2605" s="11" t="inlineStr">
        <is>
          <t>Vasu.N</t>
        </is>
      </c>
      <c r="H2605" s="8" t="n">
        <v>9578099893</v>
      </c>
      <c r="I2605" s="10" t="inlineStr">
        <is>
          <t>PE04062601</t>
        </is>
      </c>
      <c r="J2605" s="28" t="inlineStr">
        <is>
          <t>Module burnt</t>
        </is>
      </c>
      <c r="K2605" s="8" t="inlineStr">
        <is>
          <t>Zura</t>
        </is>
      </c>
      <c r="L2605" s="8" t="inlineStr">
        <is>
          <t>Gujarat</t>
        </is>
      </c>
      <c r="M2605" s="2" t="inlineStr">
        <is>
          <t xml:space="preserve">damage </t>
        </is>
      </c>
      <c r="N2605" s="6" t="inlineStr">
        <is>
          <t>Module Breakage</t>
        </is>
      </c>
      <c r="O2605" s="51" t="n">
        <v>590</v>
      </c>
      <c r="P2605" s="2" t="inlineStr">
        <is>
          <t>NSMI24100605349</t>
        </is>
      </c>
      <c r="Q2605" s="29">
        <f>MID(P2605,5,2)</f>
        <v/>
      </c>
      <c r="R2605" s="14">
        <f>MID(P2605,7,2)</f>
        <v/>
      </c>
      <c r="S2605" s="6" t="inlineStr">
        <is>
          <t>G2G</t>
        </is>
      </c>
      <c r="T2605" s="1" t="inlineStr">
        <is>
          <t>P4 - PEIPL</t>
        </is>
      </c>
      <c r="U2605" s="2" t="inlineStr">
        <is>
          <t xml:space="preserve">physically damaged </t>
        </is>
      </c>
      <c r="V2605" s="1" t="inlineStr">
        <is>
          <t>Inspection</t>
        </is>
      </c>
      <c r="W2605" s="1" t="inlineStr">
        <is>
          <t>Rejected</t>
        </is>
      </c>
      <c r="X2605" s="5">
        <f>Z2605</f>
        <v/>
      </c>
      <c r="Y2605" s="1">
        <f>X2605-A2605</f>
        <v/>
      </c>
      <c r="Z2605" s="5" t="n">
        <v>46200</v>
      </c>
      <c r="AA2605" s="3" t="n"/>
      <c r="AB2605" s="3" t="n"/>
      <c r="AE2605" s="146">
        <f>IF(AND(F2605="Closed",X2605&gt;=DATE(2026,6,1),X2605&lt;=DATE(2026,6,30)),"Closed in June","other")</f>
        <v/>
      </c>
    </row>
    <row r="2606" hidden="1">
      <c r="A2606" s="49" t="n">
        <v>46177</v>
      </c>
      <c r="B2606" s="1" t="n">
        <v>2026</v>
      </c>
      <c r="C2606" s="8" t="inlineStr">
        <is>
          <t>Ayana</t>
        </is>
      </c>
      <c r="D2606" s="11" t="inlineStr">
        <is>
          <t>Utility and C&amp;I</t>
        </is>
      </c>
      <c r="E2606" s="1" t="n"/>
      <c r="F2606" s="1" t="inlineStr">
        <is>
          <t>Closed</t>
        </is>
      </c>
      <c r="G2606" s="11" t="inlineStr">
        <is>
          <t>Vasu.N</t>
        </is>
      </c>
      <c r="H2606" s="8" t="n">
        <v>9578099893</v>
      </c>
      <c r="I2606" s="10" t="inlineStr">
        <is>
          <t>PE04062601</t>
        </is>
      </c>
      <c r="J2606" s="28" t="inlineStr">
        <is>
          <t>Module burnt</t>
        </is>
      </c>
      <c r="K2606" s="8" t="inlineStr">
        <is>
          <t>Zura</t>
        </is>
      </c>
      <c r="L2606" s="8" t="inlineStr">
        <is>
          <t>Gujarat</t>
        </is>
      </c>
      <c r="M2606" s="2" t="inlineStr">
        <is>
          <t xml:space="preserve">damage </t>
        </is>
      </c>
      <c r="N2606" s="6" t="inlineStr">
        <is>
          <t>Module Breakage</t>
        </is>
      </c>
      <c r="O2606" s="51" t="n">
        <v>590</v>
      </c>
      <c r="P2606" s="2" t="inlineStr">
        <is>
          <t>NSMI24100605324</t>
        </is>
      </c>
      <c r="Q2606" s="29">
        <f>MID(P2606,5,2)</f>
        <v/>
      </c>
      <c r="R2606" s="14">
        <f>MID(P2606,7,2)</f>
        <v/>
      </c>
      <c r="S2606" s="6" t="inlineStr">
        <is>
          <t>G2G</t>
        </is>
      </c>
      <c r="T2606" s="1" t="inlineStr">
        <is>
          <t>P4 - PEIPL</t>
        </is>
      </c>
      <c r="U2606" s="2" t="inlineStr">
        <is>
          <t xml:space="preserve">physically damaged </t>
        </is>
      </c>
      <c r="V2606" s="1" t="inlineStr">
        <is>
          <t>Inspection</t>
        </is>
      </c>
      <c r="W2606" s="1" t="inlineStr">
        <is>
          <t>Rejected</t>
        </is>
      </c>
      <c r="X2606" s="5">
        <f>Z2606</f>
        <v/>
      </c>
      <c r="Y2606" s="1">
        <f>X2606-A2606</f>
        <v/>
      </c>
      <c r="Z2606" s="5" t="n">
        <v>46200</v>
      </c>
      <c r="AA2606" s="3" t="n"/>
      <c r="AB2606" s="3" t="n"/>
      <c r="AE2606" s="146">
        <f>IF(AND(F2606="Closed",X2606&gt;=DATE(2026,6,1),X2606&lt;=DATE(2026,6,30)),"Closed in June","other")</f>
        <v/>
      </c>
    </row>
    <row r="2607" hidden="1">
      <c r="A2607" s="49" t="n">
        <v>46177</v>
      </c>
      <c r="B2607" s="1" t="n">
        <v>2026</v>
      </c>
      <c r="C2607" s="8" t="inlineStr">
        <is>
          <t>Ayana</t>
        </is>
      </c>
      <c r="D2607" s="11" t="inlineStr">
        <is>
          <t>Utility and C&amp;I</t>
        </is>
      </c>
      <c r="E2607" s="1" t="n"/>
      <c r="F2607" s="1" t="inlineStr">
        <is>
          <t>Closed</t>
        </is>
      </c>
      <c r="G2607" s="11" t="inlineStr">
        <is>
          <t>Vasu.N</t>
        </is>
      </c>
      <c r="H2607" s="8" t="n">
        <v>9578099893</v>
      </c>
      <c r="I2607" s="10" t="inlineStr">
        <is>
          <t>PE04062601</t>
        </is>
      </c>
      <c r="J2607" s="28" t="inlineStr">
        <is>
          <t>Module burnt</t>
        </is>
      </c>
      <c r="K2607" s="8" t="inlineStr">
        <is>
          <t>Zura</t>
        </is>
      </c>
      <c r="L2607" s="8" t="inlineStr">
        <is>
          <t>Gujarat</t>
        </is>
      </c>
      <c r="M2607" s="2" t="inlineStr">
        <is>
          <t xml:space="preserve">damage </t>
        </is>
      </c>
      <c r="N2607" s="6" t="inlineStr">
        <is>
          <t>Module Breakage</t>
        </is>
      </c>
      <c r="O2607" s="51" t="n">
        <v>590</v>
      </c>
      <c r="P2607" s="2" t="inlineStr">
        <is>
          <t>NSMI24100593308</t>
        </is>
      </c>
      <c r="Q2607" s="29">
        <f>MID(P2607,5,2)</f>
        <v/>
      </c>
      <c r="R2607" s="14">
        <f>MID(P2607,7,2)</f>
        <v/>
      </c>
      <c r="S2607" s="6" t="inlineStr">
        <is>
          <t>G2G</t>
        </is>
      </c>
      <c r="T2607" s="1" t="inlineStr">
        <is>
          <t>P4 - PEIPL</t>
        </is>
      </c>
      <c r="U2607" s="2" t="inlineStr">
        <is>
          <t xml:space="preserve">physically damaged </t>
        </is>
      </c>
      <c r="V2607" s="1" t="inlineStr">
        <is>
          <t>Inspection</t>
        </is>
      </c>
      <c r="W2607" s="1" t="inlineStr">
        <is>
          <t>Rejected</t>
        </is>
      </c>
      <c r="X2607" s="5">
        <f>Z2607</f>
        <v/>
      </c>
      <c r="Y2607" s="1">
        <f>X2607-A2607</f>
        <v/>
      </c>
      <c r="Z2607" s="5" t="n">
        <v>46200</v>
      </c>
      <c r="AA2607" s="3" t="n"/>
      <c r="AB2607" s="3" t="n"/>
      <c r="AE2607" s="146">
        <f>IF(AND(F2607="Closed",X2607&gt;=DATE(2026,6,1),X2607&lt;=DATE(2026,6,30)),"Closed in June","other")</f>
        <v/>
      </c>
    </row>
    <row r="2608" hidden="1">
      <c r="A2608" s="49" t="n">
        <v>46177</v>
      </c>
      <c r="B2608" s="1" t="n">
        <v>2026</v>
      </c>
      <c r="C2608" s="8" t="inlineStr">
        <is>
          <t>Ayana</t>
        </is>
      </c>
      <c r="D2608" s="11" t="inlineStr">
        <is>
          <t>Utility and C&amp;I</t>
        </is>
      </c>
      <c r="E2608" s="1" t="n"/>
      <c r="F2608" s="1" t="inlineStr">
        <is>
          <t>Closed</t>
        </is>
      </c>
      <c r="G2608" s="11" t="inlineStr">
        <is>
          <t>Vasu.N</t>
        </is>
      </c>
      <c r="H2608" s="8" t="n">
        <v>9578099893</v>
      </c>
      <c r="I2608" s="10" t="inlineStr">
        <is>
          <t>PE04062601</t>
        </is>
      </c>
      <c r="J2608" s="28" t="inlineStr">
        <is>
          <t>Module burnt</t>
        </is>
      </c>
      <c r="K2608" s="8" t="inlineStr">
        <is>
          <t>Zura</t>
        </is>
      </c>
      <c r="L2608" s="8" t="inlineStr">
        <is>
          <t>Gujarat</t>
        </is>
      </c>
      <c r="M2608" s="2" t="inlineStr">
        <is>
          <t xml:space="preserve">damage </t>
        </is>
      </c>
      <c r="N2608" s="6" t="inlineStr">
        <is>
          <t>Module Breakage</t>
        </is>
      </c>
      <c r="O2608" s="51" t="n">
        <v>590</v>
      </c>
      <c r="P2608" s="2" t="inlineStr">
        <is>
          <t>NSMI24110824910</t>
        </is>
      </c>
      <c r="Q2608" s="29">
        <f>MID(P2608,5,2)</f>
        <v/>
      </c>
      <c r="R2608" s="14">
        <f>MID(P2608,7,2)</f>
        <v/>
      </c>
      <c r="S2608" s="6" t="inlineStr">
        <is>
          <t>G2G</t>
        </is>
      </c>
      <c r="T2608" s="1" t="inlineStr">
        <is>
          <t>P4 - PEIPL</t>
        </is>
      </c>
      <c r="U2608" s="2" t="inlineStr">
        <is>
          <t xml:space="preserve">physically damaged </t>
        </is>
      </c>
      <c r="V2608" s="1" t="inlineStr">
        <is>
          <t>Inspection</t>
        </is>
      </c>
      <c r="W2608" s="1" t="inlineStr">
        <is>
          <t>Rejected</t>
        </is>
      </c>
      <c r="X2608" s="5">
        <f>Z2608</f>
        <v/>
      </c>
      <c r="Y2608" s="1">
        <f>X2608-A2608</f>
        <v/>
      </c>
      <c r="Z2608" s="5" t="n">
        <v>46200</v>
      </c>
      <c r="AA2608" s="3" t="n"/>
      <c r="AB2608" s="3" t="n"/>
      <c r="AE2608" s="146">
        <f>IF(AND(F2608="Closed",X2608&gt;=DATE(2026,6,1),X2608&lt;=DATE(2026,6,30)),"Closed in June","other")</f>
        <v/>
      </c>
    </row>
    <row r="2609" hidden="1">
      <c r="A2609" s="49" t="n">
        <v>46177</v>
      </c>
      <c r="B2609" s="1" t="n">
        <v>2026</v>
      </c>
      <c r="C2609" s="8" t="inlineStr">
        <is>
          <t>Ayana</t>
        </is>
      </c>
      <c r="D2609" s="11" t="inlineStr">
        <is>
          <t>Utility and C&amp;I</t>
        </is>
      </c>
      <c r="E2609" s="1" t="n"/>
      <c r="F2609" s="1" t="inlineStr">
        <is>
          <t>Closed</t>
        </is>
      </c>
      <c r="G2609" s="11" t="inlineStr">
        <is>
          <t>Vasu.N</t>
        </is>
      </c>
      <c r="H2609" s="8" t="n">
        <v>9578099893</v>
      </c>
      <c r="I2609" s="10" t="inlineStr">
        <is>
          <t>PE04062601</t>
        </is>
      </c>
      <c r="J2609" s="28" t="inlineStr">
        <is>
          <t>Module burnt</t>
        </is>
      </c>
      <c r="K2609" s="8" t="inlineStr">
        <is>
          <t>Zura</t>
        </is>
      </c>
      <c r="L2609" s="8" t="inlineStr">
        <is>
          <t>Gujarat</t>
        </is>
      </c>
      <c r="M2609" s="2" t="inlineStr">
        <is>
          <t xml:space="preserve">damage </t>
        </is>
      </c>
      <c r="N2609" s="6" t="inlineStr">
        <is>
          <t>Module Breakage</t>
        </is>
      </c>
      <c r="O2609" s="51" t="n">
        <v>590</v>
      </c>
      <c r="P2609" s="2" t="inlineStr">
        <is>
          <t>NSMI24110801092</t>
        </is>
      </c>
      <c r="Q2609" s="29">
        <f>MID(P2609,5,2)</f>
        <v/>
      </c>
      <c r="R2609" s="14">
        <f>MID(P2609,7,2)</f>
        <v/>
      </c>
      <c r="S2609" s="6" t="inlineStr">
        <is>
          <t>G2G</t>
        </is>
      </c>
      <c r="T2609" s="1" t="inlineStr">
        <is>
          <t>P4 - PEIPL</t>
        </is>
      </c>
      <c r="U2609" s="2" t="inlineStr">
        <is>
          <t xml:space="preserve">physically damaged </t>
        </is>
      </c>
      <c r="V2609" s="1" t="inlineStr">
        <is>
          <t>Inspection</t>
        </is>
      </c>
      <c r="W2609" s="1" t="inlineStr">
        <is>
          <t>Rejected</t>
        </is>
      </c>
      <c r="X2609" s="5">
        <f>Z2609</f>
        <v/>
      </c>
      <c r="Y2609" s="1">
        <f>X2609-A2609</f>
        <v/>
      </c>
      <c r="Z2609" s="5" t="n">
        <v>46200</v>
      </c>
      <c r="AA2609" s="3" t="n"/>
      <c r="AB2609" s="3" t="n"/>
      <c r="AE2609" s="146">
        <f>IF(AND(F2609="Closed",X2609&gt;=DATE(2026,6,1),X2609&lt;=DATE(2026,6,30)),"Closed in June","other")</f>
        <v/>
      </c>
    </row>
    <row r="2610" hidden="1">
      <c r="A2610" s="49" t="n">
        <v>46177</v>
      </c>
      <c r="B2610" s="1" t="n">
        <v>2026</v>
      </c>
      <c r="C2610" s="8" t="inlineStr">
        <is>
          <t>Ayana</t>
        </is>
      </c>
      <c r="D2610" s="11" t="inlineStr">
        <is>
          <t>Utility and C&amp;I</t>
        </is>
      </c>
      <c r="E2610" s="1" t="n"/>
      <c r="F2610" s="1" t="inlineStr">
        <is>
          <t>Closed</t>
        </is>
      </c>
      <c r="G2610" s="11" t="inlineStr">
        <is>
          <t>Vasu.N</t>
        </is>
      </c>
      <c r="H2610" s="8" t="n">
        <v>9578099893</v>
      </c>
      <c r="I2610" s="10" t="inlineStr">
        <is>
          <t>PE04062601</t>
        </is>
      </c>
      <c r="J2610" s="28" t="inlineStr">
        <is>
          <t>Module burnt</t>
        </is>
      </c>
      <c r="K2610" s="8" t="inlineStr">
        <is>
          <t>Zura</t>
        </is>
      </c>
      <c r="L2610" s="8" t="inlineStr">
        <is>
          <t>Gujarat</t>
        </is>
      </c>
      <c r="M2610" s="2" t="inlineStr">
        <is>
          <t xml:space="preserve">damage </t>
        </is>
      </c>
      <c r="N2610" s="6" t="inlineStr">
        <is>
          <t>Module Breakage</t>
        </is>
      </c>
      <c r="O2610" s="51" t="n">
        <v>590</v>
      </c>
      <c r="P2610" s="2" t="inlineStr">
        <is>
          <t>NSMI24110824908</t>
        </is>
      </c>
      <c r="Q2610" s="29">
        <f>MID(P2610,5,2)</f>
        <v/>
      </c>
      <c r="R2610" s="14">
        <f>MID(P2610,7,2)</f>
        <v/>
      </c>
      <c r="S2610" s="6" t="inlineStr">
        <is>
          <t>G2G</t>
        </is>
      </c>
      <c r="T2610" s="1" t="inlineStr">
        <is>
          <t>P4 - PEIPL</t>
        </is>
      </c>
      <c r="U2610" s="2" t="inlineStr">
        <is>
          <t xml:space="preserve">physically damaged </t>
        </is>
      </c>
      <c r="V2610" s="1" t="inlineStr">
        <is>
          <t>Inspection</t>
        </is>
      </c>
      <c r="W2610" s="1" t="inlineStr">
        <is>
          <t>Rejected</t>
        </is>
      </c>
      <c r="X2610" s="5">
        <f>Z2610</f>
        <v/>
      </c>
      <c r="Y2610" s="1">
        <f>X2610-A2610</f>
        <v/>
      </c>
      <c r="Z2610" s="5" t="n">
        <v>46200</v>
      </c>
      <c r="AA2610" s="3" t="n"/>
      <c r="AB2610" s="3" t="n"/>
      <c r="AE2610" s="146">
        <f>IF(AND(F2610="Closed",X2610&gt;=DATE(2026,6,1),X2610&lt;=DATE(2026,6,30)),"Closed in June","other")</f>
        <v/>
      </c>
    </row>
    <row r="2611" hidden="1">
      <c r="A2611" s="49" t="n">
        <v>46177</v>
      </c>
      <c r="B2611" s="1" t="n">
        <v>2026</v>
      </c>
      <c r="C2611" s="8" t="inlineStr">
        <is>
          <t>Ayana</t>
        </is>
      </c>
      <c r="D2611" s="11" t="inlineStr">
        <is>
          <t>Utility and C&amp;I</t>
        </is>
      </c>
      <c r="E2611" s="1" t="n"/>
      <c r="F2611" s="1" t="inlineStr">
        <is>
          <t>Closed</t>
        </is>
      </c>
      <c r="G2611" s="11" t="inlineStr">
        <is>
          <t>Vasu.N</t>
        </is>
      </c>
      <c r="H2611" s="8" t="n">
        <v>9578099893</v>
      </c>
      <c r="I2611" s="10" t="inlineStr">
        <is>
          <t>PE04062601</t>
        </is>
      </c>
      <c r="J2611" s="28" t="inlineStr">
        <is>
          <t>Module burnt</t>
        </is>
      </c>
      <c r="K2611" s="8" t="inlineStr">
        <is>
          <t>Zura</t>
        </is>
      </c>
      <c r="L2611" s="8" t="inlineStr">
        <is>
          <t>Gujarat</t>
        </is>
      </c>
      <c r="M2611" s="2" t="inlineStr">
        <is>
          <t xml:space="preserve">damage </t>
        </is>
      </c>
      <c r="N2611" s="6" t="inlineStr">
        <is>
          <t>Module Breakage</t>
        </is>
      </c>
      <c r="O2611" s="51" t="n">
        <v>590</v>
      </c>
      <c r="P2611" s="2" t="inlineStr">
        <is>
          <t>NSMI24100593303</t>
        </is>
      </c>
      <c r="Q2611" s="29">
        <f>MID(P2611,5,2)</f>
        <v/>
      </c>
      <c r="R2611" s="14">
        <f>MID(P2611,7,2)</f>
        <v/>
      </c>
      <c r="S2611" s="6" t="inlineStr">
        <is>
          <t>G2G</t>
        </is>
      </c>
      <c r="T2611" s="1" t="inlineStr">
        <is>
          <t>P4 - PEIPL</t>
        </is>
      </c>
      <c r="U2611" s="2" t="inlineStr">
        <is>
          <t xml:space="preserve">physically damaged </t>
        </is>
      </c>
      <c r="V2611" s="1" t="inlineStr">
        <is>
          <t>Inspection</t>
        </is>
      </c>
      <c r="W2611" s="1" t="inlineStr">
        <is>
          <t>Rejected</t>
        </is>
      </c>
      <c r="X2611" s="5">
        <f>Z2611</f>
        <v/>
      </c>
      <c r="Y2611" s="1">
        <f>X2611-A2611</f>
        <v/>
      </c>
      <c r="Z2611" s="5" t="n">
        <v>46200</v>
      </c>
      <c r="AA2611" s="3" t="n"/>
      <c r="AB2611" s="3" t="n"/>
      <c r="AE2611" s="146">
        <f>IF(AND(F2611="Closed",X2611&gt;=DATE(2026,6,1),X2611&lt;=DATE(2026,6,30)),"Closed in June","other")</f>
        <v/>
      </c>
    </row>
    <row r="2612" hidden="1">
      <c r="A2612" s="49" t="n">
        <v>46177</v>
      </c>
      <c r="B2612" s="1" t="n">
        <v>2026</v>
      </c>
      <c r="C2612" s="8" t="inlineStr">
        <is>
          <t>Ayana</t>
        </is>
      </c>
      <c r="D2612" s="11" t="inlineStr">
        <is>
          <t>Utility and C&amp;I</t>
        </is>
      </c>
      <c r="E2612" s="1" t="n"/>
      <c r="F2612" s="1" t="inlineStr">
        <is>
          <t>Closed</t>
        </is>
      </c>
      <c r="G2612" s="11" t="inlineStr">
        <is>
          <t>Vasu.N</t>
        </is>
      </c>
      <c r="H2612" s="8" t="n">
        <v>9578099893</v>
      </c>
      <c r="I2612" s="10" t="inlineStr">
        <is>
          <t>PE04062601</t>
        </is>
      </c>
      <c r="J2612" s="28" t="inlineStr">
        <is>
          <t>Module burnt</t>
        </is>
      </c>
      <c r="K2612" s="8" t="inlineStr">
        <is>
          <t>Zura</t>
        </is>
      </c>
      <c r="L2612" s="8" t="inlineStr">
        <is>
          <t>Gujarat</t>
        </is>
      </c>
      <c r="M2612" s="2" t="inlineStr">
        <is>
          <t xml:space="preserve">damage </t>
        </is>
      </c>
      <c r="N2612" s="6" t="inlineStr">
        <is>
          <t>Module Breakage</t>
        </is>
      </c>
      <c r="O2612" s="51" t="n">
        <v>590</v>
      </c>
      <c r="P2612" s="2" t="inlineStr">
        <is>
          <t>NSMI24100593297</t>
        </is>
      </c>
      <c r="Q2612" s="29">
        <f>MID(P2612,5,2)</f>
        <v/>
      </c>
      <c r="R2612" s="14">
        <f>MID(P2612,7,2)</f>
        <v/>
      </c>
      <c r="S2612" s="6" t="inlineStr">
        <is>
          <t>G2G</t>
        </is>
      </c>
      <c r="T2612" s="1" t="inlineStr">
        <is>
          <t>P4 - PEIPL</t>
        </is>
      </c>
      <c r="U2612" s="2" t="inlineStr">
        <is>
          <t xml:space="preserve">physically damaged </t>
        </is>
      </c>
      <c r="V2612" s="1" t="inlineStr">
        <is>
          <t>Inspection</t>
        </is>
      </c>
      <c r="W2612" s="1" t="inlineStr">
        <is>
          <t>Rejected</t>
        </is>
      </c>
      <c r="X2612" s="5">
        <f>Z2612</f>
        <v/>
      </c>
      <c r="Y2612" s="1">
        <f>X2612-A2612</f>
        <v/>
      </c>
      <c r="Z2612" s="5" t="n">
        <v>46200</v>
      </c>
      <c r="AA2612" s="3" t="n"/>
      <c r="AB2612" s="3" t="n"/>
      <c r="AE2612" s="146">
        <f>IF(AND(F2612="Closed",X2612&gt;=DATE(2026,6,1),X2612&lt;=DATE(2026,6,30)),"Closed in June","other")</f>
        <v/>
      </c>
    </row>
    <row r="2613" hidden="1">
      <c r="A2613" s="49" t="n">
        <v>46177</v>
      </c>
      <c r="B2613" s="1" t="n">
        <v>2026</v>
      </c>
      <c r="C2613" s="8" t="inlineStr">
        <is>
          <t>Ayana</t>
        </is>
      </c>
      <c r="D2613" s="11" t="inlineStr">
        <is>
          <t>Utility and C&amp;I</t>
        </is>
      </c>
      <c r="E2613" s="1" t="n"/>
      <c r="F2613" s="1" t="inlineStr">
        <is>
          <t>Closed</t>
        </is>
      </c>
      <c r="G2613" s="11" t="inlineStr">
        <is>
          <t>Vasu.N</t>
        </is>
      </c>
      <c r="H2613" s="8" t="n">
        <v>9578099893</v>
      </c>
      <c r="I2613" s="10" t="inlineStr">
        <is>
          <t>PE04062601</t>
        </is>
      </c>
      <c r="J2613" s="28" t="inlineStr">
        <is>
          <t>Module burnt</t>
        </is>
      </c>
      <c r="K2613" s="8" t="inlineStr">
        <is>
          <t>Zura</t>
        </is>
      </c>
      <c r="L2613" s="8" t="inlineStr">
        <is>
          <t>Gujarat</t>
        </is>
      </c>
      <c r="M2613" s="2" t="inlineStr">
        <is>
          <t xml:space="preserve">damage </t>
        </is>
      </c>
      <c r="N2613" s="6" t="inlineStr">
        <is>
          <t>Module Breakage</t>
        </is>
      </c>
      <c r="O2613" s="51" t="n">
        <v>590</v>
      </c>
      <c r="P2613" s="2" t="inlineStr">
        <is>
          <t>NSMI24100593291</t>
        </is>
      </c>
      <c r="Q2613" s="29">
        <f>MID(P2613,5,2)</f>
        <v/>
      </c>
      <c r="R2613" s="14">
        <f>MID(P2613,7,2)</f>
        <v/>
      </c>
      <c r="S2613" s="6" t="inlineStr">
        <is>
          <t>G2G</t>
        </is>
      </c>
      <c r="T2613" s="1" t="inlineStr">
        <is>
          <t>P4 - PEIPL</t>
        </is>
      </c>
      <c r="U2613" s="2" t="inlineStr">
        <is>
          <t xml:space="preserve">physically damaged </t>
        </is>
      </c>
      <c r="V2613" s="1" t="inlineStr">
        <is>
          <t>Inspection</t>
        </is>
      </c>
      <c r="W2613" s="1" t="inlineStr">
        <is>
          <t>Rejected</t>
        </is>
      </c>
      <c r="X2613" s="5">
        <f>Z2613</f>
        <v/>
      </c>
      <c r="Y2613" s="1">
        <f>X2613-A2613</f>
        <v/>
      </c>
      <c r="Z2613" s="5" t="n">
        <v>46200</v>
      </c>
      <c r="AA2613" s="3" t="n"/>
      <c r="AB2613" s="3" t="n"/>
      <c r="AE2613" s="146">
        <f>IF(AND(F2613="Closed",X2613&gt;=DATE(2026,6,1),X2613&lt;=DATE(2026,6,30)),"Closed in June","other")</f>
        <v/>
      </c>
    </row>
    <row r="2614" hidden="1">
      <c r="A2614" s="49" t="n">
        <v>46177</v>
      </c>
      <c r="B2614" s="1" t="n">
        <v>2026</v>
      </c>
      <c r="C2614" s="8" t="inlineStr">
        <is>
          <t>Ayana</t>
        </is>
      </c>
      <c r="D2614" s="11" t="inlineStr">
        <is>
          <t>Utility and C&amp;I</t>
        </is>
      </c>
      <c r="E2614" s="1" t="n"/>
      <c r="F2614" s="1" t="inlineStr">
        <is>
          <t>Closed</t>
        </is>
      </c>
      <c r="G2614" s="11" t="inlineStr">
        <is>
          <t>Vasu.N</t>
        </is>
      </c>
      <c r="H2614" s="8" t="n">
        <v>9578099893</v>
      </c>
      <c r="I2614" s="10" t="inlineStr">
        <is>
          <t>PE04062601</t>
        </is>
      </c>
      <c r="J2614" s="28" t="inlineStr">
        <is>
          <t>Module burnt</t>
        </is>
      </c>
      <c r="K2614" s="8" t="inlineStr">
        <is>
          <t>Zura</t>
        </is>
      </c>
      <c r="L2614" s="8" t="inlineStr">
        <is>
          <t>Gujarat</t>
        </is>
      </c>
      <c r="M2614" s="2" t="inlineStr">
        <is>
          <t xml:space="preserve">damage </t>
        </is>
      </c>
      <c r="N2614" s="6" t="inlineStr">
        <is>
          <t>Module Breakage</t>
        </is>
      </c>
      <c r="O2614" s="51" t="n">
        <v>590</v>
      </c>
      <c r="P2614" s="2" t="inlineStr">
        <is>
          <t>NSMI24100668198</t>
        </is>
      </c>
      <c r="Q2614" s="29">
        <f>MID(P2614,5,2)</f>
        <v/>
      </c>
      <c r="R2614" s="14">
        <f>MID(P2614,7,2)</f>
        <v/>
      </c>
      <c r="S2614" s="6" t="inlineStr">
        <is>
          <t>G2G</t>
        </is>
      </c>
      <c r="T2614" s="1" t="inlineStr">
        <is>
          <t>P4 - PEIPL</t>
        </is>
      </c>
      <c r="U2614" s="2" t="inlineStr">
        <is>
          <t xml:space="preserve">physically damaged </t>
        </is>
      </c>
      <c r="V2614" s="1" t="inlineStr">
        <is>
          <t>Inspection</t>
        </is>
      </c>
      <c r="W2614" s="1" t="inlineStr">
        <is>
          <t>Rejected</t>
        </is>
      </c>
      <c r="X2614" s="5">
        <f>Z2614</f>
        <v/>
      </c>
      <c r="Y2614" s="1">
        <f>X2614-A2614</f>
        <v/>
      </c>
      <c r="Z2614" s="5" t="n">
        <v>46200</v>
      </c>
      <c r="AA2614" s="3" t="n"/>
      <c r="AB2614" s="3" t="n"/>
      <c r="AE2614" s="146">
        <f>IF(AND(F2614="Closed",X2614&gt;=DATE(2026,6,1),X2614&lt;=DATE(2026,6,30)),"Closed in June","other")</f>
        <v/>
      </c>
    </row>
    <row r="2615" hidden="1">
      <c r="A2615" s="49" t="n">
        <v>46177</v>
      </c>
      <c r="B2615" s="1" t="n">
        <v>2026</v>
      </c>
      <c r="C2615" s="8" t="inlineStr">
        <is>
          <t>Ayana</t>
        </is>
      </c>
      <c r="D2615" s="11" t="inlineStr">
        <is>
          <t>Utility and C&amp;I</t>
        </is>
      </c>
      <c r="E2615" s="1" t="n"/>
      <c r="F2615" s="1" t="inlineStr">
        <is>
          <t>Closed</t>
        </is>
      </c>
      <c r="G2615" s="11" t="inlineStr">
        <is>
          <t>Vasu.N</t>
        </is>
      </c>
      <c r="H2615" s="8" t="n">
        <v>9578099893</v>
      </c>
      <c r="I2615" s="10" t="inlineStr">
        <is>
          <t>PE04062601</t>
        </is>
      </c>
      <c r="J2615" s="28" t="inlineStr">
        <is>
          <t>Module burnt</t>
        </is>
      </c>
      <c r="K2615" s="8" t="inlineStr">
        <is>
          <t>Zura</t>
        </is>
      </c>
      <c r="L2615" s="8" t="inlineStr">
        <is>
          <t>Gujarat</t>
        </is>
      </c>
      <c r="M2615" s="2" t="inlineStr">
        <is>
          <t xml:space="preserve">damage </t>
        </is>
      </c>
      <c r="N2615" s="6" t="inlineStr">
        <is>
          <t>Module Breakage</t>
        </is>
      </c>
      <c r="O2615" s="51" t="n">
        <v>590</v>
      </c>
      <c r="P2615" s="2" t="inlineStr">
        <is>
          <t>NSMI24100668123</t>
        </is>
      </c>
      <c r="Q2615" s="29">
        <f>MID(P2615,5,2)</f>
        <v/>
      </c>
      <c r="R2615" s="14">
        <f>MID(P2615,7,2)</f>
        <v/>
      </c>
      <c r="S2615" s="6" t="inlineStr">
        <is>
          <t>G2G</t>
        </is>
      </c>
      <c r="T2615" s="1" t="inlineStr">
        <is>
          <t>P4 - PEIPL</t>
        </is>
      </c>
      <c r="U2615" s="2" t="inlineStr">
        <is>
          <t xml:space="preserve">physically damaged </t>
        </is>
      </c>
      <c r="V2615" s="1" t="inlineStr">
        <is>
          <t>Inspection</t>
        </is>
      </c>
      <c r="W2615" s="1" t="inlineStr">
        <is>
          <t>Rejected</t>
        </is>
      </c>
      <c r="X2615" s="5">
        <f>Z2615</f>
        <v/>
      </c>
      <c r="Y2615" s="1">
        <f>X2615-A2615</f>
        <v/>
      </c>
      <c r="Z2615" s="5" t="n">
        <v>46200</v>
      </c>
      <c r="AA2615" s="3" t="n"/>
      <c r="AB2615" s="3" t="n"/>
      <c r="AE2615" s="146">
        <f>IF(AND(F2615="Closed",X2615&gt;=DATE(2026,6,1),X2615&lt;=DATE(2026,6,30)),"Closed in June","other")</f>
        <v/>
      </c>
    </row>
    <row r="2616" hidden="1">
      <c r="A2616" s="49" t="n">
        <v>46177</v>
      </c>
      <c r="B2616" s="1" t="n">
        <v>2026</v>
      </c>
      <c r="C2616" s="8" t="inlineStr">
        <is>
          <t>Ayana</t>
        </is>
      </c>
      <c r="D2616" s="11" t="inlineStr">
        <is>
          <t>Utility and C&amp;I</t>
        </is>
      </c>
      <c r="E2616" s="1" t="n"/>
      <c r="F2616" s="1" t="inlineStr">
        <is>
          <t>Closed</t>
        </is>
      </c>
      <c r="G2616" s="11" t="inlineStr">
        <is>
          <t>Vasu.N</t>
        </is>
      </c>
      <c r="H2616" s="8" t="n">
        <v>9578099893</v>
      </c>
      <c r="I2616" s="10" t="inlineStr">
        <is>
          <t>PE04062601</t>
        </is>
      </c>
      <c r="J2616" s="28" t="inlineStr">
        <is>
          <t>Module burnt</t>
        </is>
      </c>
      <c r="K2616" s="8" t="inlineStr">
        <is>
          <t>Zura</t>
        </is>
      </c>
      <c r="L2616" s="8" t="inlineStr">
        <is>
          <t>Gujarat</t>
        </is>
      </c>
      <c r="M2616" s="2" t="inlineStr">
        <is>
          <t xml:space="preserve">damage </t>
        </is>
      </c>
      <c r="N2616" s="6" t="inlineStr">
        <is>
          <t>Module Breakage</t>
        </is>
      </c>
      <c r="O2616" s="51" t="n">
        <v>590</v>
      </c>
      <c r="P2616" s="2" t="inlineStr">
        <is>
          <t>NSMI24110797217</t>
        </is>
      </c>
      <c r="Q2616" s="29">
        <f>MID(P2616,5,2)</f>
        <v/>
      </c>
      <c r="R2616" s="14">
        <f>MID(P2616,7,2)</f>
        <v/>
      </c>
      <c r="S2616" s="6" t="inlineStr">
        <is>
          <t>G2G</t>
        </is>
      </c>
      <c r="T2616" s="1" t="inlineStr">
        <is>
          <t>P4 - PEIPL</t>
        </is>
      </c>
      <c r="U2616" s="2" t="inlineStr">
        <is>
          <t xml:space="preserve">physically damaged </t>
        </is>
      </c>
      <c r="V2616" s="1" t="inlineStr">
        <is>
          <t>Inspection</t>
        </is>
      </c>
      <c r="W2616" s="1" t="inlineStr">
        <is>
          <t>Rejected</t>
        </is>
      </c>
      <c r="X2616" s="5">
        <f>Z2616</f>
        <v/>
      </c>
      <c r="Y2616" s="1">
        <f>X2616-A2616</f>
        <v/>
      </c>
      <c r="Z2616" s="5" t="n">
        <v>46200</v>
      </c>
      <c r="AA2616" s="3" t="n"/>
      <c r="AB2616" s="3" t="n"/>
      <c r="AE2616" s="146">
        <f>IF(AND(F2616="Closed",X2616&gt;=DATE(2026,6,1),X2616&lt;=DATE(2026,6,30)),"Closed in June","other")</f>
        <v/>
      </c>
    </row>
    <row r="2617" hidden="1">
      <c r="A2617" s="49" t="n">
        <v>46177</v>
      </c>
      <c r="B2617" s="1" t="n">
        <v>2026</v>
      </c>
      <c r="C2617" s="8" t="inlineStr">
        <is>
          <t>Ayana</t>
        </is>
      </c>
      <c r="D2617" s="11" t="inlineStr">
        <is>
          <t>Utility and C&amp;I</t>
        </is>
      </c>
      <c r="E2617" s="1" t="n"/>
      <c r="F2617" s="1" t="inlineStr">
        <is>
          <t>Closed</t>
        </is>
      </c>
      <c r="G2617" s="11" t="inlineStr">
        <is>
          <t>Vasu.N</t>
        </is>
      </c>
      <c r="H2617" s="8" t="n">
        <v>9578099893</v>
      </c>
      <c r="I2617" s="10" t="inlineStr">
        <is>
          <t>PE04062601</t>
        </is>
      </c>
      <c r="J2617" s="28" t="inlineStr">
        <is>
          <t>Module burnt</t>
        </is>
      </c>
      <c r="K2617" s="8" t="inlineStr">
        <is>
          <t>Zura</t>
        </is>
      </c>
      <c r="L2617" s="8" t="inlineStr">
        <is>
          <t>Gujarat</t>
        </is>
      </c>
      <c r="M2617" s="2" t="inlineStr">
        <is>
          <t xml:space="preserve">damage </t>
        </is>
      </c>
      <c r="N2617" s="6" t="inlineStr">
        <is>
          <t>Module Breakage</t>
        </is>
      </c>
      <c r="O2617" s="51" t="n">
        <v>590</v>
      </c>
      <c r="P2617" s="2" t="inlineStr">
        <is>
          <t>NSMI24110795108</t>
        </is>
      </c>
      <c r="Q2617" s="29">
        <f>MID(P2617,5,2)</f>
        <v/>
      </c>
      <c r="R2617" s="14">
        <f>MID(P2617,7,2)</f>
        <v/>
      </c>
      <c r="S2617" s="6" t="inlineStr">
        <is>
          <t>G2G</t>
        </is>
      </c>
      <c r="T2617" s="1" t="inlineStr">
        <is>
          <t>P4 - PEIPL</t>
        </is>
      </c>
      <c r="U2617" s="2" t="inlineStr">
        <is>
          <t xml:space="preserve">physically damaged </t>
        </is>
      </c>
      <c r="V2617" s="1" t="inlineStr">
        <is>
          <t>Inspection</t>
        </is>
      </c>
      <c r="W2617" s="1" t="inlineStr">
        <is>
          <t>Rejected</t>
        </is>
      </c>
      <c r="X2617" s="5">
        <f>Z2617</f>
        <v/>
      </c>
      <c r="Y2617" s="1">
        <f>X2617-A2617</f>
        <v/>
      </c>
      <c r="Z2617" s="5" t="n">
        <v>46200</v>
      </c>
      <c r="AA2617" s="3" t="n"/>
      <c r="AB2617" s="3" t="n"/>
      <c r="AE2617" s="146">
        <f>IF(AND(F2617="Closed",X2617&gt;=DATE(2026,6,1),X2617&lt;=DATE(2026,6,30)),"Closed in June","other")</f>
        <v/>
      </c>
    </row>
    <row r="2618" hidden="1">
      <c r="A2618" s="49" t="n">
        <v>46177</v>
      </c>
      <c r="B2618" s="1" t="n">
        <v>2026</v>
      </c>
      <c r="C2618" s="8" t="inlineStr">
        <is>
          <t>Ayana</t>
        </is>
      </c>
      <c r="D2618" s="11" t="inlineStr">
        <is>
          <t>Utility and C&amp;I</t>
        </is>
      </c>
      <c r="E2618" s="1" t="n"/>
      <c r="F2618" s="1" t="inlineStr">
        <is>
          <t>Closed</t>
        </is>
      </c>
      <c r="G2618" s="11" t="inlineStr">
        <is>
          <t>Vasu.N</t>
        </is>
      </c>
      <c r="H2618" s="8" t="n">
        <v>9578099893</v>
      </c>
      <c r="I2618" s="10" t="inlineStr">
        <is>
          <t>PE04062601</t>
        </is>
      </c>
      <c r="J2618" s="28" t="inlineStr">
        <is>
          <t>Module burnt</t>
        </is>
      </c>
      <c r="K2618" s="8" t="inlineStr">
        <is>
          <t>Zura</t>
        </is>
      </c>
      <c r="L2618" s="8" t="inlineStr">
        <is>
          <t>Gujarat</t>
        </is>
      </c>
      <c r="M2618" s="2" t="inlineStr">
        <is>
          <t xml:space="preserve">damage </t>
        </is>
      </c>
      <c r="N2618" s="6" t="inlineStr">
        <is>
          <t>Module Breakage</t>
        </is>
      </c>
      <c r="O2618" s="51" t="n">
        <v>590</v>
      </c>
      <c r="P2618" s="2" t="inlineStr">
        <is>
          <t>NSMI24110797276</t>
        </is>
      </c>
      <c r="Q2618" s="29">
        <f>MID(P2618,5,2)</f>
        <v/>
      </c>
      <c r="R2618" s="14">
        <f>MID(P2618,7,2)</f>
        <v/>
      </c>
      <c r="S2618" s="6" t="inlineStr">
        <is>
          <t>G2G</t>
        </is>
      </c>
      <c r="T2618" s="1" t="inlineStr">
        <is>
          <t>P4 - PEIPL</t>
        </is>
      </c>
      <c r="U2618" s="2" t="inlineStr">
        <is>
          <t xml:space="preserve">physically damaged </t>
        </is>
      </c>
      <c r="V2618" s="1" t="inlineStr">
        <is>
          <t>Inspection</t>
        </is>
      </c>
      <c r="W2618" s="1" t="inlineStr">
        <is>
          <t>Rejected</t>
        </is>
      </c>
      <c r="X2618" s="5">
        <f>Z2618</f>
        <v/>
      </c>
      <c r="Y2618" s="1">
        <f>X2618-A2618</f>
        <v/>
      </c>
      <c r="Z2618" s="5" t="n">
        <v>46200</v>
      </c>
      <c r="AA2618" s="3" t="n"/>
      <c r="AB2618" s="3" t="n"/>
      <c r="AE2618" s="146">
        <f>IF(AND(F2618="Closed",X2618&gt;=DATE(2026,6,1),X2618&lt;=DATE(2026,6,30)),"Closed in June","other")</f>
        <v/>
      </c>
    </row>
    <row r="2619" hidden="1">
      <c r="A2619" s="49" t="n">
        <v>46177</v>
      </c>
      <c r="B2619" s="1" t="n">
        <v>2026</v>
      </c>
      <c r="C2619" s="8" t="inlineStr">
        <is>
          <t>Ayana</t>
        </is>
      </c>
      <c r="D2619" s="11" t="inlineStr">
        <is>
          <t>Utility and C&amp;I</t>
        </is>
      </c>
      <c r="E2619" s="1" t="n"/>
      <c r="F2619" s="1" t="inlineStr">
        <is>
          <t>Closed</t>
        </is>
      </c>
      <c r="G2619" s="11" t="inlineStr">
        <is>
          <t>Vasu.N</t>
        </is>
      </c>
      <c r="H2619" s="8" t="n">
        <v>9578099893</v>
      </c>
      <c r="I2619" s="10" t="inlineStr">
        <is>
          <t>PE04062601</t>
        </is>
      </c>
      <c r="J2619" s="28" t="inlineStr">
        <is>
          <t>Module burnt</t>
        </is>
      </c>
      <c r="K2619" s="8" t="inlineStr">
        <is>
          <t>Zura</t>
        </is>
      </c>
      <c r="L2619" s="8" t="inlineStr">
        <is>
          <t>Gujarat</t>
        </is>
      </c>
      <c r="M2619" s="2" t="inlineStr">
        <is>
          <t xml:space="preserve">damage </t>
        </is>
      </c>
      <c r="N2619" s="6" t="inlineStr">
        <is>
          <t>Module Breakage</t>
        </is>
      </c>
      <c r="O2619" s="51" t="n">
        <v>590</v>
      </c>
      <c r="P2619" s="2" t="inlineStr">
        <is>
          <t>NSMI24100668693</t>
        </is>
      </c>
      <c r="Q2619" s="29">
        <f>MID(P2619,5,2)</f>
        <v/>
      </c>
      <c r="R2619" s="14">
        <f>MID(P2619,7,2)</f>
        <v/>
      </c>
      <c r="S2619" s="6" t="inlineStr">
        <is>
          <t>G2G</t>
        </is>
      </c>
      <c r="T2619" s="1" t="inlineStr">
        <is>
          <t>P4 - PEIPL</t>
        </is>
      </c>
      <c r="U2619" s="2" t="inlineStr">
        <is>
          <t xml:space="preserve">physically damaged </t>
        </is>
      </c>
      <c r="V2619" s="1" t="inlineStr">
        <is>
          <t>Inspection</t>
        </is>
      </c>
      <c r="W2619" s="1" t="inlineStr">
        <is>
          <t>Rejected</t>
        </is>
      </c>
      <c r="X2619" s="5">
        <f>Z2619</f>
        <v/>
      </c>
      <c r="Y2619" s="1">
        <f>X2619-A2619</f>
        <v/>
      </c>
      <c r="Z2619" s="5" t="n">
        <v>46200</v>
      </c>
      <c r="AA2619" s="3" t="n"/>
      <c r="AB2619" s="3" t="n"/>
      <c r="AE2619" s="146">
        <f>IF(AND(F2619="Closed",X2619&gt;=DATE(2026,6,1),X2619&lt;=DATE(2026,6,30)),"Closed in June","other")</f>
        <v/>
      </c>
    </row>
    <row r="2620" hidden="1">
      <c r="A2620" s="49" t="n">
        <v>46177</v>
      </c>
      <c r="B2620" s="1" t="n">
        <v>2026</v>
      </c>
      <c r="C2620" s="8" t="inlineStr">
        <is>
          <t>Ayana</t>
        </is>
      </c>
      <c r="D2620" s="11" t="inlineStr">
        <is>
          <t>Utility and C&amp;I</t>
        </is>
      </c>
      <c r="E2620" s="1" t="n"/>
      <c r="F2620" s="1" t="inlineStr">
        <is>
          <t>Closed</t>
        </is>
      </c>
      <c r="G2620" s="11" t="inlineStr">
        <is>
          <t>Vasu.N</t>
        </is>
      </c>
      <c r="H2620" s="8" t="n">
        <v>9578099893</v>
      </c>
      <c r="I2620" s="10" t="inlineStr">
        <is>
          <t>PE04062601</t>
        </is>
      </c>
      <c r="J2620" s="28" t="inlineStr">
        <is>
          <t>Module burnt</t>
        </is>
      </c>
      <c r="K2620" s="8" t="inlineStr">
        <is>
          <t>Zura</t>
        </is>
      </c>
      <c r="L2620" s="8" t="inlineStr">
        <is>
          <t>Gujarat</t>
        </is>
      </c>
      <c r="M2620" s="2" t="inlineStr">
        <is>
          <t xml:space="preserve">damage </t>
        </is>
      </c>
      <c r="N2620" s="6" t="inlineStr">
        <is>
          <t>Module Breakage</t>
        </is>
      </c>
      <c r="O2620" s="51" t="n">
        <v>590</v>
      </c>
      <c r="P2620" s="2" t="inlineStr">
        <is>
          <t>NSMI24100668124</t>
        </is>
      </c>
      <c r="Q2620" s="29">
        <f>MID(P2620,5,2)</f>
        <v/>
      </c>
      <c r="R2620" s="14">
        <f>MID(P2620,7,2)</f>
        <v/>
      </c>
      <c r="S2620" s="6" t="inlineStr">
        <is>
          <t>G2G</t>
        </is>
      </c>
      <c r="T2620" s="1" t="inlineStr">
        <is>
          <t>P4 - PEIPL</t>
        </is>
      </c>
      <c r="U2620" s="2" t="inlineStr">
        <is>
          <t xml:space="preserve">physically damaged </t>
        </is>
      </c>
      <c r="V2620" s="1" t="inlineStr">
        <is>
          <t>Inspection</t>
        </is>
      </c>
      <c r="W2620" s="1" t="inlineStr">
        <is>
          <t>Rejected</t>
        </is>
      </c>
      <c r="X2620" s="5">
        <f>Z2620</f>
        <v/>
      </c>
      <c r="Y2620" s="1">
        <f>X2620-A2620</f>
        <v/>
      </c>
      <c r="Z2620" s="5" t="n">
        <v>46200</v>
      </c>
      <c r="AA2620" s="3" t="n"/>
      <c r="AB2620" s="3" t="n"/>
      <c r="AE2620" s="146">
        <f>IF(AND(F2620="Closed",X2620&gt;=DATE(2026,6,1),X2620&lt;=DATE(2026,6,30)),"Closed in June","other")</f>
        <v/>
      </c>
    </row>
    <row r="2621" hidden="1">
      <c r="A2621" s="49" t="n">
        <v>46177</v>
      </c>
      <c r="B2621" s="1" t="n">
        <v>2026</v>
      </c>
      <c r="C2621" s="8" t="inlineStr">
        <is>
          <t>Ayana</t>
        </is>
      </c>
      <c r="D2621" s="11" t="inlineStr">
        <is>
          <t>Utility and C&amp;I</t>
        </is>
      </c>
      <c r="E2621" s="1" t="n"/>
      <c r="F2621" s="1" t="inlineStr">
        <is>
          <t>Closed</t>
        </is>
      </c>
      <c r="G2621" s="11" t="inlineStr">
        <is>
          <t>Vasu.N</t>
        </is>
      </c>
      <c r="H2621" s="8" t="n">
        <v>9578099893</v>
      </c>
      <c r="I2621" s="10" t="inlineStr">
        <is>
          <t>PE04062601</t>
        </is>
      </c>
      <c r="J2621" s="28" t="inlineStr">
        <is>
          <t>Module burnt</t>
        </is>
      </c>
      <c r="K2621" s="8" t="inlineStr">
        <is>
          <t>Zura</t>
        </is>
      </c>
      <c r="L2621" s="8" t="inlineStr">
        <is>
          <t>Gujarat</t>
        </is>
      </c>
      <c r="M2621" s="2" t="inlineStr">
        <is>
          <t xml:space="preserve">damage </t>
        </is>
      </c>
      <c r="N2621" s="6" t="inlineStr">
        <is>
          <t>Module Breakage</t>
        </is>
      </c>
      <c r="O2621" s="51" t="n">
        <v>590</v>
      </c>
      <c r="P2621" s="2" t="inlineStr">
        <is>
          <t>NSMI24100668612</t>
        </is>
      </c>
      <c r="Q2621" s="29">
        <f>MID(P2621,5,2)</f>
        <v/>
      </c>
      <c r="R2621" s="14">
        <f>MID(P2621,7,2)</f>
        <v/>
      </c>
      <c r="S2621" s="6" t="inlineStr">
        <is>
          <t>G2G</t>
        </is>
      </c>
      <c r="T2621" s="1" t="inlineStr">
        <is>
          <t>P4 - PEIPL</t>
        </is>
      </c>
      <c r="U2621" s="2" t="inlineStr">
        <is>
          <t xml:space="preserve">physically damaged </t>
        </is>
      </c>
      <c r="V2621" s="1" t="inlineStr">
        <is>
          <t>Inspection</t>
        </is>
      </c>
      <c r="W2621" s="1" t="inlineStr">
        <is>
          <t>Rejected</t>
        </is>
      </c>
      <c r="X2621" s="5">
        <f>Z2621</f>
        <v/>
      </c>
      <c r="Y2621" s="1">
        <f>X2621-A2621</f>
        <v/>
      </c>
      <c r="Z2621" s="5" t="n">
        <v>46200</v>
      </c>
      <c r="AA2621" s="3" t="n"/>
      <c r="AB2621" s="3" t="n"/>
      <c r="AE2621" s="146">
        <f>IF(AND(F2621="Closed",X2621&gt;=DATE(2026,6,1),X2621&lt;=DATE(2026,6,30)),"Closed in June","other")</f>
        <v/>
      </c>
    </row>
    <row r="2622" hidden="1">
      <c r="A2622" s="49" t="n">
        <v>46177</v>
      </c>
      <c r="B2622" s="1" t="n">
        <v>2026</v>
      </c>
      <c r="C2622" s="8" t="inlineStr">
        <is>
          <t>Ayana</t>
        </is>
      </c>
      <c r="D2622" s="11" t="inlineStr">
        <is>
          <t>Utility and C&amp;I</t>
        </is>
      </c>
      <c r="E2622" s="1" t="n"/>
      <c r="F2622" s="1" t="inlineStr">
        <is>
          <t>Closed</t>
        </is>
      </c>
      <c r="G2622" s="11" t="inlineStr">
        <is>
          <t>Vasu.N</t>
        </is>
      </c>
      <c r="H2622" s="8" t="n">
        <v>9578099893</v>
      </c>
      <c r="I2622" s="10" t="inlineStr">
        <is>
          <t>PE04062601</t>
        </is>
      </c>
      <c r="J2622" s="28" t="inlineStr">
        <is>
          <t>Module burnt</t>
        </is>
      </c>
      <c r="K2622" s="8" t="inlineStr">
        <is>
          <t>Zura</t>
        </is>
      </c>
      <c r="L2622" s="8" t="inlineStr">
        <is>
          <t>Gujarat</t>
        </is>
      </c>
      <c r="M2622" s="2" t="inlineStr">
        <is>
          <t xml:space="preserve">damage </t>
        </is>
      </c>
      <c r="N2622" s="6" t="inlineStr">
        <is>
          <t>Module Breakage</t>
        </is>
      </c>
      <c r="O2622" s="51" t="n">
        <v>590</v>
      </c>
      <c r="P2622" s="2" t="inlineStr">
        <is>
          <t>NSMI24110792391</t>
        </is>
      </c>
      <c r="Q2622" s="29">
        <f>MID(P2622,5,2)</f>
        <v/>
      </c>
      <c r="R2622" s="14">
        <f>MID(P2622,7,2)</f>
        <v/>
      </c>
      <c r="S2622" s="6" t="inlineStr">
        <is>
          <t>G2G</t>
        </is>
      </c>
      <c r="T2622" s="1" t="inlineStr">
        <is>
          <t>P4 - PEIPL</t>
        </is>
      </c>
      <c r="U2622" s="2" t="inlineStr">
        <is>
          <t xml:space="preserve">physically damaged </t>
        </is>
      </c>
      <c r="V2622" s="1" t="inlineStr">
        <is>
          <t>Inspection</t>
        </is>
      </c>
      <c r="W2622" s="1" t="inlineStr">
        <is>
          <t>Rejected</t>
        </is>
      </c>
      <c r="X2622" s="5">
        <f>Z2622</f>
        <v/>
      </c>
      <c r="Y2622" s="1">
        <f>X2622-A2622</f>
        <v/>
      </c>
      <c r="Z2622" s="5" t="n">
        <v>46200</v>
      </c>
      <c r="AA2622" s="3" t="n"/>
      <c r="AB2622" s="3" t="n"/>
      <c r="AE2622" s="146">
        <f>IF(AND(F2622="Closed",X2622&gt;=DATE(2026,6,1),X2622&lt;=DATE(2026,6,30)),"Closed in June","other")</f>
        <v/>
      </c>
    </row>
    <row r="2623" hidden="1">
      <c r="A2623" s="49" t="n">
        <v>46177</v>
      </c>
      <c r="B2623" s="1" t="n">
        <v>2026</v>
      </c>
      <c r="C2623" s="8" t="inlineStr">
        <is>
          <t>Ayana</t>
        </is>
      </c>
      <c r="D2623" s="11" t="inlineStr">
        <is>
          <t>Utility and C&amp;I</t>
        </is>
      </c>
      <c r="E2623" s="1" t="n"/>
      <c r="F2623" s="1" t="inlineStr">
        <is>
          <t>Closed</t>
        </is>
      </c>
      <c r="G2623" s="11" t="inlineStr">
        <is>
          <t>Vasu.N</t>
        </is>
      </c>
      <c r="H2623" s="8" t="n">
        <v>9578099893</v>
      </c>
      <c r="I2623" s="10" t="inlineStr">
        <is>
          <t>PE04062601</t>
        </is>
      </c>
      <c r="J2623" s="28" t="inlineStr">
        <is>
          <t>Module burnt</t>
        </is>
      </c>
      <c r="K2623" s="8" t="inlineStr">
        <is>
          <t>Zura</t>
        </is>
      </c>
      <c r="L2623" s="8" t="inlineStr">
        <is>
          <t>Gujarat</t>
        </is>
      </c>
      <c r="M2623" s="2" t="inlineStr">
        <is>
          <t xml:space="preserve">damage </t>
        </is>
      </c>
      <c r="N2623" s="6" t="inlineStr">
        <is>
          <t>Module Breakage</t>
        </is>
      </c>
      <c r="O2623" s="51" t="n">
        <v>590</v>
      </c>
      <c r="P2623" s="2" t="inlineStr">
        <is>
          <t>NSMI24100643578</t>
        </is>
      </c>
      <c r="Q2623" s="29">
        <f>MID(P2623,5,2)</f>
        <v/>
      </c>
      <c r="R2623" s="14">
        <f>MID(P2623,7,2)</f>
        <v/>
      </c>
      <c r="S2623" s="6" t="inlineStr">
        <is>
          <t>G2G</t>
        </is>
      </c>
      <c r="T2623" s="1" t="inlineStr">
        <is>
          <t>P4 - PEIPL</t>
        </is>
      </c>
      <c r="U2623" s="2" t="inlineStr">
        <is>
          <t xml:space="preserve">physically damaged </t>
        </is>
      </c>
      <c r="V2623" s="1" t="inlineStr">
        <is>
          <t>Inspection</t>
        </is>
      </c>
      <c r="W2623" s="1" t="inlineStr">
        <is>
          <t>Rejected</t>
        </is>
      </c>
      <c r="X2623" s="5">
        <f>Z2623</f>
        <v/>
      </c>
      <c r="Y2623" s="1">
        <f>X2623-A2623</f>
        <v/>
      </c>
      <c r="Z2623" s="5" t="n">
        <v>46200</v>
      </c>
      <c r="AA2623" s="3" t="n"/>
      <c r="AB2623" s="3" t="n"/>
      <c r="AE2623" s="146">
        <f>IF(AND(F2623="Closed",X2623&gt;=DATE(2026,6,1),X2623&lt;=DATE(2026,6,30)),"Closed in June","other")</f>
        <v/>
      </c>
    </row>
    <row r="2624" hidden="1">
      <c r="A2624" s="49" t="n">
        <v>46177</v>
      </c>
      <c r="B2624" s="1" t="n">
        <v>2026</v>
      </c>
      <c r="C2624" s="8" t="inlineStr">
        <is>
          <t>Ayana</t>
        </is>
      </c>
      <c r="D2624" s="11" t="inlineStr">
        <is>
          <t>Utility and C&amp;I</t>
        </is>
      </c>
      <c r="E2624" s="1" t="n"/>
      <c r="F2624" s="1" t="inlineStr">
        <is>
          <t>Closed</t>
        </is>
      </c>
      <c r="G2624" s="11" t="inlineStr">
        <is>
          <t>Vasu.N</t>
        </is>
      </c>
      <c r="H2624" s="8" t="n">
        <v>9578099893</v>
      </c>
      <c r="I2624" s="10" t="inlineStr">
        <is>
          <t>PE04062601</t>
        </is>
      </c>
      <c r="J2624" s="28" t="inlineStr">
        <is>
          <t>Module burnt</t>
        </is>
      </c>
      <c r="K2624" s="8" t="inlineStr">
        <is>
          <t>Zura</t>
        </is>
      </c>
      <c r="L2624" s="8" t="inlineStr">
        <is>
          <t>Gujarat</t>
        </is>
      </c>
      <c r="M2624" s="2" t="inlineStr">
        <is>
          <t xml:space="preserve">damage </t>
        </is>
      </c>
      <c r="N2624" s="6" t="inlineStr">
        <is>
          <t>Module Breakage</t>
        </is>
      </c>
      <c r="O2624" s="51" t="n">
        <v>590</v>
      </c>
      <c r="P2624" s="2" t="inlineStr">
        <is>
          <t>NSMI24110792390</t>
        </is>
      </c>
      <c r="Q2624" s="29">
        <f>MID(P2624,5,2)</f>
        <v/>
      </c>
      <c r="R2624" s="14">
        <f>MID(P2624,7,2)</f>
        <v/>
      </c>
      <c r="S2624" s="6" t="inlineStr">
        <is>
          <t>G2G</t>
        </is>
      </c>
      <c r="T2624" s="1" t="inlineStr">
        <is>
          <t>P4 - PEIPL</t>
        </is>
      </c>
      <c r="U2624" s="2" t="inlineStr">
        <is>
          <t xml:space="preserve">physically damaged </t>
        </is>
      </c>
      <c r="V2624" s="1" t="inlineStr">
        <is>
          <t>Inspection</t>
        </is>
      </c>
      <c r="W2624" s="1" t="inlineStr">
        <is>
          <t>Rejected</t>
        </is>
      </c>
      <c r="X2624" s="5">
        <f>Z2624</f>
        <v/>
      </c>
      <c r="Y2624" s="1">
        <f>X2624-A2624</f>
        <v/>
      </c>
      <c r="Z2624" s="5" t="n">
        <v>46200</v>
      </c>
      <c r="AA2624" s="3" t="n"/>
      <c r="AB2624" s="3" t="n"/>
      <c r="AE2624" s="146">
        <f>IF(AND(F2624="Closed",X2624&gt;=DATE(2026,6,1),X2624&lt;=DATE(2026,6,30)),"Closed in June","other")</f>
        <v/>
      </c>
    </row>
    <row r="2625" hidden="1">
      <c r="A2625" s="49" t="n">
        <v>46177</v>
      </c>
      <c r="B2625" s="1" t="n">
        <v>2026</v>
      </c>
      <c r="C2625" s="8" t="inlineStr">
        <is>
          <t>Ayana</t>
        </is>
      </c>
      <c r="D2625" s="11" t="inlineStr">
        <is>
          <t>Utility and C&amp;I</t>
        </is>
      </c>
      <c r="E2625" s="1" t="n"/>
      <c r="F2625" s="1" t="inlineStr">
        <is>
          <t>Closed</t>
        </is>
      </c>
      <c r="G2625" s="11" t="inlineStr">
        <is>
          <t>Vasu.N</t>
        </is>
      </c>
      <c r="H2625" s="8" t="n">
        <v>9578099893</v>
      </c>
      <c r="I2625" s="10" t="inlineStr">
        <is>
          <t>PE04062601</t>
        </is>
      </c>
      <c r="J2625" s="28" t="inlineStr">
        <is>
          <t>Module burnt</t>
        </is>
      </c>
      <c r="K2625" s="8" t="inlineStr">
        <is>
          <t>Zura</t>
        </is>
      </c>
      <c r="L2625" s="8" t="inlineStr">
        <is>
          <t>Gujarat</t>
        </is>
      </c>
      <c r="M2625" s="2" t="inlineStr">
        <is>
          <t xml:space="preserve">damage </t>
        </is>
      </c>
      <c r="N2625" s="6" t="inlineStr">
        <is>
          <t>Module Breakage</t>
        </is>
      </c>
      <c r="O2625" s="51" t="n">
        <v>590</v>
      </c>
      <c r="P2625" s="2" t="inlineStr">
        <is>
          <t>NSMI24110808978</t>
        </is>
      </c>
      <c r="Q2625" s="29">
        <f>MID(P2625,5,2)</f>
        <v/>
      </c>
      <c r="R2625" s="14">
        <f>MID(P2625,7,2)</f>
        <v/>
      </c>
      <c r="S2625" s="6" t="inlineStr">
        <is>
          <t>G2G</t>
        </is>
      </c>
      <c r="T2625" s="1" t="inlineStr">
        <is>
          <t>P4 - PEIPL</t>
        </is>
      </c>
      <c r="U2625" s="2" t="inlineStr">
        <is>
          <t xml:space="preserve">physically damaged </t>
        </is>
      </c>
      <c r="V2625" s="1" t="inlineStr">
        <is>
          <t>Inspection</t>
        </is>
      </c>
      <c r="W2625" s="1" t="inlineStr">
        <is>
          <t>Rejected</t>
        </is>
      </c>
      <c r="X2625" s="5">
        <f>Z2625</f>
        <v/>
      </c>
      <c r="Y2625" s="1">
        <f>X2625-A2625</f>
        <v/>
      </c>
      <c r="Z2625" s="5" t="n">
        <v>46200</v>
      </c>
      <c r="AA2625" s="3" t="n"/>
      <c r="AB2625" s="3" t="n"/>
      <c r="AE2625" s="146">
        <f>IF(AND(F2625="Closed",X2625&gt;=DATE(2026,6,1),X2625&lt;=DATE(2026,6,30)),"Closed in June","other")</f>
        <v/>
      </c>
    </row>
    <row r="2626" hidden="1">
      <c r="A2626" s="49" t="n">
        <v>46177</v>
      </c>
      <c r="B2626" s="1" t="n">
        <v>2026</v>
      </c>
      <c r="C2626" s="8" t="inlineStr">
        <is>
          <t>Ayana</t>
        </is>
      </c>
      <c r="D2626" s="11" t="inlineStr">
        <is>
          <t>Utility and C&amp;I</t>
        </is>
      </c>
      <c r="E2626" s="1" t="n"/>
      <c r="F2626" s="1" t="inlineStr">
        <is>
          <t>Closed</t>
        </is>
      </c>
      <c r="G2626" s="11" t="inlineStr">
        <is>
          <t>Vasu.N</t>
        </is>
      </c>
      <c r="H2626" s="8" t="n">
        <v>9578099893</v>
      </c>
      <c r="I2626" s="10" t="inlineStr">
        <is>
          <t>PE04062601</t>
        </is>
      </c>
      <c r="J2626" s="28" t="inlineStr">
        <is>
          <t>Module burnt</t>
        </is>
      </c>
      <c r="K2626" s="8" t="inlineStr">
        <is>
          <t>Zura</t>
        </is>
      </c>
      <c r="L2626" s="8" t="inlineStr">
        <is>
          <t>Gujarat</t>
        </is>
      </c>
      <c r="M2626" s="2" t="inlineStr">
        <is>
          <t xml:space="preserve">damage </t>
        </is>
      </c>
      <c r="N2626" s="6" t="inlineStr">
        <is>
          <t>Module Breakage</t>
        </is>
      </c>
      <c r="O2626" s="51" t="n">
        <v>590</v>
      </c>
      <c r="P2626" s="2" t="inlineStr">
        <is>
          <t>NSMI24100613738</t>
        </is>
      </c>
      <c r="Q2626" s="29">
        <f>MID(P2626,5,2)</f>
        <v/>
      </c>
      <c r="R2626" s="14">
        <f>MID(P2626,7,2)</f>
        <v/>
      </c>
      <c r="S2626" s="6" t="inlineStr">
        <is>
          <t>G2G</t>
        </is>
      </c>
      <c r="T2626" s="1" t="inlineStr">
        <is>
          <t>P4 - PEIPL</t>
        </is>
      </c>
      <c r="U2626" s="2" t="inlineStr">
        <is>
          <t xml:space="preserve">physically damaged </t>
        </is>
      </c>
      <c r="V2626" s="1" t="inlineStr">
        <is>
          <t>Inspection</t>
        </is>
      </c>
      <c r="W2626" s="1" t="inlineStr">
        <is>
          <t>Rejected</t>
        </is>
      </c>
      <c r="X2626" s="5">
        <f>Z2626</f>
        <v/>
      </c>
      <c r="Y2626" s="1">
        <f>X2626-A2626</f>
        <v/>
      </c>
      <c r="Z2626" s="5" t="n">
        <v>46200</v>
      </c>
      <c r="AA2626" s="3" t="n"/>
      <c r="AB2626" s="3" t="n"/>
      <c r="AE2626" s="146">
        <f>IF(AND(F2626="Closed",X2626&gt;=DATE(2026,6,1),X2626&lt;=DATE(2026,6,30)),"Closed in June","other")</f>
        <v/>
      </c>
    </row>
    <row r="2627" hidden="1">
      <c r="A2627" s="49" t="n">
        <v>46177</v>
      </c>
      <c r="B2627" s="1" t="n">
        <v>2026</v>
      </c>
      <c r="C2627" s="8" t="inlineStr">
        <is>
          <t>Ayana</t>
        </is>
      </c>
      <c r="D2627" s="11" t="inlineStr">
        <is>
          <t>Utility and C&amp;I</t>
        </is>
      </c>
      <c r="E2627" s="1" t="n"/>
      <c r="F2627" s="1" t="inlineStr">
        <is>
          <t>Closed</t>
        </is>
      </c>
      <c r="G2627" s="11" t="inlineStr">
        <is>
          <t>Vasu.N</t>
        </is>
      </c>
      <c r="H2627" s="8" t="n">
        <v>9578099893</v>
      </c>
      <c r="I2627" s="10" t="inlineStr">
        <is>
          <t>PE04062601</t>
        </is>
      </c>
      <c r="J2627" s="28" t="inlineStr">
        <is>
          <t>Module burnt</t>
        </is>
      </c>
      <c r="K2627" s="8" t="inlineStr">
        <is>
          <t>Zura</t>
        </is>
      </c>
      <c r="L2627" s="8" t="inlineStr">
        <is>
          <t>Gujarat</t>
        </is>
      </c>
      <c r="M2627" s="2" t="inlineStr">
        <is>
          <t xml:space="preserve">damage </t>
        </is>
      </c>
      <c r="N2627" s="6" t="inlineStr">
        <is>
          <t>Module Breakage</t>
        </is>
      </c>
      <c r="O2627" s="51" t="n">
        <v>590</v>
      </c>
      <c r="P2627" s="2" t="inlineStr">
        <is>
          <t>NSMI24100613733</t>
        </is>
      </c>
      <c r="Q2627" s="29">
        <f>MID(P2627,5,2)</f>
        <v/>
      </c>
      <c r="R2627" s="14">
        <f>MID(P2627,7,2)</f>
        <v/>
      </c>
      <c r="S2627" s="6" t="inlineStr">
        <is>
          <t>G2G</t>
        </is>
      </c>
      <c r="T2627" s="1" t="inlineStr">
        <is>
          <t>P4 - PEIPL</t>
        </is>
      </c>
      <c r="U2627" s="2" t="inlineStr">
        <is>
          <t xml:space="preserve">physically damaged </t>
        </is>
      </c>
      <c r="V2627" s="1" t="inlineStr">
        <is>
          <t>Inspection</t>
        </is>
      </c>
      <c r="W2627" s="1" t="inlineStr">
        <is>
          <t>Rejected</t>
        </is>
      </c>
      <c r="X2627" s="5">
        <f>Z2627</f>
        <v/>
      </c>
      <c r="Y2627" s="1">
        <f>X2627-A2627</f>
        <v/>
      </c>
      <c r="Z2627" s="5" t="n">
        <v>46200</v>
      </c>
      <c r="AA2627" s="3" t="n"/>
      <c r="AB2627" s="3" t="n"/>
      <c r="AE2627" s="146">
        <f>IF(AND(F2627="Closed",X2627&gt;=DATE(2026,6,1),X2627&lt;=DATE(2026,6,30)),"Closed in June","other")</f>
        <v/>
      </c>
    </row>
    <row r="2628" hidden="1">
      <c r="A2628" s="49" t="n">
        <v>46177</v>
      </c>
      <c r="B2628" s="1" t="n">
        <v>2026</v>
      </c>
      <c r="C2628" s="8" t="inlineStr">
        <is>
          <t>Ayana</t>
        </is>
      </c>
      <c r="D2628" s="11" t="inlineStr">
        <is>
          <t>Utility and C&amp;I</t>
        </is>
      </c>
      <c r="E2628" s="1" t="n"/>
      <c r="F2628" s="1" t="inlineStr">
        <is>
          <t>Closed</t>
        </is>
      </c>
      <c r="G2628" s="11" t="inlineStr">
        <is>
          <t>Vasu.N</t>
        </is>
      </c>
      <c r="H2628" s="8" t="n">
        <v>9578099893</v>
      </c>
      <c r="I2628" s="10" t="inlineStr">
        <is>
          <t>PE04062601</t>
        </is>
      </c>
      <c r="J2628" s="28" t="inlineStr">
        <is>
          <t>Module burnt</t>
        </is>
      </c>
      <c r="K2628" s="8" t="inlineStr">
        <is>
          <t>Zura</t>
        </is>
      </c>
      <c r="L2628" s="8" t="inlineStr">
        <is>
          <t>Gujarat</t>
        </is>
      </c>
      <c r="M2628" s="2" t="inlineStr">
        <is>
          <t xml:space="preserve">damage </t>
        </is>
      </c>
      <c r="N2628" s="6" t="inlineStr">
        <is>
          <t>Module Breakage</t>
        </is>
      </c>
      <c r="O2628" s="51" t="n">
        <v>590</v>
      </c>
      <c r="P2628" s="2" t="inlineStr">
        <is>
          <t>NSMI24100613674</t>
        </is>
      </c>
      <c r="Q2628" s="29">
        <f>MID(P2628,5,2)</f>
        <v/>
      </c>
      <c r="R2628" s="14">
        <f>MID(P2628,7,2)</f>
        <v/>
      </c>
      <c r="S2628" s="6" t="inlineStr">
        <is>
          <t>G2G</t>
        </is>
      </c>
      <c r="T2628" s="1" t="inlineStr">
        <is>
          <t>P4 - PEIPL</t>
        </is>
      </c>
      <c r="U2628" s="2" t="inlineStr">
        <is>
          <t xml:space="preserve">physically damaged </t>
        </is>
      </c>
      <c r="V2628" s="1" t="inlineStr">
        <is>
          <t>Inspection</t>
        </is>
      </c>
      <c r="W2628" s="1" t="inlineStr">
        <is>
          <t>Rejected</t>
        </is>
      </c>
      <c r="X2628" s="5">
        <f>Z2628</f>
        <v/>
      </c>
      <c r="Y2628" s="1">
        <f>X2628-A2628</f>
        <v/>
      </c>
      <c r="Z2628" s="5" t="n">
        <v>46200</v>
      </c>
      <c r="AA2628" s="3" t="n"/>
      <c r="AB2628" s="3" t="n"/>
      <c r="AE2628" s="146">
        <f>IF(AND(F2628="Closed",X2628&gt;=DATE(2026,6,1),X2628&lt;=DATE(2026,6,30)),"Closed in June","other")</f>
        <v/>
      </c>
    </row>
    <row r="2629" hidden="1">
      <c r="A2629" s="49" t="n">
        <v>46177</v>
      </c>
      <c r="B2629" s="1" t="n">
        <v>2026</v>
      </c>
      <c r="C2629" s="8" t="inlineStr">
        <is>
          <t>Ayana</t>
        </is>
      </c>
      <c r="D2629" s="11" t="inlineStr">
        <is>
          <t>Utility and C&amp;I</t>
        </is>
      </c>
      <c r="E2629" s="1" t="n"/>
      <c r="F2629" s="1" t="inlineStr">
        <is>
          <t>Closed</t>
        </is>
      </c>
      <c r="G2629" s="11" t="inlineStr">
        <is>
          <t>Vasu.N</t>
        </is>
      </c>
      <c r="H2629" s="8" t="n">
        <v>9578099893</v>
      </c>
      <c r="I2629" s="10" t="inlineStr">
        <is>
          <t>PE04062601</t>
        </is>
      </c>
      <c r="J2629" s="28" t="inlineStr">
        <is>
          <t>Module burnt</t>
        </is>
      </c>
      <c r="K2629" s="8" t="inlineStr">
        <is>
          <t>Zura</t>
        </is>
      </c>
      <c r="L2629" s="8" t="inlineStr">
        <is>
          <t>Gujarat</t>
        </is>
      </c>
      <c r="M2629" s="2" t="inlineStr">
        <is>
          <t xml:space="preserve">damage </t>
        </is>
      </c>
      <c r="N2629" s="6" t="inlineStr">
        <is>
          <t>Module Breakage</t>
        </is>
      </c>
      <c r="O2629" s="51" t="n">
        <v>590</v>
      </c>
      <c r="P2629" s="2" t="inlineStr">
        <is>
          <t>NSMI24110851119</t>
        </is>
      </c>
      <c r="Q2629" s="29">
        <f>MID(P2629,5,2)</f>
        <v/>
      </c>
      <c r="R2629" s="14">
        <f>MID(P2629,7,2)</f>
        <v/>
      </c>
      <c r="S2629" s="6" t="inlineStr">
        <is>
          <t>G2G</t>
        </is>
      </c>
      <c r="T2629" s="1" t="inlineStr">
        <is>
          <t>P4 - PEIPL</t>
        </is>
      </c>
      <c r="U2629" s="2" t="inlineStr">
        <is>
          <t xml:space="preserve">physically damaged </t>
        </is>
      </c>
      <c r="V2629" s="1" t="inlineStr">
        <is>
          <t>Inspection</t>
        </is>
      </c>
      <c r="W2629" s="1" t="inlineStr">
        <is>
          <t>Rejected</t>
        </is>
      </c>
      <c r="X2629" s="5">
        <f>Z2629</f>
        <v/>
      </c>
      <c r="Y2629" s="1">
        <f>X2629-A2629</f>
        <v/>
      </c>
      <c r="Z2629" s="5" t="n">
        <v>46200</v>
      </c>
      <c r="AA2629" s="3" t="n"/>
      <c r="AB2629" s="3" t="n"/>
      <c r="AE2629" s="146">
        <f>IF(AND(F2629="Closed",X2629&gt;=DATE(2026,6,1),X2629&lt;=DATE(2026,6,30)),"Closed in June","other")</f>
        <v/>
      </c>
    </row>
    <row r="2630" hidden="1">
      <c r="A2630" s="49" t="n">
        <v>46177</v>
      </c>
      <c r="B2630" s="1" t="n">
        <v>2026</v>
      </c>
      <c r="C2630" s="8" t="inlineStr">
        <is>
          <t>Ayana</t>
        </is>
      </c>
      <c r="D2630" s="11" t="inlineStr">
        <is>
          <t>Utility and C&amp;I</t>
        </is>
      </c>
      <c r="E2630" s="1" t="n"/>
      <c r="F2630" s="1" t="inlineStr">
        <is>
          <t>Closed</t>
        </is>
      </c>
      <c r="G2630" s="11" t="inlineStr">
        <is>
          <t>Vasu.N</t>
        </is>
      </c>
      <c r="H2630" s="8" t="n">
        <v>9578099893</v>
      </c>
      <c r="I2630" s="10" t="inlineStr">
        <is>
          <t>PE04062601</t>
        </is>
      </c>
      <c r="J2630" s="28" t="inlineStr">
        <is>
          <t>Module burnt</t>
        </is>
      </c>
      <c r="K2630" s="8" t="inlineStr">
        <is>
          <t>Zura</t>
        </is>
      </c>
      <c r="L2630" s="8" t="inlineStr">
        <is>
          <t>Gujarat</t>
        </is>
      </c>
      <c r="M2630" s="2" t="inlineStr">
        <is>
          <t xml:space="preserve">damage </t>
        </is>
      </c>
      <c r="N2630" s="6" t="inlineStr">
        <is>
          <t>Module Breakage</t>
        </is>
      </c>
      <c r="O2630" s="51" t="n">
        <v>590</v>
      </c>
      <c r="P2630" s="2" t="inlineStr">
        <is>
          <t>NSMI24110851257</t>
        </is>
      </c>
      <c r="Q2630" s="29">
        <f>MID(P2630,5,2)</f>
        <v/>
      </c>
      <c r="R2630" s="14">
        <f>MID(P2630,7,2)</f>
        <v/>
      </c>
      <c r="S2630" s="6" t="inlineStr">
        <is>
          <t>G2G</t>
        </is>
      </c>
      <c r="T2630" s="1" t="inlineStr">
        <is>
          <t>P4 - PEIPL</t>
        </is>
      </c>
      <c r="U2630" s="2" t="inlineStr">
        <is>
          <t xml:space="preserve">physically damaged </t>
        </is>
      </c>
      <c r="V2630" s="1" t="inlineStr">
        <is>
          <t>Inspection</t>
        </is>
      </c>
      <c r="W2630" s="1" t="inlineStr">
        <is>
          <t>Rejected</t>
        </is>
      </c>
      <c r="X2630" s="5">
        <f>Z2630</f>
        <v/>
      </c>
      <c r="Y2630" s="1">
        <f>X2630-A2630</f>
        <v/>
      </c>
      <c r="Z2630" s="5" t="n">
        <v>46200</v>
      </c>
      <c r="AA2630" s="3" t="n"/>
      <c r="AB2630" s="3" t="n"/>
      <c r="AE2630" s="146">
        <f>IF(AND(F2630="Closed",X2630&gt;=DATE(2026,6,1),X2630&lt;=DATE(2026,6,30)),"Closed in June","other")</f>
        <v/>
      </c>
    </row>
    <row r="2631" hidden="1">
      <c r="A2631" s="49" t="n">
        <v>46177</v>
      </c>
      <c r="B2631" s="1" t="n">
        <v>2026</v>
      </c>
      <c r="C2631" s="8" t="inlineStr">
        <is>
          <t>Ayana</t>
        </is>
      </c>
      <c r="D2631" s="11" t="inlineStr">
        <is>
          <t>Utility and C&amp;I</t>
        </is>
      </c>
      <c r="E2631" s="1" t="n"/>
      <c r="F2631" s="1" t="inlineStr">
        <is>
          <t>Closed</t>
        </is>
      </c>
      <c r="G2631" s="11" t="inlineStr">
        <is>
          <t>Vasu.N</t>
        </is>
      </c>
      <c r="H2631" s="8" t="n">
        <v>9578099893</v>
      </c>
      <c r="I2631" s="10" t="inlineStr">
        <is>
          <t>PE04062601</t>
        </is>
      </c>
      <c r="J2631" s="28" t="inlineStr">
        <is>
          <t>Module burnt</t>
        </is>
      </c>
      <c r="K2631" s="8" t="inlineStr">
        <is>
          <t>Zura</t>
        </is>
      </c>
      <c r="L2631" s="8" t="inlineStr">
        <is>
          <t>Gujarat</t>
        </is>
      </c>
      <c r="M2631" s="2" t="inlineStr">
        <is>
          <t xml:space="preserve">damage </t>
        </is>
      </c>
      <c r="N2631" s="6" t="inlineStr">
        <is>
          <t>Module Breakage</t>
        </is>
      </c>
      <c r="O2631" s="51" t="n">
        <v>590</v>
      </c>
      <c r="P2631" s="2" t="inlineStr">
        <is>
          <t>NSMI24110852419</t>
        </is>
      </c>
      <c r="Q2631" s="29">
        <f>MID(P2631,5,2)</f>
        <v/>
      </c>
      <c r="R2631" s="14">
        <f>MID(P2631,7,2)</f>
        <v/>
      </c>
      <c r="S2631" s="6" t="inlineStr">
        <is>
          <t>G2G</t>
        </is>
      </c>
      <c r="T2631" s="1" t="inlineStr">
        <is>
          <t>P4 - PEIPL</t>
        </is>
      </c>
      <c r="U2631" s="2" t="inlineStr">
        <is>
          <t xml:space="preserve">physically damaged </t>
        </is>
      </c>
      <c r="V2631" s="1" t="inlineStr">
        <is>
          <t>Inspection</t>
        </is>
      </c>
      <c r="W2631" s="1" t="inlineStr">
        <is>
          <t>Rejected</t>
        </is>
      </c>
      <c r="X2631" s="5">
        <f>Z2631</f>
        <v/>
      </c>
      <c r="Y2631" s="1">
        <f>X2631-A2631</f>
        <v/>
      </c>
      <c r="Z2631" s="5" t="n">
        <v>46200</v>
      </c>
      <c r="AA2631" s="3" t="n"/>
      <c r="AB2631" s="3" t="n"/>
      <c r="AE2631" s="146">
        <f>IF(AND(F2631="Closed",X2631&gt;=DATE(2026,6,1),X2631&lt;=DATE(2026,6,30)),"Closed in June","other")</f>
        <v/>
      </c>
    </row>
    <row r="2632" hidden="1">
      <c r="A2632" s="49" t="n">
        <v>46177</v>
      </c>
      <c r="B2632" s="1" t="n">
        <v>2026</v>
      </c>
      <c r="C2632" s="8" t="inlineStr">
        <is>
          <t>Ayana</t>
        </is>
      </c>
      <c r="D2632" s="11" t="inlineStr">
        <is>
          <t>Utility and C&amp;I</t>
        </is>
      </c>
      <c r="E2632" s="1" t="n"/>
      <c r="F2632" s="1" t="inlineStr">
        <is>
          <t>Closed</t>
        </is>
      </c>
      <c r="G2632" s="11" t="inlineStr">
        <is>
          <t>Vasu.N</t>
        </is>
      </c>
      <c r="H2632" s="8" t="n">
        <v>9578099893</v>
      </c>
      <c r="I2632" s="10" t="inlineStr">
        <is>
          <t>PE04062601</t>
        </is>
      </c>
      <c r="J2632" s="28" t="inlineStr">
        <is>
          <t>Module burnt</t>
        </is>
      </c>
      <c r="K2632" s="8" t="inlineStr">
        <is>
          <t>Zura</t>
        </is>
      </c>
      <c r="L2632" s="8" t="inlineStr">
        <is>
          <t>Gujarat</t>
        </is>
      </c>
      <c r="M2632" s="2" t="inlineStr">
        <is>
          <t xml:space="preserve">damage </t>
        </is>
      </c>
      <c r="N2632" s="6" t="inlineStr">
        <is>
          <t>Module Breakage</t>
        </is>
      </c>
      <c r="O2632" s="51" t="n">
        <v>590</v>
      </c>
      <c r="P2632" s="2" t="inlineStr">
        <is>
          <t>NSMI24110852543</t>
        </is>
      </c>
      <c r="Q2632" s="29">
        <f>MID(P2632,5,2)</f>
        <v/>
      </c>
      <c r="R2632" s="14">
        <f>MID(P2632,7,2)</f>
        <v/>
      </c>
      <c r="S2632" s="6" t="inlineStr">
        <is>
          <t>G2G</t>
        </is>
      </c>
      <c r="T2632" s="1" t="inlineStr">
        <is>
          <t>P4 - PEIPL</t>
        </is>
      </c>
      <c r="U2632" s="2" t="inlineStr">
        <is>
          <t xml:space="preserve">physically damaged </t>
        </is>
      </c>
      <c r="V2632" s="1" t="inlineStr">
        <is>
          <t>Inspection</t>
        </is>
      </c>
      <c r="W2632" s="1" t="inlineStr">
        <is>
          <t>Rejected</t>
        </is>
      </c>
      <c r="X2632" s="5">
        <f>Z2632</f>
        <v/>
      </c>
      <c r="Y2632" s="1">
        <f>X2632-A2632</f>
        <v/>
      </c>
      <c r="Z2632" s="5" t="n">
        <v>46200</v>
      </c>
      <c r="AA2632" s="3" t="n"/>
      <c r="AB2632" s="3" t="n"/>
      <c r="AE2632" s="146">
        <f>IF(AND(F2632="Closed",X2632&gt;=DATE(2026,6,1),X2632&lt;=DATE(2026,6,30)),"Closed in June","other")</f>
        <v/>
      </c>
    </row>
    <row r="2633" hidden="1">
      <c r="A2633" s="49" t="n">
        <v>46177</v>
      </c>
      <c r="B2633" s="1" t="n">
        <v>2026</v>
      </c>
      <c r="C2633" s="8" t="inlineStr">
        <is>
          <t>Ayana</t>
        </is>
      </c>
      <c r="D2633" s="11" t="inlineStr">
        <is>
          <t>Utility and C&amp;I</t>
        </is>
      </c>
      <c r="E2633" s="1" t="n"/>
      <c r="F2633" s="1" t="inlineStr">
        <is>
          <t>Closed</t>
        </is>
      </c>
      <c r="G2633" s="11" t="inlineStr">
        <is>
          <t>Vasu.N</t>
        </is>
      </c>
      <c r="H2633" s="8" t="n">
        <v>9578099893</v>
      </c>
      <c r="I2633" s="10" t="inlineStr">
        <is>
          <t>PE04062601</t>
        </is>
      </c>
      <c r="J2633" s="28" t="inlineStr">
        <is>
          <t>Module burnt</t>
        </is>
      </c>
      <c r="K2633" s="8" t="inlineStr">
        <is>
          <t>Zura</t>
        </is>
      </c>
      <c r="L2633" s="8" t="inlineStr">
        <is>
          <t>Gujarat</t>
        </is>
      </c>
      <c r="M2633" s="2" t="inlineStr">
        <is>
          <t xml:space="preserve">damage </t>
        </is>
      </c>
      <c r="N2633" s="6" t="inlineStr">
        <is>
          <t>Module Breakage</t>
        </is>
      </c>
      <c r="O2633" s="51" t="n">
        <v>590</v>
      </c>
      <c r="P2633" s="2" t="inlineStr">
        <is>
          <t>NSMI24110827205</t>
        </is>
      </c>
      <c r="Q2633" s="29">
        <f>MID(P2633,5,2)</f>
        <v/>
      </c>
      <c r="R2633" s="14">
        <f>MID(P2633,7,2)</f>
        <v/>
      </c>
      <c r="S2633" s="6" t="inlineStr">
        <is>
          <t>G2G</t>
        </is>
      </c>
      <c r="T2633" s="1" t="inlineStr">
        <is>
          <t>P4 - PEIPL</t>
        </is>
      </c>
      <c r="U2633" s="2" t="inlineStr">
        <is>
          <t xml:space="preserve">physically damaged </t>
        </is>
      </c>
      <c r="V2633" s="1" t="inlineStr">
        <is>
          <t>Inspection</t>
        </is>
      </c>
      <c r="W2633" s="1" t="inlineStr">
        <is>
          <t>Rejected</t>
        </is>
      </c>
      <c r="X2633" s="5">
        <f>Z2633</f>
        <v/>
      </c>
      <c r="Y2633" s="1">
        <f>X2633-A2633</f>
        <v/>
      </c>
      <c r="Z2633" s="5" t="n">
        <v>46200</v>
      </c>
      <c r="AA2633" s="3" t="n"/>
      <c r="AB2633" s="3" t="n"/>
      <c r="AE2633" s="146">
        <f>IF(AND(F2633="Closed",X2633&gt;=DATE(2026,6,1),X2633&lt;=DATE(2026,6,30)),"Closed in June","other")</f>
        <v/>
      </c>
    </row>
    <row r="2634" hidden="1">
      <c r="A2634" s="49" t="n">
        <v>46177</v>
      </c>
      <c r="B2634" s="1" t="n">
        <v>2026</v>
      </c>
      <c r="C2634" s="8" t="inlineStr">
        <is>
          <t>Ayana</t>
        </is>
      </c>
      <c r="D2634" s="11" t="inlineStr">
        <is>
          <t>Utility and C&amp;I</t>
        </is>
      </c>
      <c r="E2634" s="1" t="n"/>
      <c r="F2634" s="1" t="inlineStr">
        <is>
          <t>Closed</t>
        </is>
      </c>
      <c r="G2634" s="11" t="inlineStr">
        <is>
          <t>Vasu.N</t>
        </is>
      </c>
      <c r="H2634" s="8" t="n">
        <v>9578099893</v>
      </c>
      <c r="I2634" s="10" t="inlineStr">
        <is>
          <t>PE04062601</t>
        </is>
      </c>
      <c r="J2634" s="28" t="inlineStr">
        <is>
          <t>Module burnt</t>
        </is>
      </c>
      <c r="K2634" s="8" t="inlineStr">
        <is>
          <t>Zura</t>
        </is>
      </c>
      <c r="L2634" s="8" t="inlineStr">
        <is>
          <t>Gujarat</t>
        </is>
      </c>
      <c r="M2634" s="2" t="inlineStr">
        <is>
          <t xml:space="preserve">damage </t>
        </is>
      </c>
      <c r="N2634" s="6" t="inlineStr">
        <is>
          <t>Module Breakage</t>
        </is>
      </c>
      <c r="O2634" s="51" t="n">
        <v>590</v>
      </c>
      <c r="P2634" s="2" t="inlineStr">
        <is>
          <t>NSMI24110852535</t>
        </is>
      </c>
      <c r="Q2634" s="29">
        <f>MID(P2634,5,2)</f>
        <v/>
      </c>
      <c r="R2634" s="14">
        <f>MID(P2634,7,2)</f>
        <v/>
      </c>
      <c r="S2634" s="6" t="inlineStr">
        <is>
          <t>G2G</t>
        </is>
      </c>
      <c r="T2634" s="1" t="inlineStr">
        <is>
          <t>P4 - PEIPL</t>
        </is>
      </c>
      <c r="U2634" s="2" t="inlineStr">
        <is>
          <t xml:space="preserve">physically damaged </t>
        </is>
      </c>
      <c r="V2634" s="1" t="inlineStr">
        <is>
          <t>Inspection</t>
        </is>
      </c>
      <c r="W2634" s="1" t="inlineStr">
        <is>
          <t>Rejected</t>
        </is>
      </c>
      <c r="X2634" s="5">
        <f>Z2634</f>
        <v/>
      </c>
      <c r="Y2634" s="1">
        <f>X2634-A2634</f>
        <v/>
      </c>
      <c r="Z2634" s="5" t="n">
        <v>46200</v>
      </c>
      <c r="AA2634" s="3" t="n"/>
      <c r="AB2634" s="3" t="n"/>
      <c r="AE2634" s="146">
        <f>IF(AND(F2634="Closed",X2634&gt;=DATE(2026,6,1),X2634&lt;=DATE(2026,6,30)),"Closed in June","other")</f>
        <v/>
      </c>
    </row>
    <row r="2635" hidden="1">
      <c r="A2635" s="49" t="n">
        <v>46177</v>
      </c>
      <c r="B2635" s="1" t="n">
        <v>2026</v>
      </c>
      <c r="C2635" s="8" t="inlineStr">
        <is>
          <t>Ayana</t>
        </is>
      </c>
      <c r="D2635" s="11" t="inlineStr">
        <is>
          <t>Utility and C&amp;I</t>
        </is>
      </c>
      <c r="E2635" s="1" t="n"/>
      <c r="F2635" s="1" t="inlineStr">
        <is>
          <t>Closed</t>
        </is>
      </c>
      <c r="G2635" s="11" t="inlineStr">
        <is>
          <t>Vasu.N</t>
        </is>
      </c>
      <c r="H2635" s="8" t="n">
        <v>9578099893</v>
      </c>
      <c r="I2635" s="10" t="inlineStr">
        <is>
          <t>PE04062601</t>
        </is>
      </c>
      <c r="J2635" s="28" t="inlineStr">
        <is>
          <t>Module burnt</t>
        </is>
      </c>
      <c r="K2635" s="8" t="inlineStr">
        <is>
          <t>Zura</t>
        </is>
      </c>
      <c r="L2635" s="8" t="inlineStr">
        <is>
          <t>Gujarat</t>
        </is>
      </c>
      <c r="M2635" s="2" t="inlineStr">
        <is>
          <t xml:space="preserve">damage </t>
        </is>
      </c>
      <c r="N2635" s="6" t="inlineStr">
        <is>
          <t>Module Breakage</t>
        </is>
      </c>
      <c r="O2635" s="51" t="n">
        <v>590</v>
      </c>
      <c r="P2635" s="2" t="inlineStr">
        <is>
          <t>NSMI24100615814</t>
        </is>
      </c>
      <c r="Q2635" s="29">
        <f>MID(P2635,5,2)</f>
        <v/>
      </c>
      <c r="R2635" s="14">
        <f>MID(P2635,7,2)</f>
        <v/>
      </c>
      <c r="S2635" s="6" t="inlineStr">
        <is>
          <t>G2G</t>
        </is>
      </c>
      <c r="T2635" s="1" t="inlineStr">
        <is>
          <t>P4 - PEIPL</t>
        </is>
      </c>
      <c r="U2635" s="2" t="inlineStr">
        <is>
          <t xml:space="preserve">physically damaged </t>
        </is>
      </c>
      <c r="V2635" s="1" t="inlineStr">
        <is>
          <t>Inspection</t>
        </is>
      </c>
      <c r="W2635" s="1" t="inlineStr">
        <is>
          <t>Rejected</t>
        </is>
      </c>
      <c r="X2635" s="5">
        <f>Z2635</f>
        <v/>
      </c>
      <c r="Y2635" s="1">
        <f>X2635-A2635</f>
        <v/>
      </c>
      <c r="Z2635" s="5" t="n">
        <v>46200</v>
      </c>
      <c r="AA2635" s="3" t="n"/>
      <c r="AB2635" s="3" t="n"/>
      <c r="AE2635" s="146">
        <f>IF(AND(F2635="Closed",X2635&gt;=DATE(2026,6,1),X2635&lt;=DATE(2026,6,30)),"Closed in June","other")</f>
        <v/>
      </c>
    </row>
    <row r="2636" hidden="1">
      <c r="A2636" s="49" t="n">
        <v>46177</v>
      </c>
      <c r="B2636" s="1" t="n">
        <v>2026</v>
      </c>
      <c r="C2636" s="8" t="inlineStr">
        <is>
          <t>Ayana</t>
        </is>
      </c>
      <c r="D2636" s="11" t="inlineStr">
        <is>
          <t>Utility and C&amp;I</t>
        </is>
      </c>
      <c r="E2636" s="1" t="n"/>
      <c r="F2636" s="1" t="inlineStr">
        <is>
          <t>Closed</t>
        </is>
      </c>
      <c r="G2636" s="11" t="inlineStr">
        <is>
          <t>Vasu.N</t>
        </is>
      </c>
      <c r="H2636" s="8" t="n">
        <v>9578099893</v>
      </c>
      <c r="I2636" s="10" t="inlineStr">
        <is>
          <t>PE04062601</t>
        </is>
      </c>
      <c r="J2636" s="28" t="inlineStr">
        <is>
          <t>Module burnt</t>
        </is>
      </c>
      <c r="K2636" s="8" t="inlineStr">
        <is>
          <t>Zura</t>
        </is>
      </c>
      <c r="L2636" s="8" t="inlineStr">
        <is>
          <t>Gujarat</t>
        </is>
      </c>
      <c r="M2636" s="2" t="inlineStr">
        <is>
          <t xml:space="preserve">damage </t>
        </is>
      </c>
      <c r="N2636" s="6" t="inlineStr">
        <is>
          <t>Module Breakage</t>
        </is>
      </c>
      <c r="O2636" s="51" t="n">
        <v>590</v>
      </c>
      <c r="P2636" s="2" t="inlineStr">
        <is>
          <t>NSMI24100615869</t>
        </is>
      </c>
      <c r="Q2636" s="29">
        <f>MID(P2636,5,2)</f>
        <v/>
      </c>
      <c r="R2636" s="14">
        <f>MID(P2636,7,2)</f>
        <v/>
      </c>
      <c r="S2636" s="6" t="inlineStr">
        <is>
          <t>G2G</t>
        </is>
      </c>
      <c r="T2636" s="1" t="inlineStr">
        <is>
          <t>P4 - PEIPL</t>
        </is>
      </c>
      <c r="U2636" s="2" t="inlineStr">
        <is>
          <t xml:space="preserve">physically damaged </t>
        </is>
      </c>
      <c r="V2636" s="1" t="inlineStr">
        <is>
          <t>Inspection</t>
        </is>
      </c>
      <c r="W2636" s="1" t="inlineStr">
        <is>
          <t>Rejected</t>
        </is>
      </c>
      <c r="X2636" s="5">
        <f>Z2636</f>
        <v/>
      </c>
      <c r="Y2636" s="1">
        <f>X2636-A2636</f>
        <v/>
      </c>
      <c r="Z2636" s="5" t="n">
        <v>46200</v>
      </c>
      <c r="AA2636" s="3" t="n"/>
      <c r="AB2636" s="3" t="n"/>
      <c r="AE2636" s="146">
        <f>IF(AND(F2636="Closed",X2636&gt;=DATE(2026,6,1),X2636&lt;=DATE(2026,6,30)),"Closed in June","other")</f>
        <v/>
      </c>
    </row>
    <row r="2637" hidden="1">
      <c r="A2637" s="49" t="n">
        <v>46177</v>
      </c>
      <c r="B2637" s="1" t="n">
        <v>2026</v>
      </c>
      <c r="C2637" s="8" t="inlineStr">
        <is>
          <t>Ayana</t>
        </is>
      </c>
      <c r="D2637" s="11" t="inlineStr">
        <is>
          <t>Utility and C&amp;I</t>
        </is>
      </c>
      <c r="E2637" s="1" t="n"/>
      <c r="F2637" s="1" t="inlineStr">
        <is>
          <t>WIP</t>
        </is>
      </c>
      <c r="G2637" s="11" t="inlineStr">
        <is>
          <t>Vasu.N</t>
        </is>
      </c>
      <c r="H2637" s="8" t="n">
        <v>9578099893</v>
      </c>
      <c r="I2637" s="10" t="inlineStr">
        <is>
          <t>PE04062601</t>
        </is>
      </c>
      <c r="J2637" s="28" t="inlineStr">
        <is>
          <t>Module burnt</t>
        </is>
      </c>
      <c r="K2637" s="8" t="inlineStr">
        <is>
          <t>Zura</t>
        </is>
      </c>
      <c r="L2637" s="8" t="inlineStr">
        <is>
          <t>Gujarat</t>
        </is>
      </c>
      <c r="M2637" s="2" t="inlineStr">
        <is>
          <t xml:space="preserve">damage </t>
        </is>
      </c>
      <c r="N2637" s="6" t="inlineStr">
        <is>
          <t>Module Breakage</t>
        </is>
      </c>
      <c r="O2637" s="51" t="n">
        <v>590</v>
      </c>
      <c r="P2637" s="2" t="inlineStr">
        <is>
          <t>NSMI24100662486</t>
        </is>
      </c>
      <c r="Q2637" s="29">
        <f>MID(P2637,5,2)</f>
        <v/>
      </c>
      <c r="R2637" s="14">
        <f>MID(P2637,7,2)</f>
        <v/>
      </c>
      <c r="S2637" s="6" t="inlineStr">
        <is>
          <t>G2G</t>
        </is>
      </c>
      <c r="T2637" s="1" t="inlineStr">
        <is>
          <t>P4 - PEIPL</t>
        </is>
      </c>
      <c r="U2637" s="2" t="inlineStr">
        <is>
          <t>Frame Damaged</t>
        </is>
      </c>
      <c r="V2637" s="47" t="inlineStr">
        <is>
          <t>WIP</t>
        </is>
      </c>
      <c r="W2637" s="1" t="inlineStr">
        <is>
          <t>WIP</t>
        </is>
      </c>
      <c r="X2637" s="5" t="n"/>
      <c r="Y2637" s="1">
        <f>IF(X2637="","",X2637-A2637)</f>
        <v/>
      </c>
      <c r="Z2637" s="5" t="n">
        <v>46200</v>
      </c>
      <c r="AA2637" s="3" t="n"/>
      <c r="AB2637" s="3" t="n"/>
      <c r="AE2637" s="146">
        <f>IF(AND(F2637="Closed",X2637&gt;=DATE(2026,6,1),X2637&lt;=DATE(2026,6,30)),"Closed in June","other")</f>
        <v/>
      </c>
    </row>
    <row r="2638" hidden="1">
      <c r="A2638" s="49" t="n">
        <v>46177</v>
      </c>
      <c r="B2638" s="1" t="n">
        <v>2026</v>
      </c>
      <c r="C2638" s="8" t="inlineStr">
        <is>
          <t>Ayana</t>
        </is>
      </c>
      <c r="D2638" s="11" t="inlineStr">
        <is>
          <t>Utility and C&amp;I</t>
        </is>
      </c>
      <c r="E2638" s="1" t="n"/>
      <c r="F2638" s="1" t="inlineStr">
        <is>
          <t>Closed</t>
        </is>
      </c>
      <c r="G2638" s="11" t="inlineStr">
        <is>
          <t>Vasu.N</t>
        </is>
      </c>
      <c r="H2638" s="8" t="n">
        <v>9578099893</v>
      </c>
      <c r="I2638" s="10" t="inlineStr">
        <is>
          <t>PE04062601</t>
        </is>
      </c>
      <c r="J2638" s="28" t="inlineStr">
        <is>
          <t>Module burnt</t>
        </is>
      </c>
      <c r="K2638" s="8" t="inlineStr">
        <is>
          <t>Zura</t>
        </is>
      </c>
      <c r="L2638" s="8" t="inlineStr">
        <is>
          <t>Gujarat</t>
        </is>
      </c>
      <c r="M2638" s="2" t="inlineStr">
        <is>
          <t xml:space="preserve">damage </t>
        </is>
      </c>
      <c r="N2638" s="6" t="inlineStr">
        <is>
          <t>Module Breakage</t>
        </is>
      </c>
      <c r="O2638" s="51" t="n">
        <v>590</v>
      </c>
      <c r="P2638" s="2" t="inlineStr">
        <is>
          <t>NSMI24100662450</t>
        </is>
      </c>
      <c r="Q2638" s="29">
        <f>MID(P2638,5,2)</f>
        <v/>
      </c>
      <c r="R2638" s="14">
        <f>MID(P2638,7,2)</f>
        <v/>
      </c>
      <c r="S2638" s="6" t="inlineStr">
        <is>
          <t>G2G</t>
        </is>
      </c>
      <c r="T2638" s="1" t="inlineStr">
        <is>
          <t>P4 - PEIPL</t>
        </is>
      </c>
      <c r="U2638" s="2" t="inlineStr">
        <is>
          <t xml:space="preserve">physically damaged </t>
        </is>
      </c>
      <c r="V2638" s="1" t="inlineStr">
        <is>
          <t>Inspection</t>
        </is>
      </c>
      <c r="W2638" s="1" t="inlineStr">
        <is>
          <t>Rejected</t>
        </is>
      </c>
      <c r="X2638" s="5">
        <f>Z2638</f>
        <v/>
      </c>
      <c r="Y2638" s="1">
        <f>X2638-A2638</f>
        <v/>
      </c>
      <c r="Z2638" s="5" t="n">
        <v>46200</v>
      </c>
      <c r="AA2638" s="3" t="n"/>
      <c r="AB2638" s="3" t="n"/>
      <c r="AE2638" s="146">
        <f>IF(AND(F2638="Closed",X2638&gt;=DATE(2026,6,1),X2638&lt;=DATE(2026,6,30)),"Closed in June","other")</f>
        <v/>
      </c>
    </row>
    <row r="2639" hidden="1">
      <c r="A2639" s="49" t="n">
        <v>46177</v>
      </c>
      <c r="B2639" s="1" t="n">
        <v>2026</v>
      </c>
      <c r="C2639" s="8" t="inlineStr">
        <is>
          <t>Ayana</t>
        </is>
      </c>
      <c r="D2639" s="11" t="inlineStr">
        <is>
          <t>Utility and C&amp;I</t>
        </is>
      </c>
      <c r="E2639" s="1" t="n"/>
      <c r="F2639" s="1" t="inlineStr">
        <is>
          <t>Closed</t>
        </is>
      </c>
      <c r="G2639" s="11" t="inlineStr">
        <is>
          <t>Vasu.N</t>
        </is>
      </c>
      <c r="H2639" s="8" t="n">
        <v>9578099893</v>
      </c>
      <c r="I2639" s="10" t="inlineStr">
        <is>
          <t>PE04062601</t>
        </is>
      </c>
      <c r="J2639" s="28" t="inlineStr">
        <is>
          <t>Module burnt</t>
        </is>
      </c>
      <c r="K2639" s="8" t="inlineStr">
        <is>
          <t>Zura</t>
        </is>
      </c>
      <c r="L2639" s="8" t="inlineStr">
        <is>
          <t>Gujarat</t>
        </is>
      </c>
      <c r="M2639" s="2" t="inlineStr">
        <is>
          <t xml:space="preserve">damage </t>
        </is>
      </c>
      <c r="N2639" s="6" t="inlineStr">
        <is>
          <t>Module Breakage</t>
        </is>
      </c>
      <c r="O2639" s="51" t="n">
        <v>590</v>
      </c>
      <c r="P2639" s="2" t="inlineStr">
        <is>
          <t>NSMI24100682117</t>
        </is>
      </c>
      <c r="Q2639" s="29">
        <f>MID(P2639,5,2)</f>
        <v/>
      </c>
      <c r="R2639" s="14">
        <f>MID(P2639,7,2)</f>
        <v/>
      </c>
      <c r="S2639" s="6" t="inlineStr">
        <is>
          <t>G2G</t>
        </is>
      </c>
      <c r="T2639" s="1" t="inlineStr">
        <is>
          <t>P4 - PEIPL</t>
        </is>
      </c>
      <c r="U2639" s="2" t="inlineStr">
        <is>
          <t xml:space="preserve">physically damaged </t>
        </is>
      </c>
      <c r="V2639" s="1" t="inlineStr">
        <is>
          <t>Inspection</t>
        </is>
      </c>
      <c r="W2639" s="1" t="inlineStr">
        <is>
          <t>Rejected</t>
        </is>
      </c>
      <c r="X2639" s="5">
        <f>Z2639</f>
        <v/>
      </c>
      <c r="Y2639" s="1">
        <f>X2639-A2639</f>
        <v/>
      </c>
      <c r="Z2639" s="5" t="n">
        <v>46200</v>
      </c>
      <c r="AA2639" s="3" t="n"/>
      <c r="AB2639" s="3" t="n"/>
      <c r="AE2639" s="146">
        <f>IF(AND(F2639="Closed",X2639&gt;=DATE(2026,6,1),X2639&lt;=DATE(2026,6,30)),"Closed in June","other")</f>
        <v/>
      </c>
    </row>
    <row r="2640" hidden="1">
      <c r="A2640" s="49" t="n">
        <v>46177</v>
      </c>
      <c r="B2640" s="1" t="n">
        <v>2026</v>
      </c>
      <c r="C2640" s="8" t="inlineStr">
        <is>
          <t>Ayana</t>
        </is>
      </c>
      <c r="D2640" s="11" t="inlineStr">
        <is>
          <t>Utility and C&amp;I</t>
        </is>
      </c>
      <c r="E2640" s="1" t="n"/>
      <c r="F2640" s="1" t="inlineStr">
        <is>
          <t>Closed</t>
        </is>
      </c>
      <c r="G2640" s="11" t="inlineStr">
        <is>
          <t>Vasu.N</t>
        </is>
      </c>
      <c r="H2640" s="8" t="n">
        <v>9578099893</v>
      </c>
      <c r="I2640" s="10" t="inlineStr">
        <is>
          <t>PE04062601</t>
        </is>
      </c>
      <c r="J2640" s="28" t="inlineStr">
        <is>
          <t>Module burnt</t>
        </is>
      </c>
      <c r="K2640" s="8" t="inlineStr">
        <is>
          <t>Zura</t>
        </is>
      </c>
      <c r="L2640" s="8" t="inlineStr">
        <is>
          <t>Gujarat</t>
        </is>
      </c>
      <c r="M2640" s="2" t="inlineStr">
        <is>
          <t xml:space="preserve">damage </t>
        </is>
      </c>
      <c r="N2640" s="6" t="inlineStr">
        <is>
          <t>Module Breakage</t>
        </is>
      </c>
      <c r="O2640" s="51" t="n">
        <v>590</v>
      </c>
      <c r="P2640" s="2" t="inlineStr">
        <is>
          <t>NSMI24100666729</t>
        </is>
      </c>
      <c r="Q2640" s="29">
        <f>MID(P2640,5,2)</f>
        <v/>
      </c>
      <c r="R2640" s="14">
        <f>MID(P2640,7,2)</f>
        <v/>
      </c>
      <c r="S2640" s="6" t="inlineStr">
        <is>
          <t>G2G</t>
        </is>
      </c>
      <c r="T2640" s="1" t="inlineStr">
        <is>
          <t>P4 - PEIPL</t>
        </is>
      </c>
      <c r="U2640" s="2" t="inlineStr">
        <is>
          <t xml:space="preserve">physically damaged </t>
        </is>
      </c>
      <c r="V2640" s="1" t="inlineStr">
        <is>
          <t>Inspection</t>
        </is>
      </c>
      <c r="W2640" s="1" t="inlineStr">
        <is>
          <t>Rejected</t>
        </is>
      </c>
      <c r="X2640" s="5">
        <f>Z2640</f>
        <v/>
      </c>
      <c r="Y2640" s="1">
        <f>X2640-A2640</f>
        <v/>
      </c>
      <c r="Z2640" s="5" t="n">
        <v>46200</v>
      </c>
      <c r="AA2640" s="3" t="n"/>
      <c r="AB2640" s="3" t="n"/>
      <c r="AE2640" s="146">
        <f>IF(AND(F2640="Closed",X2640&gt;=DATE(2026,6,1),X2640&lt;=DATE(2026,6,30)),"Closed in June","other")</f>
        <v/>
      </c>
    </row>
    <row r="2641" hidden="1">
      <c r="A2641" s="49" t="n">
        <v>46177</v>
      </c>
      <c r="B2641" s="1" t="n">
        <v>2026</v>
      </c>
      <c r="C2641" s="8" t="inlineStr">
        <is>
          <t>Ayana</t>
        </is>
      </c>
      <c r="D2641" s="11" t="inlineStr">
        <is>
          <t>Utility and C&amp;I</t>
        </is>
      </c>
      <c r="E2641" s="1" t="n"/>
      <c r="F2641" s="1" t="inlineStr">
        <is>
          <t>Closed</t>
        </is>
      </c>
      <c r="G2641" s="11" t="inlineStr">
        <is>
          <t>Vasu.N</t>
        </is>
      </c>
      <c r="H2641" s="8" t="n">
        <v>9578099893</v>
      </c>
      <c r="I2641" s="10" t="inlineStr">
        <is>
          <t>PE04062601</t>
        </is>
      </c>
      <c r="J2641" s="28" t="inlineStr">
        <is>
          <t>Module burnt</t>
        </is>
      </c>
      <c r="K2641" s="8" t="inlineStr">
        <is>
          <t>Zura</t>
        </is>
      </c>
      <c r="L2641" s="8" t="inlineStr">
        <is>
          <t>Gujarat</t>
        </is>
      </c>
      <c r="M2641" s="2" t="inlineStr">
        <is>
          <t xml:space="preserve">damage </t>
        </is>
      </c>
      <c r="N2641" s="6" t="inlineStr">
        <is>
          <t>Module Breakage</t>
        </is>
      </c>
      <c r="O2641" s="51" t="n">
        <v>590</v>
      </c>
      <c r="P2641" s="2" t="inlineStr">
        <is>
          <t>NSMI24100645832</t>
        </is>
      </c>
      <c r="Q2641" s="29">
        <f>MID(P2641,5,2)</f>
        <v/>
      </c>
      <c r="R2641" s="14">
        <f>MID(P2641,7,2)</f>
        <v/>
      </c>
      <c r="S2641" s="6" t="inlineStr">
        <is>
          <t>G2G</t>
        </is>
      </c>
      <c r="T2641" s="1" t="inlineStr">
        <is>
          <t>P4 - PEIPL</t>
        </is>
      </c>
      <c r="U2641" s="2" t="inlineStr">
        <is>
          <t xml:space="preserve">physically damaged </t>
        </is>
      </c>
      <c r="V2641" s="1" t="inlineStr">
        <is>
          <t>Inspection</t>
        </is>
      </c>
      <c r="W2641" s="1" t="inlineStr">
        <is>
          <t>Rejected</t>
        </is>
      </c>
      <c r="X2641" s="5">
        <f>Z2641</f>
        <v/>
      </c>
      <c r="Y2641" s="1">
        <f>X2641-A2641</f>
        <v/>
      </c>
      <c r="Z2641" s="5" t="n">
        <v>46200</v>
      </c>
      <c r="AA2641" s="3" t="n"/>
      <c r="AB2641" s="3" t="n"/>
      <c r="AE2641" s="146">
        <f>IF(AND(F2641="Closed",X2641&gt;=DATE(2026,6,1),X2641&lt;=DATE(2026,6,30)),"Closed in June","other")</f>
        <v/>
      </c>
    </row>
    <row r="2642" hidden="1">
      <c r="A2642" s="49" t="n">
        <v>46177</v>
      </c>
      <c r="B2642" s="1" t="n">
        <v>2026</v>
      </c>
      <c r="C2642" s="8" t="inlineStr">
        <is>
          <t>Ayana</t>
        </is>
      </c>
      <c r="D2642" s="11" t="inlineStr">
        <is>
          <t>Utility and C&amp;I</t>
        </is>
      </c>
      <c r="E2642" s="1" t="n"/>
      <c r="F2642" s="1" t="inlineStr">
        <is>
          <t>Closed</t>
        </is>
      </c>
      <c r="G2642" s="11" t="inlineStr">
        <is>
          <t>Vasu.N</t>
        </is>
      </c>
      <c r="H2642" s="8" t="n">
        <v>9578099893</v>
      </c>
      <c r="I2642" s="10" t="inlineStr">
        <is>
          <t>PE04062601</t>
        </is>
      </c>
      <c r="J2642" s="28" t="inlineStr">
        <is>
          <t>Module burnt</t>
        </is>
      </c>
      <c r="K2642" s="8" t="inlineStr">
        <is>
          <t>Zura</t>
        </is>
      </c>
      <c r="L2642" s="8" t="inlineStr">
        <is>
          <t>Gujarat</t>
        </is>
      </c>
      <c r="M2642" s="2" t="inlineStr">
        <is>
          <t xml:space="preserve">damage </t>
        </is>
      </c>
      <c r="N2642" s="6" t="inlineStr">
        <is>
          <t>Module Breakage</t>
        </is>
      </c>
      <c r="O2642" s="51" t="n">
        <v>590</v>
      </c>
      <c r="P2642" s="2" t="inlineStr">
        <is>
          <t>NSMI24100683529</t>
        </is>
      </c>
      <c r="Q2642" s="29">
        <f>MID(P2642,5,2)</f>
        <v/>
      </c>
      <c r="R2642" s="14">
        <f>MID(P2642,7,2)</f>
        <v/>
      </c>
      <c r="S2642" s="6" t="inlineStr">
        <is>
          <t>G2G</t>
        </is>
      </c>
      <c r="T2642" s="1" t="inlineStr">
        <is>
          <t>P4 - PEIPL</t>
        </is>
      </c>
      <c r="U2642" s="2" t="inlineStr">
        <is>
          <t xml:space="preserve">physically damaged </t>
        </is>
      </c>
      <c r="V2642" s="1" t="inlineStr">
        <is>
          <t>Inspection</t>
        </is>
      </c>
      <c r="W2642" s="1" t="inlineStr">
        <is>
          <t>Rejected</t>
        </is>
      </c>
      <c r="X2642" s="5">
        <f>Z2642</f>
        <v/>
      </c>
      <c r="Y2642" s="1">
        <f>X2642-A2642</f>
        <v/>
      </c>
      <c r="Z2642" s="5" t="n">
        <v>46200</v>
      </c>
      <c r="AA2642" s="3" t="n"/>
      <c r="AB2642" s="3" t="n"/>
      <c r="AE2642" s="146">
        <f>IF(AND(F2642="Closed",X2642&gt;=DATE(2026,6,1),X2642&lt;=DATE(2026,6,30)),"Closed in June","other")</f>
        <v/>
      </c>
    </row>
    <row r="2643" hidden="1">
      <c r="A2643" s="49" t="n">
        <v>46177</v>
      </c>
      <c r="B2643" s="1" t="n">
        <v>2026</v>
      </c>
      <c r="C2643" s="8" t="inlineStr">
        <is>
          <t>Ayana</t>
        </is>
      </c>
      <c r="D2643" s="11" t="inlineStr">
        <is>
          <t>Utility and C&amp;I</t>
        </is>
      </c>
      <c r="E2643" s="1" t="n"/>
      <c r="F2643" s="1" t="inlineStr">
        <is>
          <t>Closed</t>
        </is>
      </c>
      <c r="G2643" s="11" t="inlineStr">
        <is>
          <t>Vasu.N</t>
        </is>
      </c>
      <c r="H2643" s="8" t="n">
        <v>9578099893</v>
      </c>
      <c r="I2643" s="10" t="inlineStr">
        <is>
          <t>PE04062601</t>
        </is>
      </c>
      <c r="J2643" s="28" t="inlineStr">
        <is>
          <t>Module burnt</t>
        </is>
      </c>
      <c r="K2643" s="8" t="inlineStr">
        <is>
          <t>Zura</t>
        </is>
      </c>
      <c r="L2643" s="8" t="inlineStr">
        <is>
          <t>Gujarat</t>
        </is>
      </c>
      <c r="M2643" s="2" t="inlineStr">
        <is>
          <t xml:space="preserve">damage </t>
        </is>
      </c>
      <c r="N2643" s="6" t="inlineStr">
        <is>
          <t>Module Breakage</t>
        </is>
      </c>
      <c r="O2643" s="51" t="n">
        <v>590</v>
      </c>
      <c r="P2643" s="2" t="inlineStr">
        <is>
          <t>NSMI24100633318</t>
        </is>
      </c>
      <c r="Q2643" s="29">
        <f>MID(P2643,5,2)</f>
        <v/>
      </c>
      <c r="R2643" s="14">
        <f>MID(P2643,7,2)</f>
        <v/>
      </c>
      <c r="S2643" s="6" t="inlineStr">
        <is>
          <t>G2G</t>
        </is>
      </c>
      <c r="T2643" s="1" t="inlineStr">
        <is>
          <t>P4 - PEIPL</t>
        </is>
      </c>
      <c r="U2643" s="2" t="inlineStr">
        <is>
          <t xml:space="preserve">physically damaged </t>
        </is>
      </c>
      <c r="V2643" s="1" t="inlineStr">
        <is>
          <t>Inspection</t>
        </is>
      </c>
      <c r="W2643" s="1" t="inlineStr">
        <is>
          <t>Rejected</t>
        </is>
      </c>
      <c r="X2643" s="5">
        <f>Z2643</f>
        <v/>
      </c>
      <c r="Y2643" s="1">
        <f>X2643-A2643</f>
        <v/>
      </c>
      <c r="Z2643" s="5" t="n">
        <v>46200</v>
      </c>
      <c r="AA2643" s="3" t="n"/>
      <c r="AB2643" s="3" t="n"/>
      <c r="AE2643" s="146">
        <f>IF(AND(F2643="Closed",X2643&gt;=DATE(2026,6,1),X2643&lt;=DATE(2026,6,30)),"Closed in June","other")</f>
        <v/>
      </c>
    </row>
    <row r="2644" hidden="1">
      <c r="A2644" s="49" t="n">
        <v>46177</v>
      </c>
      <c r="B2644" s="1" t="n">
        <v>2026</v>
      </c>
      <c r="C2644" s="8" t="inlineStr">
        <is>
          <t>Ayana</t>
        </is>
      </c>
      <c r="D2644" s="11" t="inlineStr">
        <is>
          <t>Utility and C&amp;I</t>
        </is>
      </c>
      <c r="E2644" s="1" t="n"/>
      <c r="F2644" s="1" t="inlineStr">
        <is>
          <t>Closed</t>
        </is>
      </c>
      <c r="G2644" s="11" t="inlineStr">
        <is>
          <t>Vasu.N</t>
        </is>
      </c>
      <c r="H2644" s="8" t="n">
        <v>9578099893</v>
      </c>
      <c r="I2644" s="10" t="inlineStr">
        <is>
          <t>PE04062601</t>
        </is>
      </c>
      <c r="J2644" s="28" t="inlineStr">
        <is>
          <t>Module burnt</t>
        </is>
      </c>
      <c r="K2644" s="8" t="inlineStr">
        <is>
          <t>Zura</t>
        </is>
      </c>
      <c r="L2644" s="8" t="inlineStr">
        <is>
          <t>Gujarat</t>
        </is>
      </c>
      <c r="M2644" s="2" t="inlineStr">
        <is>
          <t xml:space="preserve">damage </t>
        </is>
      </c>
      <c r="N2644" s="6" t="inlineStr">
        <is>
          <t>Module Breakage</t>
        </is>
      </c>
      <c r="O2644" s="51" t="n">
        <v>590</v>
      </c>
      <c r="P2644" s="2" t="inlineStr">
        <is>
          <t>NSMI24100649503</t>
        </is>
      </c>
      <c r="Q2644" s="29">
        <f>MID(P2644,5,2)</f>
        <v/>
      </c>
      <c r="R2644" s="14">
        <f>MID(P2644,7,2)</f>
        <v/>
      </c>
      <c r="S2644" s="6" t="inlineStr">
        <is>
          <t>G2G</t>
        </is>
      </c>
      <c r="T2644" s="1" t="inlineStr">
        <is>
          <t>P4 - PEIPL</t>
        </is>
      </c>
      <c r="U2644" s="2" t="inlineStr">
        <is>
          <t xml:space="preserve">physically damaged </t>
        </is>
      </c>
      <c r="V2644" s="1" t="inlineStr">
        <is>
          <t>Inspection</t>
        </is>
      </c>
      <c r="W2644" s="1" t="inlineStr">
        <is>
          <t>Rejected</t>
        </is>
      </c>
      <c r="X2644" s="5">
        <f>Z2644</f>
        <v/>
      </c>
      <c r="Y2644" s="1">
        <f>X2644-A2644</f>
        <v/>
      </c>
      <c r="Z2644" s="5" t="n">
        <v>46200</v>
      </c>
      <c r="AA2644" s="3" t="n"/>
      <c r="AB2644" s="3" t="n"/>
      <c r="AE2644" s="146">
        <f>IF(AND(F2644="Closed",X2644&gt;=DATE(2026,6,1),X2644&lt;=DATE(2026,6,30)),"Closed in June","other")</f>
        <v/>
      </c>
    </row>
    <row r="2645" hidden="1">
      <c r="A2645" s="49" t="n">
        <v>46177</v>
      </c>
      <c r="B2645" s="1" t="n">
        <v>2026</v>
      </c>
      <c r="C2645" s="8" t="inlineStr">
        <is>
          <t>Ayana</t>
        </is>
      </c>
      <c r="D2645" s="11" t="inlineStr">
        <is>
          <t>Utility and C&amp;I</t>
        </is>
      </c>
      <c r="E2645" s="1" t="n"/>
      <c r="F2645" s="1" t="inlineStr">
        <is>
          <t>Closed</t>
        </is>
      </c>
      <c r="G2645" s="11" t="inlineStr">
        <is>
          <t>Vasu.N</t>
        </is>
      </c>
      <c r="H2645" s="8" t="n">
        <v>9578099893</v>
      </c>
      <c r="I2645" s="10" t="inlineStr">
        <is>
          <t>PE04062601</t>
        </is>
      </c>
      <c r="J2645" s="28" t="inlineStr">
        <is>
          <t>Module burnt</t>
        </is>
      </c>
      <c r="K2645" s="8" t="inlineStr">
        <is>
          <t>Zura</t>
        </is>
      </c>
      <c r="L2645" s="8" t="inlineStr">
        <is>
          <t>Gujarat</t>
        </is>
      </c>
      <c r="M2645" s="2" t="inlineStr">
        <is>
          <t xml:space="preserve">damage </t>
        </is>
      </c>
      <c r="N2645" s="6" t="inlineStr">
        <is>
          <t>Module Breakage</t>
        </is>
      </c>
      <c r="O2645" s="51" t="n">
        <v>590</v>
      </c>
      <c r="P2645" s="2" t="inlineStr">
        <is>
          <t>NSMI24011966909</t>
        </is>
      </c>
      <c r="Q2645" s="29">
        <f>MID(P2645,5,2)</f>
        <v/>
      </c>
      <c r="R2645" s="14">
        <f>MID(P2645,7,2)</f>
        <v/>
      </c>
      <c r="S2645" s="6" t="inlineStr">
        <is>
          <t>G2G</t>
        </is>
      </c>
      <c r="T2645" s="1" t="inlineStr">
        <is>
          <t>P4 - PEIPL</t>
        </is>
      </c>
      <c r="U2645" s="2" t="inlineStr">
        <is>
          <t xml:space="preserve">physically damaged </t>
        </is>
      </c>
      <c r="V2645" s="1" t="inlineStr">
        <is>
          <t>Inspection</t>
        </is>
      </c>
      <c r="W2645" s="1" t="inlineStr">
        <is>
          <t>Rejected</t>
        </is>
      </c>
      <c r="X2645" s="5">
        <f>Z2645</f>
        <v/>
      </c>
      <c r="Y2645" s="1">
        <f>X2645-A2645</f>
        <v/>
      </c>
      <c r="Z2645" s="5" t="n">
        <v>46200</v>
      </c>
      <c r="AA2645" s="3" t="n"/>
      <c r="AB2645" s="3" t="n"/>
      <c r="AE2645" s="146">
        <f>IF(AND(F2645="Closed",X2645&gt;=DATE(2026,6,1),X2645&lt;=DATE(2026,6,30)),"Closed in June","other")</f>
        <v/>
      </c>
    </row>
    <row r="2646" hidden="1">
      <c r="A2646" s="49" t="n">
        <v>46177</v>
      </c>
      <c r="B2646" s="1" t="n">
        <v>2026</v>
      </c>
      <c r="C2646" s="8" t="inlineStr">
        <is>
          <t>Ayana</t>
        </is>
      </c>
      <c r="D2646" s="11" t="inlineStr">
        <is>
          <t>Utility and C&amp;I</t>
        </is>
      </c>
      <c r="E2646" s="1" t="n"/>
      <c r="F2646" s="1" t="inlineStr">
        <is>
          <t>Closed</t>
        </is>
      </c>
      <c r="G2646" s="11" t="inlineStr">
        <is>
          <t>Vasu.N</t>
        </is>
      </c>
      <c r="H2646" s="8" t="n">
        <v>9578099893</v>
      </c>
      <c r="I2646" s="10" t="inlineStr">
        <is>
          <t>PE04062601</t>
        </is>
      </c>
      <c r="J2646" s="28" t="inlineStr">
        <is>
          <t>Module burnt</t>
        </is>
      </c>
      <c r="K2646" s="8" t="inlineStr">
        <is>
          <t>Zura</t>
        </is>
      </c>
      <c r="L2646" s="8" t="inlineStr">
        <is>
          <t>Gujarat</t>
        </is>
      </c>
      <c r="M2646" s="2" t="inlineStr">
        <is>
          <t xml:space="preserve">damage </t>
        </is>
      </c>
      <c r="N2646" s="6" t="inlineStr">
        <is>
          <t>Module Breakage</t>
        </is>
      </c>
      <c r="O2646" s="51" t="n">
        <v>590</v>
      </c>
      <c r="P2646" s="2" t="inlineStr">
        <is>
          <t>NSMI24110813012</t>
        </is>
      </c>
      <c r="Q2646" s="29">
        <f>MID(P2646,5,2)</f>
        <v/>
      </c>
      <c r="R2646" s="14">
        <f>MID(P2646,7,2)</f>
        <v/>
      </c>
      <c r="S2646" s="6" t="inlineStr">
        <is>
          <t>G2G</t>
        </is>
      </c>
      <c r="T2646" s="1" t="inlineStr">
        <is>
          <t>P4 - PEIPL</t>
        </is>
      </c>
      <c r="U2646" s="2" t="inlineStr">
        <is>
          <t xml:space="preserve">physically damaged </t>
        </is>
      </c>
      <c r="V2646" s="1" t="inlineStr">
        <is>
          <t>Inspection</t>
        </is>
      </c>
      <c r="W2646" s="1" t="inlineStr">
        <is>
          <t>Rejected</t>
        </is>
      </c>
      <c r="X2646" s="5">
        <f>Z2646</f>
        <v/>
      </c>
      <c r="Y2646" s="1">
        <f>X2646-A2646</f>
        <v/>
      </c>
      <c r="Z2646" s="5" t="n">
        <v>46200</v>
      </c>
      <c r="AA2646" s="3" t="n"/>
      <c r="AB2646" s="3" t="n"/>
      <c r="AE2646" s="146">
        <f>IF(AND(F2646="Closed",X2646&gt;=DATE(2026,6,1),X2646&lt;=DATE(2026,6,30)),"Closed in June","other")</f>
        <v/>
      </c>
    </row>
    <row r="2647" hidden="1">
      <c r="A2647" s="49" t="n">
        <v>46177</v>
      </c>
      <c r="B2647" s="1" t="n">
        <v>2026</v>
      </c>
      <c r="C2647" s="8" t="inlineStr">
        <is>
          <t>Ayana</t>
        </is>
      </c>
      <c r="D2647" s="11" t="inlineStr">
        <is>
          <t>Utility and C&amp;I</t>
        </is>
      </c>
      <c r="E2647" s="1" t="n"/>
      <c r="F2647" s="1" t="inlineStr">
        <is>
          <t>Closed</t>
        </is>
      </c>
      <c r="G2647" s="11" t="inlineStr">
        <is>
          <t>Vasu.N</t>
        </is>
      </c>
      <c r="H2647" s="8" t="n">
        <v>9578099893</v>
      </c>
      <c r="I2647" s="10" t="inlineStr">
        <is>
          <t>PE04062601</t>
        </is>
      </c>
      <c r="J2647" s="28" t="inlineStr">
        <is>
          <t>Module burnt</t>
        </is>
      </c>
      <c r="K2647" s="8" t="inlineStr">
        <is>
          <t>Zura</t>
        </is>
      </c>
      <c r="L2647" s="8" t="inlineStr">
        <is>
          <t>Gujarat</t>
        </is>
      </c>
      <c r="M2647" s="2" t="inlineStr">
        <is>
          <t xml:space="preserve">damage </t>
        </is>
      </c>
      <c r="N2647" s="6" t="inlineStr">
        <is>
          <t>Module Breakage</t>
        </is>
      </c>
      <c r="O2647" s="51" t="n">
        <v>590</v>
      </c>
      <c r="P2647" s="2" t="inlineStr">
        <is>
          <t>NSMI24110820983</t>
        </is>
      </c>
      <c r="Q2647" s="29">
        <f>MID(P2647,5,2)</f>
        <v/>
      </c>
      <c r="R2647" s="14">
        <f>MID(P2647,7,2)</f>
        <v/>
      </c>
      <c r="S2647" s="6" t="inlineStr">
        <is>
          <t>G2G</t>
        </is>
      </c>
      <c r="T2647" s="1" t="inlineStr">
        <is>
          <t>P4 - PEIPL</t>
        </is>
      </c>
      <c r="U2647" s="2" t="inlineStr">
        <is>
          <t xml:space="preserve">physically damaged </t>
        </is>
      </c>
      <c r="V2647" s="1" t="inlineStr">
        <is>
          <t>Inspection</t>
        </is>
      </c>
      <c r="W2647" s="1" t="inlineStr">
        <is>
          <t>Rejected</t>
        </is>
      </c>
      <c r="X2647" s="5">
        <f>Z2647</f>
        <v/>
      </c>
      <c r="Y2647" s="1">
        <f>X2647-A2647</f>
        <v/>
      </c>
      <c r="Z2647" s="5" t="n">
        <v>46200</v>
      </c>
      <c r="AA2647" s="3" t="n"/>
      <c r="AB2647" s="3" t="n"/>
      <c r="AE2647" s="146">
        <f>IF(AND(F2647="Closed",X2647&gt;=DATE(2026,6,1),X2647&lt;=DATE(2026,6,30)),"Closed in June","other")</f>
        <v/>
      </c>
    </row>
    <row r="2648" hidden="1">
      <c r="A2648" s="49" t="n">
        <v>46177</v>
      </c>
      <c r="B2648" s="1" t="n">
        <v>2026</v>
      </c>
      <c r="C2648" s="8" t="inlineStr">
        <is>
          <t>Ayana</t>
        </is>
      </c>
      <c r="D2648" s="11" t="inlineStr">
        <is>
          <t>Utility and C&amp;I</t>
        </is>
      </c>
      <c r="E2648" s="1" t="n"/>
      <c r="F2648" s="1" t="inlineStr">
        <is>
          <t>Closed</t>
        </is>
      </c>
      <c r="G2648" s="11" t="inlineStr">
        <is>
          <t>Vasu.N</t>
        </is>
      </c>
      <c r="H2648" s="8" t="n">
        <v>9578099893</v>
      </c>
      <c r="I2648" s="10" t="inlineStr">
        <is>
          <t>PE04062601</t>
        </is>
      </c>
      <c r="J2648" s="28" t="inlineStr">
        <is>
          <t>Module burnt</t>
        </is>
      </c>
      <c r="K2648" s="8" t="inlineStr">
        <is>
          <t>Zura</t>
        </is>
      </c>
      <c r="L2648" s="8" t="inlineStr">
        <is>
          <t>Gujarat</t>
        </is>
      </c>
      <c r="M2648" s="2" t="inlineStr">
        <is>
          <t xml:space="preserve">damage </t>
        </is>
      </c>
      <c r="N2648" s="6" t="inlineStr">
        <is>
          <t>Module Breakage</t>
        </is>
      </c>
      <c r="O2648" s="51" t="n">
        <v>590</v>
      </c>
      <c r="P2648" s="2" t="inlineStr">
        <is>
          <t>NSMI24100661153</t>
        </is>
      </c>
      <c r="Q2648" s="29">
        <f>MID(P2648,5,2)</f>
        <v/>
      </c>
      <c r="R2648" s="14">
        <f>MID(P2648,7,2)</f>
        <v/>
      </c>
      <c r="S2648" s="6" t="inlineStr">
        <is>
          <t>G2G</t>
        </is>
      </c>
      <c r="T2648" s="1" t="inlineStr">
        <is>
          <t>P4 - PEIPL</t>
        </is>
      </c>
      <c r="U2648" s="2" t="inlineStr">
        <is>
          <t xml:space="preserve">physically damaged </t>
        </is>
      </c>
      <c r="V2648" s="1" t="inlineStr">
        <is>
          <t>Inspection</t>
        </is>
      </c>
      <c r="W2648" s="1" t="inlineStr">
        <is>
          <t>Rejected</t>
        </is>
      </c>
      <c r="X2648" s="5">
        <f>Z2648</f>
        <v/>
      </c>
      <c r="Y2648" s="1">
        <f>X2648-A2648</f>
        <v/>
      </c>
      <c r="Z2648" s="5" t="n">
        <v>46200</v>
      </c>
      <c r="AA2648" s="3" t="n"/>
      <c r="AB2648" s="3" t="n"/>
      <c r="AE2648" s="146">
        <f>IF(AND(F2648="Closed",X2648&gt;=DATE(2026,6,1),X2648&lt;=DATE(2026,6,30)),"Closed in June","other")</f>
        <v/>
      </c>
    </row>
    <row r="2649" hidden="1">
      <c r="A2649" s="49" t="n">
        <v>46177</v>
      </c>
      <c r="B2649" s="1" t="n">
        <v>2026</v>
      </c>
      <c r="C2649" s="8" t="inlineStr">
        <is>
          <t>Ayana</t>
        </is>
      </c>
      <c r="D2649" s="11" t="inlineStr">
        <is>
          <t>Utility and C&amp;I</t>
        </is>
      </c>
      <c r="E2649" s="1" t="n"/>
      <c r="F2649" s="1" t="inlineStr">
        <is>
          <t>Closed</t>
        </is>
      </c>
      <c r="G2649" s="11" t="inlineStr">
        <is>
          <t>Vasu.N</t>
        </is>
      </c>
      <c r="H2649" s="8" t="n">
        <v>9578099893</v>
      </c>
      <c r="I2649" s="10" t="inlineStr">
        <is>
          <t>PE04062601</t>
        </is>
      </c>
      <c r="J2649" s="28" t="inlineStr">
        <is>
          <t>Module burnt</t>
        </is>
      </c>
      <c r="K2649" s="8" t="inlineStr">
        <is>
          <t>Zura</t>
        </is>
      </c>
      <c r="L2649" s="8" t="inlineStr">
        <is>
          <t>Gujarat</t>
        </is>
      </c>
      <c r="M2649" s="2" t="inlineStr">
        <is>
          <t xml:space="preserve">damage </t>
        </is>
      </c>
      <c r="N2649" s="6" t="inlineStr">
        <is>
          <t>Module Breakage</t>
        </is>
      </c>
      <c r="O2649" s="51" t="n">
        <v>590</v>
      </c>
      <c r="P2649" s="2" t="inlineStr">
        <is>
          <t>NSMI24110828139</t>
        </is>
      </c>
      <c r="Q2649" s="29">
        <f>MID(P2649,5,2)</f>
        <v/>
      </c>
      <c r="R2649" s="14">
        <f>MID(P2649,7,2)</f>
        <v/>
      </c>
      <c r="S2649" s="6" t="inlineStr">
        <is>
          <t>G2G</t>
        </is>
      </c>
      <c r="T2649" s="1" t="inlineStr">
        <is>
          <t>P4 - PEIPL</t>
        </is>
      </c>
      <c r="U2649" s="2" t="inlineStr">
        <is>
          <t xml:space="preserve">physically damaged </t>
        </is>
      </c>
      <c r="V2649" s="1" t="inlineStr">
        <is>
          <t>Inspection</t>
        </is>
      </c>
      <c r="W2649" s="1" t="inlineStr">
        <is>
          <t>Rejected</t>
        </is>
      </c>
      <c r="X2649" s="5">
        <f>Z2649</f>
        <v/>
      </c>
      <c r="Y2649" s="1">
        <f>X2649-A2649</f>
        <v/>
      </c>
      <c r="Z2649" s="5" t="n">
        <v>46200</v>
      </c>
      <c r="AA2649" s="3" t="n"/>
      <c r="AB2649" s="3" t="n"/>
      <c r="AE2649" s="146">
        <f>IF(AND(F2649="Closed",X2649&gt;=DATE(2026,6,1),X2649&lt;=DATE(2026,6,30)),"Closed in June","other")</f>
        <v/>
      </c>
    </row>
    <row r="2650" hidden="1">
      <c r="A2650" s="49" t="n">
        <v>46177</v>
      </c>
      <c r="B2650" s="1" t="n">
        <v>2026</v>
      </c>
      <c r="C2650" s="8" t="inlineStr">
        <is>
          <t>Ayana</t>
        </is>
      </c>
      <c r="D2650" s="11" t="inlineStr">
        <is>
          <t>Utility and C&amp;I</t>
        </is>
      </c>
      <c r="E2650" s="1" t="n"/>
      <c r="F2650" s="1" t="inlineStr">
        <is>
          <t>Closed</t>
        </is>
      </c>
      <c r="G2650" s="11" t="inlineStr">
        <is>
          <t>Vasu.N</t>
        </is>
      </c>
      <c r="H2650" s="8" t="n">
        <v>9578099893</v>
      </c>
      <c r="I2650" s="10" t="inlineStr">
        <is>
          <t>PE04062601</t>
        </is>
      </c>
      <c r="J2650" s="28" t="inlineStr">
        <is>
          <t>Module burnt</t>
        </is>
      </c>
      <c r="K2650" s="8" t="inlineStr">
        <is>
          <t>Zura</t>
        </is>
      </c>
      <c r="L2650" s="8" t="inlineStr">
        <is>
          <t>Gujarat</t>
        </is>
      </c>
      <c r="M2650" s="2" t="inlineStr">
        <is>
          <t xml:space="preserve">damage </t>
        </is>
      </c>
      <c r="N2650" s="6" t="inlineStr">
        <is>
          <t>Module Breakage</t>
        </is>
      </c>
      <c r="O2650" s="51" t="n">
        <v>590</v>
      </c>
      <c r="P2650" s="2" t="inlineStr">
        <is>
          <t>NSMI24100666512</t>
        </is>
      </c>
      <c r="Q2650" s="29">
        <f>MID(P2650,5,2)</f>
        <v/>
      </c>
      <c r="R2650" s="14">
        <f>MID(P2650,7,2)</f>
        <v/>
      </c>
      <c r="S2650" s="6" t="inlineStr">
        <is>
          <t>G2G</t>
        </is>
      </c>
      <c r="T2650" s="1" t="inlineStr">
        <is>
          <t>P4 - PEIPL</t>
        </is>
      </c>
      <c r="U2650" s="2" t="inlineStr">
        <is>
          <t xml:space="preserve">physically damaged </t>
        </is>
      </c>
      <c r="V2650" s="1" t="inlineStr">
        <is>
          <t>Inspection</t>
        </is>
      </c>
      <c r="W2650" s="1" t="inlineStr">
        <is>
          <t>Rejected</t>
        </is>
      </c>
      <c r="X2650" s="5">
        <f>Z2650</f>
        <v/>
      </c>
      <c r="Y2650" s="1">
        <f>X2650-A2650</f>
        <v/>
      </c>
      <c r="Z2650" s="5" t="n">
        <v>46200</v>
      </c>
      <c r="AA2650" s="3" t="n"/>
      <c r="AB2650" s="3" t="n"/>
      <c r="AE2650" s="146">
        <f>IF(AND(F2650="Closed",X2650&gt;=DATE(2026,6,1),X2650&lt;=DATE(2026,6,30)),"Closed in June","other")</f>
        <v/>
      </c>
    </row>
    <row r="2651" hidden="1">
      <c r="A2651" s="49" t="n">
        <v>46177</v>
      </c>
      <c r="B2651" s="1" t="n">
        <v>2026</v>
      </c>
      <c r="C2651" s="8" t="inlineStr">
        <is>
          <t>Ayana</t>
        </is>
      </c>
      <c r="D2651" s="11" t="inlineStr">
        <is>
          <t>Utility and C&amp;I</t>
        </is>
      </c>
      <c r="E2651" s="1" t="n"/>
      <c r="F2651" s="1" t="inlineStr">
        <is>
          <t>WIP</t>
        </is>
      </c>
      <c r="G2651" s="11" t="inlineStr">
        <is>
          <t>Vasu.N</t>
        </is>
      </c>
      <c r="H2651" s="8" t="n">
        <v>9578099893</v>
      </c>
      <c r="I2651" s="10" t="inlineStr">
        <is>
          <t>PE04062601</t>
        </is>
      </c>
      <c r="J2651" s="28" t="inlineStr">
        <is>
          <t>Module burnt</t>
        </is>
      </c>
      <c r="K2651" s="8" t="inlineStr">
        <is>
          <t>Zura</t>
        </is>
      </c>
      <c r="L2651" s="8" t="inlineStr">
        <is>
          <t>Gujarat</t>
        </is>
      </c>
      <c r="M2651" s="2" t="inlineStr">
        <is>
          <t xml:space="preserve">damage </t>
        </is>
      </c>
      <c r="N2651" s="6" t="inlineStr">
        <is>
          <t>Module Breakage</t>
        </is>
      </c>
      <c r="O2651" s="51" t="n">
        <v>590</v>
      </c>
      <c r="P2651" s="2" t="inlineStr">
        <is>
          <t>NSMI24100688614</t>
        </is>
      </c>
      <c r="Q2651" s="29">
        <f>MID(P2651,5,2)</f>
        <v/>
      </c>
      <c r="R2651" s="14">
        <f>MID(P2651,7,2)</f>
        <v/>
      </c>
      <c r="S2651" s="6" t="inlineStr">
        <is>
          <t>G2G</t>
        </is>
      </c>
      <c r="T2651" s="1" t="inlineStr">
        <is>
          <t>P4 - PEIPL</t>
        </is>
      </c>
      <c r="U2651" s="2" t="inlineStr">
        <is>
          <t>Frame Damaged</t>
        </is>
      </c>
      <c r="V2651" s="47" t="inlineStr">
        <is>
          <t>WIP</t>
        </is>
      </c>
      <c r="W2651" s="1" t="inlineStr">
        <is>
          <t>WIP</t>
        </is>
      </c>
      <c r="X2651" s="5" t="n"/>
      <c r="Y2651" s="1">
        <f>IF(X2651="","",X2651-A2651)</f>
        <v/>
      </c>
      <c r="Z2651" s="5" t="n">
        <v>46200</v>
      </c>
      <c r="AA2651" s="3" t="n"/>
      <c r="AB2651" s="3" t="n"/>
      <c r="AE2651" s="146">
        <f>IF(AND(F2651="Closed",X2651&gt;=DATE(2026,6,1),X2651&lt;=DATE(2026,6,30)),"Closed in June","other")</f>
        <v/>
      </c>
    </row>
    <row r="2652" hidden="1">
      <c r="A2652" s="49" t="n">
        <v>46177</v>
      </c>
      <c r="B2652" s="1" t="n">
        <v>2026</v>
      </c>
      <c r="C2652" s="8" t="inlineStr">
        <is>
          <t>Ayana</t>
        </is>
      </c>
      <c r="D2652" s="11" t="inlineStr">
        <is>
          <t>Utility and C&amp;I</t>
        </is>
      </c>
      <c r="E2652" s="1" t="n"/>
      <c r="F2652" s="1" t="inlineStr">
        <is>
          <t>Closed</t>
        </is>
      </c>
      <c r="G2652" s="11" t="inlineStr">
        <is>
          <t>Vasu.N</t>
        </is>
      </c>
      <c r="H2652" s="8" t="n">
        <v>9578099893</v>
      </c>
      <c r="I2652" s="10" t="inlineStr">
        <is>
          <t>PE04062601</t>
        </is>
      </c>
      <c r="J2652" s="28" t="inlineStr">
        <is>
          <t>Module burnt</t>
        </is>
      </c>
      <c r="K2652" s="8" t="inlineStr">
        <is>
          <t>Zura</t>
        </is>
      </c>
      <c r="L2652" s="8" t="inlineStr">
        <is>
          <t>Gujarat</t>
        </is>
      </c>
      <c r="M2652" s="2" t="inlineStr">
        <is>
          <t xml:space="preserve">damage </t>
        </is>
      </c>
      <c r="N2652" s="6" t="inlineStr">
        <is>
          <t>Module Breakage</t>
        </is>
      </c>
      <c r="O2652" s="51" t="n">
        <v>590</v>
      </c>
      <c r="P2652" s="2" t="inlineStr">
        <is>
          <t>NSMI24100668171</t>
        </is>
      </c>
      <c r="Q2652" s="29">
        <f>MID(P2652,5,2)</f>
        <v/>
      </c>
      <c r="R2652" s="14">
        <f>MID(P2652,7,2)</f>
        <v/>
      </c>
      <c r="S2652" s="6" t="inlineStr">
        <is>
          <t>G2G</t>
        </is>
      </c>
      <c r="T2652" s="1" t="inlineStr">
        <is>
          <t>P4 - PEIPL</t>
        </is>
      </c>
      <c r="U2652" s="2" t="inlineStr">
        <is>
          <t xml:space="preserve">physically damaged </t>
        </is>
      </c>
      <c r="V2652" s="1" t="inlineStr">
        <is>
          <t>Inspection</t>
        </is>
      </c>
      <c r="W2652" s="1" t="inlineStr">
        <is>
          <t>Rejected</t>
        </is>
      </c>
      <c r="X2652" s="5">
        <f>Z2652</f>
        <v/>
      </c>
      <c r="Y2652" s="1">
        <f>X2652-A2652</f>
        <v/>
      </c>
      <c r="Z2652" s="5" t="n">
        <v>46200</v>
      </c>
      <c r="AA2652" s="3" t="n"/>
      <c r="AB2652" s="3" t="n"/>
      <c r="AE2652" s="146">
        <f>IF(AND(F2652="Closed",X2652&gt;=DATE(2026,6,1),X2652&lt;=DATE(2026,6,30)),"Closed in June","other")</f>
        <v/>
      </c>
    </row>
    <row r="2653" hidden="1">
      <c r="A2653" s="49" t="n">
        <v>46177</v>
      </c>
      <c r="B2653" s="1" t="n">
        <v>2026</v>
      </c>
      <c r="C2653" s="8" t="inlineStr">
        <is>
          <t>Ayana</t>
        </is>
      </c>
      <c r="D2653" s="11" t="inlineStr">
        <is>
          <t>Utility and C&amp;I</t>
        </is>
      </c>
      <c r="E2653" s="1" t="n"/>
      <c r="F2653" s="1" t="inlineStr">
        <is>
          <t>Closed</t>
        </is>
      </c>
      <c r="G2653" s="11" t="inlineStr">
        <is>
          <t>Vasu.N</t>
        </is>
      </c>
      <c r="H2653" s="8" t="n">
        <v>9578099893</v>
      </c>
      <c r="I2653" s="10" t="inlineStr">
        <is>
          <t>PE04062601</t>
        </is>
      </c>
      <c r="J2653" s="28" t="inlineStr">
        <is>
          <t>Module burnt</t>
        </is>
      </c>
      <c r="K2653" s="8" t="inlineStr">
        <is>
          <t>Zura</t>
        </is>
      </c>
      <c r="L2653" s="8" t="inlineStr">
        <is>
          <t>Gujarat</t>
        </is>
      </c>
      <c r="M2653" s="2" t="inlineStr">
        <is>
          <t xml:space="preserve">damage </t>
        </is>
      </c>
      <c r="N2653" s="6" t="inlineStr">
        <is>
          <t>Module Breakage</t>
        </is>
      </c>
      <c r="O2653" s="51" t="n">
        <v>590</v>
      </c>
      <c r="P2653" s="2" t="inlineStr">
        <is>
          <t>NSMI24100648705</t>
        </is>
      </c>
      <c r="Q2653" s="29">
        <f>MID(P2653,5,2)</f>
        <v/>
      </c>
      <c r="R2653" s="14">
        <f>MID(P2653,7,2)</f>
        <v/>
      </c>
      <c r="S2653" s="6" t="inlineStr">
        <is>
          <t>G2G</t>
        </is>
      </c>
      <c r="T2653" s="1" t="inlineStr">
        <is>
          <t>P4 - PEIPL</t>
        </is>
      </c>
      <c r="U2653" s="2" t="inlineStr">
        <is>
          <t xml:space="preserve">physically damaged </t>
        </is>
      </c>
      <c r="V2653" s="1" t="inlineStr">
        <is>
          <t>Inspection</t>
        </is>
      </c>
      <c r="W2653" s="1" t="inlineStr">
        <is>
          <t>Rejected</t>
        </is>
      </c>
      <c r="X2653" s="5">
        <f>Z2653</f>
        <v/>
      </c>
      <c r="Y2653" s="1">
        <f>X2653-A2653</f>
        <v/>
      </c>
      <c r="Z2653" s="5" t="n">
        <v>46200</v>
      </c>
      <c r="AA2653" s="3" t="n"/>
      <c r="AB2653" s="3" t="n"/>
      <c r="AE2653" s="146">
        <f>IF(AND(F2653="Closed",X2653&gt;=DATE(2026,6,1),X2653&lt;=DATE(2026,6,30)),"Closed in June","other")</f>
        <v/>
      </c>
    </row>
    <row r="2654" hidden="1">
      <c r="A2654" s="49" t="n">
        <v>46177</v>
      </c>
      <c r="B2654" s="1" t="n">
        <v>2026</v>
      </c>
      <c r="C2654" s="8" t="inlineStr">
        <is>
          <t>Ayana</t>
        </is>
      </c>
      <c r="D2654" s="11" t="inlineStr">
        <is>
          <t>Utility and C&amp;I</t>
        </is>
      </c>
      <c r="E2654" s="1" t="n"/>
      <c r="F2654" s="1" t="inlineStr">
        <is>
          <t>Closed</t>
        </is>
      </c>
      <c r="G2654" s="11" t="inlineStr">
        <is>
          <t>Vasu.N</t>
        </is>
      </c>
      <c r="H2654" s="8" t="n">
        <v>9578099893</v>
      </c>
      <c r="I2654" s="10" t="inlineStr">
        <is>
          <t>PE04062601</t>
        </is>
      </c>
      <c r="J2654" s="28" t="inlineStr">
        <is>
          <t>Module burnt</t>
        </is>
      </c>
      <c r="K2654" s="8" t="inlineStr">
        <is>
          <t>Zura</t>
        </is>
      </c>
      <c r="L2654" s="8" t="inlineStr">
        <is>
          <t>Gujarat</t>
        </is>
      </c>
      <c r="M2654" s="2" t="inlineStr">
        <is>
          <t xml:space="preserve">damage </t>
        </is>
      </c>
      <c r="N2654" s="6" t="inlineStr">
        <is>
          <t>Module Breakage</t>
        </is>
      </c>
      <c r="O2654" s="51" t="n">
        <v>590</v>
      </c>
      <c r="P2654" s="2" t="inlineStr">
        <is>
          <t>NSMI24100687324</t>
        </is>
      </c>
      <c r="Q2654" s="29">
        <f>MID(P2654,5,2)</f>
        <v/>
      </c>
      <c r="R2654" s="14">
        <f>MID(P2654,7,2)</f>
        <v/>
      </c>
      <c r="S2654" s="6" t="inlineStr">
        <is>
          <t>G2G</t>
        </is>
      </c>
      <c r="T2654" s="1" t="inlineStr">
        <is>
          <t>P4 - PEIPL</t>
        </is>
      </c>
      <c r="U2654" s="2" t="inlineStr">
        <is>
          <t xml:space="preserve">physically damaged </t>
        </is>
      </c>
      <c r="V2654" s="1" t="inlineStr">
        <is>
          <t>Inspection</t>
        </is>
      </c>
      <c r="W2654" s="1" t="inlineStr">
        <is>
          <t>Rejected</t>
        </is>
      </c>
      <c r="X2654" s="5">
        <f>Z2654</f>
        <v/>
      </c>
      <c r="Y2654" s="1">
        <f>X2654-A2654</f>
        <v/>
      </c>
      <c r="Z2654" s="5" t="n">
        <v>46200</v>
      </c>
      <c r="AA2654" s="3" t="n"/>
      <c r="AB2654" s="3" t="n"/>
      <c r="AE2654" s="146">
        <f>IF(AND(F2654="Closed",X2654&gt;=DATE(2026,6,1),X2654&lt;=DATE(2026,6,30)),"Closed in June","other")</f>
        <v/>
      </c>
    </row>
    <row r="2655" hidden="1">
      <c r="A2655" s="49" t="n">
        <v>46177</v>
      </c>
      <c r="B2655" s="1" t="n">
        <v>2026</v>
      </c>
      <c r="C2655" s="8" t="inlineStr">
        <is>
          <t>Ayana</t>
        </is>
      </c>
      <c r="D2655" s="11" t="inlineStr">
        <is>
          <t>Utility and C&amp;I</t>
        </is>
      </c>
      <c r="E2655" s="1" t="n"/>
      <c r="F2655" s="1" t="inlineStr">
        <is>
          <t>Closed</t>
        </is>
      </c>
      <c r="G2655" s="11" t="inlineStr">
        <is>
          <t>Vasu.N</t>
        </is>
      </c>
      <c r="H2655" s="8" t="n">
        <v>9578099893</v>
      </c>
      <c r="I2655" s="10" t="inlineStr">
        <is>
          <t>PE04062601</t>
        </is>
      </c>
      <c r="J2655" s="28" t="inlineStr">
        <is>
          <t>Module burnt</t>
        </is>
      </c>
      <c r="K2655" s="8" t="inlineStr">
        <is>
          <t>Zura</t>
        </is>
      </c>
      <c r="L2655" s="8" t="inlineStr">
        <is>
          <t>Gujarat</t>
        </is>
      </c>
      <c r="M2655" s="2" t="inlineStr">
        <is>
          <t xml:space="preserve">damage </t>
        </is>
      </c>
      <c r="N2655" s="6" t="inlineStr">
        <is>
          <t>Module Breakage</t>
        </is>
      </c>
      <c r="O2655" s="51" t="n">
        <v>590</v>
      </c>
      <c r="P2655" s="2" t="inlineStr">
        <is>
          <t>NSMI24110793246</t>
        </is>
      </c>
      <c r="Q2655" s="29">
        <f>MID(P2655,5,2)</f>
        <v/>
      </c>
      <c r="R2655" s="14">
        <f>MID(P2655,7,2)</f>
        <v/>
      </c>
      <c r="S2655" s="6" t="inlineStr">
        <is>
          <t>G2G</t>
        </is>
      </c>
      <c r="T2655" s="1" t="inlineStr">
        <is>
          <t>P4 - PEIPL</t>
        </is>
      </c>
      <c r="U2655" s="2" t="inlineStr">
        <is>
          <t xml:space="preserve">physically damaged </t>
        </is>
      </c>
      <c r="V2655" s="1" t="inlineStr">
        <is>
          <t>Inspection</t>
        </is>
      </c>
      <c r="W2655" s="1" t="inlineStr">
        <is>
          <t>Rejected</t>
        </is>
      </c>
      <c r="X2655" s="5">
        <f>Z2655</f>
        <v/>
      </c>
      <c r="Y2655" s="1">
        <f>X2655-A2655</f>
        <v/>
      </c>
      <c r="Z2655" s="5" t="n">
        <v>46200</v>
      </c>
      <c r="AA2655" s="3" t="n"/>
      <c r="AB2655" s="3" t="n"/>
      <c r="AE2655" s="146">
        <f>IF(AND(F2655="Closed",X2655&gt;=DATE(2026,6,1),X2655&lt;=DATE(2026,6,30)),"Closed in June","other")</f>
        <v/>
      </c>
    </row>
    <row r="2656" hidden="1">
      <c r="A2656" s="49" t="n">
        <v>46177</v>
      </c>
      <c r="B2656" s="1" t="n">
        <v>2026</v>
      </c>
      <c r="C2656" s="8" t="inlineStr">
        <is>
          <t>Ayana</t>
        </is>
      </c>
      <c r="D2656" s="11" t="inlineStr">
        <is>
          <t>Utility and C&amp;I</t>
        </is>
      </c>
      <c r="E2656" s="1" t="n"/>
      <c r="F2656" s="1" t="inlineStr">
        <is>
          <t>Closed</t>
        </is>
      </c>
      <c r="G2656" s="11" t="inlineStr">
        <is>
          <t>Vasu.N</t>
        </is>
      </c>
      <c r="H2656" s="8" t="n">
        <v>9578099893</v>
      </c>
      <c r="I2656" s="10" t="inlineStr">
        <is>
          <t>PE04062601</t>
        </is>
      </c>
      <c r="J2656" s="28" t="inlineStr">
        <is>
          <t>Module burnt</t>
        </is>
      </c>
      <c r="K2656" s="8" t="inlineStr">
        <is>
          <t>Zura</t>
        </is>
      </c>
      <c r="L2656" s="8" t="inlineStr">
        <is>
          <t>Gujarat</t>
        </is>
      </c>
      <c r="M2656" s="2" t="inlineStr">
        <is>
          <t xml:space="preserve">damage </t>
        </is>
      </c>
      <c r="N2656" s="6" t="inlineStr">
        <is>
          <t>Module Breakage</t>
        </is>
      </c>
      <c r="O2656" s="51" t="n">
        <v>590</v>
      </c>
      <c r="P2656" s="2" t="inlineStr">
        <is>
          <t>NSMI24100646779</t>
        </is>
      </c>
      <c r="Q2656" s="29">
        <f>MID(P2656,5,2)</f>
        <v/>
      </c>
      <c r="R2656" s="14">
        <f>MID(P2656,7,2)</f>
        <v/>
      </c>
      <c r="S2656" s="6" t="inlineStr">
        <is>
          <t>G2G</t>
        </is>
      </c>
      <c r="T2656" s="1" t="inlineStr">
        <is>
          <t>P4 - PEIPL</t>
        </is>
      </c>
      <c r="U2656" s="2" t="inlineStr">
        <is>
          <t xml:space="preserve">physically damaged </t>
        </is>
      </c>
      <c r="V2656" s="1" t="inlineStr">
        <is>
          <t>Inspection</t>
        </is>
      </c>
      <c r="W2656" s="1" t="inlineStr">
        <is>
          <t>Rejected</t>
        </is>
      </c>
      <c r="X2656" s="5">
        <f>Z2656</f>
        <v/>
      </c>
      <c r="Y2656" s="1">
        <f>X2656-A2656</f>
        <v/>
      </c>
      <c r="Z2656" s="5" t="n">
        <v>46200</v>
      </c>
      <c r="AA2656" s="3" t="n"/>
      <c r="AB2656" s="3" t="n"/>
      <c r="AE2656" s="146">
        <f>IF(AND(F2656="Closed",X2656&gt;=DATE(2026,6,1),X2656&lt;=DATE(2026,6,30)),"Closed in June","other")</f>
        <v/>
      </c>
    </row>
    <row r="2657" hidden="1">
      <c r="A2657" s="49" t="n">
        <v>46177</v>
      </c>
      <c r="B2657" s="1" t="n">
        <v>2026</v>
      </c>
      <c r="C2657" s="8" t="inlineStr">
        <is>
          <t>Ayana</t>
        </is>
      </c>
      <c r="D2657" s="11" t="inlineStr">
        <is>
          <t>Utility and C&amp;I</t>
        </is>
      </c>
      <c r="E2657" s="1" t="n"/>
      <c r="F2657" s="1" t="inlineStr">
        <is>
          <t>Closed</t>
        </is>
      </c>
      <c r="G2657" s="11" t="inlineStr">
        <is>
          <t>Vasu.N</t>
        </is>
      </c>
      <c r="H2657" s="8" t="n">
        <v>9578099893</v>
      </c>
      <c r="I2657" s="10" t="inlineStr">
        <is>
          <t>PE04062601</t>
        </is>
      </c>
      <c r="J2657" s="28" t="inlineStr">
        <is>
          <t>Module burnt</t>
        </is>
      </c>
      <c r="K2657" s="8" t="inlineStr">
        <is>
          <t>Zura</t>
        </is>
      </c>
      <c r="L2657" s="8" t="inlineStr">
        <is>
          <t>Gujarat</t>
        </is>
      </c>
      <c r="M2657" s="2" t="inlineStr">
        <is>
          <t xml:space="preserve">damage </t>
        </is>
      </c>
      <c r="N2657" s="6" t="inlineStr">
        <is>
          <t>Module Breakage</t>
        </is>
      </c>
      <c r="O2657" s="51" t="n">
        <v>590</v>
      </c>
      <c r="P2657" s="2" t="inlineStr">
        <is>
          <t>NSMI24100684751</t>
        </is>
      </c>
      <c r="Q2657" s="29">
        <f>MID(P2657,5,2)</f>
        <v/>
      </c>
      <c r="R2657" s="14">
        <f>MID(P2657,7,2)</f>
        <v/>
      </c>
      <c r="S2657" s="6" t="inlineStr">
        <is>
          <t>G2G</t>
        </is>
      </c>
      <c r="T2657" s="1" t="inlineStr">
        <is>
          <t>P4 - PEIPL</t>
        </is>
      </c>
      <c r="U2657" s="2" t="inlineStr">
        <is>
          <t xml:space="preserve">physically damaged </t>
        </is>
      </c>
      <c r="V2657" s="1" t="inlineStr">
        <is>
          <t>Inspection</t>
        </is>
      </c>
      <c r="W2657" s="1" t="inlineStr">
        <is>
          <t>Rejected</t>
        </is>
      </c>
      <c r="X2657" s="5">
        <f>Z2657</f>
        <v/>
      </c>
      <c r="Y2657" s="1">
        <f>X2657-A2657</f>
        <v/>
      </c>
      <c r="Z2657" s="5" t="n">
        <v>46200</v>
      </c>
      <c r="AA2657" s="3" t="n"/>
      <c r="AB2657" s="3" t="n"/>
      <c r="AE2657" s="146">
        <f>IF(AND(F2657="Closed",X2657&gt;=DATE(2026,6,1),X2657&lt;=DATE(2026,6,30)),"Closed in June","other")</f>
        <v/>
      </c>
    </row>
    <row r="2658" hidden="1">
      <c r="A2658" s="49" t="n">
        <v>46177</v>
      </c>
      <c r="B2658" s="1" t="n">
        <v>2026</v>
      </c>
      <c r="C2658" s="8" t="inlineStr">
        <is>
          <t>Ayana</t>
        </is>
      </c>
      <c r="D2658" s="11" t="inlineStr">
        <is>
          <t>Utility and C&amp;I</t>
        </is>
      </c>
      <c r="E2658" s="1" t="n"/>
      <c r="F2658" s="1" t="inlineStr">
        <is>
          <t>Closed</t>
        </is>
      </c>
      <c r="G2658" s="11" t="inlineStr">
        <is>
          <t>Vasu.N</t>
        </is>
      </c>
      <c r="H2658" s="8" t="n">
        <v>9578099893</v>
      </c>
      <c r="I2658" s="10" t="inlineStr">
        <is>
          <t>PE04062601</t>
        </is>
      </c>
      <c r="J2658" s="28" t="inlineStr">
        <is>
          <t>Module burnt</t>
        </is>
      </c>
      <c r="K2658" s="8" t="inlineStr">
        <is>
          <t>Zura</t>
        </is>
      </c>
      <c r="L2658" s="8" t="inlineStr">
        <is>
          <t>Gujarat</t>
        </is>
      </c>
      <c r="M2658" s="2" t="inlineStr">
        <is>
          <t xml:space="preserve">damage </t>
        </is>
      </c>
      <c r="N2658" s="6" t="inlineStr">
        <is>
          <t>Module Breakage</t>
        </is>
      </c>
      <c r="O2658" s="51" t="n">
        <v>590</v>
      </c>
      <c r="P2658" s="2" t="inlineStr">
        <is>
          <t>NSMI24110795414</t>
        </is>
      </c>
      <c r="Q2658" s="29">
        <f>MID(P2658,5,2)</f>
        <v/>
      </c>
      <c r="R2658" s="14">
        <f>MID(P2658,7,2)</f>
        <v/>
      </c>
      <c r="S2658" s="6" t="inlineStr">
        <is>
          <t>G2G</t>
        </is>
      </c>
      <c r="T2658" s="1" t="inlineStr">
        <is>
          <t>P4 - PEIPL</t>
        </is>
      </c>
      <c r="U2658" s="2" t="inlineStr">
        <is>
          <t xml:space="preserve">physically damaged </t>
        </is>
      </c>
      <c r="V2658" s="1" t="inlineStr">
        <is>
          <t>Inspection</t>
        </is>
      </c>
      <c r="W2658" s="1" t="inlineStr">
        <is>
          <t>Rejected</t>
        </is>
      </c>
      <c r="X2658" s="5">
        <f>Z2658</f>
        <v/>
      </c>
      <c r="Y2658" s="1">
        <f>X2658-A2658</f>
        <v/>
      </c>
      <c r="Z2658" s="5" t="n">
        <v>46200</v>
      </c>
      <c r="AA2658" s="3" t="n"/>
      <c r="AB2658" s="3" t="n"/>
      <c r="AE2658" s="146">
        <f>IF(AND(F2658="Closed",X2658&gt;=DATE(2026,6,1),X2658&lt;=DATE(2026,6,30)),"Closed in June","other")</f>
        <v/>
      </c>
    </row>
    <row r="2659" hidden="1">
      <c r="A2659" s="49" t="n">
        <v>46177</v>
      </c>
      <c r="B2659" s="1" t="n">
        <v>2026</v>
      </c>
      <c r="C2659" s="8" t="inlineStr">
        <is>
          <t>Ayana</t>
        </is>
      </c>
      <c r="D2659" s="11" t="inlineStr">
        <is>
          <t>Utility and C&amp;I</t>
        </is>
      </c>
      <c r="E2659" s="1" t="n"/>
      <c r="F2659" s="1" t="inlineStr">
        <is>
          <t>Closed</t>
        </is>
      </c>
      <c r="G2659" s="11" t="inlineStr">
        <is>
          <t>Vasu.N</t>
        </is>
      </c>
      <c r="H2659" s="8" t="n">
        <v>9578099893</v>
      </c>
      <c r="I2659" s="10" t="inlineStr">
        <is>
          <t>PE04062601</t>
        </is>
      </c>
      <c r="J2659" s="28" t="inlineStr">
        <is>
          <t>Module burnt</t>
        </is>
      </c>
      <c r="K2659" s="8" t="inlineStr">
        <is>
          <t>Zura</t>
        </is>
      </c>
      <c r="L2659" s="8" t="inlineStr">
        <is>
          <t>Gujarat</t>
        </is>
      </c>
      <c r="M2659" s="2" t="inlineStr">
        <is>
          <t xml:space="preserve">damage </t>
        </is>
      </c>
      <c r="N2659" s="6" t="inlineStr">
        <is>
          <t>Module Breakage</t>
        </is>
      </c>
      <c r="O2659" s="51" t="n">
        <v>590</v>
      </c>
      <c r="P2659" s="2" t="inlineStr">
        <is>
          <t>NSMI24110795412</t>
        </is>
      </c>
      <c r="Q2659" s="29">
        <f>MID(P2659,5,2)</f>
        <v/>
      </c>
      <c r="R2659" s="14">
        <f>MID(P2659,7,2)</f>
        <v/>
      </c>
      <c r="S2659" s="6" t="inlineStr">
        <is>
          <t>G2G</t>
        </is>
      </c>
      <c r="T2659" s="1" t="inlineStr">
        <is>
          <t>P4 - PEIPL</t>
        </is>
      </c>
      <c r="U2659" s="2" t="inlineStr">
        <is>
          <t xml:space="preserve">physically damaged </t>
        </is>
      </c>
      <c r="V2659" s="1" t="inlineStr">
        <is>
          <t>Inspection</t>
        </is>
      </c>
      <c r="W2659" s="1" t="inlineStr">
        <is>
          <t>Rejected</t>
        </is>
      </c>
      <c r="X2659" s="5">
        <f>Z2659</f>
        <v/>
      </c>
      <c r="Y2659" s="1">
        <f>X2659-A2659</f>
        <v/>
      </c>
      <c r="Z2659" s="5" t="n">
        <v>46200</v>
      </c>
      <c r="AA2659" s="3" t="n"/>
      <c r="AB2659" s="3" t="n"/>
      <c r="AE2659" s="146">
        <f>IF(AND(F2659="Closed",X2659&gt;=DATE(2026,6,1),X2659&lt;=DATE(2026,6,30)),"Closed in June","other")</f>
        <v/>
      </c>
    </row>
    <row r="2660" hidden="1">
      <c r="A2660" s="49" t="n">
        <v>46177</v>
      </c>
      <c r="B2660" s="1" t="n">
        <v>2026</v>
      </c>
      <c r="C2660" s="8" t="inlineStr">
        <is>
          <t>Ayana</t>
        </is>
      </c>
      <c r="D2660" s="11" t="inlineStr">
        <is>
          <t>Utility and C&amp;I</t>
        </is>
      </c>
      <c r="E2660" s="1" t="n"/>
      <c r="F2660" s="1" t="inlineStr">
        <is>
          <t>Closed</t>
        </is>
      </c>
      <c r="G2660" s="11" t="inlineStr">
        <is>
          <t>Vasu.N</t>
        </is>
      </c>
      <c r="H2660" s="8" t="n">
        <v>9578099893</v>
      </c>
      <c r="I2660" s="10" t="inlineStr">
        <is>
          <t>PE04062601</t>
        </is>
      </c>
      <c r="J2660" s="28" t="inlineStr">
        <is>
          <t>Module burnt</t>
        </is>
      </c>
      <c r="K2660" s="8" t="inlineStr">
        <is>
          <t>Zura</t>
        </is>
      </c>
      <c r="L2660" s="8" t="inlineStr">
        <is>
          <t>Gujarat</t>
        </is>
      </c>
      <c r="M2660" s="2" t="inlineStr">
        <is>
          <t xml:space="preserve">damage </t>
        </is>
      </c>
      <c r="N2660" s="6" t="inlineStr">
        <is>
          <t>Module Breakage</t>
        </is>
      </c>
      <c r="O2660" s="51" t="n">
        <v>590</v>
      </c>
      <c r="P2660" s="2" t="inlineStr">
        <is>
          <t>NSMI24110798387</t>
        </is>
      </c>
      <c r="Q2660" s="29">
        <f>MID(P2660,5,2)</f>
        <v/>
      </c>
      <c r="R2660" s="14">
        <f>MID(P2660,7,2)</f>
        <v/>
      </c>
      <c r="S2660" s="6" t="inlineStr">
        <is>
          <t>G2G</t>
        </is>
      </c>
      <c r="T2660" s="1" t="inlineStr">
        <is>
          <t>P4 - PEIPL</t>
        </is>
      </c>
      <c r="U2660" s="2" t="inlineStr">
        <is>
          <t xml:space="preserve">physically damaged </t>
        </is>
      </c>
      <c r="V2660" s="1" t="inlineStr">
        <is>
          <t>Inspection</t>
        </is>
      </c>
      <c r="W2660" s="1" t="inlineStr">
        <is>
          <t>Rejected</t>
        </is>
      </c>
      <c r="X2660" s="5">
        <f>Z2660</f>
        <v/>
      </c>
      <c r="Y2660" s="1">
        <f>X2660-A2660</f>
        <v/>
      </c>
      <c r="Z2660" s="5" t="n">
        <v>46200</v>
      </c>
      <c r="AA2660" s="3" t="n"/>
      <c r="AB2660" s="3" t="n"/>
      <c r="AE2660" s="146">
        <f>IF(AND(F2660="Closed",X2660&gt;=DATE(2026,6,1),X2660&lt;=DATE(2026,6,30)),"Closed in June","other")</f>
        <v/>
      </c>
    </row>
    <row r="2661" hidden="1">
      <c r="A2661" s="49" t="n">
        <v>46177</v>
      </c>
      <c r="B2661" s="1" t="n">
        <v>2026</v>
      </c>
      <c r="C2661" s="8" t="inlineStr">
        <is>
          <t>Ayana</t>
        </is>
      </c>
      <c r="D2661" s="11" t="inlineStr">
        <is>
          <t>Utility and C&amp;I</t>
        </is>
      </c>
      <c r="E2661" s="1" t="n"/>
      <c r="F2661" s="1" t="inlineStr">
        <is>
          <t>Closed</t>
        </is>
      </c>
      <c r="G2661" s="11" t="inlineStr">
        <is>
          <t>Vasu.N</t>
        </is>
      </c>
      <c r="H2661" s="8" t="n">
        <v>9578099893</v>
      </c>
      <c r="I2661" s="10" t="inlineStr">
        <is>
          <t>PE04062601</t>
        </is>
      </c>
      <c r="J2661" s="28" t="inlineStr">
        <is>
          <t>Module burnt</t>
        </is>
      </c>
      <c r="K2661" s="8" t="inlineStr">
        <is>
          <t>Zura</t>
        </is>
      </c>
      <c r="L2661" s="8" t="inlineStr">
        <is>
          <t>Gujarat</t>
        </is>
      </c>
      <c r="M2661" s="2" t="inlineStr">
        <is>
          <t xml:space="preserve">damage </t>
        </is>
      </c>
      <c r="N2661" s="6" t="inlineStr">
        <is>
          <t>Module Breakage</t>
        </is>
      </c>
      <c r="O2661" s="51" t="n">
        <v>590</v>
      </c>
      <c r="P2661" s="2" t="inlineStr">
        <is>
          <t>NSMI24110792389</t>
        </is>
      </c>
      <c r="Q2661" s="29">
        <f>MID(P2661,5,2)</f>
        <v/>
      </c>
      <c r="R2661" s="14">
        <f>MID(P2661,7,2)</f>
        <v/>
      </c>
      <c r="S2661" s="6" t="inlineStr">
        <is>
          <t>G2G</t>
        </is>
      </c>
      <c r="T2661" s="1" t="inlineStr">
        <is>
          <t>P4 - PEIPL</t>
        </is>
      </c>
      <c r="U2661" s="2" t="inlineStr">
        <is>
          <t xml:space="preserve">physically damaged </t>
        </is>
      </c>
      <c r="V2661" s="1" t="inlineStr">
        <is>
          <t>Inspection</t>
        </is>
      </c>
      <c r="W2661" s="1" t="inlineStr">
        <is>
          <t>Rejected</t>
        </is>
      </c>
      <c r="X2661" s="5">
        <f>Z2661</f>
        <v/>
      </c>
      <c r="Y2661" s="1">
        <f>X2661-A2661</f>
        <v/>
      </c>
      <c r="Z2661" s="5" t="n">
        <v>46200</v>
      </c>
      <c r="AA2661" s="3" t="n"/>
      <c r="AB2661" s="3" t="n"/>
      <c r="AE2661" s="146">
        <f>IF(AND(F2661="Closed",X2661&gt;=DATE(2026,6,1),X2661&lt;=DATE(2026,6,30)),"Closed in June","other")</f>
        <v/>
      </c>
    </row>
    <row r="2662" hidden="1">
      <c r="A2662" s="49" t="n">
        <v>46177</v>
      </c>
      <c r="B2662" s="1" t="n">
        <v>2026</v>
      </c>
      <c r="C2662" s="8" t="inlineStr">
        <is>
          <t>Ayana</t>
        </is>
      </c>
      <c r="D2662" s="11" t="inlineStr">
        <is>
          <t>Utility and C&amp;I</t>
        </is>
      </c>
      <c r="E2662" s="1" t="n"/>
      <c r="F2662" s="1" t="inlineStr">
        <is>
          <t>Closed</t>
        </is>
      </c>
      <c r="G2662" s="11" t="inlineStr">
        <is>
          <t>Vasu.N</t>
        </is>
      </c>
      <c r="H2662" s="8" t="n">
        <v>9578099893</v>
      </c>
      <c r="I2662" s="10" t="inlineStr">
        <is>
          <t>PE04062601</t>
        </is>
      </c>
      <c r="J2662" s="28" t="inlineStr">
        <is>
          <t>Module burnt</t>
        </is>
      </c>
      <c r="K2662" s="8" t="inlineStr">
        <is>
          <t>Zura</t>
        </is>
      </c>
      <c r="L2662" s="8" t="inlineStr">
        <is>
          <t>Gujarat</t>
        </is>
      </c>
      <c r="M2662" s="2" t="inlineStr">
        <is>
          <t xml:space="preserve">damage </t>
        </is>
      </c>
      <c r="N2662" s="6" t="inlineStr">
        <is>
          <t>Module Breakage</t>
        </is>
      </c>
      <c r="O2662" s="51" t="n">
        <v>590</v>
      </c>
      <c r="P2662" s="2" t="inlineStr">
        <is>
          <t>NSMI24110796891</t>
        </is>
      </c>
      <c r="Q2662" s="29">
        <f>MID(P2662,5,2)</f>
        <v/>
      </c>
      <c r="R2662" s="14">
        <f>MID(P2662,7,2)</f>
        <v/>
      </c>
      <c r="S2662" s="6" t="inlineStr">
        <is>
          <t>G2G</t>
        </is>
      </c>
      <c r="T2662" s="1" t="inlineStr">
        <is>
          <t>P4 - PEIPL</t>
        </is>
      </c>
      <c r="U2662" s="2" t="inlineStr">
        <is>
          <t xml:space="preserve">physically damaged </t>
        </is>
      </c>
      <c r="V2662" s="1" t="inlineStr">
        <is>
          <t>Inspection</t>
        </is>
      </c>
      <c r="W2662" s="1" t="inlineStr">
        <is>
          <t>Rejected</t>
        </is>
      </c>
      <c r="X2662" s="5">
        <f>Z2662</f>
        <v/>
      </c>
      <c r="Y2662" s="1">
        <f>X2662-A2662</f>
        <v/>
      </c>
      <c r="Z2662" s="5" t="n">
        <v>46200</v>
      </c>
      <c r="AA2662" s="3" t="n"/>
      <c r="AB2662" s="3" t="n"/>
      <c r="AE2662" s="146">
        <f>IF(AND(F2662="Closed",X2662&gt;=DATE(2026,6,1),X2662&lt;=DATE(2026,6,30)),"Closed in June","other")</f>
        <v/>
      </c>
    </row>
    <row r="2663" hidden="1">
      <c r="A2663" s="49" t="n">
        <v>46177</v>
      </c>
      <c r="B2663" s="1" t="n">
        <v>2026</v>
      </c>
      <c r="C2663" s="8" t="inlineStr">
        <is>
          <t>Ayana</t>
        </is>
      </c>
      <c r="D2663" s="11" t="inlineStr">
        <is>
          <t>Utility and C&amp;I</t>
        </is>
      </c>
      <c r="E2663" s="1" t="n"/>
      <c r="F2663" s="1" t="inlineStr">
        <is>
          <t>Closed</t>
        </is>
      </c>
      <c r="G2663" s="11" t="inlineStr">
        <is>
          <t>Vasu.N</t>
        </is>
      </c>
      <c r="H2663" s="8" t="n">
        <v>9578099893</v>
      </c>
      <c r="I2663" s="10" t="inlineStr">
        <is>
          <t>PE04062601</t>
        </is>
      </c>
      <c r="J2663" s="28" t="inlineStr">
        <is>
          <t>Module burnt</t>
        </is>
      </c>
      <c r="K2663" s="8" t="inlineStr">
        <is>
          <t>Zura</t>
        </is>
      </c>
      <c r="L2663" s="8" t="inlineStr">
        <is>
          <t>Gujarat</t>
        </is>
      </c>
      <c r="M2663" s="2" t="inlineStr">
        <is>
          <t xml:space="preserve">damage </t>
        </is>
      </c>
      <c r="N2663" s="6" t="inlineStr">
        <is>
          <t>Module Breakage</t>
        </is>
      </c>
      <c r="O2663" s="51" t="n">
        <v>590</v>
      </c>
      <c r="P2663" s="2" t="inlineStr">
        <is>
          <t>NSMI24110792400</t>
        </is>
      </c>
      <c r="Q2663" s="29">
        <f>MID(P2663,5,2)</f>
        <v/>
      </c>
      <c r="R2663" s="14">
        <f>MID(P2663,7,2)</f>
        <v/>
      </c>
      <c r="S2663" s="6" t="inlineStr">
        <is>
          <t>G2G</t>
        </is>
      </c>
      <c r="T2663" s="1" t="inlineStr">
        <is>
          <t>P4 - PEIPL</t>
        </is>
      </c>
      <c r="U2663" s="2" t="inlineStr">
        <is>
          <t xml:space="preserve">physically damaged </t>
        </is>
      </c>
      <c r="V2663" s="1" t="inlineStr">
        <is>
          <t>Inspection</t>
        </is>
      </c>
      <c r="W2663" s="1" t="inlineStr">
        <is>
          <t>Rejected</t>
        </is>
      </c>
      <c r="X2663" s="5">
        <f>Z2663</f>
        <v/>
      </c>
      <c r="Y2663" s="1">
        <f>X2663-A2663</f>
        <v/>
      </c>
      <c r="Z2663" s="5" t="n">
        <v>46200</v>
      </c>
      <c r="AA2663" s="3" t="n"/>
      <c r="AB2663" s="3" t="n"/>
      <c r="AE2663" s="146">
        <f>IF(AND(F2663="Closed",X2663&gt;=DATE(2026,6,1),X2663&lt;=DATE(2026,6,30)),"Closed in June","other")</f>
        <v/>
      </c>
    </row>
    <row r="2664" hidden="1">
      <c r="A2664" s="49" t="n">
        <v>46177</v>
      </c>
      <c r="B2664" s="1" t="n">
        <v>2026</v>
      </c>
      <c r="C2664" s="8" t="inlineStr">
        <is>
          <t>Ayana</t>
        </is>
      </c>
      <c r="D2664" s="11" t="inlineStr">
        <is>
          <t>Utility and C&amp;I</t>
        </is>
      </c>
      <c r="E2664" s="1" t="n"/>
      <c r="F2664" s="1" t="inlineStr">
        <is>
          <t>Closed</t>
        </is>
      </c>
      <c r="G2664" s="11" t="inlineStr">
        <is>
          <t>Vasu.N</t>
        </is>
      </c>
      <c r="H2664" s="8" t="n">
        <v>9578099893</v>
      </c>
      <c r="I2664" s="10" t="inlineStr">
        <is>
          <t>PE04062601</t>
        </is>
      </c>
      <c r="J2664" s="28" t="inlineStr">
        <is>
          <t>Module burnt</t>
        </is>
      </c>
      <c r="K2664" s="8" t="inlineStr">
        <is>
          <t>Zura</t>
        </is>
      </c>
      <c r="L2664" s="8" t="inlineStr">
        <is>
          <t>Gujarat</t>
        </is>
      </c>
      <c r="M2664" s="2" t="inlineStr">
        <is>
          <t xml:space="preserve">damage </t>
        </is>
      </c>
      <c r="N2664" s="6" t="inlineStr">
        <is>
          <t>Module Breakage</t>
        </is>
      </c>
      <c r="O2664" s="51" t="n">
        <v>590</v>
      </c>
      <c r="P2664" s="2" t="inlineStr">
        <is>
          <t>NSMI24090430225</t>
        </is>
      </c>
      <c r="Q2664" s="29">
        <f>MID(P2664,5,2)</f>
        <v/>
      </c>
      <c r="R2664" s="14">
        <f>MID(P2664,7,2)</f>
        <v/>
      </c>
      <c r="S2664" s="6" t="inlineStr">
        <is>
          <t>G2G</t>
        </is>
      </c>
      <c r="T2664" s="1" t="inlineStr">
        <is>
          <t>P4 - PEIPL</t>
        </is>
      </c>
      <c r="U2664" s="2" t="inlineStr">
        <is>
          <t xml:space="preserve">physically damaged </t>
        </is>
      </c>
      <c r="V2664" s="1" t="inlineStr">
        <is>
          <t>Inspection</t>
        </is>
      </c>
      <c r="W2664" s="1" t="inlineStr">
        <is>
          <t>Rejected</t>
        </is>
      </c>
      <c r="X2664" s="5">
        <f>Z2664</f>
        <v/>
      </c>
      <c r="Y2664" s="1">
        <f>X2664-A2664</f>
        <v/>
      </c>
      <c r="Z2664" s="5" t="n">
        <v>46200</v>
      </c>
      <c r="AA2664" s="3" t="n"/>
      <c r="AB2664" s="3" t="n"/>
      <c r="AE2664" s="146">
        <f>IF(AND(F2664="Closed",X2664&gt;=DATE(2026,6,1),X2664&lt;=DATE(2026,6,30)),"Closed in June","other")</f>
        <v/>
      </c>
    </row>
    <row r="2665" hidden="1">
      <c r="A2665" s="49" t="n">
        <v>46177</v>
      </c>
      <c r="B2665" s="1" t="n">
        <v>2026</v>
      </c>
      <c r="C2665" s="8" t="inlineStr">
        <is>
          <t>Ayana</t>
        </is>
      </c>
      <c r="D2665" s="11" t="inlineStr">
        <is>
          <t>Utility and C&amp;I</t>
        </is>
      </c>
      <c r="E2665" s="1" t="n"/>
      <c r="F2665" s="1" t="inlineStr">
        <is>
          <t>Closed</t>
        </is>
      </c>
      <c r="G2665" s="11" t="inlineStr">
        <is>
          <t>Vasu.N</t>
        </is>
      </c>
      <c r="H2665" s="8" t="n">
        <v>9578099893</v>
      </c>
      <c r="I2665" s="10" t="inlineStr">
        <is>
          <t>PE04062601</t>
        </is>
      </c>
      <c r="J2665" s="28" t="inlineStr">
        <is>
          <t>Module burnt</t>
        </is>
      </c>
      <c r="K2665" s="8" t="inlineStr">
        <is>
          <t>Zura</t>
        </is>
      </c>
      <c r="L2665" s="8" t="inlineStr">
        <is>
          <t>Gujarat</t>
        </is>
      </c>
      <c r="M2665" s="2" t="inlineStr">
        <is>
          <t xml:space="preserve">damage </t>
        </is>
      </c>
      <c r="N2665" s="6" t="inlineStr">
        <is>
          <t>Module Breakage</t>
        </is>
      </c>
      <c r="O2665" s="51" t="n">
        <v>590</v>
      </c>
      <c r="P2665" s="2" t="inlineStr">
        <is>
          <t>NSMI24100592014</t>
        </is>
      </c>
      <c r="Q2665" s="29">
        <f>MID(P2665,5,2)</f>
        <v/>
      </c>
      <c r="R2665" s="14">
        <f>MID(P2665,7,2)</f>
        <v/>
      </c>
      <c r="S2665" s="6" t="inlineStr">
        <is>
          <t>G2G</t>
        </is>
      </c>
      <c r="T2665" s="1" t="inlineStr">
        <is>
          <t>P4 - PEIPL</t>
        </is>
      </c>
      <c r="U2665" s="2" t="inlineStr">
        <is>
          <t xml:space="preserve">physically damaged </t>
        </is>
      </c>
      <c r="V2665" s="1" t="inlineStr">
        <is>
          <t>Inspection</t>
        </is>
      </c>
      <c r="W2665" s="1" t="inlineStr">
        <is>
          <t>Rejected</t>
        </is>
      </c>
      <c r="X2665" s="5">
        <f>Z2665</f>
        <v/>
      </c>
      <c r="Y2665" s="1">
        <f>X2665-A2665</f>
        <v/>
      </c>
      <c r="Z2665" s="5" t="n">
        <v>46200</v>
      </c>
      <c r="AA2665" s="3" t="n"/>
      <c r="AB2665" s="3" t="n"/>
      <c r="AE2665" s="146">
        <f>IF(AND(F2665="Closed",X2665&gt;=DATE(2026,6,1),X2665&lt;=DATE(2026,6,30)),"Closed in June","other")</f>
        <v/>
      </c>
    </row>
    <row r="2666" hidden="1">
      <c r="A2666" s="49" t="n">
        <v>46177</v>
      </c>
      <c r="B2666" s="1" t="n">
        <v>2026</v>
      </c>
      <c r="C2666" s="8" t="inlineStr">
        <is>
          <t>Ayana</t>
        </is>
      </c>
      <c r="D2666" s="11" t="inlineStr">
        <is>
          <t>Utility and C&amp;I</t>
        </is>
      </c>
      <c r="E2666" s="1" t="n"/>
      <c r="F2666" s="1" t="inlineStr">
        <is>
          <t>Closed</t>
        </is>
      </c>
      <c r="G2666" s="11" t="inlineStr">
        <is>
          <t>Vasu.N</t>
        </is>
      </c>
      <c r="H2666" s="8" t="n">
        <v>9578099893</v>
      </c>
      <c r="I2666" s="10" t="inlineStr">
        <is>
          <t>PE04062601</t>
        </is>
      </c>
      <c r="J2666" s="28" t="inlineStr">
        <is>
          <t>Module burnt</t>
        </is>
      </c>
      <c r="K2666" s="8" t="inlineStr">
        <is>
          <t>Zura</t>
        </is>
      </c>
      <c r="L2666" s="8" t="inlineStr">
        <is>
          <t>Gujarat</t>
        </is>
      </c>
      <c r="M2666" s="2" t="inlineStr">
        <is>
          <t xml:space="preserve">damage </t>
        </is>
      </c>
      <c r="N2666" s="6" t="inlineStr">
        <is>
          <t>Module Breakage</t>
        </is>
      </c>
      <c r="O2666" s="51" t="n">
        <v>590</v>
      </c>
      <c r="P2666" s="2" t="inlineStr">
        <is>
          <t>NSMI24100598720</t>
        </is>
      </c>
      <c r="Q2666" s="29">
        <f>MID(P2666,5,2)</f>
        <v/>
      </c>
      <c r="R2666" s="14">
        <f>MID(P2666,7,2)</f>
        <v/>
      </c>
      <c r="S2666" s="6" t="inlineStr">
        <is>
          <t>G2G</t>
        </is>
      </c>
      <c r="T2666" s="1" t="inlineStr">
        <is>
          <t>P4 - PEIPL</t>
        </is>
      </c>
      <c r="U2666" s="2" t="inlineStr">
        <is>
          <t xml:space="preserve">physically damaged </t>
        </is>
      </c>
      <c r="V2666" s="1" t="inlineStr">
        <is>
          <t>Inspection</t>
        </is>
      </c>
      <c r="W2666" s="1" t="inlineStr">
        <is>
          <t>Rejected</t>
        </is>
      </c>
      <c r="X2666" s="5">
        <f>Z2666</f>
        <v/>
      </c>
      <c r="Y2666" s="1">
        <f>X2666-A2666</f>
        <v/>
      </c>
      <c r="Z2666" s="5" t="n">
        <v>46200</v>
      </c>
      <c r="AA2666" s="3" t="n"/>
      <c r="AB2666" s="3" t="n"/>
      <c r="AE2666" s="146">
        <f>IF(AND(F2666="Closed",X2666&gt;=DATE(2026,6,1),X2666&lt;=DATE(2026,6,30)),"Closed in June","other")</f>
        <v/>
      </c>
    </row>
    <row r="2667" hidden="1">
      <c r="A2667" s="49" t="n">
        <v>46177</v>
      </c>
      <c r="B2667" s="1" t="n">
        <v>2026</v>
      </c>
      <c r="C2667" s="8" t="inlineStr">
        <is>
          <t>Ayana</t>
        </is>
      </c>
      <c r="D2667" s="11" t="inlineStr">
        <is>
          <t>Utility and C&amp;I</t>
        </is>
      </c>
      <c r="E2667" s="1" t="n"/>
      <c r="F2667" s="1" t="inlineStr">
        <is>
          <t>Closed</t>
        </is>
      </c>
      <c r="G2667" s="11" t="inlineStr">
        <is>
          <t>Vasu.N</t>
        </is>
      </c>
      <c r="H2667" s="8" t="n">
        <v>9578099893</v>
      </c>
      <c r="I2667" s="10" t="inlineStr">
        <is>
          <t>PE04062601</t>
        </is>
      </c>
      <c r="J2667" s="28" t="inlineStr">
        <is>
          <t>Module burnt</t>
        </is>
      </c>
      <c r="K2667" s="8" t="inlineStr">
        <is>
          <t>Zura</t>
        </is>
      </c>
      <c r="L2667" s="8" t="inlineStr">
        <is>
          <t>Gujarat</t>
        </is>
      </c>
      <c r="M2667" s="2" t="inlineStr">
        <is>
          <t xml:space="preserve">damage </t>
        </is>
      </c>
      <c r="N2667" s="6" t="inlineStr">
        <is>
          <t>Module Breakage</t>
        </is>
      </c>
      <c r="O2667" s="51" t="n">
        <v>590</v>
      </c>
      <c r="P2667" s="2" t="inlineStr">
        <is>
          <t>NSMI24110829093</t>
        </is>
      </c>
      <c r="Q2667" s="29">
        <f>MID(P2667,5,2)</f>
        <v/>
      </c>
      <c r="R2667" s="14">
        <f>MID(P2667,7,2)</f>
        <v/>
      </c>
      <c r="S2667" s="6" t="inlineStr">
        <is>
          <t>G2G</t>
        </is>
      </c>
      <c r="T2667" s="1" t="inlineStr">
        <is>
          <t>P4 - PEIPL</t>
        </is>
      </c>
      <c r="U2667" s="2" t="inlineStr">
        <is>
          <t xml:space="preserve">physically damaged </t>
        </is>
      </c>
      <c r="V2667" s="1" t="inlineStr">
        <is>
          <t>Inspection</t>
        </is>
      </c>
      <c r="W2667" s="1" t="inlineStr">
        <is>
          <t>Rejected</t>
        </is>
      </c>
      <c r="X2667" s="5">
        <f>Z2667</f>
        <v/>
      </c>
      <c r="Y2667" s="1">
        <f>X2667-A2667</f>
        <v/>
      </c>
      <c r="Z2667" s="5" t="n">
        <v>46200</v>
      </c>
      <c r="AA2667" s="3" t="n"/>
      <c r="AB2667" s="3" t="n"/>
      <c r="AE2667" s="146">
        <f>IF(AND(F2667="Closed",X2667&gt;=DATE(2026,6,1),X2667&lt;=DATE(2026,6,30)),"Closed in June","other")</f>
        <v/>
      </c>
    </row>
    <row r="2668" hidden="1">
      <c r="A2668" s="49" t="n">
        <v>46177</v>
      </c>
      <c r="B2668" s="1" t="n">
        <v>2026</v>
      </c>
      <c r="C2668" s="8" t="inlineStr">
        <is>
          <t>Ayana</t>
        </is>
      </c>
      <c r="D2668" s="11" t="inlineStr">
        <is>
          <t>Utility and C&amp;I</t>
        </is>
      </c>
      <c r="E2668" s="1" t="n"/>
      <c r="F2668" s="1" t="inlineStr">
        <is>
          <t>Closed</t>
        </is>
      </c>
      <c r="G2668" s="11" t="inlineStr">
        <is>
          <t>Vasu.N</t>
        </is>
      </c>
      <c r="H2668" s="8" t="n">
        <v>9578099893</v>
      </c>
      <c r="I2668" s="10" t="inlineStr">
        <is>
          <t>PE04062601</t>
        </is>
      </c>
      <c r="J2668" s="28" t="inlineStr">
        <is>
          <t>Module burnt</t>
        </is>
      </c>
      <c r="K2668" s="8" t="inlineStr">
        <is>
          <t>Zura</t>
        </is>
      </c>
      <c r="L2668" s="8" t="inlineStr">
        <is>
          <t>Gujarat</t>
        </is>
      </c>
      <c r="M2668" s="2" t="inlineStr">
        <is>
          <t xml:space="preserve">damage </t>
        </is>
      </c>
      <c r="N2668" s="6" t="inlineStr">
        <is>
          <t>Module Breakage</t>
        </is>
      </c>
      <c r="O2668" s="51" t="n">
        <v>590</v>
      </c>
      <c r="P2668" s="2" t="inlineStr">
        <is>
          <t>NSMI24100611710</t>
        </is>
      </c>
      <c r="Q2668" s="29">
        <f>MID(P2668,5,2)</f>
        <v/>
      </c>
      <c r="R2668" s="14">
        <f>MID(P2668,7,2)</f>
        <v/>
      </c>
      <c r="S2668" s="6" t="inlineStr">
        <is>
          <t>G2G</t>
        </is>
      </c>
      <c r="T2668" s="1" t="inlineStr">
        <is>
          <t>P4 - PEIPL</t>
        </is>
      </c>
      <c r="U2668" s="2" t="inlineStr">
        <is>
          <t xml:space="preserve">physically damaged </t>
        </is>
      </c>
      <c r="V2668" s="1" t="inlineStr">
        <is>
          <t>Inspection</t>
        </is>
      </c>
      <c r="W2668" s="1" t="inlineStr">
        <is>
          <t>Rejected</t>
        </is>
      </c>
      <c r="X2668" s="5">
        <f>Z2668</f>
        <v/>
      </c>
      <c r="Y2668" s="1">
        <f>X2668-A2668</f>
        <v/>
      </c>
      <c r="Z2668" s="5" t="n">
        <v>46200</v>
      </c>
      <c r="AA2668" s="3" t="n"/>
      <c r="AB2668" s="3" t="n"/>
      <c r="AE2668" s="146">
        <f>IF(AND(F2668="Closed",X2668&gt;=DATE(2026,6,1),X2668&lt;=DATE(2026,6,30)),"Closed in June","other")</f>
        <v/>
      </c>
    </row>
    <row r="2669" hidden="1">
      <c r="A2669" s="49" t="n">
        <v>46177</v>
      </c>
      <c r="B2669" s="1" t="n">
        <v>2026</v>
      </c>
      <c r="C2669" s="8" t="inlineStr">
        <is>
          <t>Ayana</t>
        </is>
      </c>
      <c r="D2669" s="11" t="inlineStr">
        <is>
          <t>Utility and C&amp;I</t>
        </is>
      </c>
      <c r="E2669" s="1" t="n"/>
      <c r="F2669" s="1" t="inlineStr">
        <is>
          <t>Closed</t>
        </is>
      </c>
      <c r="G2669" s="11" t="inlineStr">
        <is>
          <t>Vasu.N</t>
        </is>
      </c>
      <c r="H2669" s="8" t="n">
        <v>9578099893</v>
      </c>
      <c r="I2669" s="10" t="inlineStr">
        <is>
          <t>PE04062601</t>
        </is>
      </c>
      <c r="J2669" s="28" t="inlineStr">
        <is>
          <t>Module burnt</t>
        </is>
      </c>
      <c r="K2669" s="8" t="inlineStr">
        <is>
          <t>Zura</t>
        </is>
      </c>
      <c r="L2669" s="8" t="inlineStr">
        <is>
          <t>Gujarat</t>
        </is>
      </c>
      <c r="M2669" s="2" t="inlineStr">
        <is>
          <t xml:space="preserve">damage </t>
        </is>
      </c>
      <c r="N2669" s="6" t="inlineStr">
        <is>
          <t>Module Breakage</t>
        </is>
      </c>
      <c r="O2669" s="51" t="n">
        <v>590</v>
      </c>
      <c r="P2669" s="2" t="inlineStr">
        <is>
          <t>NSMI24100692929</t>
        </is>
      </c>
      <c r="Q2669" s="29">
        <f>MID(P2669,5,2)</f>
        <v/>
      </c>
      <c r="R2669" s="14">
        <f>MID(P2669,7,2)</f>
        <v/>
      </c>
      <c r="S2669" s="6" t="inlineStr">
        <is>
          <t>G2G</t>
        </is>
      </c>
      <c r="T2669" s="1" t="inlineStr">
        <is>
          <t>P4 - PEIPL</t>
        </is>
      </c>
      <c r="U2669" s="2" t="inlineStr">
        <is>
          <t xml:space="preserve">physically damaged </t>
        </is>
      </c>
      <c r="V2669" s="1" t="inlineStr">
        <is>
          <t>Inspection</t>
        </is>
      </c>
      <c r="W2669" s="1" t="inlineStr">
        <is>
          <t>Rejected</t>
        </is>
      </c>
      <c r="X2669" s="5">
        <f>Z2669</f>
        <v/>
      </c>
      <c r="Y2669" s="1">
        <f>X2669-A2669</f>
        <v/>
      </c>
      <c r="Z2669" s="5" t="n">
        <v>46200</v>
      </c>
      <c r="AA2669" s="3" t="n"/>
      <c r="AB2669" s="3" t="n"/>
      <c r="AE2669" s="146">
        <f>IF(AND(F2669="Closed",X2669&gt;=DATE(2026,6,1),X2669&lt;=DATE(2026,6,30)),"Closed in June","other")</f>
        <v/>
      </c>
    </row>
    <row r="2670" hidden="1">
      <c r="A2670" s="49" t="n">
        <v>46177</v>
      </c>
      <c r="B2670" s="1" t="n">
        <v>2026</v>
      </c>
      <c r="C2670" s="8" t="inlineStr">
        <is>
          <t>Ayana</t>
        </is>
      </c>
      <c r="D2670" s="11" t="inlineStr">
        <is>
          <t>Utility and C&amp;I</t>
        </is>
      </c>
      <c r="E2670" s="1" t="n"/>
      <c r="F2670" s="1" t="inlineStr">
        <is>
          <t>Closed</t>
        </is>
      </c>
      <c r="G2670" s="11" t="inlineStr">
        <is>
          <t>Vasu.N</t>
        </is>
      </c>
      <c r="H2670" s="8" t="n">
        <v>9578099893</v>
      </c>
      <c r="I2670" s="10" t="inlineStr">
        <is>
          <t>PE04062601</t>
        </is>
      </c>
      <c r="J2670" s="28" t="inlineStr">
        <is>
          <t>Module burnt</t>
        </is>
      </c>
      <c r="K2670" s="8" t="inlineStr">
        <is>
          <t>Zura</t>
        </is>
      </c>
      <c r="L2670" s="8" t="inlineStr">
        <is>
          <t>Gujarat</t>
        </is>
      </c>
      <c r="M2670" s="2" t="inlineStr">
        <is>
          <t xml:space="preserve">damage </t>
        </is>
      </c>
      <c r="N2670" s="6" t="inlineStr">
        <is>
          <t>Module Breakage</t>
        </is>
      </c>
      <c r="O2670" s="51" t="n">
        <v>590</v>
      </c>
      <c r="P2670" s="2" t="inlineStr">
        <is>
          <t>NSMI24100684394</t>
        </is>
      </c>
      <c r="Q2670" s="29">
        <f>MID(P2670,5,2)</f>
        <v/>
      </c>
      <c r="R2670" s="14">
        <f>MID(P2670,7,2)</f>
        <v/>
      </c>
      <c r="S2670" s="6" t="inlineStr">
        <is>
          <t>G2G</t>
        </is>
      </c>
      <c r="T2670" s="1" t="inlineStr">
        <is>
          <t>P4 - PEIPL</t>
        </is>
      </c>
      <c r="U2670" s="2" t="inlineStr">
        <is>
          <t xml:space="preserve">physically damaged </t>
        </is>
      </c>
      <c r="V2670" s="1" t="inlineStr">
        <is>
          <t>Inspection</t>
        </is>
      </c>
      <c r="W2670" s="1" t="inlineStr">
        <is>
          <t>Rejected</t>
        </is>
      </c>
      <c r="X2670" s="5">
        <f>Z2670</f>
        <v/>
      </c>
      <c r="Y2670" s="1">
        <f>X2670-A2670</f>
        <v/>
      </c>
      <c r="Z2670" s="5" t="n">
        <v>46200</v>
      </c>
      <c r="AA2670" s="3" t="n"/>
      <c r="AB2670" s="3" t="n"/>
      <c r="AE2670" s="146">
        <f>IF(AND(F2670="Closed",X2670&gt;=DATE(2026,6,1),X2670&lt;=DATE(2026,6,30)),"Closed in June","other")</f>
        <v/>
      </c>
    </row>
    <row r="2671" hidden="1">
      <c r="A2671" s="49" t="n">
        <v>46177</v>
      </c>
      <c r="B2671" s="1" t="n">
        <v>2026</v>
      </c>
      <c r="C2671" s="8" t="inlineStr">
        <is>
          <t>Ayana</t>
        </is>
      </c>
      <c r="D2671" s="11" t="inlineStr">
        <is>
          <t>Utility and C&amp;I</t>
        </is>
      </c>
      <c r="E2671" s="1" t="n"/>
      <c r="F2671" s="1" t="inlineStr">
        <is>
          <t>WIP</t>
        </is>
      </c>
      <c r="G2671" s="11" t="inlineStr">
        <is>
          <t>Vasu.N</t>
        </is>
      </c>
      <c r="H2671" s="8" t="n">
        <v>9578099893</v>
      </c>
      <c r="I2671" s="10" t="inlineStr">
        <is>
          <t>PE04062601</t>
        </is>
      </c>
      <c r="J2671" s="28" t="inlineStr">
        <is>
          <t>Module burnt</t>
        </is>
      </c>
      <c r="K2671" s="8" t="inlineStr">
        <is>
          <t>Zura</t>
        </is>
      </c>
      <c r="L2671" s="8" t="inlineStr">
        <is>
          <t>Gujarat</t>
        </is>
      </c>
      <c r="M2671" s="2" t="inlineStr">
        <is>
          <t xml:space="preserve">damage </t>
        </is>
      </c>
      <c r="N2671" s="6" t="inlineStr">
        <is>
          <t>Module Breakage</t>
        </is>
      </c>
      <c r="O2671" s="51" t="n">
        <v>590</v>
      </c>
      <c r="P2671" s="2" t="inlineStr">
        <is>
          <t>NSMI24100684367</t>
        </is>
      </c>
      <c r="Q2671" s="29">
        <f>MID(P2671,5,2)</f>
        <v/>
      </c>
      <c r="R2671" s="14">
        <f>MID(P2671,7,2)</f>
        <v/>
      </c>
      <c r="S2671" s="6" t="inlineStr">
        <is>
          <t>G2G</t>
        </is>
      </c>
      <c r="T2671" s="1" t="inlineStr">
        <is>
          <t>P4 - PEIPL</t>
        </is>
      </c>
      <c r="U2671" s="2" t="inlineStr">
        <is>
          <t xml:space="preserve">Broken &amp; burn </t>
        </is>
      </c>
      <c r="V2671" s="47" t="inlineStr">
        <is>
          <t>WIP</t>
        </is>
      </c>
      <c r="W2671" s="1" t="inlineStr">
        <is>
          <t>WIP</t>
        </is>
      </c>
      <c r="X2671" s="5" t="n"/>
      <c r="Y2671" s="1">
        <f>IF(X2671="","",X2671-A2671)</f>
        <v/>
      </c>
      <c r="Z2671" s="5" t="n">
        <v>46200</v>
      </c>
      <c r="AA2671" s="3" t="n"/>
      <c r="AB2671" s="3" t="n"/>
      <c r="AE2671" s="146">
        <f>IF(AND(F2671="Closed",X2671&gt;=DATE(2026,6,1),X2671&lt;=DATE(2026,6,30)),"Closed in June","other")</f>
        <v/>
      </c>
    </row>
    <row r="2672" hidden="1">
      <c r="A2672" s="49" t="n">
        <v>46177</v>
      </c>
      <c r="B2672" s="1" t="n">
        <v>2026</v>
      </c>
      <c r="C2672" s="8" t="inlineStr">
        <is>
          <t>Ayana</t>
        </is>
      </c>
      <c r="D2672" s="11" t="inlineStr">
        <is>
          <t>Utility and C&amp;I</t>
        </is>
      </c>
      <c r="E2672" s="1" t="n"/>
      <c r="F2672" s="1" t="inlineStr">
        <is>
          <t>Closed</t>
        </is>
      </c>
      <c r="G2672" s="11" t="inlineStr">
        <is>
          <t>Vasu.N</t>
        </is>
      </c>
      <c r="H2672" s="8" t="n">
        <v>9578099893</v>
      </c>
      <c r="I2672" s="10" t="inlineStr">
        <is>
          <t>PE04062601</t>
        </is>
      </c>
      <c r="J2672" s="28" t="inlineStr">
        <is>
          <t>Module burnt</t>
        </is>
      </c>
      <c r="K2672" s="8" t="inlineStr">
        <is>
          <t>Zura</t>
        </is>
      </c>
      <c r="L2672" s="8" t="inlineStr">
        <is>
          <t>Gujarat</t>
        </is>
      </c>
      <c r="M2672" s="2" t="inlineStr">
        <is>
          <t xml:space="preserve">damage </t>
        </is>
      </c>
      <c r="N2672" s="6" t="inlineStr">
        <is>
          <t>Module Breakage</t>
        </is>
      </c>
      <c r="O2672" s="51" t="n">
        <v>590</v>
      </c>
      <c r="P2672" s="2" t="inlineStr">
        <is>
          <t>NSMI24110793901</t>
        </is>
      </c>
      <c r="Q2672" s="29">
        <f>MID(P2672,5,2)</f>
        <v/>
      </c>
      <c r="R2672" s="14">
        <f>MID(P2672,7,2)</f>
        <v/>
      </c>
      <c r="S2672" s="6" t="inlineStr">
        <is>
          <t>G2G</t>
        </is>
      </c>
      <c r="T2672" s="1" t="inlineStr">
        <is>
          <t>P4 - PEIPL</t>
        </is>
      </c>
      <c r="U2672" s="2" t="inlineStr">
        <is>
          <t xml:space="preserve">physically damaged </t>
        </is>
      </c>
      <c r="V2672" s="1" t="inlineStr">
        <is>
          <t>Inspection</t>
        </is>
      </c>
      <c r="W2672" s="1" t="inlineStr">
        <is>
          <t>Rejected</t>
        </is>
      </c>
      <c r="X2672" s="5">
        <f>Z2672</f>
        <v/>
      </c>
      <c r="Y2672" s="1">
        <f>X2672-A2672</f>
        <v/>
      </c>
      <c r="Z2672" s="5" t="n">
        <v>46200</v>
      </c>
      <c r="AA2672" s="3" t="n"/>
      <c r="AB2672" s="3" t="n"/>
      <c r="AE2672" s="146">
        <f>IF(AND(F2672="Closed",X2672&gt;=DATE(2026,6,1),X2672&lt;=DATE(2026,6,30)),"Closed in June","other")</f>
        <v/>
      </c>
    </row>
    <row r="2673" hidden="1">
      <c r="A2673" s="49" t="n">
        <v>46177</v>
      </c>
      <c r="B2673" s="1" t="n">
        <v>2026</v>
      </c>
      <c r="C2673" s="8" t="inlineStr">
        <is>
          <t>Ayana</t>
        </is>
      </c>
      <c r="D2673" s="11" t="inlineStr">
        <is>
          <t>Utility and C&amp;I</t>
        </is>
      </c>
      <c r="E2673" s="1" t="n"/>
      <c r="F2673" s="1" t="inlineStr">
        <is>
          <t>Closed</t>
        </is>
      </c>
      <c r="G2673" s="11" t="inlineStr">
        <is>
          <t>Vasu.N</t>
        </is>
      </c>
      <c r="H2673" s="8" t="n">
        <v>9578099893</v>
      </c>
      <c r="I2673" s="10" t="inlineStr">
        <is>
          <t>PE04062601</t>
        </is>
      </c>
      <c r="J2673" s="28" t="inlineStr">
        <is>
          <t>Module burnt</t>
        </is>
      </c>
      <c r="K2673" s="8" t="inlineStr">
        <is>
          <t>Zura</t>
        </is>
      </c>
      <c r="L2673" s="8" t="inlineStr">
        <is>
          <t>Gujarat</t>
        </is>
      </c>
      <c r="M2673" s="2" t="inlineStr">
        <is>
          <t xml:space="preserve">damage </t>
        </is>
      </c>
      <c r="N2673" s="6" t="inlineStr">
        <is>
          <t>Module Breakage</t>
        </is>
      </c>
      <c r="O2673" s="51" t="n">
        <v>590</v>
      </c>
      <c r="P2673" s="2" t="inlineStr">
        <is>
          <t>NSMI24100667314</t>
        </is>
      </c>
      <c r="Q2673" s="29">
        <f>MID(P2673,5,2)</f>
        <v/>
      </c>
      <c r="R2673" s="14">
        <f>MID(P2673,7,2)</f>
        <v/>
      </c>
      <c r="S2673" s="6" t="inlineStr">
        <is>
          <t>G2G</t>
        </is>
      </c>
      <c r="T2673" s="1" t="inlineStr">
        <is>
          <t>P4 - PEIPL</t>
        </is>
      </c>
      <c r="U2673" s="2" t="inlineStr">
        <is>
          <t xml:space="preserve">physically damaged </t>
        </is>
      </c>
      <c r="V2673" s="1" t="inlineStr">
        <is>
          <t>Inspection</t>
        </is>
      </c>
      <c r="W2673" s="1" t="inlineStr">
        <is>
          <t>Rejected</t>
        </is>
      </c>
      <c r="X2673" s="5">
        <f>Z2673</f>
        <v/>
      </c>
      <c r="Y2673" s="1">
        <f>X2673-A2673</f>
        <v/>
      </c>
      <c r="Z2673" s="5" t="n">
        <v>46200</v>
      </c>
      <c r="AA2673" s="3" t="n"/>
      <c r="AB2673" s="3" t="n"/>
      <c r="AE2673" s="146">
        <f>IF(AND(F2673="Closed",X2673&gt;=DATE(2026,6,1),X2673&lt;=DATE(2026,6,30)),"Closed in June","other")</f>
        <v/>
      </c>
    </row>
    <row r="2674" hidden="1">
      <c r="A2674" s="49" t="n">
        <v>46177</v>
      </c>
      <c r="B2674" s="1" t="n">
        <v>2026</v>
      </c>
      <c r="C2674" s="8" t="inlineStr">
        <is>
          <t>Ayana</t>
        </is>
      </c>
      <c r="D2674" s="11" t="inlineStr">
        <is>
          <t>Utility and C&amp;I</t>
        </is>
      </c>
      <c r="E2674" s="1" t="n"/>
      <c r="F2674" s="1" t="inlineStr">
        <is>
          <t>Closed</t>
        </is>
      </c>
      <c r="G2674" s="11" t="inlineStr">
        <is>
          <t>Vasu.N</t>
        </is>
      </c>
      <c r="H2674" s="8" t="n">
        <v>9578099893</v>
      </c>
      <c r="I2674" s="10" t="inlineStr">
        <is>
          <t>PE04062601</t>
        </is>
      </c>
      <c r="J2674" s="28" t="inlineStr">
        <is>
          <t>Module burnt</t>
        </is>
      </c>
      <c r="K2674" s="8" t="inlineStr">
        <is>
          <t>Zura</t>
        </is>
      </c>
      <c r="L2674" s="8" t="inlineStr">
        <is>
          <t>Gujarat</t>
        </is>
      </c>
      <c r="M2674" s="2" t="inlineStr">
        <is>
          <t xml:space="preserve">damage </t>
        </is>
      </c>
      <c r="N2674" s="6" t="inlineStr">
        <is>
          <t>Module Breakage</t>
        </is>
      </c>
      <c r="O2674" s="51" t="n">
        <v>590</v>
      </c>
      <c r="P2674" s="2" t="inlineStr">
        <is>
          <t>NSMI24100640608</t>
        </is>
      </c>
      <c r="Q2674" s="29">
        <f>MID(P2674,5,2)</f>
        <v/>
      </c>
      <c r="R2674" s="14">
        <f>MID(P2674,7,2)</f>
        <v/>
      </c>
      <c r="S2674" s="6" t="inlineStr">
        <is>
          <t>G2G</t>
        </is>
      </c>
      <c r="T2674" s="1" t="inlineStr">
        <is>
          <t>P4 - PEIPL</t>
        </is>
      </c>
      <c r="U2674" s="2" t="inlineStr">
        <is>
          <t xml:space="preserve">physically damaged </t>
        </is>
      </c>
      <c r="V2674" s="1" t="inlineStr">
        <is>
          <t>Inspection</t>
        </is>
      </c>
      <c r="W2674" s="1" t="inlineStr">
        <is>
          <t>Rejected</t>
        </is>
      </c>
      <c r="X2674" s="5">
        <f>Z2674</f>
        <v/>
      </c>
      <c r="Y2674" s="1">
        <f>X2674-A2674</f>
        <v/>
      </c>
      <c r="Z2674" s="5" t="n">
        <v>46200</v>
      </c>
      <c r="AA2674" s="3" t="n"/>
      <c r="AB2674" s="3" t="n"/>
      <c r="AE2674" s="146">
        <f>IF(AND(F2674="Closed",X2674&gt;=DATE(2026,6,1),X2674&lt;=DATE(2026,6,30)),"Closed in June","other")</f>
        <v/>
      </c>
    </row>
    <row r="2675" hidden="1">
      <c r="A2675" s="49" t="n">
        <v>46177</v>
      </c>
      <c r="B2675" s="1" t="n">
        <v>2026</v>
      </c>
      <c r="C2675" s="8" t="inlineStr">
        <is>
          <t>Ayana</t>
        </is>
      </c>
      <c r="D2675" s="11" t="inlineStr">
        <is>
          <t>Utility and C&amp;I</t>
        </is>
      </c>
      <c r="E2675" s="1" t="n"/>
      <c r="F2675" s="1" t="inlineStr">
        <is>
          <t>Closed</t>
        </is>
      </c>
      <c r="G2675" s="11" t="inlineStr">
        <is>
          <t>Vasu.N</t>
        </is>
      </c>
      <c r="H2675" s="8" t="n">
        <v>9578099893</v>
      </c>
      <c r="I2675" s="10" t="inlineStr">
        <is>
          <t>PE04062601</t>
        </is>
      </c>
      <c r="J2675" s="28" t="inlineStr">
        <is>
          <t>Module burnt</t>
        </is>
      </c>
      <c r="K2675" s="8" t="inlineStr">
        <is>
          <t>Zura</t>
        </is>
      </c>
      <c r="L2675" s="8" t="inlineStr">
        <is>
          <t>Gujarat</t>
        </is>
      </c>
      <c r="M2675" s="2" t="inlineStr">
        <is>
          <t xml:space="preserve">damage </t>
        </is>
      </c>
      <c r="N2675" s="6" t="inlineStr">
        <is>
          <t>Module Breakage</t>
        </is>
      </c>
      <c r="O2675" s="51" t="n">
        <v>590</v>
      </c>
      <c r="P2675" s="2" t="inlineStr">
        <is>
          <t>NSMI24100639413</t>
        </is>
      </c>
      <c r="Q2675" s="29">
        <f>MID(P2675,5,2)</f>
        <v/>
      </c>
      <c r="R2675" s="14">
        <f>MID(P2675,7,2)</f>
        <v/>
      </c>
      <c r="S2675" s="6" t="inlineStr">
        <is>
          <t>G2G</t>
        </is>
      </c>
      <c r="T2675" s="1" t="inlineStr">
        <is>
          <t>P4 - PEIPL</t>
        </is>
      </c>
      <c r="U2675" s="2" t="inlineStr">
        <is>
          <t xml:space="preserve">physically damaged </t>
        </is>
      </c>
      <c r="V2675" s="1" t="inlineStr">
        <is>
          <t>Inspection</t>
        </is>
      </c>
      <c r="W2675" s="1" t="inlineStr">
        <is>
          <t>Rejected</t>
        </is>
      </c>
      <c r="X2675" s="5">
        <f>Z2675</f>
        <v/>
      </c>
      <c r="Y2675" s="1">
        <f>X2675-A2675</f>
        <v/>
      </c>
      <c r="Z2675" s="5" t="n">
        <v>46200</v>
      </c>
      <c r="AA2675" s="3" t="n"/>
      <c r="AB2675" s="3" t="n"/>
      <c r="AE2675" s="146">
        <f>IF(AND(F2675="Closed",X2675&gt;=DATE(2026,6,1),X2675&lt;=DATE(2026,6,30)),"Closed in June","other")</f>
        <v/>
      </c>
    </row>
    <row r="2676" hidden="1">
      <c r="A2676" s="49" t="n">
        <v>46177</v>
      </c>
      <c r="B2676" s="1" t="n">
        <v>2026</v>
      </c>
      <c r="C2676" s="8" t="inlineStr">
        <is>
          <t>Ayana</t>
        </is>
      </c>
      <c r="D2676" s="11" t="inlineStr">
        <is>
          <t>Utility and C&amp;I</t>
        </is>
      </c>
      <c r="E2676" s="1" t="n"/>
      <c r="F2676" s="1" t="inlineStr">
        <is>
          <t>Closed</t>
        </is>
      </c>
      <c r="G2676" s="11" t="inlineStr">
        <is>
          <t>Vasu.N</t>
        </is>
      </c>
      <c r="H2676" s="8" t="n">
        <v>9578099893</v>
      </c>
      <c r="I2676" s="10" t="inlineStr">
        <is>
          <t>PE04062601</t>
        </is>
      </c>
      <c r="J2676" s="28" t="inlineStr">
        <is>
          <t>Module burnt</t>
        </is>
      </c>
      <c r="K2676" s="8" t="inlineStr">
        <is>
          <t>Zura</t>
        </is>
      </c>
      <c r="L2676" s="8" t="inlineStr">
        <is>
          <t>Gujarat</t>
        </is>
      </c>
      <c r="M2676" s="2" t="inlineStr">
        <is>
          <t xml:space="preserve">damage </t>
        </is>
      </c>
      <c r="N2676" s="6" t="inlineStr">
        <is>
          <t>Module Breakage</t>
        </is>
      </c>
      <c r="O2676" s="51" t="n">
        <v>590</v>
      </c>
      <c r="P2676" s="2" t="inlineStr">
        <is>
          <t>NSMI24100639448</t>
        </is>
      </c>
      <c r="Q2676" s="29">
        <f>MID(P2676,5,2)</f>
        <v/>
      </c>
      <c r="R2676" s="14">
        <f>MID(P2676,7,2)</f>
        <v/>
      </c>
      <c r="S2676" s="6" t="inlineStr">
        <is>
          <t>G2G</t>
        </is>
      </c>
      <c r="T2676" s="1" t="inlineStr">
        <is>
          <t>P4 - PEIPL</t>
        </is>
      </c>
      <c r="U2676" s="2" t="inlineStr">
        <is>
          <t xml:space="preserve">physically damaged </t>
        </is>
      </c>
      <c r="V2676" s="1" t="inlineStr">
        <is>
          <t>Inspection</t>
        </is>
      </c>
      <c r="W2676" s="1" t="inlineStr">
        <is>
          <t>Rejected</t>
        </is>
      </c>
      <c r="X2676" s="5">
        <f>Z2676</f>
        <v/>
      </c>
      <c r="Y2676" s="1">
        <f>X2676-A2676</f>
        <v/>
      </c>
      <c r="Z2676" s="5" t="n">
        <v>46200</v>
      </c>
      <c r="AA2676" s="3" t="n"/>
      <c r="AB2676" s="3" t="n"/>
      <c r="AE2676" s="146">
        <f>IF(AND(F2676="Closed",X2676&gt;=DATE(2026,6,1),X2676&lt;=DATE(2026,6,30)),"Closed in June","other")</f>
        <v/>
      </c>
    </row>
    <row r="2677" hidden="1">
      <c r="A2677" s="49" t="n">
        <v>46177</v>
      </c>
      <c r="B2677" s="1" t="n">
        <v>2026</v>
      </c>
      <c r="C2677" s="8" t="inlineStr">
        <is>
          <t>Ayana</t>
        </is>
      </c>
      <c r="D2677" s="11" t="inlineStr">
        <is>
          <t>Utility and C&amp;I</t>
        </is>
      </c>
      <c r="E2677" s="1" t="n"/>
      <c r="F2677" s="1" t="inlineStr">
        <is>
          <t>Closed</t>
        </is>
      </c>
      <c r="G2677" s="11" t="inlineStr">
        <is>
          <t>Vasu.N</t>
        </is>
      </c>
      <c r="H2677" s="8" t="n">
        <v>9578099893</v>
      </c>
      <c r="I2677" s="10" t="inlineStr">
        <is>
          <t>PE04062601</t>
        </is>
      </c>
      <c r="J2677" s="28" t="inlineStr">
        <is>
          <t>Module burnt</t>
        </is>
      </c>
      <c r="K2677" s="8" t="inlineStr">
        <is>
          <t>Zura</t>
        </is>
      </c>
      <c r="L2677" s="8" t="inlineStr">
        <is>
          <t>Gujarat</t>
        </is>
      </c>
      <c r="M2677" s="2" t="inlineStr">
        <is>
          <t xml:space="preserve">damage </t>
        </is>
      </c>
      <c r="N2677" s="6" t="inlineStr">
        <is>
          <t>Module Breakage</t>
        </is>
      </c>
      <c r="O2677" s="51" t="n">
        <v>590</v>
      </c>
      <c r="P2677" s="2" t="inlineStr">
        <is>
          <t>NSMI24110793254</t>
        </is>
      </c>
      <c r="Q2677" s="29">
        <f>MID(P2677,5,2)</f>
        <v/>
      </c>
      <c r="R2677" s="14">
        <f>MID(P2677,7,2)</f>
        <v/>
      </c>
      <c r="S2677" s="6" t="inlineStr">
        <is>
          <t>G2G</t>
        </is>
      </c>
      <c r="T2677" s="1" t="inlineStr">
        <is>
          <t>P4 - PEIPL</t>
        </is>
      </c>
      <c r="U2677" s="2" t="inlineStr">
        <is>
          <t xml:space="preserve">physically damaged </t>
        </is>
      </c>
      <c r="V2677" s="1" t="inlineStr">
        <is>
          <t>Inspection</t>
        </is>
      </c>
      <c r="W2677" s="1" t="inlineStr">
        <is>
          <t>Rejected</t>
        </is>
      </c>
      <c r="X2677" s="5">
        <f>Z2677</f>
        <v/>
      </c>
      <c r="Y2677" s="1">
        <f>X2677-A2677</f>
        <v/>
      </c>
      <c r="Z2677" s="5" t="n">
        <v>46200</v>
      </c>
      <c r="AA2677" s="3" t="n"/>
      <c r="AB2677" s="3" t="n"/>
      <c r="AE2677" s="146">
        <f>IF(AND(F2677="Closed",X2677&gt;=DATE(2026,6,1),X2677&lt;=DATE(2026,6,30)),"Closed in June","other")</f>
        <v/>
      </c>
    </row>
    <row r="2678" hidden="1">
      <c r="A2678" s="49" t="n">
        <v>46177</v>
      </c>
      <c r="B2678" s="1" t="n">
        <v>2026</v>
      </c>
      <c r="C2678" s="8" t="inlineStr">
        <is>
          <t>Ayana</t>
        </is>
      </c>
      <c r="D2678" s="11" t="inlineStr">
        <is>
          <t>Utility and C&amp;I</t>
        </is>
      </c>
      <c r="E2678" s="1" t="n"/>
      <c r="F2678" s="1" t="inlineStr">
        <is>
          <t>Closed</t>
        </is>
      </c>
      <c r="G2678" s="11" t="inlineStr">
        <is>
          <t>Vasu.N</t>
        </is>
      </c>
      <c r="H2678" s="8" t="n">
        <v>9578099893</v>
      </c>
      <c r="I2678" s="10" t="inlineStr">
        <is>
          <t>PE04062601</t>
        </is>
      </c>
      <c r="J2678" s="28" t="inlineStr">
        <is>
          <t>Module burnt</t>
        </is>
      </c>
      <c r="K2678" s="8" t="inlineStr">
        <is>
          <t>Zura</t>
        </is>
      </c>
      <c r="L2678" s="8" t="inlineStr">
        <is>
          <t>Gujarat</t>
        </is>
      </c>
      <c r="M2678" s="2" t="inlineStr">
        <is>
          <t xml:space="preserve">damage </t>
        </is>
      </c>
      <c r="N2678" s="6" t="inlineStr">
        <is>
          <t>Module Breakage</t>
        </is>
      </c>
      <c r="O2678" s="51" t="n">
        <v>590</v>
      </c>
      <c r="P2678" s="2" t="inlineStr">
        <is>
          <t>NSMI24100640579</t>
        </is>
      </c>
      <c r="Q2678" s="29">
        <f>MID(P2678,5,2)</f>
        <v/>
      </c>
      <c r="R2678" s="14">
        <f>MID(P2678,7,2)</f>
        <v/>
      </c>
      <c r="S2678" s="6" t="inlineStr">
        <is>
          <t>G2G</t>
        </is>
      </c>
      <c r="T2678" s="1" t="inlineStr">
        <is>
          <t>P4 - PEIPL</t>
        </is>
      </c>
      <c r="U2678" s="2" t="inlineStr">
        <is>
          <t xml:space="preserve">physically damaged </t>
        </is>
      </c>
      <c r="V2678" s="1" t="inlineStr">
        <is>
          <t>Inspection</t>
        </is>
      </c>
      <c r="W2678" s="1" t="inlineStr">
        <is>
          <t>Rejected</t>
        </is>
      </c>
      <c r="X2678" s="5">
        <f>Z2678</f>
        <v/>
      </c>
      <c r="Y2678" s="1">
        <f>X2678-A2678</f>
        <v/>
      </c>
      <c r="Z2678" s="5" t="n">
        <v>46200</v>
      </c>
      <c r="AA2678" s="3" t="n"/>
      <c r="AB2678" s="3" t="n"/>
      <c r="AE2678" s="146">
        <f>IF(AND(F2678="Closed",X2678&gt;=DATE(2026,6,1),X2678&lt;=DATE(2026,6,30)),"Closed in June","other")</f>
        <v/>
      </c>
    </row>
    <row r="2679" hidden="1">
      <c r="A2679" s="49" t="n">
        <v>46177</v>
      </c>
      <c r="B2679" s="1" t="n">
        <v>2026</v>
      </c>
      <c r="C2679" s="8" t="inlineStr">
        <is>
          <t>Ayana</t>
        </is>
      </c>
      <c r="D2679" s="11" t="inlineStr">
        <is>
          <t>Utility and C&amp;I</t>
        </is>
      </c>
      <c r="E2679" s="1" t="n"/>
      <c r="F2679" s="1" t="inlineStr">
        <is>
          <t>Closed</t>
        </is>
      </c>
      <c r="G2679" s="11" t="inlineStr">
        <is>
          <t>Vasu.N</t>
        </is>
      </c>
      <c r="H2679" s="8" t="n">
        <v>9578099893</v>
      </c>
      <c r="I2679" s="10" t="inlineStr">
        <is>
          <t>PE04062601</t>
        </is>
      </c>
      <c r="J2679" s="28" t="inlineStr">
        <is>
          <t>Module burnt</t>
        </is>
      </c>
      <c r="K2679" s="8" t="inlineStr">
        <is>
          <t>Zura</t>
        </is>
      </c>
      <c r="L2679" s="8" t="inlineStr">
        <is>
          <t>Gujarat</t>
        </is>
      </c>
      <c r="M2679" s="2" t="inlineStr">
        <is>
          <t xml:space="preserve">damage </t>
        </is>
      </c>
      <c r="N2679" s="6" t="inlineStr">
        <is>
          <t>Module Breakage</t>
        </is>
      </c>
      <c r="O2679" s="51" t="n">
        <v>590</v>
      </c>
      <c r="P2679" s="2" t="inlineStr">
        <is>
          <t>NSMI24100640595</t>
        </is>
      </c>
      <c r="Q2679" s="29">
        <f>MID(P2679,5,2)</f>
        <v/>
      </c>
      <c r="R2679" s="14">
        <f>MID(P2679,7,2)</f>
        <v/>
      </c>
      <c r="S2679" s="6" t="inlineStr">
        <is>
          <t>G2G</t>
        </is>
      </c>
      <c r="T2679" s="1" t="inlineStr">
        <is>
          <t>P4 - PEIPL</t>
        </is>
      </c>
      <c r="U2679" s="2" t="inlineStr">
        <is>
          <t xml:space="preserve">physically damaged </t>
        </is>
      </c>
      <c r="V2679" s="1" t="inlineStr">
        <is>
          <t>Inspection</t>
        </is>
      </c>
      <c r="W2679" s="1" t="inlineStr">
        <is>
          <t>Rejected</t>
        </is>
      </c>
      <c r="X2679" s="5">
        <f>Z2679</f>
        <v/>
      </c>
      <c r="Y2679" s="1">
        <f>X2679-A2679</f>
        <v/>
      </c>
      <c r="Z2679" s="5" t="n">
        <v>46200</v>
      </c>
      <c r="AA2679" s="3" t="n"/>
      <c r="AB2679" s="3" t="n"/>
      <c r="AE2679" s="146">
        <f>IF(AND(F2679="Closed",X2679&gt;=DATE(2026,6,1),X2679&lt;=DATE(2026,6,30)),"Closed in June","other")</f>
        <v/>
      </c>
    </row>
    <row r="2680" hidden="1">
      <c r="A2680" s="49" t="n">
        <v>46177</v>
      </c>
      <c r="B2680" s="1" t="n">
        <v>2026</v>
      </c>
      <c r="C2680" s="8" t="inlineStr">
        <is>
          <t>Ayana</t>
        </is>
      </c>
      <c r="D2680" s="11" t="inlineStr">
        <is>
          <t>Utility and C&amp;I</t>
        </is>
      </c>
      <c r="E2680" s="1" t="n"/>
      <c r="F2680" s="1" t="inlineStr">
        <is>
          <t>WIP</t>
        </is>
      </c>
      <c r="G2680" s="11" t="inlineStr">
        <is>
          <t>Vasu.N</t>
        </is>
      </c>
      <c r="H2680" s="8" t="n">
        <v>9578099893</v>
      </c>
      <c r="I2680" s="10" t="inlineStr">
        <is>
          <t>PE04062601</t>
        </is>
      </c>
      <c r="J2680" s="28" t="inlineStr">
        <is>
          <t>Module burnt</t>
        </is>
      </c>
      <c r="K2680" s="8" t="inlineStr">
        <is>
          <t>Zura</t>
        </is>
      </c>
      <c r="L2680" s="8" t="inlineStr">
        <is>
          <t>Gujarat</t>
        </is>
      </c>
      <c r="M2680" s="2" t="inlineStr">
        <is>
          <t xml:space="preserve">damage </t>
        </is>
      </c>
      <c r="N2680" s="6" t="inlineStr">
        <is>
          <t>Module Breakage</t>
        </is>
      </c>
      <c r="O2680" s="51" t="n">
        <v>590</v>
      </c>
      <c r="P2680" s="2" t="inlineStr">
        <is>
          <t>NSMI24110854455</t>
        </is>
      </c>
      <c r="Q2680" s="29">
        <f>MID(P2680,5,2)</f>
        <v/>
      </c>
      <c r="R2680" s="14">
        <f>MID(P2680,7,2)</f>
        <v/>
      </c>
      <c r="S2680" s="6" t="inlineStr">
        <is>
          <t>G2G</t>
        </is>
      </c>
      <c r="T2680" s="1" t="inlineStr">
        <is>
          <t>P4 - PEIPL</t>
        </is>
      </c>
      <c r="U2680" s="2" t="inlineStr">
        <is>
          <t>Frame Damaged</t>
        </is>
      </c>
      <c r="V2680" s="47" t="inlineStr">
        <is>
          <t>WIP</t>
        </is>
      </c>
      <c r="W2680" s="1" t="inlineStr">
        <is>
          <t>WIP</t>
        </is>
      </c>
      <c r="X2680" s="5" t="n"/>
      <c r="Y2680" s="1">
        <f>IF(X2680="","",X2680-A2680)</f>
        <v/>
      </c>
      <c r="Z2680" s="5" t="n">
        <v>46200</v>
      </c>
      <c r="AA2680" s="3" t="n"/>
      <c r="AB2680" s="3" t="n"/>
      <c r="AE2680" s="146">
        <f>IF(AND(F2680="Closed",X2680&gt;=DATE(2026,6,1),X2680&lt;=DATE(2026,6,30)),"Closed in June","other")</f>
        <v/>
      </c>
    </row>
    <row r="2681" hidden="1">
      <c r="A2681" s="49" t="n">
        <v>46177</v>
      </c>
      <c r="B2681" s="1" t="n">
        <v>2026</v>
      </c>
      <c r="C2681" s="8" t="inlineStr">
        <is>
          <t>Ayana</t>
        </is>
      </c>
      <c r="D2681" s="11" t="inlineStr">
        <is>
          <t>Utility and C&amp;I</t>
        </is>
      </c>
      <c r="E2681" s="1" t="n"/>
      <c r="F2681" s="1" t="inlineStr">
        <is>
          <t>Closed</t>
        </is>
      </c>
      <c r="G2681" s="11" t="inlineStr">
        <is>
          <t>Vasu.N</t>
        </is>
      </c>
      <c r="H2681" s="8" t="n">
        <v>9578099893</v>
      </c>
      <c r="I2681" s="10" t="inlineStr">
        <is>
          <t>PE04062601</t>
        </is>
      </c>
      <c r="J2681" s="28" t="inlineStr">
        <is>
          <t>Module burnt</t>
        </is>
      </c>
      <c r="K2681" s="8" t="inlineStr">
        <is>
          <t>Zura</t>
        </is>
      </c>
      <c r="L2681" s="8" t="inlineStr">
        <is>
          <t>Gujarat</t>
        </is>
      </c>
      <c r="M2681" s="2" t="inlineStr">
        <is>
          <t xml:space="preserve">damage </t>
        </is>
      </c>
      <c r="N2681" s="6" t="inlineStr">
        <is>
          <t>Module Breakage</t>
        </is>
      </c>
      <c r="O2681" s="51" t="n">
        <v>590</v>
      </c>
      <c r="P2681" s="2" t="inlineStr">
        <is>
          <t>NSMI24110854457</t>
        </is>
      </c>
      <c r="Q2681" s="29">
        <f>MID(P2681,5,2)</f>
        <v/>
      </c>
      <c r="R2681" s="14">
        <f>MID(P2681,7,2)</f>
        <v/>
      </c>
      <c r="S2681" s="6" t="inlineStr">
        <is>
          <t>G2G</t>
        </is>
      </c>
      <c r="T2681" s="1" t="inlineStr">
        <is>
          <t>P4 - PEIPL</t>
        </is>
      </c>
      <c r="U2681" s="2" t="inlineStr">
        <is>
          <t xml:space="preserve">physically damaged </t>
        </is>
      </c>
      <c r="V2681" s="1" t="inlineStr">
        <is>
          <t>Inspection</t>
        </is>
      </c>
      <c r="W2681" s="1" t="inlineStr">
        <is>
          <t>Rejected</t>
        </is>
      </c>
      <c r="X2681" s="5">
        <f>Z2681</f>
        <v/>
      </c>
      <c r="Y2681" s="1">
        <f>X2681-A2681</f>
        <v/>
      </c>
      <c r="Z2681" s="5" t="n">
        <v>46200</v>
      </c>
      <c r="AA2681" s="3" t="n"/>
      <c r="AB2681" s="3" t="n"/>
      <c r="AE2681" s="146">
        <f>IF(AND(F2681="Closed",X2681&gt;=DATE(2026,6,1),X2681&lt;=DATE(2026,6,30)),"Closed in June","other")</f>
        <v/>
      </c>
    </row>
    <row r="2682" hidden="1">
      <c r="A2682" s="49" t="n">
        <v>46177</v>
      </c>
      <c r="B2682" s="1" t="n">
        <v>2026</v>
      </c>
      <c r="C2682" s="8" t="inlineStr">
        <is>
          <t>Ayana</t>
        </is>
      </c>
      <c r="D2682" s="11" t="inlineStr">
        <is>
          <t>Utility and C&amp;I</t>
        </is>
      </c>
      <c r="E2682" s="1" t="n"/>
      <c r="F2682" s="1" t="inlineStr">
        <is>
          <t>Closed</t>
        </is>
      </c>
      <c r="G2682" s="11" t="inlineStr">
        <is>
          <t>Vasu.N</t>
        </is>
      </c>
      <c r="H2682" s="8" t="n">
        <v>9578099893</v>
      </c>
      <c r="I2682" s="10" t="inlineStr">
        <is>
          <t>PE04062601</t>
        </is>
      </c>
      <c r="J2682" s="28" t="inlineStr">
        <is>
          <t>Module burnt</t>
        </is>
      </c>
      <c r="K2682" s="8" t="inlineStr">
        <is>
          <t>Zura</t>
        </is>
      </c>
      <c r="L2682" s="8" t="inlineStr">
        <is>
          <t>Gujarat</t>
        </is>
      </c>
      <c r="M2682" s="2" t="inlineStr">
        <is>
          <t xml:space="preserve">damage </t>
        </is>
      </c>
      <c r="N2682" s="6" t="inlineStr">
        <is>
          <t>Module Breakage</t>
        </is>
      </c>
      <c r="O2682" s="51" t="n">
        <v>590</v>
      </c>
      <c r="P2682" s="2" t="inlineStr">
        <is>
          <t>NSMI24110854394</t>
        </is>
      </c>
      <c r="Q2682" s="29">
        <f>MID(P2682,5,2)</f>
        <v/>
      </c>
      <c r="R2682" s="14">
        <f>MID(P2682,7,2)</f>
        <v/>
      </c>
      <c r="S2682" s="6" t="inlineStr">
        <is>
          <t>G2G</t>
        </is>
      </c>
      <c r="T2682" s="1" t="inlineStr">
        <is>
          <t>P4 - PEIPL</t>
        </is>
      </c>
      <c r="U2682" s="2" t="inlineStr">
        <is>
          <t xml:space="preserve">physically damaged </t>
        </is>
      </c>
      <c r="V2682" s="1" t="inlineStr">
        <is>
          <t>Inspection</t>
        </is>
      </c>
      <c r="W2682" s="1" t="inlineStr">
        <is>
          <t>Rejected</t>
        </is>
      </c>
      <c r="X2682" s="5">
        <f>Z2682</f>
        <v/>
      </c>
      <c r="Y2682" s="1">
        <f>X2682-A2682</f>
        <v/>
      </c>
      <c r="Z2682" s="5" t="n">
        <v>46200</v>
      </c>
      <c r="AA2682" s="3" t="n"/>
      <c r="AB2682" s="3" t="n"/>
      <c r="AE2682" s="146">
        <f>IF(AND(F2682="Closed",X2682&gt;=DATE(2026,6,1),X2682&lt;=DATE(2026,6,30)),"Closed in June","other")</f>
        <v/>
      </c>
    </row>
    <row r="2683" hidden="1">
      <c r="A2683" s="49" t="n">
        <v>46177</v>
      </c>
      <c r="B2683" s="1" t="n">
        <v>2026</v>
      </c>
      <c r="C2683" s="8" t="inlineStr">
        <is>
          <t>Ayana</t>
        </is>
      </c>
      <c r="D2683" s="11" t="inlineStr">
        <is>
          <t>Utility and C&amp;I</t>
        </is>
      </c>
      <c r="E2683" s="1" t="n"/>
      <c r="F2683" s="1" t="inlineStr">
        <is>
          <t>Closed</t>
        </is>
      </c>
      <c r="G2683" s="11" t="inlineStr">
        <is>
          <t>Vasu.N</t>
        </is>
      </c>
      <c r="H2683" s="8" t="n">
        <v>9578099893</v>
      </c>
      <c r="I2683" s="10" t="inlineStr">
        <is>
          <t>PE04062601</t>
        </is>
      </c>
      <c r="J2683" s="28" t="inlineStr">
        <is>
          <t>Module burnt</t>
        </is>
      </c>
      <c r="K2683" s="8" t="inlineStr">
        <is>
          <t>Zura</t>
        </is>
      </c>
      <c r="L2683" s="8" t="inlineStr">
        <is>
          <t>Gujarat</t>
        </is>
      </c>
      <c r="M2683" s="2" t="inlineStr">
        <is>
          <t xml:space="preserve">damage </t>
        </is>
      </c>
      <c r="N2683" s="6" t="inlineStr">
        <is>
          <t>Module Breakage</t>
        </is>
      </c>
      <c r="O2683" s="51" t="n">
        <v>590</v>
      </c>
      <c r="P2683" s="2" t="inlineStr">
        <is>
          <t>NSMI24110854453</t>
        </is>
      </c>
      <c r="Q2683" s="29">
        <f>MID(P2683,5,2)</f>
        <v/>
      </c>
      <c r="R2683" s="14">
        <f>MID(P2683,7,2)</f>
        <v/>
      </c>
      <c r="S2683" s="6" t="inlineStr">
        <is>
          <t>G2G</t>
        </is>
      </c>
      <c r="T2683" s="1" t="inlineStr">
        <is>
          <t>P4 - PEIPL</t>
        </is>
      </c>
      <c r="U2683" s="2" t="inlineStr">
        <is>
          <t xml:space="preserve">physically damaged </t>
        </is>
      </c>
      <c r="V2683" s="1" t="inlineStr">
        <is>
          <t>Inspection</t>
        </is>
      </c>
      <c r="W2683" s="1" t="inlineStr">
        <is>
          <t>Rejected</t>
        </is>
      </c>
      <c r="X2683" s="5">
        <f>Z2683</f>
        <v/>
      </c>
      <c r="Y2683" s="1">
        <f>X2683-A2683</f>
        <v/>
      </c>
      <c r="Z2683" s="5" t="n">
        <v>46200</v>
      </c>
      <c r="AA2683" s="3" t="n"/>
      <c r="AB2683" s="3" t="n"/>
      <c r="AE2683" s="146">
        <f>IF(AND(F2683="Closed",X2683&gt;=DATE(2026,6,1),X2683&lt;=DATE(2026,6,30)),"Closed in June","other")</f>
        <v/>
      </c>
    </row>
    <row r="2684" hidden="1">
      <c r="A2684" s="49" t="n">
        <v>46177</v>
      </c>
      <c r="B2684" s="1" t="n">
        <v>2026</v>
      </c>
      <c r="C2684" s="8" t="inlineStr">
        <is>
          <t>Ayana</t>
        </is>
      </c>
      <c r="D2684" s="11" t="inlineStr">
        <is>
          <t>Utility and C&amp;I</t>
        </is>
      </c>
      <c r="E2684" s="1" t="n"/>
      <c r="F2684" s="1" t="inlineStr">
        <is>
          <t>Closed</t>
        </is>
      </c>
      <c r="G2684" s="11" t="inlineStr">
        <is>
          <t>Vasu.N</t>
        </is>
      </c>
      <c r="H2684" s="8" t="n">
        <v>9578099893</v>
      </c>
      <c r="I2684" s="10" t="inlineStr">
        <is>
          <t>PE04062601</t>
        </is>
      </c>
      <c r="J2684" s="28" t="inlineStr">
        <is>
          <t>Module burnt</t>
        </is>
      </c>
      <c r="K2684" s="8" t="inlineStr">
        <is>
          <t>Zura</t>
        </is>
      </c>
      <c r="L2684" s="8" t="inlineStr">
        <is>
          <t>Gujarat</t>
        </is>
      </c>
      <c r="M2684" s="2" t="inlineStr">
        <is>
          <t xml:space="preserve">damage </t>
        </is>
      </c>
      <c r="N2684" s="6" t="inlineStr">
        <is>
          <t>Module Breakage</t>
        </is>
      </c>
      <c r="O2684" s="51" t="n">
        <v>590</v>
      </c>
      <c r="P2684" s="2" t="inlineStr">
        <is>
          <t>NSMI24110854183</t>
        </is>
      </c>
      <c r="Q2684" s="29">
        <f>MID(P2684,5,2)</f>
        <v/>
      </c>
      <c r="R2684" s="14">
        <f>MID(P2684,7,2)</f>
        <v/>
      </c>
      <c r="S2684" s="6" t="inlineStr">
        <is>
          <t>G2G</t>
        </is>
      </c>
      <c r="T2684" s="1" t="inlineStr">
        <is>
          <t>P4 - PEIPL</t>
        </is>
      </c>
      <c r="U2684" s="2" t="inlineStr">
        <is>
          <t xml:space="preserve">physically damaged </t>
        </is>
      </c>
      <c r="V2684" s="1" t="inlineStr">
        <is>
          <t>Inspection</t>
        </is>
      </c>
      <c r="W2684" s="1" t="inlineStr">
        <is>
          <t>Rejected</t>
        </is>
      </c>
      <c r="X2684" s="5">
        <f>Z2684</f>
        <v/>
      </c>
      <c r="Y2684" s="1">
        <f>X2684-A2684</f>
        <v/>
      </c>
      <c r="Z2684" s="5" t="n">
        <v>46200</v>
      </c>
      <c r="AA2684" s="3" t="n"/>
      <c r="AB2684" s="3" t="n"/>
      <c r="AE2684" s="146">
        <f>IF(AND(F2684="Closed",X2684&gt;=DATE(2026,6,1),X2684&lt;=DATE(2026,6,30)),"Closed in June","other")</f>
        <v/>
      </c>
    </row>
    <row r="2685" hidden="1">
      <c r="A2685" s="49" t="n">
        <v>46177</v>
      </c>
      <c r="B2685" s="1" t="n">
        <v>2026</v>
      </c>
      <c r="C2685" s="8" t="inlineStr">
        <is>
          <t>Ayana</t>
        </is>
      </c>
      <c r="D2685" s="11" t="inlineStr">
        <is>
          <t>Utility and C&amp;I</t>
        </is>
      </c>
      <c r="E2685" s="1" t="n"/>
      <c r="F2685" s="1" t="inlineStr">
        <is>
          <t>Closed</t>
        </is>
      </c>
      <c r="G2685" s="11" t="inlineStr">
        <is>
          <t>Vasu.N</t>
        </is>
      </c>
      <c r="H2685" s="8" t="n">
        <v>9578099893</v>
      </c>
      <c r="I2685" s="10" t="inlineStr">
        <is>
          <t>PE04062601</t>
        </is>
      </c>
      <c r="J2685" s="28" t="inlineStr">
        <is>
          <t>Module burnt</t>
        </is>
      </c>
      <c r="K2685" s="8" t="inlineStr">
        <is>
          <t>Zura</t>
        </is>
      </c>
      <c r="L2685" s="8" t="inlineStr">
        <is>
          <t>Gujarat</t>
        </is>
      </c>
      <c r="M2685" s="2" t="inlineStr">
        <is>
          <t xml:space="preserve">damage </t>
        </is>
      </c>
      <c r="N2685" s="6" t="inlineStr">
        <is>
          <t>Module Breakage</t>
        </is>
      </c>
      <c r="O2685" s="51" t="n">
        <v>590</v>
      </c>
      <c r="P2685" s="2" t="inlineStr">
        <is>
          <t>NSMI24110854433</t>
        </is>
      </c>
      <c r="Q2685" s="29">
        <f>MID(P2685,5,2)</f>
        <v/>
      </c>
      <c r="R2685" s="14">
        <f>MID(P2685,7,2)</f>
        <v/>
      </c>
      <c r="S2685" s="6" t="inlineStr">
        <is>
          <t>G2G</t>
        </is>
      </c>
      <c r="T2685" s="1" t="inlineStr">
        <is>
          <t>P4 - PEIPL</t>
        </is>
      </c>
      <c r="U2685" s="2" t="inlineStr">
        <is>
          <t xml:space="preserve">physically damaged </t>
        </is>
      </c>
      <c r="V2685" s="1" t="inlineStr">
        <is>
          <t>Inspection</t>
        </is>
      </c>
      <c r="W2685" s="1" t="inlineStr">
        <is>
          <t>Rejected</t>
        </is>
      </c>
      <c r="X2685" s="5">
        <f>Z2685</f>
        <v/>
      </c>
      <c r="Y2685" s="1">
        <f>X2685-A2685</f>
        <v/>
      </c>
      <c r="Z2685" s="5" t="n">
        <v>46200</v>
      </c>
      <c r="AA2685" s="3" t="n"/>
      <c r="AB2685" s="3" t="n"/>
      <c r="AE2685" s="146">
        <f>IF(AND(F2685="Closed",X2685&gt;=DATE(2026,6,1),X2685&lt;=DATE(2026,6,30)),"Closed in June","other")</f>
        <v/>
      </c>
    </row>
    <row r="2686" hidden="1">
      <c r="A2686" s="49" t="n">
        <v>46177</v>
      </c>
      <c r="B2686" s="1" t="n">
        <v>2026</v>
      </c>
      <c r="C2686" s="8" t="inlineStr">
        <is>
          <t>Ayana</t>
        </is>
      </c>
      <c r="D2686" s="11" t="inlineStr">
        <is>
          <t>Utility and C&amp;I</t>
        </is>
      </c>
      <c r="E2686" s="1" t="n"/>
      <c r="F2686" s="1" t="inlineStr">
        <is>
          <t>Closed</t>
        </is>
      </c>
      <c r="G2686" s="11" t="inlineStr">
        <is>
          <t>Vasu.N</t>
        </is>
      </c>
      <c r="H2686" s="8" t="n">
        <v>9578099893</v>
      </c>
      <c r="I2686" s="10" t="inlineStr">
        <is>
          <t>PE04062601</t>
        </is>
      </c>
      <c r="J2686" s="28" t="inlineStr">
        <is>
          <t>Module burnt</t>
        </is>
      </c>
      <c r="K2686" s="8" t="inlineStr">
        <is>
          <t>Zura</t>
        </is>
      </c>
      <c r="L2686" s="8" t="inlineStr">
        <is>
          <t>Gujarat</t>
        </is>
      </c>
      <c r="M2686" s="2" t="inlineStr">
        <is>
          <t xml:space="preserve">damage </t>
        </is>
      </c>
      <c r="N2686" s="6" t="inlineStr">
        <is>
          <t>Module Breakage</t>
        </is>
      </c>
      <c r="O2686" s="51" t="n">
        <v>590</v>
      </c>
      <c r="P2686" s="2" t="inlineStr">
        <is>
          <t>NSMI24110854441</t>
        </is>
      </c>
      <c r="Q2686" s="29">
        <f>MID(P2686,5,2)</f>
        <v/>
      </c>
      <c r="R2686" s="14">
        <f>MID(P2686,7,2)</f>
        <v/>
      </c>
      <c r="S2686" s="6" t="inlineStr">
        <is>
          <t>G2G</t>
        </is>
      </c>
      <c r="T2686" s="1" t="inlineStr">
        <is>
          <t>P4 - PEIPL</t>
        </is>
      </c>
      <c r="U2686" s="2" t="inlineStr">
        <is>
          <t xml:space="preserve">physically damaged </t>
        </is>
      </c>
      <c r="V2686" s="1" t="inlineStr">
        <is>
          <t>Inspection</t>
        </is>
      </c>
      <c r="W2686" s="1" t="inlineStr">
        <is>
          <t>Rejected</t>
        </is>
      </c>
      <c r="X2686" s="5">
        <f>Z2686</f>
        <v/>
      </c>
      <c r="Y2686" s="1">
        <f>X2686-A2686</f>
        <v/>
      </c>
      <c r="Z2686" s="5" t="n">
        <v>46200</v>
      </c>
      <c r="AA2686" s="3" t="n"/>
      <c r="AB2686" s="3" t="n"/>
      <c r="AE2686" s="146">
        <f>IF(AND(F2686="Closed",X2686&gt;=DATE(2026,6,1),X2686&lt;=DATE(2026,6,30)),"Closed in June","other")</f>
        <v/>
      </c>
    </row>
    <row r="2687" hidden="1">
      <c r="A2687" s="49" t="n">
        <v>46177</v>
      </c>
      <c r="B2687" s="1" t="n">
        <v>2026</v>
      </c>
      <c r="C2687" s="8" t="inlineStr">
        <is>
          <t>Ayana</t>
        </is>
      </c>
      <c r="D2687" s="11" t="inlineStr">
        <is>
          <t>Utility and C&amp;I</t>
        </is>
      </c>
      <c r="E2687" s="1" t="n"/>
      <c r="F2687" s="1" t="inlineStr">
        <is>
          <t>Closed</t>
        </is>
      </c>
      <c r="G2687" s="11" t="inlineStr">
        <is>
          <t>Vasu.N</t>
        </is>
      </c>
      <c r="H2687" s="8" t="n">
        <v>9578099893</v>
      </c>
      <c r="I2687" s="10" t="inlineStr">
        <is>
          <t>PE04062601</t>
        </is>
      </c>
      <c r="J2687" s="28" t="inlineStr">
        <is>
          <t>Module burnt</t>
        </is>
      </c>
      <c r="K2687" s="8" t="inlineStr">
        <is>
          <t>Zura</t>
        </is>
      </c>
      <c r="L2687" s="8" t="inlineStr">
        <is>
          <t>Gujarat</t>
        </is>
      </c>
      <c r="M2687" s="2" t="inlineStr">
        <is>
          <t xml:space="preserve">damage </t>
        </is>
      </c>
      <c r="N2687" s="6" t="inlineStr">
        <is>
          <t>Module Breakage</t>
        </is>
      </c>
      <c r="O2687" s="51" t="n">
        <v>590</v>
      </c>
      <c r="P2687" s="2" t="inlineStr">
        <is>
          <t>NSMI24110854444</t>
        </is>
      </c>
      <c r="Q2687" s="29">
        <f>MID(P2687,5,2)</f>
        <v/>
      </c>
      <c r="R2687" s="14">
        <f>MID(P2687,7,2)</f>
        <v/>
      </c>
      <c r="S2687" s="6" t="inlineStr">
        <is>
          <t>G2G</t>
        </is>
      </c>
      <c r="T2687" s="1" t="inlineStr">
        <is>
          <t>P4 - PEIPL</t>
        </is>
      </c>
      <c r="U2687" s="2" t="inlineStr">
        <is>
          <t xml:space="preserve">physically damaged </t>
        </is>
      </c>
      <c r="V2687" s="1" t="inlineStr">
        <is>
          <t>Inspection</t>
        </is>
      </c>
      <c r="W2687" s="1" t="inlineStr">
        <is>
          <t>Rejected</t>
        </is>
      </c>
      <c r="X2687" s="5">
        <f>Z2687</f>
        <v/>
      </c>
      <c r="Y2687" s="1">
        <f>X2687-A2687</f>
        <v/>
      </c>
      <c r="Z2687" s="5" t="n">
        <v>46200</v>
      </c>
      <c r="AA2687" s="3" t="n"/>
      <c r="AB2687" s="3" t="n"/>
      <c r="AE2687" s="146">
        <f>IF(AND(F2687="Closed",X2687&gt;=DATE(2026,6,1),X2687&lt;=DATE(2026,6,30)),"Closed in June","other")</f>
        <v/>
      </c>
    </row>
    <row r="2688" hidden="1">
      <c r="A2688" s="49" t="n">
        <v>46177</v>
      </c>
      <c r="B2688" s="1" t="n">
        <v>2026</v>
      </c>
      <c r="C2688" s="8" t="inlineStr">
        <is>
          <t>Ayana</t>
        </is>
      </c>
      <c r="D2688" s="11" t="inlineStr">
        <is>
          <t>Utility and C&amp;I</t>
        </is>
      </c>
      <c r="E2688" s="1" t="n"/>
      <c r="F2688" s="1" t="inlineStr">
        <is>
          <t>WIP</t>
        </is>
      </c>
      <c r="G2688" s="11" t="inlineStr">
        <is>
          <t>Vasu.N</t>
        </is>
      </c>
      <c r="H2688" s="8" t="n">
        <v>9578099893</v>
      </c>
      <c r="I2688" s="10" t="inlineStr">
        <is>
          <t>PE04062601</t>
        </is>
      </c>
      <c r="J2688" s="28" t="inlineStr">
        <is>
          <t>Module burnt</t>
        </is>
      </c>
      <c r="K2688" s="8" t="inlineStr">
        <is>
          <t>Zura</t>
        </is>
      </c>
      <c r="L2688" s="8" t="inlineStr">
        <is>
          <t>Gujarat</t>
        </is>
      </c>
      <c r="M2688" s="2" t="inlineStr">
        <is>
          <t xml:space="preserve">damage </t>
        </is>
      </c>
      <c r="N2688" s="6" t="inlineStr">
        <is>
          <t>Module Breakage</t>
        </is>
      </c>
      <c r="O2688" s="51" t="n">
        <v>590</v>
      </c>
      <c r="P2688" s="2" t="inlineStr">
        <is>
          <t>NSMI24110854438</t>
        </is>
      </c>
      <c r="Q2688" s="29">
        <f>MID(P2688,5,2)</f>
        <v/>
      </c>
      <c r="R2688" s="14">
        <f>MID(P2688,7,2)</f>
        <v/>
      </c>
      <c r="S2688" s="6" t="inlineStr">
        <is>
          <t>G2G</t>
        </is>
      </c>
      <c r="T2688" s="1" t="inlineStr">
        <is>
          <t>P4 - PEIPL</t>
        </is>
      </c>
      <c r="U2688" s="2" t="inlineStr">
        <is>
          <t>Frame Damaged</t>
        </is>
      </c>
      <c r="V2688" s="47" t="inlineStr">
        <is>
          <t>WIP</t>
        </is>
      </c>
      <c r="W2688" s="1" t="inlineStr">
        <is>
          <t>WIP</t>
        </is>
      </c>
      <c r="X2688" s="5" t="n"/>
      <c r="Y2688" s="1">
        <f>IF(X2688="","",X2688-A2688)</f>
        <v/>
      </c>
      <c r="Z2688" s="5" t="n">
        <v>46200</v>
      </c>
      <c r="AA2688" s="3" t="n"/>
      <c r="AB2688" s="3" t="n"/>
      <c r="AE2688" s="146">
        <f>IF(AND(F2688="Closed",X2688&gt;=DATE(2026,6,1),X2688&lt;=DATE(2026,6,30)),"Closed in June","other")</f>
        <v/>
      </c>
    </row>
    <row r="2689" hidden="1">
      <c r="A2689" s="49" t="n">
        <v>46177</v>
      </c>
      <c r="B2689" s="1" t="n">
        <v>2026</v>
      </c>
      <c r="C2689" s="8" t="inlineStr">
        <is>
          <t>Ayana</t>
        </is>
      </c>
      <c r="D2689" s="11" t="inlineStr">
        <is>
          <t>Utility and C&amp;I</t>
        </is>
      </c>
      <c r="E2689" s="1" t="n"/>
      <c r="F2689" s="1" t="inlineStr">
        <is>
          <t>Closed</t>
        </is>
      </c>
      <c r="G2689" s="11" t="inlineStr">
        <is>
          <t>Vasu.N</t>
        </is>
      </c>
      <c r="H2689" s="8" t="n">
        <v>9578099893</v>
      </c>
      <c r="I2689" s="10" t="inlineStr">
        <is>
          <t>PE04062601</t>
        </is>
      </c>
      <c r="J2689" s="28" t="inlineStr">
        <is>
          <t>Module burnt</t>
        </is>
      </c>
      <c r="K2689" s="8" t="inlineStr">
        <is>
          <t>Zura</t>
        </is>
      </c>
      <c r="L2689" s="8" t="inlineStr">
        <is>
          <t>Gujarat</t>
        </is>
      </c>
      <c r="M2689" s="2" t="inlineStr">
        <is>
          <t xml:space="preserve">damage </t>
        </is>
      </c>
      <c r="N2689" s="6" t="inlineStr">
        <is>
          <t>Module Breakage</t>
        </is>
      </c>
      <c r="O2689" s="51" t="n">
        <v>590</v>
      </c>
      <c r="P2689" s="2" t="inlineStr">
        <is>
          <t>NSMI24110854452</t>
        </is>
      </c>
      <c r="Q2689" s="29">
        <f>MID(P2689,5,2)</f>
        <v/>
      </c>
      <c r="R2689" s="14">
        <f>MID(P2689,7,2)</f>
        <v/>
      </c>
      <c r="S2689" s="6" t="inlineStr">
        <is>
          <t>G2G</t>
        </is>
      </c>
      <c r="T2689" s="1" t="inlineStr">
        <is>
          <t>P4 - PEIPL</t>
        </is>
      </c>
      <c r="U2689" s="2" t="inlineStr">
        <is>
          <t xml:space="preserve">physically damaged </t>
        </is>
      </c>
      <c r="V2689" s="1" t="inlineStr">
        <is>
          <t>Inspection</t>
        </is>
      </c>
      <c r="W2689" s="1" t="inlineStr">
        <is>
          <t>Rejected</t>
        </is>
      </c>
      <c r="X2689" s="5">
        <f>Z2689</f>
        <v/>
      </c>
      <c r="Y2689" s="1">
        <f>X2689-A2689</f>
        <v/>
      </c>
      <c r="Z2689" s="5" t="n">
        <v>46200</v>
      </c>
      <c r="AA2689" s="3" t="n"/>
      <c r="AB2689" s="3" t="n"/>
      <c r="AE2689" s="146">
        <f>IF(AND(F2689="Closed",X2689&gt;=DATE(2026,6,1),X2689&lt;=DATE(2026,6,30)),"Closed in June","other")</f>
        <v/>
      </c>
    </row>
    <row r="2690" hidden="1">
      <c r="A2690" s="49" t="n">
        <v>46177</v>
      </c>
      <c r="B2690" s="1" t="n">
        <v>2026</v>
      </c>
      <c r="C2690" s="8" t="inlineStr">
        <is>
          <t>Ayana</t>
        </is>
      </c>
      <c r="D2690" s="11" t="inlineStr">
        <is>
          <t>Utility and C&amp;I</t>
        </is>
      </c>
      <c r="E2690" s="1" t="n"/>
      <c r="F2690" s="1" t="inlineStr">
        <is>
          <t>WIP</t>
        </is>
      </c>
      <c r="G2690" s="11" t="inlineStr">
        <is>
          <t>Vasu.N</t>
        </is>
      </c>
      <c r="H2690" s="8" t="n">
        <v>9578099893</v>
      </c>
      <c r="I2690" s="10" t="inlineStr">
        <is>
          <t>PE04062601</t>
        </is>
      </c>
      <c r="J2690" s="28" t="inlineStr">
        <is>
          <t>Module burnt</t>
        </is>
      </c>
      <c r="K2690" s="8" t="inlineStr">
        <is>
          <t>Zura</t>
        </is>
      </c>
      <c r="L2690" s="8" t="inlineStr">
        <is>
          <t>Gujarat</t>
        </is>
      </c>
      <c r="M2690" s="2" t="inlineStr">
        <is>
          <t xml:space="preserve">damage </t>
        </is>
      </c>
      <c r="N2690" s="6" t="inlineStr">
        <is>
          <t>Module Breakage</t>
        </is>
      </c>
      <c r="O2690" s="51" t="n">
        <v>590</v>
      </c>
      <c r="P2690" s="2" t="inlineStr">
        <is>
          <t>NSMI24110854493</t>
        </is>
      </c>
      <c r="Q2690" s="29">
        <f>MID(P2690,5,2)</f>
        <v/>
      </c>
      <c r="R2690" s="14">
        <f>MID(P2690,7,2)</f>
        <v/>
      </c>
      <c r="S2690" s="6" t="inlineStr">
        <is>
          <t>G2G</t>
        </is>
      </c>
      <c r="T2690" s="1" t="inlineStr">
        <is>
          <t>P4 - PEIPL</t>
        </is>
      </c>
      <c r="U2690" s="2" t="inlineStr">
        <is>
          <t>Frame Damaged</t>
        </is>
      </c>
      <c r="V2690" s="47" t="inlineStr">
        <is>
          <t>WIP</t>
        </is>
      </c>
      <c r="W2690" s="1" t="inlineStr">
        <is>
          <t>WIP</t>
        </is>
      </c>
      <c r="X2690" s="5" t="n"/>
      <c r="Y2690" s="1">
        <f>IF(X2690="","",X2690-A2690)</f>
        <v/>
      </c>
      <c r="Z2690" s="5" t="n">
        <v>46200</v>
      </c>
      <c r="AA2690" s="3" t="n"/>
      <c r="AB2690" s="3" t="n"/>
      <c r="AE2690" s="146">
        <f>IF(AND(F2690="Closed",X2690&gt;=DATE(2026,6,1),X2690&lt;=DATE(2026,6,30)),"Closed in June","other")</f>
        <v/>
      </c>
    </row>
    <row r="2691" hidden="1">
      <c r="A2691" s="49" t="n">
        <v>46177</v>
      </c>
      <c r="B2691" s="1" t="n">
        <v>2026</v>
      </c>
      <c r="C2691" s="8" t="inlineStr">
        <is>
          <t>Ayana</t>
        </is>
      </c>
      <c r="D2691" s="11" t="inlineStr">
        <is>
          <t>Utility and C&amp;I</t>
        </is>
      </c>
      <c r="E2691" s="1" t="n"/>
      <c r="F2691" s="1" t="inlineStr">
        <is>
          <t>WIP</t>
        </is>
      </c>
      <c r="G2691" s="11" t="inlineStr">
        <is>
          <t>Vasu.N</t>
        </is>
      </c>
      <c r="H2691" s="8" t="n">
        <v>9578099893</v>
      </c>
      <c r="I2691" s="10" t="inlineStr">
        <is>
          <t>PE04062601</t>
        </is>
      </c>
      <c r="J2691" s="28" t="inlineStr">
        <is>
          <t>Module burnt</t>
        </is>
      </c>
      <c r="K2691" s="8" t="inlineStr">
        <is>
          <t>Zura</t>
        </is>
      </c>
      <c r="L2691" s="8" t="inlineStr">
        <is>
          <t>Gujarat</t>
        </is>
      </c>
      <c r="M2691" s="2" t="inlineStr">
        <is>
          <t xml:space="preserve">damage </t>
        </is>
      </c>
      <c r="N2691" s="6" t="inlineStr">
        <is>
          <t>Module Breakage</t>
        </is>
      </c>
      <c r="O2691" s="51" t="n">
        <v>590</v>
      </c>
      <c r="P2691" s="2" t="inlineStr">
        <is>
          <t>NSMI24110854489</t>
        </is>
      </c>
      <c r="Q2691" s="29">
        <f>MID(P2691,5,2)</f>
        <v/>
      </c>
      <c r="R2691" s="14">
        <f>MID(P2691,7,2)</f>
        <v/>
      </c>
      <c r="S2691" s="6" t="inlineStr">
        <is>
          <t>G2G</t>
        </is>
      </c>
      <c r="T2691" s="1" t="inlineStr">
        <is>
          <t>P4 - PEIPL</t>
        </is>
      </c>
      <c r="U2691" s="2" t="inlineStr">
        <is>
          <t>Frame Damaged</t>
        </is>
      </c>
      <c r="V2691" s="47" t="inlineStr">
        <is>
          <t>WIP</t>
        </is>
      </c>
      <c r="W2691" s="1" t="inlineStr">
        <is>
          <t>WIP</t>
        </is>
      </c>
      <c r="X2691" s="5" t="n"/>
      <c r="Y2691" s="1">
        <f>IF(X2691="","",X2691-A2691)</f>
        <v/>
      </c>
      <c r="Z2691" s="5" t="n">
        <v>46200</v>
      </c>
      <c r="AA2691" s="3" t="n"/>
      <c r="AB2691" s="3" t="n"/>
      <c r="AE2691" s="146">
        <f>IF(AND(F2691="Closed",X2691&gt;=DATE(2026,6,1),X2691&lt;=DATE(2026,6,30)),"Closed in June","other")</f>
        <v/>
      </c>
    </row>
    <row r="2692" hidden="1">
      <c r="A2692" s="49" t="n">
        <v>46177</v>
      </c>
      <c r="B2692" s="1" t="n">
        <v>2026</v>
      </c>
      <c r="C2692" s="8" t="inlineStr">
        <is>
          <t>Ayana</t>
        </is>
      </c>
      <c r="D2692" s="11" t="inlineStr">
        <is>
          <t>Utility and C&amp;I</t>
        </is>
      </c>
      <c r="E2692" s="1" t="n"/>
      <c r="F2692" s="1" t="inlineStr">
        <is>
          <t>Closed</t>
        </is>
      </c>
      <c r="G2692" s="11" t="inlineStr">
        <is>
          <t>Vasu.N</t>
        </is>
      </c>
      <c r="H2692" s="8" t="n">
        <v>9578099893</v>
      </c>
      <c r="I2692" s="10" t="inlineStr">
        <is>
          <t>PE04062601</t>
        </is>
      </c>
      <c r="J2692" s="28" t="inlineStr">
        <is>
          <t>Module burnt</t>
        </is>
      </c>
      <c r="K2692" s="8" t="inlineStr">
        <is>
          <t>Zura</t>
        </is>
      </c>
      <c r="L2692" s="8" t="inlineStr">
        <is>
          <t>Gujarat</t>
        </is>
      </c>
      <c r="M2692" s="2" t="inlineStr">
        <is>
          <t xml:space="preserve">damage </t>
        </is>
      </c>
      <c r="N2692" s="6" t="inlineStr">
        <is>
          <t>Module Breakage</t>
        </is>
      </c>
      <c r="O2692" s="51" t="n">
        <v>590</v>
      </c>
      <c r="P2692" s="2" t="inlineStr">
        <is>
          <t>NSMI24110854442</t>
        </is>
      </c>
      <c r="Q2692" s="29">
        <f>MID(P2692,5,2)</f>
        <v/>
      </c>
      <c r="R2692" s="14">
        <f>MID(P2692,7,2)</f>
        <v/>
      </c>
      <c r="S2692" s="6" t="inlineStr">
        <is>
          <t>G2G</t>
        </is>
      </c>
      <c r="T2692" s="1" t="inlineStr">
        <is>
          <t>P4 - PEIPL</t>
        </is>
      </c>
      <c r="U2692" s="2" t="inlineStr">
        <is>
          <t xml:space="preserve">physically damaged </t>
        </is>
      </c>
      <c r="V2692" s="1" t="inlineStr">
        <is>
          <t>Inspection</t>
        </is>
      </c>
      <c r="W2692" s="1" t="inlineStr">
        <is>
          <t>Rejected</t>
        </is>
      </c>
      <c r="X2692" s="5">
        <f>Z2692</f>
        <v/>
      </c>
      <c r="Y2692" s="1">
        <f>X2692-A2692</f>
        <v/>
      </c>
      <c r="Z2692" s="5" t="n">
        <v>46200</v>
      </c>
      <c r="AA2692" s="3" t="n"/>
      <c r="AB2692" s="3" t="n"/>
      <c r="AE2692" s="146">
        <f>IF(AND(F2692="Closed",X2692&gt;=DATE(2026,6,1),X2692&lt;=DATE(2026,6,30)),"Closed in June","other")</f>
        <v/>
      </c>
    </row>
    <row r="2693" hidden="1">
      <c r="A2693" s="49" t="n">
        <v>46177</v>
      </c>
      <c r="B2693" s="1" t="n">
        <v>2026</v>
      </c>
      <c r="C2693" s="8" t="inlineStr">
        <is>
          <t>Ayana</t>
        </is>
      </c>
      <c r="D2693" s="11" t="inlineStr">
        <is>
          <t>Utility and C&amp;I</t>
        </is>
      </c>
      <c r="E2693" s="1" t="n"/>
      <c r="F2693" s="1" t="inlineStr">
        <is>
          <t>Closed</t>
        </is>
      </c>
      <c r="G2693" s="11" t="inlineStr">
        <is>
          <t>Vasu.N</t>
        </is>
      </c>
      <c r="H2693" s="8" t="n">
        <v>9578099893</v>
      </c>
      <c r="I2693" s="10" t="inlineStr">
        <is>
          <t>PE04062601</t>
        </is>
      </c>
      <c r="J2693" s="28" t="inlineStr">
        <is>
          <t>Module burnt</t>
        </is>
      </c>
      <c r="K2693" s="8" t="inlineStr">
        <is>
          <t>Zura</t>
        </is>
      </c>
      <c r="L2693" s="8" t="inlineStr">
        <is>
          <t>Gujarat</t>
        </is>
      </c>
      <c r="M2693" s="2" t="inlineStr">
        <is>
          <t xml:space="preserve">damage </t>
        </is>
      </c>
      <c r="N2693" s="6" t="inlineStr">
        <is>
          <t>Module Breakage</t>
        </is>
      </c>
      <c r="O2693" s="51" t="n">
        <v>590</v>
      </c>
      <c r="P2693" s="2" t="inlineStr">
        <is>
          <t>NSMI24110854469</t>
        </is>
      </c>
      <c r="Q2693" s="29">
        <f>MID(P2693,5,2)</f>
        <v/>
      </c>
      <c r="R2693" s="14">
        <f>MID(P2693,7,2)</f>
        <v/>
      </c>
      <c r="S2693" s="6" t="inlineStr">
        <is>
          <t>G2G</t>
        </is>
      </c>
      <c r="T2693" s="1" t="inlineStr">
        <is>
          <t>P4 - PEIPL</t>
        </is>
      </c>
      <c r="U2693" s="2" t="inlineStr">
        <is>
          <t xml:space="preserve">physically damaged </t>
        </is>
      </c>
      <c r="V2693" s="1" t="inlineStr">
        <is>
          <t>Inspection</t>
        </is>
      </c>
      <c r="W2693" s="1" t="inlineStr">
        <is>
          <t>Rejected</t>
        </is>
      </c>
      <c r="X2693" s="5">
        <f>Z2693</f>
        <v/>
      </c>
      <c r="Y2693" s="1">
        <f>X2693-A2693</f>
        <v/>
      </c>
      <c r="Z2693" s="5" t="n">
        <v>46200</v>
      </c>
      <c r="AA2693" s="3" t="n"/>
      <c r="AB2693" s="3" t="n"/>
      <c r="AE2693" s="146">
        <f>IF(AND(F2693="Closed",X2693&gt;=DATE(2026,6,1),X2693&lt;=DATE(2026,6,30)),"Closed in June","other")</f>
        <v/>
      </c>
    </row>
    <row r="2694" hidden="1">
      <c r="A2694" s="49" t="n">
        <v>46177</v>
      </c>
      <c r="B2694" s="1" t="n">
        <v>2026</v>
      </c>
      <c r="C2694" s="8" t="inlineStr">
        <is>
          <t>Ayana</t>
        </is>
      </c>
      <c r="D2694" s="11" t="inlineStr">
        <is>
          <t>Utility and C&amp;I</t>
        </is>
      </c>
      <c r="E2694" s="1" t="n"/>
      <c r="F2694" s="1" t="inlineStr">
        <is>
          <t>Closed</t>
        </is>
      </c>
      <c r="G2694" s="11" t="inlineStr">
        <is>
          <t>Vasu.N</t>
        </is>
      </c>
      <c r="H2694" s="8" t="n">
        <v>9578099893</v>
      </c>
      <c r="I2694" s="10" t="inlineStr">
        <is>
          <t>PE04062601</t>
        </is>
      </c>
      <c r="J2694" s="28" t="inlineStr">
        <is>
          <t>Module burnt</t>
        </is>
      </c>
      <c r="K2694" s="8" t="inlineStr">
        <is>
          <t>Zura</t>
        </is>
      </c>
      <c r="L2694" s="8" t="inlineStr">
        <is>
          <t>Gujarat</t>
        </is>
      </c>
      <c r="M2694" s="2" t="inlineStr">
        <is>
          <t xml:space="preserve">damage </t>
        </is>
      </c>
      <c r="N2694" s="6" t="inlineStr">
        <is>
          <t>Module Breakage</t>
        </is>
      </c>
      <c r="O2694" s="51" t="n">
        <v>590</v>
      </c>
      <c r="P2694" s="2" t="inlineStr">
        <is>
          <t>NSMI24110854498</t>
        </is>
      </c>
      <c r="Q2694" s="29">
        <f>MID(P2694,5,2)</f>
        <v/>
      </c>
      <c r="R2694" s="14">
        <f>MID(P2694,7,2)</f>
        <v/>
      </c>
      <c r="S2694" s="6" t="inlineStr">
        <is>
          <t>G2G</t>
        </is>
      </c>
      <c r="T2694" s="1" t="inlineStr">
        <is>
          <t>P4 - PEIPL</t>
        </is>
      </c>
      <c r="U2694" s="2" t="inlineStr">
        <is>
          <t xml:space="preserve">physically damaged </t>
        </is>
      </c>
      <c r="V2694" s="1" t="inlineStr">
        <is>
          <t>Inspection</t>
        </is>
      </c>
      <c r="W2694" s="1" t="inlineStr">
        <is>
          <t>Rejected</t>
        </is>
      </c>
      <c r="X2694" s="5">
        <f>Z2694</f>
        <v/>
      </c>
      <c r="Y2694" s="1">
        <f>X2694-A2694</f>
        <v/>
      </c>
      <c r="Z2694" s="5" t="n">
        <v>46200</v>
      </c>
      <c r="AA2694" s="3" t="n"/>
      <c r="AB2694" s="3" t="n"/>
      <c r="AE2694" s="146">
        <f>IF(AND(F2694="Closed",X2694&gt;=DATE(2026,6,1),X2694&lt;=DATE(2026,6,30)),"Closed in June","other")</f>
        <v/>
      </c>
    </row>
    <row r="2695" hidden="1">
      <c r="A2695" s="49" t="n">
        <v>46177</v>
      </c>
      <c r="B2695" s="1" t="n">
        <v>2026</v>
      </c>
      <c r="C2695" s="8" t="inlineStr">
        <is>
          <t>Ayana</t>
        </is>
      </c>
      <c r="D2695" s="11" t="inlineStr">
        <is>
          <t>Utility and C&amp;I</t>
        </is>
      </c>
      <c r="E2695" s="1" t="n"/>
      <c r="F2695" s="1" t="inlineStr">
        <is>
          <t>Closed</t>
        </is>
      </c>
      <c r="G2695" s="11" t="inlineStr">
        <is>
          <t>Vasu.N</t>
        </is>
      </c>
      <c r="H2695" s="8" t="n">
        <v>9578099893</v>
      </c>
      <c r="I2695" s="10" t="inlineStr">
        <is>
          <t>PE04062601</t>
        </is>
      </c>
      <c r="J2695" s="28" t="inlineStr">
        <is>
          <t>Module burnt</t>
        </is>
      </c>
      <c r="K2695" s="8" t="inlineStr">
        <is>
          <t>Zura</t>
        </is>
      </c>
      <c r="L2695" s="8" t="inlineStr">
        <is>
          <t>Gujarat</t>
        </is>
      </c>
      <c r="M2695" s="2" t="inlineStr">
        <is>
          <t xml:space="preserve">damage </t>
        </is>
      </c>
      <c r="N2695" s="6" t="inlineStr">
        <is>
          <t>Module Breakage</t>
        </is>
      </c>
      <c r="O2695" s="51" t="n">
        <v>590</v>
      </c>
      <c r="P2695" s="2" t="inlineStr">
        <is>
          <t>NSMI24100582703</t>
        </is>
      </c>
      <c r="Q2695" s="29">
        <f>MID(P2695,5,2)</f>
        <v/>
      </c>
      <c r="R2695" s="14">
        <f>MID(P2695,7,2)</f>
        <v/>
      </c>
      <c r="S2695" s="6" t="inlineStr">
        <is>
          <t>G2G</t>
        </is>
      </c>
      <c r="T2695" s="1" t="inlineStr">
        <is>
          <t>P4 - PEIPL</t>
        </is>
      </c>
      <c r="U2695" s="2" t="inlineStr">
        <is>
          <t xml:space="preserve">physically damaged </t>
        </is>
      </c>
      <c r="V2695" s="1" t="inlineStr">
        <is>
          <t>Inspection</t>
        </is>
      </c>
      <c r="W2695" s="1" t="inlineStr">
        <is>
          <t>Rejected</t>
        </is>
      </c>
      <c r="X2695" s="5">
        <f>Z2695</f>
        <v/>
      </c>
      <c r="Y2695" s="1">
        <f>X2695-A2695</f>
        <v/>
      </c>
      <c r="Z2695" s="5" t="n">
        <v>46200</v>
      </c>
      <c r="AA2695" s="3" t="n"/>
      <c r="AB2695" s="3" t="n"/>
      <c r="AE2695" s="146">
        <f>IF(AND(F2695="Closed",X2695&gt;=DATE(2026,6,1),X2695&lt;=DATE(2026,6,30)),"Closed in June","other")</f>
        <v/>
      </c>
    </row>
    <row r="2696" hidden="1">
      <c r="A2696" s="49" t="n">
        <v>46177</v>
      </c>
      <c r="B2696" s="1" t="n">
        <v>2026</v>
      </c>
      <c r="C2696" s="8" t="inlineStr">
        <is>
          <t>Ayana</t>
        </is>
      </c>
      <c r="D2696" s="11" t="inlineStr">
        <is>
          <t>Utility and C&amp;I</t>
        </is>
      </c>
      <c r="E2696" s="1" t="n"/>
      <c r="F2696" s="1" t="inlineStr">
        <is>
          <t>Closed</t>
        </is>
      </c>
      <c r="G2696" s="11" t="inlineStr">
        <is>
          <t>Vasu.N</t>
        </is>
      </c>
      <c r="H2696" s="8" t="n">
        <v>9578099893</v>
      </c>
      <c r="I2696" s="10" t="inlineStr">
        <is>
          <t>PE04062601</t>
        </is>
      </c>
      <c r="J2696" s="28" t="inlineStr">
        <is>
          <t>Module burnt</t>
        </is>
      </c>
      <c r="K2696" s="8" t="inlineStr">
        <is>
          <t>Zura</t>
        </is>
      </c>
      <c r="L2696" s="8" t="inlineStr">
        <is>
          <t>Gujarat</t>
        </is>
      </c>
      <c r="M2696" s="2" t="inlineStr">
        <is>
          <t xml:space="preserve">damage </t>
        </is>
      </c>
      <c r="N2696" s="6" t="inlineStr">
        <is>
          <t>Module Breakage</t>
        </is>
      </c>
      <c r="O2696" s="51" t="n">
        <v>590</v>
      </c>
      <c r="P2696" s="2" t="inlineStr">
        <is>
          <t>NSMI24100691630</t>
        </is>
      </c>
      <c r="Q2696" s="29">
        <f>MID(P2696,5,2)</f>
        <v/>
      </c>
      <c r="R2696" s="14">
        <f>MID(P2696,7,2)</f>
        <v/>
      </c>
      <c r="S2696" s="6" t="inlineStr">
        <is>
          <t>G2G</t>
        </is>
      </c>
      <c r="T2696" s="1" t="inlineStr">
        <is>
          <t>P4 - PEIPL</t>
        </is>
      </c>
      <c r="U2696" s="2" t="inlineStr">
        <is>
          <t xml:space="preserve">physically damaged </t>
        </is>
      </c>
      <c r="V2696" s="1" t="inlineStr">
        <is>
          <t>Inspection</t>
        </is>
      </c>
      <c r="W2696" s="1" t="inlineStr">
        <is>
          <t>Rejected</t>
        </is>
      </c>
      <c r="X2696" s="5">
        <f>Z2696</f>
        <v/>
      </c>
      <c r="Y2696" s="1">
        <f>X2696-A2696</f>
        <v/>
      </c>
      <c r="Z2696" s="5" t="n">
        <v>46200</v>
      </c>
      <c r="AA2696" s="3" t="n"/>
      <c r="AB2696" s="3" t="n"/>
      <c r="AE2696" s="146">
        <f>IF(AND(F2696="Closed",X2696&gt;=DATE(2026,6,1),X2696&lt;=DATE(2026,6,30)),"Closed in June","other")</f>
        <v/>
      </c>
    </row>
    <row r="2697" hidden="1">
      <c r="A2697" s="49" t="n">
        <v>46177</v>
      </c>
      <c r="B2697" s="1" t="n">
        <v>2026</v>
      </c>
      <c r="C2697" s="8" t="inlineStr">
        <is>
          <t>Ayana</t>
        </is>
      </c>
      <c r="D2697" s="11" t="inlineStr">
        <is>
          <t>Utility and C&amp;I</t>
        </is>
      </c>
      <c r="E2697" s="1" t="n"/>
      <c r="F2697" s="1" t="inlineStr">
        <is>
          <t>Closed</t>
        </is>
      </c>
      <c r="G2697" s="11" t="inlineStr">
        <is>
          <t>Vasu.N</t>
        </is>
      </c>
      <c r="H2697" s="8" t="n">
        <v>9578099893</v>
      </c>
      <c r="I2697" s="10" t="inlineStr">
        <is>
          <t>PE04062601</t>
        </is>
      </c>
      <c r="J2697" s="28" t="inlineStr">
        <is>
          <t>Module burnt</t>
        </is>
      </c>
      <c r="K2697" s="8" t="inlineStr">
        <is>
          <t>Zura</t>
        </is>
      </c>
      <c r="L2697" s="8" t="inlineStr">
        <is>
          <t>Gujarat</t>
        </is>
      </c>
      <c r="M2697" s="2" t="inlineStr">
        <is>
          <t xml:space="preserve">damage </t>
        </is>
      </c>
      <c r="N2697" s="6" t="inlineStr">
        <is>
          <t>Module Breakage</t>
        </is>
      </c>
      <c r="O2697" s="51" t="n">
        <v>590</v>
      </c>
      <c r="P2697" s="2" t="inlineStr">
        <is>
          <t>NSMI24110793723</t>
        </is>
      </c>
      <c r="Q2697" s="29">
        <f>MID(P2697,5,2)</f>
        <v/>
      </c>
      <c r="R2697" s="14">
        <f>MID(P2697,7,2)</f>
        <v/>
      </c>
      <c r="S2697" s="6" t="inlineStr">
        <is>
          <t>G2G</t>
        </is>
      </c>
      <c r="T2697" s="1" t="inlineStr">
        <is>
          <t>P4 - PEIPL</t>
        </is>
      </c>
      <c r="U2697" s="2" t="inlineStr">
        <is>
          <t xml:space="preserve">physically damaged </t>
        </is>
      </c>
      <c r="V2697" s="1" t="inlineStr">
        <is>
          <t>Inspection</t>
        </is>
      </c>
      <c r="W2697" s="1" t="inlineStr">
        <is>
          <t>Rejected</t>
        </is>
      </c>
      <c r="X2697" s="5">
        <f>Z2697</f>
        <v/>
      </c>
      <c r="Y2697" s="1">
        <f>X2697-A2697</f>
        <v/>
      </c>
      <c r="Z2697" s="5" t="n">
        <v>46200</v>
      </c>
      <c r="AA2697" s="3" t="n"/>
      <c r="AB2697" s="3" t="n"/>
      <c r="AE2697" s="146">
        <f>IF(AND(F2697="Closed",X2697&gt;=DATE(2026,6,1),X2697&lt;=DATE(2026,6,30)),"Closed in June","other")</f>
        <v/>
      </c>
    </row>
    <row r="2698" hidden="1">
      <c r="A2698" s="49" t="n">
        <v>46177</v>
      </c>
      <c r="B2698" s="1" t="n">
        <v>2026</v>
      </c>
      <c r="C2698" s="8" t="inlineStr">
        <is>
          <t>Ayana</t>
        </is>
      </c>
      <c r="D2698" s="11" t="inlineStr">
        <is>
          <t>Utility and C&amp;I</t>
        </is>
      </c>
      <c r="E2698" s="1" t="n"/>
      <c r="F2698" s="1" t="inlineStr">
        <is>
          <t>Closed</t>
        </is>
      </c>
      <c r="G2698" s="11" t="inlineStr">
        <is>
          <t>Vasu.N</t>
        </is>
      </c>
      <c r="H2698" s="8" t="n">
        <v>9578099893</v>
      </c>
      <c r="I2698" s="10" t="inlineStr">
        <is>
          <t>PE04062601</t>
        </is>
      </c>
      <c r="J2698" s="28" t="inlineStr">
        <is>
          <t>Module burnt</t>
        </is>
      </c>
      <c r="K2698" s="8" t="inlineStr">
        <is>
          <t>Zura</t>
        </is>
      </c>
      <c r="L2698" s="8" t="inlineStr">
        <is>
          <t>Gujarat</t>
        </is>
      </c>
      <c r="M2698" s="2" t="inlineStr">
        <is>
          <t xml:space="preserve">damage </t>
        </is>
      </c>
      <c r="N2698" s="6" t="inlineStr">
        <is>
          <t>Module Breakage</t>
        </is>
      </c>
      <c r="O2698" s="51" t="n">
        <v>590</v>
      </c>
      <c r="P2698" s="2" t="inlineStr">
        <is>
          <t>NSMI24100609348</t>
        </is>
      </c>
      <c r="Q2698" s="29">
        <f>MID(P2698,5,2)</f>
        <v/>
      </c>
      <c r="R2698" s="14">
        <f>MID(P2698,7,2)</f>
        <v/>
      </c>
      <c r="S2698" s="6" t="inlineStr">
        <is>
          <t>G2G</t>
        </is>
      </c>
      <c r="T2698" s="1" t="inlineStr">
        <is>
          <t>P4 - PEIPL</t>
        </is>
      </c>
      <c r="U2698" s="2" t="inlineStr">
        <is>
          <t xml:space="preserve">physically damaged </t>
        </is>
      </c>
      <c r="V2698" s="1" t="inlineStr">
        <is>
          <t>Inspection</t>
        </is>
      </c>
      <c r="W2698" s="1" t="inlineStr">
        <is>
          <t>Rejected</t>
        </is>
      </c>
      <c r="X2698" s="5">
        <f>Z2698</f>
        <v/>
      </c>
      <c r="Y2698" s="1">
        <f>X2698-A2698</f>
        <v/>
      </c>
      <c r="Z2698" s="5" t="n">
        <v>46200</v>
      </c>
      <c r="AA2698" s="3" t="n"/>
      <c r="AB2698" s="3" t="n"/>
      <c r="AE2698" s="146">
        <f>IF(AND(F2698="Closed",X2698&gt;=DATE(2026,6,1),X2698&lt;=DATE(2026,6,30)),"Closed in June","other")</f>
        <v/>
      </c>
    </row>
    <row r="2699" hidden="1">
      <c r="A2699" s="49" t="n">
        <v>46177</v>
      </c>
      <c r="B2699" s="1" t="n">
        <v>2026</v>
      </c>
      <c r="C2699" s="8" t="inlineStr">
        <is>
          <t>Ayana</t>
        </is>
      </c>
      <c r="D2699" s="11" t="inlineStr">
        <is>
          <t>Utility and C&amp;I</t>
        </is>
      </c>
      <c r="E2699" s="1" t="n"/>
      <c r="F2699" s="1" t="inlineStr">
        <is>
          <t>Closed</t>
        </is>
      </c>
      <c r="G2699" s="11" t="inlineStr">
        <is>
          <t>Vasu.N</t>
        </is>
      </c>
      <c r="H2699" s="8" t="n">
        <v>9578099893</v>
      </c>
      <c r="I2699" s="10" t="inlineStr">
        <is>
          <t>PE04062601</t>
        </is>
      </c>
      <c r="J2699" s="28" t="inlineStr">
        <is>
          <t>Module burnt</t>
        </is>
      </c>
      <c r="K2699" s="8" t="inlineStr">
        <is>
          <t>Zura</t>
        </is>
      </c>
      <c r="L2699" s="8" t="inlineStr">
        <is>
          <t>Gujarat</t>
        </is>
      </c>
      <c r="M2699" s="2" t="inlineStr">
        <is>
          <t xml:space="preserve">damage </t>
        </is>
      </c>
      <c r="N2699" s="6" t="inlineStr">
        <is>
          <t>Module Breakage</t>
        </is>
      </c>
      <c r="O2699" s="51" t="n">
        <v>590</v>
      </c>
      <c r="P2699" s="2" t="inlineStr">
        <is>
          <t>NSMI24100609347</t>
        </is>
      </c>
      <c r="Q2699" s="29">
        <f>MID(P2699,5,2)</f>
        <v/>
      </c>
      <c r="R2699" s="14">
        <f>MID(P2699,7,2)</f>
        <v/>
      </c>
      <c r="S2699" s="6" t="inlineStr">
        <is>
          <t>G2G</t>
        </is>
      </c>
      <c r="T2699" s="1" t="inlineStr">
        <is>
          <t>P4 - PEIPL</t>
        </is>
      </c>
      <c r="U2699" s="2" t="inlineStr">
        <is>
          <t xml:space="preserve">physically damaged </t>
        </is>
      </c>
      <c r="V2699" s="1" t="inlineStr">
        <is>
          <t>Inspection</t>
        </is>
      </c>
      <c r="W2699" s="1" t="inlineStr">
        <is>
          <t>Rejected</t>
        </is>
      </c>
      <c r="X2699" s="5">
        <f>Z2699</f>
        <v/>
      </c>
      <c r="Y2699" s="1">
        <f>X2699-A2699</f>
        <v/>
      </c>
      <c r="Z2699" s="5" t="n">
        <v>46200</v>
      </c>
      <c r="AA2699" s="3" t="n"/>
      <c r="AB2699" s="3" t="n"/>
      <c r="AE2699" s="146">
        <f>IF(AND(F2699="Closed",X2699&gt;=DATE(2026,6,1),X2699&lt;=DATE(2026,6,30)),"Closed in June","other")</f>
        <v/>
      </c>
    </row>
    <row r="2700" hidden="1">
      <c r="A2700" s="49" t="n">
        <v>46177</v>
      </c>
      <c r="B2700" s="1" t="n">
        <v>2026</v>
      </c>
      <c r="C2700" s="8" t="inlineStr">
        <is>
          <t>Ayana</t>
        </is>
      </c>
      <c r="D2700" s="11" t="inlineStr">
        <is>
          <t>Utility and C&amp;I</t>
        </is>
      </c>
      <c r="E2700" s="1" t="n"/>
      <c r="F2700" s="1" t="inlineStr">
        <is>
          <t>Closed</t>
        </is>
      </c>
      <c r="G2700" s="11" t="inlineStr">
        <is>
          <t>Vasu.N</t>
        </is>
      </c>
      <c r="H2700" s="8" t="n">
        <v>9578099893</v>
      </c>
      <c r="I2700" s="10" t="inlineStr">
        <is>
          <t>PE04062601</t>
        </is>
      </c>
      <c r="J2700" s="28" t="inlineStr">
        <is>
          <t>Module burnt</t>
        </is>
      </c>
      <c r="K2700" s="8" t="inlineStr">
        <is>
          <t>Zura</t>
        </is>
      </c>
      <c r="L2700" s="8" t="inlineStr">
        <is>
          <t>Gujarat</t>
        </is>
      </c>
      <c r="M2700" s="2" t="inlineStr">
        <is>
          <t xml:space="preserve">damage </t>
        </is>
      </c>
      <c r="N2700" s="6" t="inlineStr">
        <is>
          <t>Module Breakage</t>
        </is>
      </c>
      <c r="O2700" s="51" t="n">
        <v>590</v>
      </c>
      <c r="P2700" s="2" t="inlineStr">
        <is>
          <t>NSMI24100609330</t>
        </is>
      </c>
      <c r="Q2700" s="29">
        <f>MID(P2700,5,2)</f>
        <v/>
      </c>
      <c r="R2700" s="14">
        <f>MID(P2700,7,2)</f>
        <v/>
      </c>
      <c r="S2700" s="6" t="inlineStr">
        <is>
          <t>G2G</t>
        </is>
      </c>
      <c r="T2700" s="1" t="inlineStr">
        <is>
          <t>P4 - PEIPL</t>
        </is>
      </c>
      <c r="U2700" s="2" t="inlineStr">
        <is>
          <t xml:space="preserve">physically damaged </t>
        </is>
      </c>
      <c r="V2700" s="1" t="inlineStr">
        <is>
          <t>Inspection</t>
        </is>
      </c>
      <c r="W2700" s="1" t="inlineStr">
        <is>
          <t>Rejected</t>
        </is>
      </c>
      <c r="X2700" s="5">
        <f>Z2700</f>
        <v/>
      </c>
      <c r="Y2700" s="1">
        <f>X2700-A2700</f>
        <v/>
      </c>
      <c r="Z2700" s="5" t="n">
        <v>46200</v>
      </c>
      <c r="AA2700" s="3" t="n"/>
      <c r="AB2700" s="3" t="n"/>
      <c r="AE2700" s="146">
        <f>IF(AND(F2700="Closed",X2700&gt;=DATE(2026,6,1),X2700&lt;=DATE(2026,6,30)),"Closed in June","other")</f>
        <v/>
      </c>
    </row>
    <row r="2701" hidden="1">
      <c r="A2701" s="49" t="n">
        <v>46177</v>
      </c>
      <c r="B2701" s="1" t="n">
        <v>2026</v>
      </c>
      <c r="C2701" s="8" t="inlineStr">
        <is>
          <t>Ayana</t>
        </is>
      </c>
      <c r="D2701" s="11" t="inlineStr">
        <is>
          <t>Utility and C&amp;I</t>
        </is>
      </c>
      <c r="E2701" s="1" t="n"/>
      <c r="F2701" s="1" t="inlineStr">
        <is>
          <t>Closed</t>
        </is>
      </c>
      <c r="G2701" s="11" t="inlineStr">
        <is>
          <t>Vasu.N</t>
        </is>
      </c>
      <c r="H2701" s="8" t="n">
        <v>9578099893</v>
      </c>
      <c r="I2701" s="10" t="inlineStr">
        <is>
          <t>PE04062601</t>
        </is>
      </c>
      <c r="J2701" s="28" t="inlineStr">
        <is>
          <t>Module burnt</t>
        </is>
      </c>
      <c r="K2701" s="8" t="inlineStr">
        <is>
          <t>Zura</t>
        </is>
      </c>
      <c r="L2701" s="8" t="inlineStr">
        <is>
          <t>Gujarat</t>
        </is>
      </c>
      <c r="M2701" s="2" t="inlineStr">
        <is>
          <t xml:space="preserve">damage </t>
        </is>
      </c>
      <c r="N2701" s="6" t="inlineStr">
        <is>
          <t>Module Breakage</t>
        </is>
      </c>
      <c r="O2701" s="51" t="n">
        <v>590</v>
      </c>
      <c r="P2701" s="2" t="inlineStr">
        <is>
          <t>NSMI24100609293</t>
        </is>
      </c>
      <c r="Q2701" s="29">
        <f>MID(P2701,5,2)</f>
        <v/>
      </c>
      <c r="R2701" s="14">
        <f>MID(P2701,7,2)</f>
        <v/>
      </c>
      <c r="S2701" s="6" t="inlineStr">
        <is>
          <t>G2G</t>
        </is>
      </c>
      <c r="T2701" s="1" t="inlineStr">
        <is>
          <t>P4 - PEIPL</t>
        </is>
      </c>
      <c r="U2701" s="2" t="inlineStr">
        <is>
          <t xml:space="preserve">physically damaged </t>
        </is>
      </c>
      <c r="V2701" s="1" t="inlineStr">
        <is>
          <t>Inspection</t>
        </is>
      </c>
      <c r="W2701" s="1" t="inlineStr">
        <is>
          <t>Rejected</t>
        </is>
      </c>
      <c r="X2701" s="5">
        <f>Z2701</f>
        <v/>
      </c>
      <c r="Y2701" s="1">
        <f>X2701-A2701</f>
        <v/>
      </c>
      <c r="Z2701" s="5" t="n">
        <v>46200</v>
      </c>
      <c r="AA2701" s="3" t="n"/>
      <c r="AB2701" s="3" t="n"/>
      <c r="AE2701" s="146">
        <f>IF(AND(F2701="Closed",X2701&gt;=DATE(2026,6,1),X2701&lt;=DATE(2026,6,30)),"Closed in June","other")</f>
        <v/>
      </c>
    </row>
    <row r="2702" hidden="1">
      <c r="A2702" s="49" t="n">
        <v>46177</v>
      </c>
      <c r="B2702" s="1" t="n">
        <v>2026</v>
      </c>
      <c r="C2702" s="8" t="inlineStr">
        <is>
          <t>Ayana</t>
        </is>
      </c>
      <c r="D2702" s="11" t="inlineStr">
        <is>
          <t>Utility and C&amp;I</t>
        </is>
      </c>
      <c r="E2702" s="1" t="n"/>
      <c r="F2702" s="1" t="inlineStr">
        <is>
          <t>Closed</t>
        </is>
      </c>
      <c r="G2702" s="11" t="inlineStr">
        <is>
          <t>Vasu.N</t>
        </is>
      </c>
      <c r="H2702" s="8" t="n">
        <v>9578099893</v>
      </c>
      <c r="I2702" s="10" t="inlineStr">
        <is>
          <t>PE04062601</t>
        </is>
      </c>
      <c r="J2702" s="28" t="inlineStr">
        <is>
          <t>Module burnt</t>
        </is>
      </c>
      <c r="K2702" s="8" t="inlineStr">
        <is>
          <t>Zura</t>
        </is>
      </c>
      <c r="L2702" s="8" t="inlineStr">
        <is>
          <t>Gujarat</t>
        </is>
      </c>
      <c r="M2702" s="2" t="inlineStr">
        <is>
          <t xml:space="preserve">damage </t>
        </is>
      </c>
      <c r="N2702" s="6" t="inlineStr">
        <is>
          <t>Module Breakage</t>
        </is>
      </c>
      <c r="O2702" s="51" t="n">
        <v>590</v>
      </c>
      <c r="P2702" s="2" t="inlineStr">
        <is>
          <t>NSMI24110808677</t>
        </is>
      </c>
      <c r="Q2702" s="29">
        <f>MID(P2702,5,2)</f>
        <v/>
      </c>
      <c r="R2702" s="14">
        <f>MID(P2702,7,2)</f>
        <v/>
      </c>
      <c r="S2702" s="6" t="inlineStr">
        <is>
          <t>G2G</t>
        </is>
      </c>
      <c r="T2702" s="1" t="inlineStr">
        <is>
          <t>P4 - PEIPL</t>
        </is>
      </c>
      <c r="U2702" s="2" t="inlineStr">
        <is>
          <t xml:space="preserve">physically damaged </t>
        </is>
      </c>
      <c r="V2702" s="1" t="inlineStr">
        <is>
          <t>Inspection</t>
        </is>
      </c>
      <c r="W2702" s="1" t="inlineStr">
        <is>
          <t>Rejected</t>
        </is>
      </c>
      <c r="X2702" s="5">
        <f>Z2702</f>
        <v/>
      </c>
      <c r="Y2702" s="1">
        <f>X2702-A2702</f>
        <v/>
      </c>
      <c r="Z2702" s="5" t="n">
        <v>46200</v>
      </c>
      <c r="AA2702" s="3" t="n"/>
      <c r="AB2702" s="3" t="n"/>
      <c r="AE2702" s="146">
        <f>IF(AND(F2702="Closed",X2702&gt;=DATE(2026,6,1),X2702&lt;=DATE(2026,6,30)),"Closed in June","other")</f>
        <v/>
      </c>
    </row>
    <row r="2703" hidden="1">
      <c r="A2703" s="49" t="n">
        <v>46177</v>
      </c>
      <c r="B2703" s="1" t="n">
        <v>2026</v>
      </c>
      <c r="C2703" s="8" t="inlineStr">
        <is>
          <t>Ayana</t>
        </is>
      </c>
      <c r="D2703" s="11" t="inlineStr">
        <is>
          <t>Utility and C&amp;I</t>
        </is>
      </c>
      <c r="E2703" s="1" t="n"/>
      <c r="F2703" s="1" t="inlineStr">
        <is>
          <t>Closed</t>
        </is>
      </c>
      <c r="G2703" s="11" t="inlineStr">
        <is>
          <t>Vasu.N</t>
        </is>
      </c>
      <c r="H2703" s="8" t="n">
        <v>9578099893</v>
      </c>
      <c r="I2703" s="10" t="inlineStr">
        <is>
          <t>PE04062601</t>
        </is>
      </c>
      <c r="J2703" s="28" t="inlineStr">
        <is>
          <t>Module burnt</t>
        </is>
      </c>
      <c r="K2703" s="8" t="inlineStr">
        <is>
          <t>Zura</t>
        </is>
      </c>
      <c r="L2703" s="8" t="inlineStr">
        <is>
          <t>Gujarat</t>
        </is>
      </c>
      <c r="M2703" s="2" t="inlineStr">
        <is>
          <t xml:space="preserve">damage </t>
        </is>
      </c>
      <c r="N2703" s="6" t="inlineStr">
        <is>
          <t>Module Breakage</t>
        </is>
      </c>
      <c r="O2703" s="51" t="n">
        <v>590</v>
      </c>
      <c r="P2703" s="2" t="inlineStr">
        <is>
          <t>NSMI24110846961</t>
        </is>
      </c>
      <c r="Q2703" s="29">
        <f>MID(P2703,5,2)</f>
        <v/>
      </c>
      <c r="R2703" s="14">
        <f>MID(P2703,7,2)</f>
        <v/>
      </c>
      <c r="S2703" s="6" t="inlineStr">
        <is>
          <t>G2G</t>
        </is>
      </c>
      <c r="T2703" s="1" t="inlineStr">
        <is>
          <t>P4 - PEIPL</t>
        </is>
      </c>
      <c r="U2703" s="2" t="inlineStr">
        <is>
          <t xml:space="preserve">physically damaged </t>
        </is>
      </c>
      <c r="V2703" s="1" t="inlineStr">
        <is>
          <t>Inspection</t>
        </is>
      </c>
      <c r="W2703" s="1" t="inlineStr">
        <is>
          <t>Rejected</t>
        </is>
      </c>
      <c r="X2703" s="5">
        <f>Z2703</f>
        <v/>
      </c>
      <c r="Y2703" s="1">
        <f>X2703-A2703</f>
        <v/>
      </c>
      <c r="Z2703" s="5" t="n">
        <v>46200</v>
      </c>
      <c r="AA2703" s="3" t="n"/>
      <c r="AB2703" s="3" t="n"/>
      <c r="AE2703" s="146">
        <f>IF(AND(F2703="Closed",X2703&gt;=DATE(2026,6,1),X2703&lt;=DATE(2026,6,30)),"Closed in June","other")</f>
        <v/>
      </c>
    </row>
    <row r="2704" hidden="1">
      <c r="A2704" s="49" t="n">
        <v>46177</v>
      </c>
      <c r="B2704" s="1" t="n">
        <v>2026</v>
      </c>
      <c r="C2704" s="8" t="inlineStr">
        <is>
          <t>Ayana</t>
        </is>
      </c>
      <c r="D2704" s="11" t="inlineStr">
        <is>
          <t>Utility and C&amp;I</t>
        </is>
      </c>
      <c r="E2704" s="1" t="n"/>
      <c r="F2704" s="1" t="inlineStr">
        <is>
          <t>Closed</t>
        </is>
      </c>
      <c r="G2704" s="11" t="inlineStr">
        <is>
          <t>Vasu.N</t>
        </is>
      </c>
      <c r="H2704" s="8" t="n">
        <v>9578099893</v>
      </c>
      <c r="I2704" s="10" t="inlineStr">
        <is>
          <t>PE04062601</t>
        </is>
      </c>
      <c r="J2704" s="28" t="inlineStr">
        <is>
          <t>Module burnt</t>
        </is>
      </c>
      <c r="K2704" s="8" t="inlineStr">
        <is>
          <t>Zura</t>
        </is>
      </c>
      <c r="L2704" s="8" t="inlineStr">
        <is>
          <t>Gujarat</t>
        </is>
      </c>
      <c r="M2704" s="2" t="inlineStr">
        <is>
          <t xml:space="preserve">damage </t>
        </is>
      </c>
      <c r="N2704" s="6" t="inlineStr">
        <is>
          <t>Module Breakage</t>
        </is>
      </c>
      <c r="O2704" s="51" t="n">
        <v>590</v>
      </c>
      <c r="P2704" s="2" t="inlineStr">
        <is>
          <t>NSMI24110847001</t>
        </is>
      </c>
      <c r="Q2704" s="29">
        <f>MID(P2704,5,2)</f>
        <v/>
      </c>
      <c r="R2704" s="14">
        <f>MID(P2704,7,2)</f>
        <v/>
      </c>
      <c r="S2704" s="6" t="inlineStr">
        <is>
          <t>G2G</t>
        </is>
      </c>
      <c r="T2704" s="1" t="inlineStr">
        <is>
          <t>P4 - PEIPL</t>
        </is>
      </c>
      <c r="U2704" s="2" t="inlineStr">
        <is>
          <t xml:space="preserve">physically damaged </t>
        </is>
      </c>
      <c r="V2704" s="1" t="inlineStr">
        <is>
          <t>Inspection</t>
        </is>
      </c>
      <c r="W2704" s="1" t="inlineStr">
        <is>
          <t>Rejected</t>
        </is>
      </c>
      <c r="X2704" s="5">
        <f>Z2704</f>
        <v/>
      </c>
      <c r="Y2704" s="1">
        <f>X2704-A2704</f>
        <v/>
      </c>
      <c r="Z2704" s="5" t="n">
        <v>46200</v>
      </c>
      <c r="AA2704" s="3" t="n"/>
      <c r="AB2704" s="3" t="n"/>
      <c r="AE2704" s="146">
        <f>IF(AND(F2704="Closed",X2704&gt;=DATE(2026,6,1),X2704&lt;=DATE(2026,6,30)),"Closed in June","other")</f>
        <v/>
      </c>
    </row>
    <row r="2705" hidden="1">
      <c r="A2705" s="49" t="n">
        <v>46177</v>
      </c>
      <c r="B2705" s="1" t="n">
        <v>2026</v>
      </c>
      <c r="C2705" s="8" t="inlineStr">
        <is>
          <t>Ayana</t>
        </is>
      </c>
      <c r="D2705" s="11" t="inlineStr">
        <is>
          <t>Utility and C&amp;I</t>
        </is>
      </c>
      <c r="E2705" s="1" t="n"/>
      <c r="F2705" s="1" t="inlineStr">
        <is>
          <t>Closed</t>
        </is>
      </c>
      <c r="G2705" s="11" t="inlineStr">
        <is>
          <t>Vasu.N</t>
        </is>
      </c>
      <c r="H2705" s="8" t="n">
        <v>9578099893</v>
      </c>
      <c r="I2705" s="10" t="inlineStr">
        <is>
          <t>PE04062601</t>
        </is>
      </c>
      <c r="J2705" s="28" t="inlineStr">
        <is>
          <t>Module burnt</t>
        </is>
      </c>
      <c r="K2705" s="8" t="inlineStr">
        <is>
          <t>Zura</t>
        </is>
      </c>
      <c r="L2705" s="8" t="inlineStr">
        <is>
          <t>Gujarat</t>
        </is>
      </c>
      <c r="M2705" s="2" t="inlineStr">
        <is>
          <t xml:space="preserve">damage </t>
        </is>
      </c>
      <c r="N2705" s="6" t="inlineStr">
        <is>
          <t>Module Breakage</t>
        </is>
      </c>
      <c r="O2705" s="51" t="n">
        <v>590</v>
      </c>
      <c r="P2705" s="2" t="inlineStr">
        <is>
          <t>NSMI24100591564</t>
        </is>
      </c>
      <c r="Q2705" s="29">
        <f>MID(P2705,5,2)</f>
        <v/>
      </c>
      <c r="R2705" s="14">
        <f>MID(P2705,7,2)</f>
        <v/>
      </c>
      <c r="S2705" s="6" t="inlineStr">
        <is>
          <t>G2G</t>
        </is>
      </c>
      <c r="T2705" s="1" t="inlineStr">
        <is>
          <t>P4 - PEIPL</t>
        </is>
      </c>
      <c r="U2705" s="2" t="inlineStr">
        <is>
          <t xml:space="preserve">physically damaged </t>
        </is>
      </c>
      <c r="V2705" s="1" t="inlineStr">
        <is>
          <t>Inspection</t>
        </is>
      </c>
      <c r="W2705" s="1" t="inlineStr">
        <is>
          <t>Rejected</t>
        </is>
      </c>
      <c r="X2705" s="5">
        <f>Z2705</f>
        <v/>
      </c>
      <c r="Y2705" s="1">
        <f>X2705-A2705</f>
        <v/>
      </c>
      <c r="Z2705" s="5" t="n">
        <v>46200</v>
      </c>
      <c r="AA2705" s="3" t="n"/>
      <c r="AB2705" s="3" t="n"/>
      <c r="AE2705" s="146">
        <f>IF(AND(F2705="Closed",X2705&gt;=DATE(2026,6,1),X2705&lt;=DATE(2026,6,30)),"Closed in June","other")</f>
        <v/>
      </c>
    </row>
    <row r="2706" hidden="1">
      <c r="A2706" s="49" t="n">
        <v>46177</v>
      </c>
      <c r="B2706" s="1" t="n">
        <v>2026</v>
      </c>
      <c r="C2706" s="8" t="inlineStr">
        <is>
          <t>Ayana</t>
        </is>
      </c>
      <c r="D2706" s="11" t="inlineStr">
        <is>
          <t>Utility and C&amp;I</t>
        </is>
      </c>
      <c r="E2706" s="1" t="n"/>
      <c r="F2706" s="1" t="inlineStr">
        <is>
          <t>Closed</t>
        </is>
      </c>
      <c r="G2706" s="11" t="inlineStr">
        <is>
          <t>Vasu.N</t>
        </is>
      </c>
      <c r="H2706" s="8" t="n">
        <v>9578099893</v>
      </c>
      <c r="I2706" s="10" t="inlineStr">
        <is>
          <t>PE04062601</t>
        </is>
      </c>
      <c r="J2706" s="28" t="inlineStr">
        <is>
          <t>Module burnt</t>
        </is>
      </c>
      <c r="K2706" s="8" t="inlineStr">
        <is>
          <t>Zura</t>
        </is>
      </c>
      <c r="L2706" s="8" t="inlineStr">
        <is>
          <t>Gujarat</t>
        </is>
      </c>
      <c r="M2706" s="2" t="inlineStr">
        <is>
          <t xml:space="preserve">damage </t>
        </is>
      </c>
      <c r="N2706" s="6" t="inlineStr">
        <is>
          <t>Module Breakage</t>
        </is>
      </c>
      <c r="O2706" s="51" t="n">
        <v>590</v>
      </c>
      <c r="P2706" s="2" t="inlineStr">
        <is>
          <t>NSMI24100592197</t>
        </is>
      </c>
      <c r="Q2706" s="29">
        <f>MID(P2706,5,2)</f>
        <v/>
      </c>
      <c r="R2706" s="14">
        <f>MID(P2706,7,2)</f>
        <v/>
      </c>
      <c r="S2706" s="6" t="inlineStr">
        <is>
          <t>G2G</t>
        </is>
      </c>
      <c r="T2706" s="1" t="inlineStr">
        <is>
          <t>P4 - PEIPL</t>
        </is>
      </c>
      <c r="U2706" s="2" t="inlineStr">
        <is>
          <t xml:space="preserve">physically damaged </t>
        </is>
      </c>
      <c r="V2706" s="1" t="inlineStr">
        <is>
          <t>Inspection</t>
        </is>
      </c>
      <c r="W2706" s="1" t="inlineStr">
        <is>
          <t>Rejected</t>
        </is>
      </c>
      <c r="X2706" s="5">
        <f>Z2706</f>
        <v/>
      </c>
      <c r="Y2706" s="1">
        <f>X2706-A2706</f>
        <v/>
      </c>
      <c r="Z2706" s="5" t="n">
        <v>46200</v>
      </c>
      <c r="AA2706" s="3" t="n"/>
      <c r="AB2706" s="3" t="n"/>
      <c r="AE2706" s="146">
        <f>IF(AND(F2706="Closed",X2706&gt;=DATE(2026,6,1),X2706&lt;=DATE(2026,6,30)),"Closed in June","other")</f>
        <v/>
      </c>
    </row>
    <row r="2707" hidden="1">
      <c r="A2707" s="49" t="n">
        <v>46177</v>
      </c>
      <c r="B2707" s="1" t="n">
        <v>2026</v>
      </c>
      <c r="C2707" s="8" t="inlineStr">
        <is>
          <t>Ayana</t>
        </is>
      </c>
      <c r="D2707" s="11" t="inlineStr">
        <is>
          <t>Utility and C&amp;I</t>
        </is>
      </c>
      <c r="E2707" s="1" t="n"/>
      <c r="F2707" s="1" t="inlineStr">
        <is>
          <t>Closed</t>
        </is>
      </c>
      <c r="G2707" s="11" t="inlineStr">
        <is>
          <t>Vasu.N</t>
        </is>
      </c>
      <c r="H2707" s="8" t="n">
        <v>9578099893</v>
      </c>
      <c r="I2707" s="10" t="inlineStr">
        <is>
          <t>PE04062601</t>
        </is>
      </c>
      <c r="J2707" s="28" t="inlineStr">
        <is>
          <t>Module burnt</t>
        </is>
      </c>
      <c r="K2707" s="8" t="inlineStr">
        <is>
          <t>Zura</t>
        </is>
      </c>
      <c r="L2707" s="8" t="inlineStr">
        <is>
          <t>Gujarat</t>
        </is>
      </c>
      <c r="M2707" s="2" t="inlineStr">
        <is>
          <t xml:space="preserve">damage </t>
        </is>
      </c>
      <c r="N2707" s="6" t="inlineStr">
        <is>
          <t>Module Breakage</t>
        </is>
      </c>
      <c r="O2707" s="51" t="n">
        <v>590</v>
      </c>
      <c r="P2707" s="2" t="inlineStr">
        <is>
          <t>NSMI24100615873</t>
        </is>
      </c>
      <c r="Q2707" s="29">
        <f>MID(P2707,5,2)</f>
        <v/>
      </c>
      <c r="R2707" s="14">
        <f>MID(P2707,7,2)</f>
        <v/>
      </c>
      <c r="S2707" s="6" t="inlineStr">
        <is>
          <t>G2G</t>
        </is>
      </c>
      <c r="T2707" s="1" t="inlineStr">
        <is>
          <t>P4 - PEIPL</t>
        </is>
      </c>
      <c r="U2707" s="2" t="inlineStr">
        <is>
          <t xml:space="preserve">physically damaged </t>
        </is>
      </c>
      <c r="V2707" s="1" t="inlineStr">
        <is>
          <t>Inspection</t>
        </is>
      </c>
      <c r="W2707" s="1" t="inlineStr">
        <is>
          <t>Rejected</t>
        </is>
      </c>
      <c r="X2707" s="5">
        <f>Z2707</f>
        <v/>
      </c>
      <c r="Y2707" s="1">
        <f>X2707-A2707</f>
        <v/>
      </c>
      <c r="Z2707" s="5" t="n">
        <v>46200</v>
      </c>
      <c r="AA2707" s="3" t="n"/>
      <c r="AB2707" s="3" t="n"/>
      <c r="AE2707" s="146">
        <f>IF(AND(F2707="Closed",X2707&gt;=DATE(2026,6,1),X2707&lt;=DATE(2026,6,30)),"Closed in June","other")</f>
        <v/>
      </c>
    </row>
    <row r="2708" hidden="1">
      <c r="A2708" s="49" t="n">
        <v>46177</v>
      </c>
      <c r="B2708" s="1" t="n">
        <v>2026</v>
      </c>
      <c r="C2708" s="8" t="inlineStr">
        <is>
          <t>Ayana</t>
        </is>
      </c>
      <c r="D2708" s="11" t="inlineStr">
        <is>
          <t>Utility and C&amp;I</t>
        </is>
      </c>
      <c r="E2708" s="1" t="n"/>
      <c r="F2708" s="1" t="inlineStr">
        <is>
          <t>Closed</t>
        </is>
      </c>
      <c r="G2708" s="11" t="inlineStr">
        <is>
          <t>Vasu.N</t>
        </is>
      </c>
      <c r="H2708" s="8" t="n">
        <v>9578099893</v>
      </c>
      <c r="I2708" s="10" t="inlineStr">
        <is>
          <t>PE04062601</t>
        </is>
      </c>
      <c r="J2708" s="28" t="inlineStr">
        <is>
          <t>Module burnt</t>
        </is>
      </c>
      <c r="K2708" s="8" t="inlineStr">
        <is>
          <t>Zura</t>
        </is>
      </c>
      <c r="L2708" s="8" t="inlineStr">
        <is>
          <t>Gujarat</t>
        </is>
      </c>
      <c r="M2708" s="2" t="inlineStr">
        <is>
          <t xml:space="preserve">damage </t>
        </is>
      </c>
      <c r="N2708" s="6" t="inlineStr">
        <is>
          <t>Module Breakage</t>
        </is>
      </c>
      <c r="O2708" s="51" t="n">
        <v>590</v>
      </c>
      <c r="P2708" s="2" t="inlineStr">
        <is>
          <t>NSMI24110849910</t>
        </is>
      </c>
      <c r="Q2708" s="29">
        <f>MID(P2708,5,2)</f>
        <v/>
      </c>
      <c r="R2708" s="14">
        <f>MID(P2708,7,2)</f>
        <v/>
      </c>
      <c r="S2708" s="6" t="inlineStr">
        <is>
          <t>G2G</t>
        </is>
      </c>
      <c r="T2708" s="1" t="inlineStr">
        <is>
          <t>P4 - PEIPL</t>
        </is>
      </c>
      <c r="U2708" s="2" t="inlineStr">
        <is>
          <t xml:space="preserve">physically damaged </t>
        </is>
      </c>
      <c r="V2708" s="1" t="inlineStr">
        <is>
          <t>Inspection</t>
        </is>
      </c>
      <c r="W2708" s="1" t="inlineStr">
        <is>
          <t>Rejected</t>
        </is>
      </c>
      <c r="X2708" s="5">
        <f>Z2708</f>
        <v/>
      </c>
      <c r="Y2708" s="1">
        <f>X2708-A2708</f>
        <v/>
      </c>
      <c r="Z2708" s="5" t="n">
        <v>46200</v>
      </c>
      <c r="AA2708" s="3" t="n"/>
      <c r="AB2708" s="3" t="n"/>
      <c r="AE2708" s="146">
        <f>IF(AND(F2708="Closed",X2708&gt;=DATE(2026,6,1),X2708&lt;=DATE(2026,6,30)),"Closed in June","other")</f>
        <v/>
      </c>
    </row>
    <row r="2709" hidden="1">
      <c r="A2709" s="49" t="n">
        <v>46177</v>
      </c>
      <c r="B2709" s="1" t="n">
        <v>2026</v>
      </c>
      <c r="C2709" s="8" t="inlineStr">
        <is>
          <t>Ayana</t>
        </is>
      </c>
      <c r="D2709" s="11" t="inlineStr">
        <is>
          <t>Utility and C&amp;I</t>
        </is>
      </c>
      <c r="E2709" s="1" t="n"/>
      <c r="F2709" s="1" t="inlineStr">
        <is>
          <t>Closed</t>
        </is>
      </c>
      <c r="G2709" s="11" t="inlineStr">
        <is>
          <t>Vasu.N</t>
        </is>
      </c>
      <c r="H2709" s="8" t="n">
        <v>9578099893</v>
      </c>
      <c r="I2709" s="10" t="inlineStr">
        <is>
          <t>PE04062601</t>
        </is>
      </c>
      <c r="J2709" s="28" t="inlineStr">
        <is>
          <t>Module burnt</t>
        </is>
      </c>
      <c r="K2709" s="8" t="inlineStr">
        <is>
          <t>Zura</t>
        </is>
      </c>
      <c r="L2709" s="8" t="inlineStr">
        <is>
          <t>Gujarat</t>
        </is>
      </c>
      <c r="M2709" s="2" t="inlineStr">
        <is>
          <t xml:space="preserve">damage </t>
        </is>
      </c>
      <c r="N2709" s="6" t="inlineStr">
        <is>
          <t>Module Breakage</t>
        </is>
      </c>
      <c r="O2709" s="51" t="n">
        <v>590</v>
      </c>
      <c r="P2709" s="2" t="inlineStr">
        <is>
          <t>NSMI24110849855</t>
        </is>
      </c>
      <c r="Q2709" s="29">
        <f>MID(P2709,5,2)</f>
        <v/>
      </c>
      <c r="R2709" s="14">
        <f>MID(P2709,7,2)</f>
        <v/>
      </c>
      <c r="S2709" s="6" t="inlineStr">
        <is>
          <t>G2G</t>
        </is>
      </c>
      <c r="T2709" s="1" t="inlineStr">
        <is>
          <t>P4 - PEIPL</t>
        </is>
      </c>
      <c r="U2709" s="2" t="inlineStr">
        <is>
          <t xml:space="preserve">physically damaged </t>
        </is>
      </c>
      <c r="V2709" s="1" t="inlineStr">
        <is>
          <t>Inspection</t>
        </is>
      </c>
      <c r="W2709" s="1" t="inlineStr">
        <is>
          <t>Rejected</t>
        </is>
      </c>
      <c r="X2709" s="5">
        <f>Z2709</f>
        <v/>
      </c>
      <c r="Y2709" s="1">
        <f>X2709-A2709</f>
        <v/>
      </c>
      <c r="Z2709" s="5" t="n">
        <v>46200</v>
      </c>
      <c r="AA2709" s="3" t="n"/>
      <c r="AB2709" s="3" t="n"/>
      <c r="AE2709" s="146">
        <f>IF(AND(F2709="Closed",X2709&gt;=DATE(2026,6,1),X2709&lt;=DATE(2026,6,30)),"Closed in June","other")</f>
        <v/>
      </c>
    </row>
    <row r="2710" hidden="1">
      <c r="A2710" s="49" t="n">
        <v>46177</v>
      </c>
      <c r="B2710" s="1" t="n">
        <v>2026</v>
      </c>
      <c r="C2710" s="8" t="inlineStr">
        <is>
          <t>Ayana</t>
        </is>
      </c>
      <c r="D2710" s="11" t="inlineStr">
        <is>
          <t>Utility and C&amp;I</t>
        </is>
      </c>
      <c r="E2710" s="1" t="n"/>
      <c r="F2710" s="1" t="inlineStr">
        <is>
          <t>Closed</t>
        </is>
      </c>
      <c r="G2710" s="11" t="inlineStr">
        <is>
          <t>Vasu.N</t>
        </is>
      </c>
      <c r="H2710" s="8" t="n">
        <v>9578099893</v>
      </c>
      <c r="I2710" s="10" t="inlineStr">
        <is>
          <t>PE04062601</t>
        </is>
      </c>
      <c r="J2710" s="28" t="inlineStr">
        <is>
          <t>Module burnt</t>
        </is>
      </c>
      <c r="K2710" s="8" t="inlineStr">
        <is>
          <t>Zura</t>
        </is>
      </c>
      <c r="L2710" s="8" t="inlineStr">
        <is>
          <t>Gujarat</t>
        </is>
      </c>
      <c r="M2710" s="2" t="inlineStr">
        <is>
          <t xml:space="preserve">damage </t>
        </is>
      </c>
      <c r="N2710" s="6" t="inlineStr">
        <is>
          <t>Module Breakage</t>
        </is>
      </c>
      <c r="O2710" s="51" t="n">
        <v>590</v>
      </c>
      <c r="P2710" s="2" t="inlineStr">
        <is>
          <t>NSMI24100605940</t>
        </is>
      </c>
      <c r="Q2710" s="29">
        <f>MID(P2710,5,2)</f>
        <v/>
      </c>
      <c r="R2710" s="14">
        <f>MID(P2710,7,2)</f>
        <v/>
      </c>
      <c r="S2710" s="6" t="inlineStr">
        <is>
          <t>G2G</t>
        </is>
      </c>
      <c r="T2710" s="1" t="inlineStr">
        <is>
          <t>P4 - PEIPL</t>
        </is>
      </c>
      <c r="U2710" s="2" t="inlineStr">
        <is>
          <t xml:space="preserve">physically damaged </t>
        </is>
      </c>
      <c r="V2710" s="1" t="inlineStr">
        <is>
          <t>Inspection</t>
        </is>
      </c>
      <c r="W2710" s="1" t="inlineStr">
        <is>
          <t>Rejected</t>
        </is>
      </c>
      <c r="X2710" s="5">
        <f>Z2710</f>
        <v/>
      </c>
      <c r="Y2710" s="1">
        <f>X2710-A2710</f>
        <v/>
      </c>
      <c r="Z2710" s="5" t="n">
        <v>46200</v>
      </c>
      <c r="AA2710" s="3" t="n"/>
      <c r="AB2710" s="3" t="n"/>
      <c r="AE2710" s="146">
        <f>IF(AND(F2710="Closed",X2710&gt;=DATE(2026,6,1),X2710&lt;=DATE(2026,6,30)),"Closed in June","other")</f>
        <v/>
      </c>
    </row>
    <row r="2711" hidden="1">
      <c r="A2711" s="49" t="n">
        <v>46177</v>
      </c>
      <c r="B2711" s="1" t="n">
        <v>2026</v>
      </c>
      <c r="C2711" s="8" t="inlineStr">
        <is>
          <t>Ayana</t>
        </is>
      </c>
      <c r="D2711" s="11" t="inlineStr">
        <is>
          <t>Utility and C&amp;I</t>
        </is>
      </c>
      <c r="E2711" s="1" t="n"/>
      <c r="F2711" s="1" t="inlineStr">
        <is>
          <t>Closed</t>
        </is>
      </c>
      <c r="G2711" s="11" t="inlineStr">
        <is>
          <t>Vasu.N</t>
        </is>
      </c>
      <c r="H2711" s="8" t="n">
        <v>9578099893</v>
      </c>
      <c r="I2711" s="10" t="inlineStr">
        <is>
          <t>PE04062601</t>
        </is>
      </c>
      <c r="J2711" s="28" t="inlineStr">
        <is>
          <t>Module burnt</t>
        </is>
      </c>
      <c r="K2711" s="8" t="inlineStr">
        <is>
          <t>Zura</t>
        </is>
      </c>
      <c r="L2711" s="8" t="inlineStr">
        <is>
          <t>Gujarat</t>
        </is>
      </c>
      <c r="M2711" s="2" t="inlineStr">
        <is>
          <t xml:space="preserve">damage </t>
        </is>
      </c>
      <c r="N2711" s="6" t="inlineStr">
        <is>
          <t>Module Breakage</t>
        </is>
      </c>
      <c r="O2711" s="51" t="n">
        <v>590</v>
      </c>
      <c r="P2711" s="2" t="inlineStr">
        <is>
          <t>NSMI24100606112</t>
        </is>
      </c>
      <c r="Q2711" s="29">
        <f>MID(P2711,5,2)</f>
        <v/>
      </c>
      <c r="R2711" s="14">
        <f>MID(P2711,7,2)</f>
        <v/>
      </c>
      <c r="S2711" s="6" t="inlineStr">
        <is>
          <t>G2G</t>
        </is>
      </c>
      <c r="T2711" s="1" t="inlineStr">
        <is>
          <t>P4 - PEIPL</t>
        </is>
      </c>
      <c r="U2711" s="2" t="inlineStr">
        <is>
          <t xml:space="preserve">physically damaged </t>
        </is>
      </c>
      <c r="V2711" s="1" t="inlineStr">
        <is>
          <t>Inspection</t>
        </is>
      </c>
      <c r="W2711" s="1" t="inlineStr">
        <is>
          <t>Rejected</t>
        </is>
      </c>
      <c r="X2711" s="5">
        <f>Z2711</f>
        <v/>
      </c>
      <c r="Y2711" s="1">
        <f>X2711-A2711</f>
        <v/>
      </c>
      <c r="Z2711" s="5" t="n">
        <v>46200</v>
      </c>
      <c r="AA2711" s="3" t="n"/>
      <c r="AB2711" s="3" t="n"/>
      <c r="AE2711" s="146">
        <f>IF(AND(F2711="Closed",X2711&gt;=DATE(2026,6,1),X2711&lt;=DATE(2026,6,30)),"Closed in June","other")</f>
        <v/>
      </c>
    </row>
    <row r="2712" hidden="1">
      <c r="A2712" s="49" t="n">
        <v>46177</v>
      </c>
      <c r="B2712" s="1" t="n">
        <v>2026</v>
      </c>
      <c r="C2712" s="8" t="inlineStr">
        <is>
          <t>Ayana</t>
        </is>
      </c>
      <c r="D2712" s="11" t="inlineStr">
        <is>
          <t>Utility and C&amp;I</t>
        </is>
      </c>
      <c r="E2712" s="1" t="n"/>
      <c r="F2712" s="1" t="inlineStr">
        <is>
          <t>Closed</t>
        </is>
      </c>
      <c r="G2712" s="11" t="inlineStr">
        <is>
          <t>Vasu.N</t>
        </is>
      </c>
      <c r="H2712" s="8" t="n">
        <v>9578099893</v>
      </c>
      <c r="I2712" s="10" t="inlineStr">
        <is>
          <t>PE04062601</t>
        </is>
      </c>
      <c r="J2712" s="28" t="inlineStr">
        <is>
          <t>Module burnt</t>
        </is>
      </c>
      <c r="K2712" s="8" t="inlineStr">
        <is>
          <t>Zura</t>
        </is>
      </c>
      <c r="L2712" s="8" t="inlineStr">
        <is>
          <t>Gujarat</t>
        </is>
      </c>
      <c r="M2712" s="2" t="inlineStr">
        <is>
          <t xml:space="preserve">damage </t>
        </is>
      </c>
      <c r="N2712" s="6" t="inlineStr">
        <is>
          <t>Module Breakage</t>
        </is>
      </c>
      <c r="O2712" s="51" t="n">
        <v>590</v>
      </c>
      <c r="P2712" s="2" t="inlineStr">
        <is>
          <t>NSMI24110797157</t>
        </is>
      </c>
      <c r="Q2712" s="29">
        <f>MID(P2712,5,2)</f>
        <v/>
      </c>
      <c r="R2712" s="14">
        <f>MID(P2712,7,2)</f>
        <v/>
      </c>
      <c r="S2712" s="6" t="inlineStr">
        <is>
          <t>G2G</t>
        </is>
      </c>
      <c r="T2712" s="1" t="inlineStr">
        <is>
          <t>P4 - PEIPL</t>
        </is>
      </c>
      <c r="U2712" s="2" t="inlineStr">
        <is>
          <t xml:space="preserve">physically damaged </t>
        </is>
      </c>
      <c r="V2712" s="1" t="inlineStr">
        <is>
          <t>Inspection</t>
        </is>
      </c>
      <c r="W2712" s="1" t="inlineStr">
        <is>
          <t>Rejected</t>
        </is>
      </c>
      <c r="X2712" s="5">
        <f>Z2712</f>
        <v/>
      </c>
      <c r="Y2712" s="1">
        <f>X2712-A2712</f>
        <v/>
      </c>
      <c r="Z2712" s="5" t="n">
        <v>46200</v>
      </c>
      <c r="AA2712" s="3" t="n"/>
      <c r="AB2712" s="3" t="n"/>
      <c r="AE2712" s="146">
        <f>IF(AND(F2712="Closed",X2712&gt;=DATE(2026,6,1),X2712&lt;=DATE(2026,6,30)),"Closed in June","other")</f>
        <v/>
      </c>
    </row>
    <row r="2713" hidden="1">
      <c r="A2713" s="49" t="n">
        <v>46177</v>
      </c>
      <c r="B2713" s="1" t="n">
        <v>2026</v>
      </c>
      <c r="C2713" s="8" t="inlineStr">
        <is>
          <t>Ayana</t>
        </is>
      </c>
      <c r="D2713" s="11" t="inlineStr">
        <is>
          <t>Utility and C&amp;I</t>
        </is>
      </c>
      <c r="E2713" s="1" t="n"/>
      <c r="F2713" s="1" t="inlineStr">
        <is>
          <t>Closed</t>
        </is>
      </c>
      <c r="G2713" s="11" t="inlineStr">
        <is>
          <t>Vasu.N</t>
        </is>
      </c>
      <c r="H2713" s="8" t="n">
        <v>9578099893</v>
      </c>
      <c r="I2713" s="10" t="inlineStr">
        <is>
          <t>PE04062601</t>
        </is>
      </c>
      <c r="J2713" s="28" t="inlineStr">
        <is>
          <t>Module burnt</t>
        </is>
      </c>
      <c r="K2713" s="8" t="inlineStr">
        <is>
          <t>Zura</t>
        </is>
      </c>
      <c r="L2713" s="8" t="inlineStr">
        <is>
          <t>Gujarat</t>
        </is>
      </c>
      <c r="M2713" s="2" t="inlineStr">
        <is>
          <t xml:space="preserve">damage </t>
        </is>
      </c>
      <c r="N2713" s="6" t="inlineStr">
        <is>
          <t>Module Breakage</t>
        </is>
      </c>
      <c r="O2713" s="51" t="n">
        <v>590</v>
      </c>
      <c r="P2713" s="2" t="inlineStr">
        <is>
          <t>NSMI24100639793</t>
        </is>
      </c>
      <c r="Q2713" s="29">
        <f>MID(P2713,5,2)</f>
        <v/>
      </c>
      <c r="R2713" s="14">
        <f>MID(P2713,7,2)</f>
        <v/>
      </c>
      <c r="S2713" s="6" t="inlineStr">
        <is>
          <t>G2G</t>
        </is>
      </c>
      <c r="T2713" s="1" t="inlineStr">
        <is>
          <t>P4 - PEIPL</t>
        </is>
      </c>
      <c r="U2713" s="2" t="inlineStr">
        <is>
          <t xml:space="preserve">physically damaged </t>
        </is>
      </c>
      <c r="V2713" s="1" t="inlineStr">
        <is>
          <t>Inspection</t>
        </is>
      </c>
      <c r="W2713" s="1" t="inlineStr">
        <is>
          <t>Rejected</t>
        </is>
      </c>
      <c r="X2713" s="5">
        <f>Z2713</f>
        <v/>
      </c>
      <c r="Y2713" s="1">
        <f>X2713-A2713</f>
        <v/>
      </c>
      <c r="Z2713" s="5" t="n">
        <v>46200</v>
      </c>
      <c r="AA2713" s="3" t="n"/>
      <c r="AB2713" s="3" t="n"/>
      <c r="AE2713" s="146">
        <f>IF(AND(F2713="Closed",X2713&gt;=DATE(2026,6,1),X2713&lt;=DATE(2026,6,30)),"Closed in June","other")</f>
        <v/>
      </c>
    </row>
    <row r="2714" hidden="1">
      <c r="A2714" s="49" t="n">
        <v>46177</v>
      </c>
      <c r="B2714" s="1" t="n">
        <v>2026</v>
      </c>
      <c r="C2714" s="8" t="inlineStr">
        <is>
          <t>Ayana</t>
        </is>
      </c>
      <c r="D2714" s="11" t="inlineStr">
        <is>
          <t>Utility and C&amp;I</t>
        </is>
      </c>
      <c r="E2714" s="1" t="n"/>
      <c r="F2714" s="1" t="inlineStr">
        <is>
          <t>WIP</t>
        </is>
      </c>
      <c r="G2714" s="11" t="inlineStr">
        <is>
          <t>Vasu.N</t>
        </is>
      </c>
      <c r="H2714" s="8" t="n">
        <v>9578099893</v>
      </c>
      <c r="I2714" s="10" t="inlineStr">
        <is>
          <t>PE04062601</t>
        </is>
      </c>
      <c r="J2714" s="28" t="inlineStr">
        <is>
          <t>Module burnt</t>
        </is>
      </c>
      <c r="K2714" s="8" t="inlineStr">
        <is>
          <t>Zura</t>
        </is>
      </c>
      <c r="L2714" s="8" t="inlineStr">
        <is>
          <t>Gujarat</t>
        </is>
      </c>
      <c r="M2714" s="2" t="inlineStr">
        <is>
          <t xml:space="preserve">damage </t>
        </is>
      </c>
      <c r="N2714" s="6" t="inlineStr">
        <is>
          <t>Module Breakage</t>
        </is>
      </c>
      <c r="O2714" s="51" t="n">
        <v>590</v>
      </c>
      <c r="P2714" s="2" t="inlineStr">
        <is>
          <t>NSMI24100580550</t>
        </is>
      </c>
      <c r="Q2714" s="29">
        <f>MID(P2714,5,2)</f>
        <v/>
      </c>
      <c r="R2714" s="14">
        <f>MID(P2714,7,2)</f>
        <v/>
      </c>
      <c r="S2714" s="6" t="inlineStr">
        <is>
          <t>G2G</t>
        </is>
      </c>
      <c r="T2714" s="1" t="inlineStr">
        <is>
          <t>P4 - PEIPL</t>
        </is>
      </c>
      <c r="U2714" s="2" t="inlineStr">
        <is>
          <t>Damage &amp; burn</t>
        </is>
      </c>
      <c r="V2714" s="47" t="inlineStr">
        <is>
          <t>WIP</t>
        </is>
      </c>
      <c r="W2714" s="1" t="inlineStr">
        <is>
          <t>WIP</t>
        </is>
      </c>
      <c r="X2714" s="5" t="n"/>
      <c r="Y2714" s="1">
        <f>IF(X2714="","",X2714-A2714)</f>
        <v/>
      </c>
      <c r="Z2714" s="5" t="n">
        <v>46200</v>
      </c>
      <c r="AA2714" s="3" t="n"/>
      <c r="AB2714" s="3" t="n"/>
      <c r="AE2714" s="146">
        <f>IF(AND(F2714="Closed",X2714&gt;=DATE(2026,6,1),X2714&lt;=DATE(2026,6,30)),"Closed in June","other")</f>
        <v/>
      </c>
    </row>
    <row r="2715" hidden="1">
      <c r="A2715" s="49" t="n">
        <v>46177</v>
      </c>
      <c r="B2715" s="1" t="n">
        <v>2026</v>
      </c>
      <c r="C2715" s="8" t="inlineStr">
        <is>
          <t>Ayana</t>
        </is>
      </c>
      <c r="D2715" s="11" t="inlineStr">
        <is>
          <t>Utility and C&amp;I</t>
        </is>
      </c>
      <c r="E2715" s="1" t="n"/>
      <c r="F2715" s="1" t="inlineStr">
        <is>
          <t>Closed</t>
        </is>
      </c>
      <c r="G2715" s="11" t="inlineStr">
        <is>
          <t>Vasu.N</t>
        </is>
      </c>
      <c r="H2715" s="8" t="n">
        <v>9578099893</v>
      </c>
      <c r="I2715" s="10" t="inlineStr">
        <is>
          <t>PE04062601</t>
        </is>
      </c>
      <c r="J2715" s="28" t="inlineStr">
        <is>
          <t>Module burnt</t>
        </is>
      </c>
      <c r="K2715" s="8" t="inlineStr">
        <is>
          <t>Zura</t>
        </is>
      </c>
      <c r="L2715" s="8" t="inlineStr">
        <is>
          <t>Gujarat</t>
        </is>
      </c>
      <c r="M2715" s="2" t="inlineStr">
        <is>
          <t xml:space="preserve">damage </t>
        </is>
      </c>
      <c r="N2715" s="6" t="inlineStr">
        <is>
          <t>Module Breakage</t>
        </is>
      </c>
      <c r="O2715" s="51" t="n">
        <v>590</v>
      </c>
      <c r="P2715" s="2" t="inlineStr">
        <is>
          <t>NSMI24100610737</t>
        </is>
      </c>
      <c r="Q2715" s="29">
        <f>MID(P2715,5,2)</f>
        <v/>
      </c>
      <c r="R2715" s="14">
        <f>MID(P2715,7,2)</f>
        <v/>
      </c>
      <c r="S2715" s="6" t="inlineStr">
        <is>
          <t>G2G</t>
        </is>
      </c>
      <c r="T2715" s="1" t="inlineStr">
        <is>
          <t>P4 - PEIPL</t>
        </is>
      </c>
      <c r="U2715" s="2" t="inlineStr">
        <is>
          <t xml:space="preserve">physically damaged </t>
        </is>
      </c>
      <c r="V2715" s="1" t="inlineStr">
        <is>
          <t>Inspection</t>
        </is>
      </c>
      <c r="W2715" s="1" t="inlineStr">
        <is>
          <t>Rejected</t>
        </is>
      </c>
      <c r="X2715" s="5">
        <f>Z2715</f>
        <v/>
      </c>
      <c r="Y2715" s="1">
        <f>X2715-A2715</f>
        <v/>
      </c>
      <c r="Z2715" s="5" t="n">
        <v>46200</v>
      </c>
      <c r="AA2715" s="3" t="n"/>
      <c r="AB2715" s="3" t="n"/>
      <c r="AE2715" s="146">
        <f>IF(AND(F2715="Closed",X2715&gt;=DATE(2026,6,1),X2715&lt;=DATE(2026,6,30)),"Closed in June","other")</f>
        <v/>
      </c>
    </row>
    <row r="2716" hidden="1">
      <c r="A2716" s="49" t="n">
        <v>46177</v>
      </c>
      <c r="B2716" s="1" t="n">
        <v>2026</v>
      </c>
      <c r="C2716" s="8" t="inlineStr">
        <is>
          <t>Ayana</t>
        </is>
      </c>
      <c r="D2716" s="11" t="inlineStr">
        <is>
          <t>Utility and C&amp;I</t>
        </is>
      </c>
      <c r="E2716" s="1" t="n"/>
      <c r="F2716" s="1" t="inlineStr">
        <is>
          <t>Closed</t>
        </is>
      </c>
      <c r="G2716" s="11" t="inlineStr">
        <is>
          <t>Vasu.N</t>
        </is>
      </c>
      <c r="H2716" s="8" t="n">
        <v>9578099893</v>
      </c>
      <c r="I2716" s="10" t="inlineStr">
        <is>
          <t>PE04062601</t>
        </is>
      </c>
      <c r="J2716" s="28" t="inlineStr">
        <is>
          <t>Module burnt</t>
        </is>
      </c>
      <c r="K2716" s="8" t="inlineStr">
        <is>
          <t>Zura</t>
        </is>
      </c>
      <c r="L2716" s="8" t="inlineStr">
        <is>
          <t>Gujarat</t>
        </is>
      </c>
      <c r="M2716" s="2" t="inlineStr">
        <is>
          <t xml:space="preserve">damage </t>
        </is>
      </c>
      <c r="N2716" s="6" t="inlineStr">
        <is>
          <t>Module Breakage</t>
        </is>
      </c>
      <c r="O2716" s="51" t="n">
        <v>590</v>
      </c>
      <c r="P2716" s="2" t="inlineStr">
        <is>
          <t>NSMI24100637281</t>
        </is>
      </c>
      <c r="Q2716" s="29">
        <f>MID(P2716,5,2)</f>
        <v/>
      </c>
      <c r="R2716" s="14">
        <f>MID(P2716,7,2)</f>
        <v/>
      </c>
      <c r="S2716" s="6" t="inlineStr">
        <is>
          <t>G2G</t>
        </is>
      </c>
      <c r="T2716" s="1" t="inlineStr">
        <is>
          <t>P4 - PEIPL</t>
        </is>
      </c>
      <c r="U2716" s="2" t="inlineStr">
        <is>
          <t xml:space="preserve">physically damaged </t>
        </is>
      </c>
      <c r="V2716" s="1" t="inlineStr">
        <is>
          <t>Inspection</t>
        </is>
      </c>
      <c r="W2716" s="1" t="inlineStr">
        <is>
          <t>Rejected</t>
        </is>
      </c>
      <c r="X2716" s="5">
        <f>Z2716</f>
        <v/>
      </c>
      <c r="Y2716" s="1">
        <f>X2716-A2716</f>
        <v/>
      </c>
      <c r="Z2716" s="5" t="n">
        <v>46200</v>
      </c>
      <c r="AA2716" s="3" t="n"/>
      <c r="AB2716" s="3" t="n"/>
      <c r="AE2716" s="146">
        <f>IF(AND(F2716="Closed",X2716&gt;=DATE(2026,6,1),X2716&lt;=DATE(2026,6,30)),"Closed in June","other")</f>
        <v/>
      </c>
    </row>
    <row r="2717" hidden="1">
      <c r="A2717" s="49" t="n">
        <v>46177</v>
      </c>
      <c r="B2717" s="1" t="n">
        <v>2026</v>
      </c>
      <c r="C2717" s="8" t="inlineStr">
        <is>
          <t>Ayana</t>
        </is>
      </c>
      <c r="D2717" s="11" t="inlineStr">
        <is>
          <t>Utility and C&amp;I</t>
        </is>
      </c>
      <c r="E2717" s="1" t="n"/>
      <c r="F2717" s="1" t="inlineStr">
        <is>
          <t>Closed</t>
        </is>
      </c>
      <c r="G2717" s="11" t="inlineStr">
        <is>
          <t>Vasu.N</t>
        </is>
      </c>
      <c r="H2717" s="8" t="n">
        <v>9578099893</v>
      </c>
      <c r="I2717" s="10" t="inlineStr">
        <is>
          <t>PE04062601</t>
        </is>
      </c>
      <c r="J2717" s="28" t="inlineStr">
        <is>
          <t>Module burnt</t>
        </is>
      </c>
      <c r="K2717" s="8" t="inlineStr">
        <is>
          <t>Zura</t>
        </is>
      </c>
      <c r="L2717" s="8" t="inlineStr">
        <is>
          <t>Gujarat</t>
        </is>
      </c>
      <c r="M2717" s="2" t="inlineStr">
        <is>
          <t xml:space="preserve">damage </t>
        </is>
      </c>
      <c r="N2717" s="6" t="inlineStr">
        <is>
          <t>Module Breakage</t>
        </is>
      </c>
      <c r="O2717" s="51" t="n">
        <v>590</v>
      </c>
      <c r="P2717" s="2" t="inlineStr">
        <is>
          <t>NSMI24110805998</t>
        </is>
      </c>
      <c r="Q2717" s="29">
        <f>MID(P2717,5,2)</f>
        <v/>
      </c>
      <c r="R2717" s="14">
        <f>MID(P2717,7,2)</f>
        <v/>
      </c>
      <c r="S2717" s="6" t="inlineStr">
        <is>
          <t>G2G</t>
        </is>
      </c>
      <c r="T2717" s="1" t="inlineStr">
        <is>
          <t>P4 - PEIPL</t>
        </is>
      </c>
      <c r="U2717" s="2" t="inlineStr">
        <is>
          <t xml:space="preserve">physically damaged </t>
        </is>
      </c>
      <c r="V2717" s="1" t="inlineStr">
        <is>
          <t>Inspection</t>
        </is>
      </c>
      <c r="W2717" s="1" t="inlineStr">
        <is>
          <t>Rejected</t>
        </is>
      </c>
      <c r="X2717" s="5">
        <f>Z2717</f>
        <v/>
      </c>
      <c r="Y2717" s="1">
        <f>X2717-A2717</f>
        <v/>
      </c>
      <c r="Z2717" s="5" t="n">
        <v>46200</v>
      </c>
      <c r="AA2717" s="3" t="n"/>
      <c r="AB2717" s="3" t="n"/>
      <c r="AE2717" s="146">
        <f>IF(AND(F2717="Closed",X2717&gt;=DATE(2026,6,1),X2717&lt;=DATE(2026,6,30)),"Closed in June","other")</f>
        <v/>
      </c>
    </row>
    <row r="2718" hidden="1">
      <c r="A2718" s="49" t="n">
        <v>46177</v>
      </c>
      <c r="B2718" s="1" t="n">
        <v>2026</v>
      </c>
      <c r="C2718" s="8" t="inlineStr">
        <is>
          <t>Ayana</t>
        </is>
      </c>
      <c r="D2718" s="11" t="inlineStr">
        <is>
          <t>Utility and C&amp;I</t>
        </is>
      </c>
      <c r="E2718" s="1" t="n"/>
      <c r="F2718" s="1" t="inlineStr">
        <is>
          <t>Closed</t>
        </is>
      </c>
      <c r="G2718" s="11" t="inlineStr">
        <is>
          <t>Vasu.N</t>
        </is>
      </c>
      <c r="H2718" s="8" t="n">
        <v>9578099893</v>
      </c>
      <c r="I2718" s="10" t="inlineStr">
        <is>
          <t>PE04062601</t>
        </is>
      </c>
      <c r="J2718" s="28" t="inlineStr">
        <is>
          <t>Module burnt</t>
        </is>
      </c>
      <c r="K2718" s="8" t="inlineStr">
        <is>
          <t>Zura</t>
        </is>
      </c>
      <c r="L2718" s="8" t="inlineStr">
        <is>
          <t>Gujarat</t>
        </is>
      </c>
      <c r="M2718" s="2" t="inlineStr">
        <is>
          <t xml:space="preserve">damage </t>
        </is>
      </c>
      <c r="N2718" s="6" t="inlineStr">
        <is>
          <t>Module Breakage</t>
        </is>
      </c>
      <c r="O2718" s="51" t="n">
        <v>590</v>
      </c>
      <c r="P2718" s="2" t="inlineStr">
        <is>
          <t>NSMI24100549420</t>
        </is>
      </c>
      <c r="Q2718" s="29">
        <f>MID(P2718,5,2)</f>
        <v/>
      </c>
      <c r="R2718" s="14">
        <f>MID(P2718,7,2)</f>
        <v/>
      </c>
      <c r="S2718" s="6" t="inlineStr">
        <is>
          <t>G2G</t>
        </is>
      </c>
      <c r="T2718" s="1" t="inlineStr">
        <is>
          <t>P4 - PEIPL</t>
        </is>
      </c>
      <c r="U2718" s="2" t="inlineStr">
        <is>
          <t xml:space="preserve">physically damaged </t>
        </is>
      </c>
      <c r="V2718" s="1" t="inlineStr">
        <is>
          <t>Inspection</t>
        </is>
      </c>
      <c r="W2718" s="1" t="inlineStr">
        <is>
          <t>Rejected</t>
        </is>
      </c>
      <c r="X2718" s="5">
        <f>Z2718</f>
        <v/>
      </c>
      <c r="Y2718" s="1">
        <f>X2718-A2718</f>
        <v/>
      </c>
      <c r="Z2718" s="5" t="n">
        <v>46200</v>
      </c>
      <c r="AA2718" s="3" t="n"/>
      <c r="AB2718" s="3" t="n"/>
      <c r="AE2718" s="146">
        <f>IF(AND(F2718="Closed",X2718&gt;=DATE(2026,6,1),X2718&lt;=DATE(2026,6,30)),"Closed in June","other")</f>
        <v/>
      </c>
    </row>
    <row r="2719" hidden="1">
      <c r="A2719" s="49" t="n">
        <v>46177</v>
      </c>
      <c r="B2719" s="1" t="n">
        <v>2026</v>
      </c>
      <c r="C2719" s="8" t="inlineStr">
        <is>
          <t>Ayana</t>
        </is>
      </c>
      <c r="D2719" s="11" t="inlineStr">
        <is>
          <t>Utility and C&amp;I</t>
        </is>
      </c>
      <c r="E2719" s="1" t="n"/>
      <c r="F2719" s="1" t="inlineStr">
        <is>
          <t>Closed</t>
        </is>
      </c>
      <c r="G2719" s="11" t="inlineStr">
        <is>
          <t>Vasu.N</t>
        </is>
      </c>
      <c r="H2719" s="8" t="n">
        <v>9578099893</v>
      </c>
      <c r="I2719" s="10" t="inlineStr">
        <is>
          <t>PE04062601</t>
        </is>
      </c>
      <c r="J2719" s="28" t="inlineStr">
        <is>
          <t>Module burnt</t>
        </is>
      </c>
      <c r="K2719" s="8" t="inlineStr">
        <is>
          <t>Zura</t>
        </is>
      </c>
      <c r="L2719" s="8" t="inlineStr">
        <is>
          <t>Gujarat</t>
        </is>
      </c>
      <c r="M2719" s="2" t="inlineStr">
        <is>
          <t xml:space="preserve">damage </t>
        </is>
      </c>
      <c r="N2719" s="6" t="inlineStr">
        <is>
          <t>Module Breakage</t>
        </is>
      </c>
      <c r="O2719" s="51" t="n">
        <v>590</v>
      </c>
      <c r="P2719" s="2" t="inlineStr">
        <is>
          <t>NSMI24090453628</t>
        </is>
      </c>
      <c r="Q2719" s="29">
        <f>MID(P2719,5,2)</f>
        <v/>
      </c>
      <c r="R2719" s="14">
        <f>MID(P2719,7,2)</f>
        <v/>
      </c>
      <c r="S2719" s="6" t="inlineStr">
        <is>
          <t>G2G</t>
        </is>
      </c>
      <c r="T2719" s="1" t="inlineStr">
        <is>
          <t>P4 - PEIPL</t>
        </is>
      </c>
      <c r="U2719" s="2" t="inlineStr">
        <is>
          <t xml:space="preserve">physically damaged </t>
        </is>
      </c>
      <c r="V2719" s="1" t="inlineStr">
        <is>
          <t>Inspection</t>
        </is>
      </c>
      <c r="W2719" s="1" t="inlineStr">
        <is>
          <t>Rejected</t>
        </is>
      </c>
      <c r="X2719" s="5">
        <f>Z2719</f>
        <v/>
      </c>
      <c r="Y2719" s="1">
        <f>X2719-A2719</f>
        <v/>
      </c>
      <c r="Z2719" s="5" t="n">
        <v>46200</v>
      </c>
      <c r="AA2719" s="3" t="n"/>
      <c r="AB2719" s="3" t="n"/>
      <c r="AE2719" s="146">
        <f>IF(AND(F2719="Closed",X2719&gt;=DATE(2026,6,1),X2719&lt;=DATE(2026,6,30)),"Closed in June","other")</f>
        <v/>
      </c>
    </row>
    <row r="2720" hidden="1">
      <c r="A2720" s="49" t="n">
        <v>46177</v>
      </c>
      <c r="B2720" s="1" t="n">
        <v>2026</v>
      </c>
      <c r="C2720" s="8" t="inlineStr">
        <is>
          <t>Ayana</t>
        </is>
      </c>
      <c r="D2720" s="11" t="inlineStr">
        <is>
          <t>Utility and C&amp;I</t>
        </is>
      </c>
      <c r="E2720" s="1" t="n"/>
      <c r="F2720" s="1" t="inlineStr">
        <is>
          <t>Closed</t>
        </is>
      </c>
      <c r="G2720" s="11" t="inlineStr">
        <is>
          <t>Vasu.N</t>
        </is>
      </c>
      <c r="H2720" s="8" t="n">
        <v>9578099893</v>
      </c>
      <c r="I2720" s="10" t="inlineStr">
        <is>
          <t>PE04062601</t>
        </is>
      </c>
      <c r="J2720" s="28" t="inlineStr">
        <is>
          <t>Module burnt</t>
        </is>
      </c>
      <c r="K2720" s="8" t="inlineStr">
        <is>
          <t>Zura</t>
        </is>
      </c>
      <c r="L2720" s="8" t="inlineStr">
        <is>
          <t>Gujarat</t>
        </is>
      </c>
      <c r="M2720" s="2" t="inlineStr">
        <is>
          <t xml:space="preserve">damage </t>
        </is>
      </c>
      <c r="N2720" s="6" t="inlineStr">
        <is>
          <t>Module Breakage</t>
        </is>
      </c>
      <c r="O2720" s="51" t="n">
        <v>590</v>
      </c>
      <c r="P2720" s="2" t="inlineStr">
        <is>
          <t>NSMI24109575509</t>
        </is>
      </c>
      <c r="Q2720" s="29">
        <f>MID(P2720,5,2)</f>
        <v/>
      </c>
      <c r="R2720" s="14">
        <f>MID(P2720,7,2)</f>
        <v/>
      </c>
      <c r="S2720" s="6" t="inlineStr">
        <is>
          <t>G2G</t>
        </is>
      </c>
      <c r="T2720" s="1" t="inlineStr">
        <is>
          <t>P4 - PEIPL</t>
        </is>
      </c>
      <c r="U2720" s="2" t="inlineStr">
        <is>
          <t xml:space="preserve">physically damaged </t>
        </is>
      </c>
      <c r="V2720" s="1" t="inlineStr">
        <is>
          <t>Inspection</t>
        </is>
      </c>
      <c r="W2720" s="1" t="inlineStr">
        <is>
          <t>Rejected</t>
        </is>
      </c>
      <c r="X2720" s="5">
        <f>Z2720</f>
        <v/>
      </c>
      <c r="Y2720" s="1">
        <f>X2720-A2720</f>
        <v/>
      </c>
      <c r="Z2720" s="5" t="n">
        <v>46200</v>
      </c>
      <c r="AA2720" s="3" t="n"/>
      <c r="AB2720" s="3" t="n"/>
      <c r="AE2720" s="146">
        <f>IF(AND(F2720="Closed",X2720&gt;=DATE(2026,6,1),X2720&lt;=DATE(2026,6,30)),"Closed in June","other")</f>
        <v/>
      </c>
    </row>
    <row r="2721" hidden="1">
      <c r="A2721" s="49" t="n">
        <v>46177</v>
      </c>
      <c r="B2721" s="1" t="n">
        <v>2026</v>
      </c>
      <c r="C2721" s="8" t="inlineStr">
        <is>
          <t>Ayana</t>
        </is>
      </c>
      <c r="D2721" s="11" t="inlineStr">
        <is>
          <t>Utility and C&amp;I</t>
        </is>
      </c>
      <c r="E2721" s="1" t="n"/>
      <c r="F2721" s="1" t="inlineStr">
        <is>
          <t>Closed</t>
        </is>
      </c>
      <c r="G2721" s="11" t="inlineStr">
        <is>
          <t>Vasu.N</t>
        </is>
      </c>
      <c r="H2721" s="8" t="n">
        <v>9578099893</v>
      </c>
      <c r="I2721" s="10" t="inlineStr">
        <is>
          <t>PE04062601</t>
        </is>
      </c>
      <c r="J2721" s="28" t="inlineStr">
        <is>
          <t>Module burnt</t>
        </is>
      </c>
      <c r="K2721" s="8" t="inlineStr">
        <is>
          <t>Zura</t>
        </is>
      </c>
      <c r="L2721" s="8" t="inlineStr">
        <is>
          <t>Gujarat</t>
        </is>
      </c>
      <c r="M2721" s="2" t="inlineStr">
        <is>
          <t xml:space="preserve">damage </t>
        </is>
      </c>
      <c r="N2721" s="6" t="inlineStr">
        <is>
          <t>Module Breakage</t>
        </is>
      </c>
      <c r="O2721" s="51" t="n">
        <v>590</v>
      </c>
      <c r="P2721" s="2" t="inlineStr">
        <is>
          <t>NSMI24090464520</t>
        </is>
      </c>
      <c r="Q2721" s="29">
        <f>MID(P2721,5,2)</f>
        <v/>
      </c>
      <c r="R2721" s="14">
        <f>MID(P2721,7,2)</f>
        <v/>
      </c>
      <c r="S2721" s="6" t="inlineStr">
        <is>
          <t>G2G</t>
        </is>
      </c>
      <c r="T2721" s="1" t="inlineStr">
        <is>
          <t>P4 - PEIPL</t>
        </is>
      </c>
      <c r="U2721" s="2" t="inlineStr">
        <is>
          <t xml:space="preserve">physically damaged </t>
        </is>
      </c>
      <c r="V2721" s="1" t="inlineStr">
        <is>
          <t>Inspection</t>
        </is>
      </c>
      <c r="W2721" s="1" t="inlineStr">
        <is>
          <t>Rejected</t>
        </is>
      </c>
      <c r="X2721" s="5">
        <f>Z2721</f>
        <v/>
      </c>
      <c r="Y2721" s="1">
        <f>X2721-A2721</f>
        <v/>
      </c>
      <c r="Z2721" s="5" t="n">
        <v>46200</v>
      </c>
      <c r="AA2721" s="3" t="n"/>
      <c r="AB2721" s="3" t="n"/>
      <c r="AE2721" s="146">
        <f>IF(AND(F2721="Closed",X2721&gt;=DATE(2026,6,1),X2721&lt;=DATE(2026,6,30)),"Closed in June","other")</f>
        <v/>
      </c>
    </row>
    <row r="2722" hidden="1">
      <c r="A2722" s="49" t="n">
        <v>46177</v>
      </c>
      <c r="B2722" s="1" t="n">
        <v>2026</v>
      </c>
      <c r="C2722" s="8" t="inlineStr">
        <is>
          <t>Ayana</t>
        </is>
      </c>
      <c r="D2722" s="11" t="inlineStr">
        <is>
          <t>Utility and C&amp;I</t>
        </is>
      </c>
      <c r="E2722" s="1" t="n"/>
      <c r="F2722" s="1" t="inlineStr">
        <is>
          <t>Closed</t>
        </is>
      </c>
      <c r="G2722" s="11" t="inlineStr">
        <is>
          <t>Vasu.N</t>
        </is>
      </c>
      <c r="H2722" s="8" t="n">
        <v>9578099893</v>
      </c>
      <c r="I2722" s="10" t="inlineStr">
        <is>
          <t>PE04062601</t>
        </is>
      </c>
      <c r="J2722" s="28" t="inlineStr">
        <is>
          <t>Module burnt</t>
        </is>
      </c>
      <c r="K2722" s="8" t="inlineStr">
        <is>
          <t>Zura</t>
        </is>
      </c>
      <c r="L2722" s="8" t="inlineStr">
        <is>
          <t>Gujarat</t>
        </is>
      </c>
      <c r="M2722" s="2" t="inlineStr">
        <is>
          <t xml:space="preserve">damage </t>
        </is>
      </c>
      <c r="N2722" s="6" t="inlineStr">
        <is>
          <t>Module Breakage</t>
        </is>
      </c>
      <c r="O2722" s="51" t="n">
        <v>590</v>
      </c>
      <c r="P2722" s="2" t="inlineStr">
        <is>
          <t>NSMI24090451871</t>
        </is>
      </c>
      <c r="Q2722" s="29">
        <f>MID(P2722,5,2)</f>
        <v/>
      </c>
      <c r="R2722" s="14">
        <f>MID(P2722,7,2)</f>
        <v/>
      </c>
      <c r="S2722" s="6" t="inlineStr">
        <is>
          <t>G2G</t>
        </is>
      </c>
      <c r="T2722" s="1" t="inlineStr">
        <is>
          <t>P4 - PEIPL</t>
        </is>
      </c>
      <c r="U2722" s="2" t="inlineStr">
        <is>
          <t xml:space="preserve">physically damaged </t>
        </is>
      </c>
      <c r="V2722" s="1" t="inlineStr">
        <is>
          <t>Inspection</t>
        </is>
      </c>
      <c r="W2722" s="1" t="inlineStr">
        <is>
          <t>Rejected</t>
        </is>
      </c>
      <c r="X2722" s="5">
        <f>Z2722</f>
        <v/>
      </c>
      <c r="Y2722" s="1">
        <f>X2722-A2722</f>
        <v/>
      </c>
      <c r="Z2722" s="5" t="n">
        <v>46200</v>
      </c>
      <c r="AA2722" s="3" t="n"/>
      <c r="AB2722" s="3" t="n"/>
      <c r="AE2722" s="146">
        <f>IF(AND(F2722="Closed",X2722&gt;=DATE(2026,6,1),X2722&lt;=DATE(2026,6,30)),"Closed in June","other")</f>
        <v/>
      </c>
    </row>
    <row r="2723" hidden="1">
      <c r="A2723" s="49" t="n">
        <v>46177</v>
      </c>
      <c r="B2723" s="1" t="n">
        <v>2026</v>
      </c>
      <c r="C2723" s="8" t="inlineStr">
        <is>
          <t>Ayana</t>
        </is>
      </c>
      <c r="D2723" s="11" t="inlineStr">
        <is>
          <t>Utility and C&amp;I</t>
        </is>
      </c>
      <c r="E2723" s="1" t="n"/>
      <c r="F2723" s="1" t="inlineStr">
        <is>
          <t>Closed</t>
        </is>
      </c>
      <c r="G2723" s="11" t="inlineStr">
        <is>
          <t>Vasu.N</t>
        </is>
      </c>
      <c r="H2723" s="8" t="n">
        <v>9578099893</v>
      </c>
      <c r="I2723" s="10" t="inlineStr">
        <is>
          <t>PE04062601</t>
        </is>
      </c>
      <c r="J2723" s="28" t="inlineStr">
        <is>
          <t>Module burnt</t>
        </is>
      </c>
      <c r="K2723" s="8" t="inlineStr">
        <is>
          <t>Zura</t>
        </is>
      </c>
      <c r="L2723" s="8" t="inlineStr">
        <is>
          <t>Gujarat</t>
        </is>
      </c>
      <c r="M2723" s="2" t="inlineStr">
        <is>
          <t xml:space="preserve">damage </t>
        </is>
      </c>
      <c r="N2723" s="6" t="inlineStr">
        <is>
          <t>Module Breakage</t>
        </is>
      </c>
      <c r="O2723" s="51" t="n">
        <v>590</v>
      </c>
      <c r="P2723" s="2" t="inlineStr">
        <is>
          <t>NSMI24100634126</t>
        </is>
      </c>
      <c r="Q2723" s="29">
        <f>MID(P2723,5,2)</f>
        <v/>
      </c>
      <c r="R2723" s="14">
        <f>MID(P2723,7,2)</f>
        <v/>
      </c>
      <c r="S2723" s="6" t="inlineStr">
        <is>
          <t>G2G</t>
        </is>
      </c>
      <c r="T2723" s="1" t="inlineStr">
        <is>
          <t>P4 - PEIPL</t>
        </is>
      </c>
      <c r="U2723" s="2" t="inlineStr">
        <is>
          <t xml:space="preserve">physically damaged </t>
        </is>
      </c>
      <c r="V2723" s="1" t="inlineStr">
        <is>
          <t>Inspection</t>
        </is>
      </c>
      <c r="W2723" s="1" t="inlineStr">
        <is>
          <t>Rejected</t>
        </is>
      </c>
      <c r="X2723" s="5">
        <f>Z2723</f>
        <v/>
      </c>
      <c r="Y2723" s="1">
        <f>X2723-A2723</f>
        <v/>
      </c>
      <c r="Z2723" s="5" t="n">
        <v>46200</v>
      </c>
      <c r="AA2723" s="3" t="n"/>
      <c r="AB2723" s="3" t="n"/>
      <c r="AE2723" s="146">
        <f>IF(AND(F2723="Closed",X2723&gt;=DATE(2026,6,1),X2723&lt;=DATE(2026,6,30)),"Closed in June","other")</f>
        <v/>
      </c>
    </row>
    <row r="2724" hidden="1">
      <c r="A2724" s="49" t="n">
        <v>46177</v>
      </c>
      <c r="B2724" s="1" t="n">
        <v>2026</v>
      </c>
      <c r="C2724" s="8" t="inlineStr">
        <is>
          <t>Ayana</t>
        </is>
      </c>
      <c r="D2724" s="11" t="inlineStr">
        <is>
          <t>Utility and C&amp;I</t>
        </is>
      </c>
      <c r="E2724" s="1" t="n"/>
      <c r="F2724" s="1" t="inlineStr">
        <is>
          <t>Closed</t>
        </is>
      </c>
      <c r="G2724" s="11" t="inlineStr">
        <is>
          <t>Vasu.N</t>
        </is>
      </c>
      <c r="H2724" s="8" t="n">
        <v>9578099893</v>
      </c>
      <c r="I2724" s="10" t="inlineStr">
        <is>
          <t>PE04062601</t>
        </is>
      </c>
      <c r="J2724" s="28" t="inlineStr">
        <is>
          <t>Module burnt</t>
        </is>
      </c>
      <c r="K2724" s="8" t="inlineStr">
        <is>
          <t>Zura</t>
        </is>
      </c>
      <c r="L2724" s="8" t="inlineStr">
        <is>
          <t>Gujarat</t>
        </is>
      </c>
      <c r="M2724" s="2" t="inlineStr">
        <is>
          <t xml:space="preserve">damage </t>
        </is>
      </c>
      <c r="N2724" s="6" t="inlineStr">
        <is>
          <t>Module Breakage</t>
        </is>
      </c>
      <c r="O2724" s="51" t="n">
        <v>590</v>
      </c>
      <c r="P2724" s="2" t="inlineStr">
        <is>
          <t>NSMI24100575949</t>
        </is>
      </c>
      <c r="Q2724" s="29">
        <f>MID(P2724,5,2)</f>
        <v/>
      </c>
      <c r="R2724" s="14">
        <f>MID(P2724,7,2)</f>
        <v/>
      </c>
      <c r="S2724" s="6" t="inlineStr">
        <is>
          <t>G2G</t>
        </is>
      </c>
      <c r="T2724" s="1" t="inlineStr">
        <is>
          <t>P4 - PEIPL</t>
        </is>
      </c>
      <c r="U2724" s="2" t="inlineStr">
        <is>
          <t xml:space="preserve">physically damaged </t>
        </is>
      </c>
      <c r="V2724" s="1" t="inlineStr">
        <is>
          <t>Inspection</t>
        </is>
      </c>
      <c r="W2724" s="1" t="inlineStr">
        <is>
          <t>Rejected</t>
        </is>
      </c>
      <c r="X2724" s="5">
        <f>Z2724</f>
        <v/>
      </c>
      <c r="Y2724" s="1">
        <f>X2724-A2724</f>
        <v/>
      </c>
      <c r="Z2724" s="5" t="n">
        <v>46200</v>
      </c>
      <c r="AA2724" s="3" t="n"/>
      <c r="AB2724" s="3" t="n"/>
      <c r="AE2724" s="146">
        <f>IF(AND(F2724="Closed",X2724&gt;=DATE(2026,6,1),X2724&lt;=DATE(2026,6,30)),"Closed in June","other")</f>
        <v/>
      </c>
    </row>
    <row r="2725" hidden="1">
      <c r="A2725" s="49" t="n">
        <v>46177</v>
      </c>
      <c r="B2725" s="1" t="n">
        <v>2026</v>
      </c>
      <c r="C2725" s="8" t="inlineStr">
        <is>
          <t>Ayana</t>
        </is>
      </c>
      <c r="D2725" s="11" t="inlineStr">
        <is>
          <t>Utility and C&amp;I</t>
        </is>
      </c>
      <c r="E2725" s="1" t="n"/>
      <c r="F2725" s="1" t="inlineStr">
        <is>
          <t>Closed</t>
        </is>
      </c>
      <c r="G2725" s="11" t="inlineStr">
        <is>
          <t>Vasu.N</t>
        </is>
      </c>
      <c r="H2725" s="8" t="n">
        <v>9578099893</v>
      </c>
      <c r="I2725" s="10" t="inlineStr">
        <is>
          <t>PE04062601</t>
        </is>
      </c>
      <c r="J2725" s="28" t="inlineStr">
        <is>
          <t>Module burnt</t>
        </is>
      </c>
      <c r="K2725" s="8" t="inlineStr">
        <is>
          <t>Zura</t>
        </is>
      </c>
      <c r="L2725" s="8" t="inlineStr">
        <is>
          <t>Gujarat</t>
        </is>
      </c>
      <c r="M2725" s="2" t="inlineStr">
        <is>
          <t xml:space="preserve">damage </t>
        </is>
      </c>
      <c r="N2725" s="6" t="inlineStr">
        <is>
          <t>Module Breakage</t>
        </is>
      </c>
      <c r="O2725" s="51" t="n">
        <v>590</v>
      </c>
      <c r="P2725" s="2" t="inlineStr">
        <is>
          <t>NSMI24100575904</t>
        </is>
      </c>
      <c r="Q2725" s="29">
        <f>MID(P2725,5,2)</f>
        <v/>
      </c>
      <c r="R2725" s="14">
        <f>MID(P2725,7,2)</f>
        <v/>
      </c>
      <c r="S2725" s="6" t="inlineStr">
        <is>
          <t>G2G</t>
        </is>
      </c>
      <c r="T2725" s="1" t="inlineStr">
        <is>
          <t>P4 - PEIPL</t>
        </is>
      </c>
      <c r="U2725" s="2" t="inlineStr">
        <is>
          <t xml:space="preserve">physically damaged </t>
        </is>
      </c>
      <c r="V2725" s="1" t="inlineStr">
        <is>
          <t>Inspection</t>
        </is>
      </c>
      <c r="W2725" s="1" t="inlineStr">
        <is>
          <t>Rejected</t>
        </is>
      </c>
      <c r="X2725" s="5">
        <f>Z2725</f>
        <v/>
      </c>
      <c r="Y2725" s="1">
        <f>X2725-A2725</f>
        <v/>
      </c>
      <c r="Z2725" s="5" t="n">
        <v>46200</v>
      </c>
      <c r="AA2725" s="3" t="n"/>
      <c r="AB2725" s="3" t="n"/>
      <c r="AE2725" s="146">
        <f>IF(AND(F2725="Closed",X2725&gt;=DATE(2026,6,1),X2725&lt;=DATE(2026,6,30)),"Closed in June","other")</f>
        <v/>
      </c>
    </row>
    <row r="2726" hidden="1">
      <c r="A2726" s="49" t="n">
        <v>46177</v>
      </c>
      <c r="B2726" s="1" t="n">
        <v>2026</v>
      </c>
      <c r="C2726" s="8" t="inlineStr">
        <is>
          <t>Ayana</t>
        </is>
      </c>
      <c r="D2726" s="11" t="inlineStr">
        <is>
          <t>Utility and C&amp;I</t>
        </is>
      </c>
      <c r="E2726" s="1" t="n"/>
      <c r="F2726" s="1" t="inlineStr">
        <is>
          <t>Closed</t>
        </is>
      </c>
      <c r="G2726" s="11" t="inlineStr">
        <is>
          <t>Vasu.N</t>
        </is>
      </c>
      <c r="H2726" s="8" t="n">
        <v>9578099893</v>
      </c>
      <c r="I2726" s="10" t="inlineStr">
        <is>
          <t>PE04062601</t>
        </is>
      </c>
      <c r="J2726" s="28" t="inlineStr">
        <is>
          <t>Module burnt</t>
        </is>
      </c>
      <c r="K2726" s="8" t="inlineStr">
        <is>
          <t>Zura</t>
        </is>
      </c>
      <c r="L2726" s="8" t="inlineStr">
        <is>
          <t>Gujarat</t>
        </is>
      </c>
      <c r="M2726" s="2" t="inlineStr">
        <is>
          <t xml:space="preserve">damage </t>
        </is>
      </c>
      <c r="N2726" s="6" t="inlineStr">
        <is>
          <t>Module Breakage</t>
        </is>
      </c>
      <c r="O2726" s="51" t="n">
        <v>590</v>
      </c>
      <c r="P2726" s="2" t="inlineStr">
        <is>
          <t>NSMI24100575937</t>
        </is>
      </c>
      <c r="Q2726" s="29">
        <f>MID(P2726,5,2)</f>
        <v/>
      </c>
      <c r="R2726" s="14">
        <f>MID(P2726,7,2)</f>
        <v/>
      </c>
      <c r="S2726" s="6" t="inlineStr">
        <is>
          <t>G2G</t>
        </is>
      </c>
      <c r="T2726" s="1" t="inlineStr">
        <is>
          <t>P4 - PEIPL</t>
        </is>
      </c>
      <c r="U2726" s="2" t="inlineStr">
        <is>
          <t xml:space="preserve">physically damaged </t>
        </is>
      </c>
      <c r="V2726" s="1" t="inlineStr">
        <is>
          <t>Inspection</t>
        </is>
      </c>
      <c r="W2726" s="1" t="inlineStr">
        <is>
          <t>Rejected</t>
        </is>
      </c>
      <c r="X2726" s="5">
        <f>Z2726</f>
        <v/>
      </c>
      <c r="Y2726" s="1">
        <f>X2726-A2726</f>
        <v/>
      </c>
      <c r="Z2726" s="5" t="n">
        <v>46200</v>
      </c>
      <c r="AA2726" s="3" t="n"/>
      <c r="AB2726" s="3" t="n"/>
      <c r="AE2726" s="146">
        <f>IF(AND(F2726="Closed",X2726&gt;=DATE(2026,6,1),X2726&lt;=DATE(2026,6,30)),"Closed in June","other")</f>
        <v/>
      </c>
    </row>
    <row r="2727" hidden="1">
      <c r="A2727" s="49" t="n">
        <v>46177</v>
      </c>
      <c r="B2727" s="1" t="n">
        <v>2026</v>
      </c>
      <c r="C2727" s="8" t="inlineStr">
        <is>
          <t>Ayana</t>
        </is>
      </c>
      <c r="D2727" s="11" t="inlineStr">
        <is>
          <t>Utility and C&amp;I</t>
        </is>
      </c>
      <c r="E2727" s="1" t="n"/>
      <c r="F2727" s="1" t="inlineStr">
        <is>
          <t>Closed</t>
        </is>
      </c>
      <c r="G2727" s="11" t="inlineStr">
        <is>
          <t>Vasu.N</t>
        </is>
      </c>
      <c r="H2727" s="8" t="n">
        <v>9578099893</v>
      </c>
      <c r="I2727" s="10" t="inlineStr">
        <is>
          <t>PE04062601</t>
        </is>
      </c>
      <c r="J2727" s="28" t="inlineStr">
        <is>
          <t>Module burnt</t>
        </is>
      </c>
      <c r="K2727" s="8" t="inlineStr">
        <is>
          <t>Zura</t>
        </is>
      </c>
      <c r="L2727" s="8" t="inlineStr">
        <is>
          <t>Gujarat</t>
        </is>
      </c>
      <c r="M2727" s="2" t="inlineStr">
        <is>
          <t xml:space="preserve">damage </t>
        </is>
      </c>
      <c r="N2727" s="6" t="inlineStr">
        <is>
          <t>Module Breakage</t>
        </is>
      </c>
      <c r="O2727" s="51" t="n">
        <v>590</v>
      </c>
      <c r="P2727" s="2" t="inlineStr">
        <is>
          <t>NSMI24110830914</t>
        </is>
      </c>
      <c r="Q2727" s="29">
        <f>MID(P2727,5,2)</f>
        <v/>
      </c>
      <c r="R2727" s="14">
        <f>MID(P2727,7,2)</f>
        <v/>
      </c>
      <c r="S2727" s="6" t="inlineStr">
        <is>
          <t>G2G</t>
        </is>
      </c>
      <c r="T2727" s="1" t="inlineStr">
        <is>
          <t>P4 - PEIPL</t>
        </is>
      </c>
      <c r="U2727" s="2" t="inlineStr">
        <is>
          <t xml:space="preserve">physically damaged </t>
        </is>
      </c>
      <c r="V2727" s="1" t="inlineStr">
        <is>
          <t>Inspection</t>
        </is>
      </c>
      <c r="W2727" s="1" t="inlineStr">
        <is>
          <t>Rejected</t>
        </is>
      </c>
      <c r="X2727" s="5">
        <f>Z2727</f>
        <v/>
      </c>
      <c r="Y2727" s="1">
        <f>X2727-A2727</f>
        <v/>
      </c>
      <c r="Z2727" s="5" t="n">
        <v>46200</v>
      </c>
      <c r="AA2727" s="3" t="n"/>
      <c r="AB2727" s="3" t="n"/>
      <c r="AE2727" s="146">
        <f>IF(AND(F2727="Closed",X2727&gt;=DATE(2026,6,1),X2727&lt;=DATE(2026,6,30)),"Closed in June","other")</f>
        <v/>
      </c>
    </row>
    <row r="2728" hidden="1">
      <c r="A2728" s="49" t="n">
        <v>46177</v>
      </c>
      <c r="B2728" s="1" t="n">
        <v>2026</v>
      </c>
      <c r="C2728" s="8" t="inlineStr">
        <is>
          <t>Ayana</t>
        </is>
      </c>
      <c r="D2728" s="11" t="inlineStr">
        <is>
          <t>Utility and C&amp;I</t>
        </is>
      </c>
      <c r="E2728" s="1" t="n"/>
      <c r="F2728" s="1" t="inlineStr">
        <is>
          <t>Closed</t>
        </is>
      </c>
      <c r="G2728" s="11" t="inlineStr">
        <is>
          <t>Vasu.N</t>
        </is>
      </c>
      <c r="H2728" s="8" t="n">
        <v>9578099893</v>
      </c>
      <c r="I2728" s="10" t="inlineStr">
        <is>
          <t>PE04062601</t>
        </is>
      </c>
      <c r="J2728" s="28" t="inlineStr">
        <is>
          <t>Module burnt</t>
        </is>
      </c>
      <c r="K2728" s="8" t="inlineStr">
        <is>
          <t>Zura</t>
        </is>
      </c>
      <c r="L2728" s="8" t="inlineStr">
        <is>
          <t>Gujarat</t>
        </is>
      </c>
      <c r="M2728" s="2" t="inlineStr">
        <is>
          <t xml:space="preserve">damage </t>
        </is>
      </c>
      <c r="N2728" s="6" t="inlineStr">
        <is>
          <t>Module Breakage</t>
        </is>
      </c>
      <c r="O2728" s="51" t="n">
        <v>590</v>
      </c>
      <c r="P2728" s="2" t="inlineStr">
        <is>
          <t>NSMI24100591487</t>
        </is>
      </c>
      <c r="Q2728" s="29">
        <f>MID(P2728,5,2)</f>
        <v/>
      </c>
      <c r="R2728" s="14">
        <f>MID(P2728,7,2)</f>
        <v/>
      </c>
      <c r="S2728" s="6" t="inlineStr">
        <is>
          <t>G2G</t>
        </is>
      </c>
      <c r="T2728" s="1" t="inlineStr">
        <is>
          <t>P4 - PEIPL</t>
        </is>
      </c>
      <c r="U2728" s="2" t="inlineStr">
        <is>
          <t xml:space="preserve">physically damaged </t>
        </is>
      </c>
      <c r="V2728" s="1" t="inlineStr">
        <is>
          <t>Inspection</t>
        </is>
      </c>
      <c r="W2728" s="1" t="inlineStr">
        <is>
          <t>Rejected</t>
        </is>
      </c>
      <c r="X2728" s="5">
        <f>Z2728</f>
        <v/>
      </c>
      <c r="Y2728" s="1">
        <f>X2728-A2728</f>
        <v/>
      </c>
      <c r="Z2728" s="5" t="n">
        <v>46200</v>
      </c>
      <c r="AA2728" s="3" t="n"/>
      <c r="AB2728" s="3" t="n"/>
      <c r="AE2728" s="146">
        <f>IF(AND(F2728="Closed",X2728&gt;=DATE(2026,6,1),X2728&lt;=DATE(2026,6,30)),"Closed in June","other")</f>
        <v/>
      </c>
    </row>
    <row r="2729" hidden="1">
      <c r="A2729" s="49" t="n">
        <v>46177</v>
      </c>
      <c r="B2729" s="1" t="n">
        <v>2026</v>
      </c>
      <c r="C2729" s="8" t="inlineStr">
        <is>
          <t>Ayana</t>
        </is>
      </c>
      <c r="D2729" s="11" t="inlineStr">
        <is>
          <t>Utility and C&amp;I</t>
        </is>
      </c>
      <c r="E2729" s="1" t="n"/>
      <c r="F2729" s="1" t="inlineStr">
        <is>
          <t>Closed</t>
        </is>
      </c>
      <c r="G2729" s="11" t="inlineStr">
        <is>
          <t>Vasu.N</t>
        </is>
      </c>
      <c r="H2729" s="8" t="n">
        <v>9578099893</v>
      </c>
      <c r="I2729" s="10" t="inlineStr">
        <is>
          <t>PE04062601</t>
        </is>
      </c>
      <c r="J2729" s="28" t="inlineStr">
        <is>
          <t>Module burnt</t>
        </is>
      </c>
      <c r="K2729" s="8" t="inlineStr">
        <is>
          <t>Zura</t>
        </is>
      </c>
      <c r="L2729" s="8" t="inlineStr">
        <is>
          <t>Gujarat</t>
        </is>
      </c>
      <c r="M2729" s="2" t="inlineStr">
        <is>
          <t xml:space="preserve">damage </t>
        </is>
      </c>
      <c r="N2729" s="6" t="inlineStr">
        <is>
          <t>Module Breakage</t>
        </is>
      </c>
      <c r="O2729" s="51" t="n">
        <v>590</v>
      </c>
      <c r="P2729" s="2" t="inlineStr">
        <is>
          <t>NSMI24090453556</t>
        </is>
      </c>
      <c r="Q2729" s="29">
        <f>MID(P2729,5,2)</f>
        <v/>
      </c>
      <c r="R2729" s="14">
        <f>MID(P2729,7,2)</f>
        <v/>
      </c>
      <c r="S2729" s="6" t="inlineStr">
        <is>
          <t>G2G</t>
        </is>
      </c>
      <c r="T2729" s="1" t="inlineStr">
        <is>
          <t>P4 - PEIPL</t>
        </is>
      </c>
      <c r="U2729" s="2" t="inlineStr">
        <is>
          <t xml:space="preserve">physically damaged </t>
        </is>
      </c>
      <c r="V2729" s="1" t="inlineStr">
        <is>
          <t>Inspection</t>
        </is>
      </c>
      <c r="W2729" s="1" t="inlineStr">
        <is>
          <t>Rejected</t>
        </is>
      </c>
      <c r="X2729" s="5">
        <f>Z2729</f>
        <v/>
      </c>
      <c r="Y2729" s="1">
        <f>X2729-A2729</f>
        <v/>
      </c>
      <c r="Z2729" s="5" t="n">
        <v>46200</v>
      </c>
      <c r="AA2729" s="3" t="n"/>
      <c r="AB2729" s="3" t="n"/>
      <c r="AE2729" s="146">
        <f>IF(AND(F2729="Closed",X2729&gt;=DATE(2026,6,1),X2729&lt;=DATE(2026,6,30)),"Closed in June","other")</f>
        <v/>
      </c>
    </row>
    <row r="2730" hidden="1">
      <c r="A2730" s="49" t="n">
        <v>46177</v>
      </c>
      <c r="B2730" s="1" t="n">
        <v>2026</v>
      </c>
      <c r="C2730" s="8" t="inlineStr">
        <is>
          <t>Ayana</t>
        </is>
      </c>
      <c r="D2730" s="11" t="inlineStr">
        <is>
          <t>Utility and C&amp;I</t>
        </is>
      </c>
      <c r="E2730" s="1" t="n"/>
      <c r="F2730" s="1" t="inlineStr">
        <is>
          <t>Closed</t>
        </is>
      </c>
      <c r="G2730" s="11" t="inlineStr">
        <is>
          <t>Vasu.N</t>
        </is>
      </c>
      <c r="H2730" s="8" t="n">
        <v>9578099893</v>
      </c>
      <c r="I2730" s="10" t="inlineStr">
        <is>
          <t>PE04062601</t>
        </is>
      </c>
      <c r="J2730" s="28" t="inlineStr">
        <is>
          <t>Module burnt</t>
        </is>
      </c>
      <c r="K2730" s="8" t="inlineStr">
        <is>
          <t>Zura</t>
        </is>
      </c>
      <c r="L2730" s="8" t="inlineStr">
        <is>
          <t>Gujarat</t>
        </is>
      </c>
      <c r="M2730" s="2" t="inlineStr">
        <is>
          <t xml:space="preserve">damage </t>
        </is>
      </c>
      <c r="N2730" s="6" t="inlineStr">
        <is>
          <t>Module Breakage</t>
        </is>
      </c>
      <c r="O2730" s="51" t="n">
        <v>590</v>
      </c>
      <c r="P2730" s="2" t="inlineStr">
        <is>
          <t>NSMI24090428944</t>
        </is>
      </c>
      <c r="Q2730" s="29">
        <f>MID(P2730,5,2)</f>
        <v/>
      </c>
      <c r="R2730" s="14">
        <f>MID(P2730,7,2)</f>
        <v/>
      </c>
      <c r="S2730" s="6" t="inlineStr">
        <is>
          <t>G2G</t>
        </is>
      </c>
      <c r="T2730" s="1" t="inlineStr">
        <is>
          <t>P4 - PEIPL</t>
        </is>
      </c>
      <c r="U2730" s="2" t="inlineStr">
        <is>
          <t xml:space="preserve">physically damaged </t>
        </is>
      </c>
      <c r="V2730" s="1" t="inlineStr">
        <is>
          <t>Inspection</t>
        </is>
      </c>
      <c r="W2730" s="1" t="inlineStr">
        <is>
          <t>Rejected</t>
        </is>
      </c>
      <c r="X2730" s="5">
        <f>Z2730</f>
        <v/>
      </c>
      <c r="Y2730" s="1">
        <f>X2730-A2730</f>
        <v/>
      </c>
      <c r="Z2730" s="5" t="n">
        <v>46200</v>
      </c>
      <c r="AA2730" s="3" t="n"/>
      <c r="AB2730" s="3" t="n"/>
      <c r="AE2730" s="146">
        <f>IF(AND(F2730="Closed",X2730&gt;=DATE(2026,6,1),X2730&lt;=DATE(2026,6,30)),"Closed in June","other")</f>
        <v/>
      </c>
    </row>
    <row r="2731" hidden="1">
      <c r="A2731" s="49" t="n">
        <v>46177</v>
      </c>
      <c r="B2731" s="1" t="n">
        <v>2026</v>
      </c>
      <c r="C2731" s="8" t="inlineStr">
        <is>
          <t>Ayana</t>
        </is>
      </c>
      <c r="D2731" s="11" t="inlineStr">
        <is>
          <t>Utility and C&amp;I</t>
        </is>
      </c>
      <c r="E2731" s="1" t="n"/>
      <c r="F2731" s="1" t="inlineStr">
        <is>
          <t>Closed</t>
        </is>
      </c>
      <c r="G2731" s="11" t="inlineStr">
        <is>
          <t>Vasu.N</t>
        </is>
      </c>
      <c r="H2731" s="8" t="n">
        <v>9578099893</v>
      </c>
      <c r="I2731" s="10" t="inlineStr">
        <is>
          <t>PE04062601</t>
        </is>
      </c>
      <c r="J2731" s="28" t="inlineStr">
        <is>
          <t>Module burnt</t>
        </is>
      </c>
      <c r="K2731" s="8" t="inlineStr">
        <is>
          <t>Zura</t>
        </is>
      </c>
      <c r="L2731" s="8" t="inlineStr">
        <is>
          <t>Gujarat</t>
        </is>
      </c>
      <c r="M2731" s="2" t="inlineStr">
        <is>
          <t xml:space="preserve">damage </t>
        </is>
      </c>
      <c r="N2731" s="6" t="inlineStr">
        <is>
          <t>Module Breakage</t>
        </is>
      </c>
      <c r="O2731" s="51" t="n">
        <v>590</v>
      </c>
      <c r="P2731" s="2" t="inlineStr">
        <is>
          <t>NSMI24100660264</t>
        </is>
      </c>
      <c r="Q2731" s="29">
        <f>MID(P2731,5,2)</f>
        <v/>
      </c>
      <c r="R2731" s="14">
        <f>MID(P2731,7,2)</f>
        <v/>
      </c>
      <c r="S2731" s="6" t="inlineStr">
        <is>
          <t>G2G</t>
        </is>
      </c>
      <c r="T2731" s="1" t="inlineStr">
        <is>
          <t>P4 - PEIPL</t>
        </is>
      </c>
      <c r="U2731" s="2" t="inlineStr">
        <is>
          <t xml:space="preserve">physically damaged </t>
        </is>
      </c>
      <c r="V2731" s="1" t="inlineStr">
        <is>
          <t>Inspection</t>
        </is>
      </c>
      <c r="W2731" s="1" t="inlineStr">
        <is>
          <t>Rejected</t>
        </is>
      </c>
      <c r="X2731" s="5">
        <f>Z2731</f>
        <v/>
      </c>
      <c r="Y2731" s="1">
        <f>X2731-A2731</f>
        <v/>
      </c>
      <c r="Z2731" s="5" t="n">
        <v>46200</v>
      </c>
      <c r="AA2731" s="3" t="n"/>
      <c r="AB2731" s="3" t="n"/>
      <c r="AE2731" s="146">
        <f>IF(AND(F2731="Closed",X2731&gt;=DATE(2026,6,1),X2731&lt;=DATE(2026,6,30)),"Closed in June","other")</f>
        <v/>
      </c>
    </row>
    <row r="2732" hidden="1">
      <c r="A2732" s="49" t="n">
        <v>46177</v>
      </c>
      <c r="B2732" s="1" t="n">
        <v>2026</v>
      </c>
      <c r="C2732" s="8" t="inlineStr">
        <is>
          <t>Ayana</t>
        </is>
      </c>
      <c r="D2732" s="11" t="inlineStr">
        <is>
          <t>Utility and C&amp;I</t>
        </is>
      </c>
      <c r="E2732" s="1" t="n"/>
      <c r="F2732" s="1" t="inlineStr">
        <is>
          <t>Closed</t>
        </is>
      </c>
      <c r="G2732" s="11" t="inlineStr">
        <is>
          <t>Vasu.N</t>
        </is>
      </c>
      <c r="H2732" s="8" t="n">
        <v>9578099893</v>
      </c>
      <c r="I2732" s="10" t="inlineStr">
        <is>
          <t>PE04062601</t>
        </is>
      </c>
      <c r="J2732" s="28" t="inlineStr">
        <is>
          <t>Module burnt</t>
        </is>
      </c>
      <c r="K2732" s="8" t="inlineStr">
        <is>
          <t>Zura</t>
        </is>
      </c>
      <c r="L2732" s="8" t="inlineStr">
        <is>
          <t>Gujarat</t>
        </is>
      </c>
      <c r="M2732" s="2" t="inlineStr">
        <is>
          <t xml:space="preserve">damage </t>
        </is>
      </c>
      <c r="N2732" s="6" t="inlineStr">
        <is>
          <t>Module Breakage</t>
        </is>
      </c>
      <c r="O2732" s="51" t="n">
        <v>590</v>
      </c>
      <c r="P2732" s="2" t="inlineStr">
        <is>
          <t>NSMI24100643415</t>
        </is>
      </c>
      <c r="Q2732" s="29">
        <f>MID(P2732,5,2)</f>
        <v/>
      </c>
      <c r="R2732" s="14">
        <f>MID(P2732,7,2)</f>
        <v/>
      </c>
      <c r="S2732" s="6" t="inlineStr">
        <is>
          <t>G2G</t>
        </is>
      </c>
      <c r="T2732" s="1" t="inlineStr">
        <is>
          <t>P4 - PEIPL</t>
        </is>
      </c>
      <c r="U2732" s="2" t="inlineStr">
        <is>
          <t xml:space="preserve">physically damaged </t>
        </is>
      </c>
      <c r="V2732" s="1" t="inlineStr">
        <is>
          <t>Inspection</t>
        </is>
      </c>
      <c r="W2732" s="1" t="inlineStr">
        <is>
          <t>Rejected</t>
        </is>
      </c>
      <c r="X2732" s="5">
        <f>Z2732</f>
        <v/>
      </c>
      <c r="Y2732" s="1">
        <f>X2732-A2732</f>
        <v/>
      </c>
      <c r="Z2732" s="5" t="n">
        <v>46200</v>
      </c>
      <c r="AA2732" s="3" t="n"/>
      <c r="AB2732" s="3" t="n"/>
      <c r="AE2732" s="146">
        <f>IF(AND(F2732="Closed",X2732&gt;=DATE(2026,6,1),X2732&lt;=DATE(2026,6,30)),"Closed in June","other")</f>
        <v/>
      </c>
    </row>
    <row r="2733" hidden="1">
      <c r="A2733" s="49" t="n">
        <v>46177</v>
      </c>
      <c r="B2733" s="1" t="n">
        <v>2026</v>
      </c>
      <c r="C2733" s="8" t="inlineStr">
        <is>
          <t>Ayana</t>
        </is>
      </c>
      <c r="D2733" s="11" t="inlineStr">
        <is>
          <t>Utility and C&amp;I</t>
        </is>
      </c>
      <c r="E2733" s="1" t="n"/>
      <c r="F2733" s="1" t="inlineStr">
        <is>
          <t>Closed</t>
        </is>
      </c>
      <c r="G2733" s="11" t="inlineStr">
        <is>
          <t>Vasu.N</t>
        </is>
      </c>
      <c r="H2733" s="8" t="n">
        <v>9578099893</v>
      </c>
      <c r="I2733" s="10" t="inlineStr">
        <is>
          <t>PE04062601</t>
        </is>
      </c>
      <c r="J2733" s="28" t="inlineStr">
        <is>
          <t>Module burnt</t>
        </is>
      </c>
      <c r="K2733" s="8" t="inlineStr">
        <is>
          <t>Zura</t>
        </is>
      </c>
      <c r="L2733" s="8" t="inlineStr">
        <is>
          <t>Gujarat</t>
        </is>
      </c>
      <c r="M2733" s="2" t="inlineStr">
        <is>
          <t xml:space="preserve">damage </t>
        </is>
      </c>
      <c r="N2733" s="6" t="inlineStr">
        <is>
          <t>Module Breakage</t>
        </is>
      </c>
      <c r="O2733" s="51" t="n">
        <v>590</v>
      </c>
      <c r="P2733" s="2" t="inlineStr">
        <is>
          <t>NSMI24110800252</t>
        </is>
      </c>
      <c r="Q2733" s="29">
        <f>MID(P2733,5,2)</f>
        <v/>
      </c>
      <c r="R2733" s="14">
        <f>MID(P2733,7,2)</f>
        <v/>
      </c>
      <c r="S2733" s="6" t="inlineStr">
        <is>
          <t>G2G</t>
        </is>
      </c>
      <c r="T2733" s="1" t="inlineStr">
        <is>
          <t>P4 - PEIPL</t>
        </is>
      </c>
      <c r="U2733" s="2" t="inlineStr">
        <is>
          <t xml:space="preserve">physically damaged </t>
        </is>
      </c>
      <c r="V2733" s="1" t="inlineStr">
        <is>
          <t>Inspection</t>
        </is>
      </c>
      <c r="W2733" s="1" t="inlineStr">
        <is>
          <t>Rejected</t>
        </is>
      </c>
      <c r="X2733" s="5">
        <f>Z2733</f>
        <v/>
      </c>
      <c r="Y2733" s="1">
        <f>X2733-A2733</f>
        <v/>
      </c>
      <c r="Z2733" s="5" t="n">
        <v>46200</v>
      </c>
      <c r="AA2733" s="3" t="n"/>
      <c r="AB2733" s="3" t="n"/>
      <c r="AE2733" s="146">
        <f>IF(AND(F2733="Closed",X2733&gt;=DATE(2026,6,1),X2733&lt;=DATE(2026,6,30)),"Closed in June","other")</f>
        <v/>
      </c>
    </row>
    <row r="2734" hidden="1">
      <c r="A2734" s="49" t="n">
        <v>46177</v>
      </c>
      <c r="B2734" s="1" t="n">
        <v>2026</v>
      </c>
      <c r="C2734" s="8" t="inlineStr">
        <is>
          <t>Ayana</t>
        </is>
      </c>
      <c r="D2734" s="11" t="inlineStr">
        <is>
          <t>Utility and C&amp;I</t>
        </is>
      </c>
      <c r="E2734" s="1" t="n"/>
      <c r="F2734" s="1" t="inlineStr">
        <is>
          <t>Closed</t>
        </is>
      </c>
      <c r="G2734" s="11" t="inlineStr">
        <is>
          <t>Vasu.N</t>
        </is>
      </c>
      <c r="H2734" s="8" t="n">
        <v>9578099893</v>
      </c>
      <c r="I2734" s="10" t="inlineStr">
        <is>
          <t>PE04062601</t>
        </is>
      </c>
      <c r="J2734" s="28" t="inlineStr">
        <is>
          <t>Module burnt</t>
        </is>
      </c>
      <c r="K2734" s="8" t="inlineStr">
        <is>
          <t>Zura</t>
        </is>
      </c>
      <c r="L2734" s="8" t="inlineStr">
        <is>
          <t>Gujarat</t>
        </is>
      </c>
      <c r="M2734" s="2" t="inlineStr">
        <is>
          <t xml:space="preserve">damage </t>
        </is>
      </c>
      <c r="N2734" s="6" t="inlineStr">
        <is>
          <t>Module Breakage</t>
        </is>
      </c>
      <c r="O2734" s="51" t="n">
        <v>590</v>
      </c>
      <c r="P2734" s="2" t="inlineStr">
        <is>
          <t>NSMI24100635743</t>
        </is>
      </c>
      <c r="Q2734" s="29">
        <f>MID(P2734,5,2)</f>
        <v/>
      </c>
      <c r="R2734" s="14">
        <f>MID(P2734,7,2)</f>
        <v/>
      </c>
      <c r="S2734" s="6" t="inlineStr">
        <is>
          <t>G2G</t>
        </is>
      </c>
      <c r="T2734" s="1" t="inlineStr">
        <is>
          <t>P4 - PEIPL</t>
        </is>
      </c>
      <c r="U2734" s="2" t="inlineStr">
        <is>
          <t xml:space="preserve">physically damaged </t>
        </is>
      </c>
      <c r="V2734" s="1" t="inlineStr">
        <is>
          <t>Inspection</t>
        </is>
      </c>
      <c r="W2734" s="1" t="inlineStr">
        <is>
          <t>Rejected</t>
        </is>
      </c>
      <c r="X2734" s="5">
        <f>Z2734</f>
        <v/>
      </c>
      <c r="Y2734" s="1">
        <f>X2734-A2734</f>
        <v/>
      </c>
      <c r="Z2734" s="5" t="n">
        <v>46200</v>
      </c>
      <c r="AA2734" s="3" t="n"/>
      <c r="AB2734" s="3" t="n"/>
      <c r="AE2734" s="146">
        <f>IF(AND(F2734="Closed",X2734&gt;=DATE(2026,6,1),X2734&lt;=DATE(2026,6,30)),"Closed in June","other")</f>
        <v/>
      </c>
    </row>
    <row r="2735" hidden="1">
      <c r="A2735" s="49" t="n">
        <v>46177</v>
      </c>
      <c r="B2735" s="1" t="n">
        <v>2026</v>
      </c>
      <c r="C2735" s="8" t="inlineStr">
        <is>
          <t>Ayana</t>
        </is>
      </c>
      <c r="D2735" s="11" t="inlineStr">
        <is>
          <t>Utility and C&amp;I</t>
        </is>
      </c>
      <c r="E2735" s="1" t="n"/>
      <c r="F2735" s="1" t="inlineStr">
        <is>
          <t>Closed</t>
        </is>
      </c>
      <c r="G2735" s="11" t="inlineStr">
        <is>
          <t>Vasu.N</t>
        </is>
      </c>
      <c r="H2735" s="8" t="n">
        <v>9578099893</v>
      </c>
      <c r="I2735" s="10" t="inlineStr">
        <is>
          <t>PE04062601</t>
        </is>
      </c>
      <c r="J2735" s="28" t="inlineStr">
        <is>
          <t>Module burnt</t>
        </is>
      </c>
      <c r="K2735" s="8" t="inlineStr">
        <is>
          <t>Zura</t>
        </is>
      </c>
      <c r="L2735" s="8" t="inlineStr">
        <is>
          <t>Gujarat</t>
        </is>
      </c>
      <c r="M2735" s="2" t="inlineStr">
        <is>
          <t xml:space="preserve">damage </t>
        </is>
      </c>
      <c r="N2735" s="6" t="inlineStr">
        <is>
          <t>Module Breakage</t>
        </is>
      </c>
      <c r="O2735" s="51" t="n">
        <v>590</v>
      </c>
      <c r="P2735" s="2" t="inlineStr">
        <is>
          <t>NSMI24110825255</t>
        </is>
      </c>
      <c r="Q2735" s="29">
        <f>MID(P2735,5,2)</f>
        <v/>
      </c>
      <c r="R2735" s="14">
        <f>MID(P2735,7,2)</f>
        <v/>
      </c>
      <c r="S2735" s="6" t="inlineStr">
        <is>
          <t>G2G</t>
        </is>
      </c>
      <c r="T2735" s="1" t="inlineStr">
        <is>
          <t>P4 - PEIPL</t>
        </is>
      </c>
      <c r="U2735" s="2" t="inlineStr">
        <is>
          <t xml:space="preserve">physically damaged </t>
        </is>
      </c>
      <c r="V2735" s="1" t="inlineStr">
        <is>
          <t>Inspection</t>
        </is>
      </c>
      <c r="W2735" s="1" t="inlineStr">
        <is>
          <t>Rejected</t>
        </is>
      </c>
      <c r="X2735" s="5">
        <f>Z2735</f>
        <v/>
      </c>
      <c r="Y2735" s="1">
        <f>X2735-A2735</f>
        <v/>
      </c>
      <c r="Z2735" s="5" t="n">
        <v>46200</v>
      </c>
      <c r="AA2735" s="3" t="n"/>
      <c r="AB2735" s="3" t="n"/>
      <c r="AE2735" s="146">
        <f>IF(AND(F2735="Closed",X2735&gt;=DATE(2026,6,1),X2735&lt;=DATE(2026,6,30)),"Closed in June","other")</f>
        <v/>
      </c>
    </row>
    <row r="2736" hidden="1">
      <c r="A2736" s="49" t="n">
        <v>46177</v>
      </c>
      <c r="B2736" s="1" t="n">
        <v>2026</v>
      </c>
      <c r="C2736" s="8" t="inlineStr">
        <is>
          <t>Ayana</t>
        </is>
      </c>
      <c r="D2736" s="11" t="inlineStr">
        <is>
          <t>Utility and C&amp;I</t>
        </is>
      </c>
      <c r="E2736" s="1" t="n"/>
      <c r="F2736" s="1" t="inlineStr">
        <is>
          <t>Closed</t>
        </is>
      </c>
      <c r="G2736" s="11" t="inlineStr">
        <is>
          <t>Vasu.N</t>
        </is>
      </c>
      <c r="H2736" s="8" t="n">
        <v>9578099893</v>
      </c>
      <c r="I2736" s="10" t="inlineStr">
        <is>
          <t>PE04062601</t>
        </is>
      </c>
      <c r="J2736" s="28" t="inlineStr">
        <is>
          <t>Module burnt</t>
        </is>
      </c>
      <c r="K2736" s="8" t="inlineStr">
        <is>
          <t>Zura</t>
        </is>
      </c>
      <c r="L2736" s="8" t="inlineStr">
        <is>
          <t>Gujarat</t>
        </is>
      </c>
      <c r="M2736" s="2" t="inlineStr">
        <is>
          <t xml:space="preserve">damage </t>
        </is>
      </c>
      <c r="N2736" s="6" t="inlineStr">
        <is>
          <t>Module Breakage</t>
        </is>
      </c>
      <c r="O2736" s="51" t="n">
        <v>590</v>
      </c>
      <c r="P2736" s="2" t="inlineStr">
        <is>
          <t>NSMI24110825232</t>
        </is>
      </c>
      <c r="Q2736" s="29">
        <f>MID(P2736,5,2)</f>
        <v/>
      </c>
      <c r="R2736" s="14">
        <f>MID(P2736,7,2)</f>
        <v/>
      </c>
      <c r="S2736" s="6" t="inlineStr">
        <is>
          <t>G2G</t>
        </is>
      </c>
      <c r="T2736" s="1" t="inlineStr">
        <is>
          <t>P4 - PEIPL</t>
        </is>
      </c>
      <c r="U2736" s="2" t="inlineStr">
        <is>
          <t xml:space="preserve">physically damaged </t>
        </is>
      </c>
      <c r="V2736" s="1" t="inlineStr">
        <is>
          <t>Inspection</t>
        </is>
      </c>
      <c r="W2736" s="1" t="inlineStr">
        <is>
          <t>Rejected</t>
        </is>
      </c>
      <c r="X2736" s="5">
        <f>Z2736</f>
        <v/>
      </c>
      <c r="Y2736" s="1">
        <f>X2736-A2736</f>
        <v/>
      </c>
      <c r="Z2736" s="5" t="n">
        <v>46200</v>
      </c>
      <c r="AA2736" s="3" t="n"/>
      <c r="AB2736" s="3" t="n"/>
      <c r="AE2736" s="146">
        <f>IF(AND(F2736="Closed",X2736&gt;=DATE(2026,6,1),X2736&lt;=DATE(2026,6,30)),"Closed in June","other")</f>
        <v/>
      </c>
    </row>
    <row r="2737" hidden="1">
      <c r="A2737" s="49" t="n">
        <v>46177</v>
      </c>
      <c r="B2737" s="1" t="n">
        <v>2026</v>
      </c>
      <c r="C2737" s="8" t="inlineStr">
        <is>
          <t>Ayana</t>
        </is>
      </c>
      <c r="D2737" s="11" t="inlineStr">
        <is>
          <t>Utility and C&amp;I</t>
        </is>
      </c>
      <c r="E2737" s="1" t="n"/>
      <c r="F2737" s="1" t="inlineStr">
        <is>
          <t>Closed</t>
        </is>
      </c>
      <c r="G2737" s="11" t="inlineStr">
        <is>
          <t>Vasu.N</t>
        </is>
      </c>
      <c r="H2737" s="8" t="n">
        <v>9578099893</v>
      </c>
      <c r="I2737" s="10" t="inlineStr">
        <is>
          <t>PE04062601</t>
        </is>
      </c>
      <c r="J2737" s="28" t="inlineStr">
        <is>
          <t>Module burnt</t>
        </is>
      </c>
      <c r="K2737" s="8" t="inlineStr">
        <is>
          <t>Zura</t>
        </is>
      </c>
      <c r="L2737" s="8" t="inlineStr">
        <is>
          <t>Gujarat</t>
        </is>
      </c>
      <c r="M2737" s="2" t="inlineStr">
        <is>
          <t xml:space="preserve">damage </t>
        </is>
      </c>
      <c r="N2737" s="6" t="inlineStr">
        <is>
          <t>Module Breakage</t>
        </is>
      </c>
      <c r="O2737" s="51" t="n">
        <v>590</v>
      </c>
      <c r="P2737" s="2" t="inlineStr">
        <is>
          <t>NSMI24100588476</t>
        </is>
      </c>
      <c r="Q2737" s="29">
        <f>MID(P2737,5,2)</f>
        <v/>
      </c>
      <c r="R2737" s="14">
        <f>MID(P2737,7,2)</f>
        <v/>
      </c>
      <c r="S2737" s="6" t="inlineStr">
        <is>
          <t>G2G</t>
        </is>
      </c>
      <c r="T2737" s="1" t="inlineStr">
        <is>
          <t>P4 - PEIPL</t>
        </is>
      </c>
      <c r="U2737" s="2" t="inlineStr">
        <is>
          <t xml:space="preserve">physically damaged </t>
        </is>
      </c>
      <c r="V2737" s="1" t="inlineStr">
        <is>
          <t>Inspection</t>
        </is>
      </c>
      <c r="W2737" s="1" t="inlineStr">
        <is>
          <t>Rejected</t>
        </is>
      </c>
      <c r="X2737" s="5">
        <f>Z2737</f>
        <v/>
      </c>
      <c r="Y2737" s="1">
        <f>X2737-A2737</f>
        <v/>
      </c>
      <c r="Z2737" s="5" t="n">
        <v>46200</v>
      </c>
      <c r="AA2737" s="3" t="n"/>
      <c r="AB2737" s="3" t="n"/>
      <c r="AE2737" s="146">
        <f>IF(AND(F2737="Closed",X2737&gt;=DATE(2026,6,1),X2737&lt;=DATE(2026,6,30)),"Closed in June","other")</f>
        <v/>
      </c>
    </row>
    <row r="2738" hidden="1">
      <c r="A2738" s="49" t="n">
        <v>46177</v>
      </c>
      <c r="B2738" s="1" t="n">
        <v>2026</v>
      </c>
      <c r="C2738" s="8" t="inlineStr">
        <is>
          <t>Ayana</t>
        </is>
      </c>
      <c r="D2738" s="11" t="inlineStr">
        <is>
          <t>Utility and C&amp;I</t>
        </is>
      </c>
      <c r="E2738" s="1" t="n"/>
      <c r="F2738" s="1" t="inlineStr">
        <is>
          <t>Closed</t>
        </is>
      </c>
      <c r="G2738" s="11" t="inlineStr">
        <is>
          <t>Vasu.N</t>
        </is>
      </c>
      <c r="H2738" s="8" t="n">
        <v>9578099893</v>
      </c>
      <c r="I2738" s="10" t="inlineStr">
        <is>
          <t>PE04062601</t>
        </is>
      </c>
      <c r="J2738" s="28" t="inlineStr">
        <is>
          <t>Module burnt</t>
        </is>
      </c>
      <c r="K2738" s="8" t="inlineStr">
        <is>
          <t>Zura</t>
        </is>
      </c>
      <c r="L2738" s="8" t="inlineStr">
        <is>
          <t>Gujarat</t>
        </is>
      </c>
      <c r="M2738" s="2" t="inlineStr">
        <is>
          <t xml:space="preserve">damage </t>
        </is>
      </c>
      <c r="N2738" s="6" t="inlineStr">
        <is>
          <t>Module Breakage</t>
        </is>
      </c>
      <c r="O2738" s="51" t="n">
        <v>590</v>
      </c>
      <c r="P2738" s="2" t="inlineStr">
        <is>
          <t>NSMI24110845164</t>
        </is>
      </c>
      <c r="Q2738" s="29">
        <f>MID(P2738,5,2)</f>
        <v/>
      </c>
      <c r="R2738" s="14">
        <f>MID(P2738,7,2)</f>
        <v/>
      </c>
      <c r="S2738" s="6" t="inlineStr">
        <is>
          <t>G2G</t>
        </is>
      </c>
      <c r="T2738" s="1" t="inlineStr">
        <is>
          <t>P4 - PEIPL</t>
        </is>
      </c>
      <c r="U2738" s="2" t="inlineStr">
        <is>
          <t xml:space="preserve">physically damaged </t>
        </is>
      </c>
      <c r="V2738" s="1" t="inlineStr">
        <is>
          <t>Inspection</t>
        </is>
      </c>
      <c r="W2738" s="1" t="inlineStr">
        <is>
          <t>Rejected</t>
        </is>
      </c>
      <c r="X2738" s="5">
        <f>Z2738</f>
        <v/>
      </c>
      <c r="Y2738" s="1">
        <f>X2738-A2738</f>
        <v/>
      </c>
      <c r="Z2738" s="5" t="n">
        <v>46200</v>
      </c>
      <c r="AA2738" s="3" t="n"/>
      <c r="AB2738" s="3" t="n"/>
      <c r="AE2738" s="146">
        <f>IF(AND(F2738="Closed",X2738&gt;=DATE(2026,6,1),X2738&lt;=DATE(2026,6,30)),"Closed in June","other")</f>
        <v/>
      </c>
    </row>
    <row r="2739" hidden="1">
      <c r="A2739" s="49" t="n">
        <v>46177</v>
      </c>
      <c r="B2739" s="1" t="n">
        <v>2026</v>
      </c>
      <c r="C2739" s="8" t="inlineStr">
        <is>
          <t>Ayana</t>
        </is>
      </c>
      <c r="D2739" s="11" t="inlineStr">
        <is>
          <t>Utility and C&amp;I</t>
        </is>
      </c>
      <c r="E2739" s="1" t="n"/>
      <c r="F2739" s="1" t="inlineStr">
        <is>
          <t>Closed</t>
        </is>
      </c>
      <c r="G2739" s="11" t="inlineStr">
        <is>
          <t>Vasu.N</t>
        </is>
      </c>
      <c r="H2739" s="8" t="n">
        <v>9578099893</v>
      </c>
      <c r="I2739" s="10" t="inlineStr">
        <is>
          <t>PE04062601</t>
        </is>
      </c>
      <c r="J2739" s="28" t="inlineStr">
        <is>
          <t>Module burnt</t>
        </is>
      </c>
      <c r="K2739" s="8" t="inlineStr">
        <is>
          <t>Zura</t>
        </is>
      </c>
      <c r="L2739" s="8" t="inlineStr">
        <is>
          <t>Gujarat</t>
        </is>
      </c>
      <c r="M2739" s="2" t="inlineStr">
        <is>
          <t xml:space="preserve">damage </t>
        </is>
      </c>
      <c r="N2739" s="6" t="inlineStr">
        <is>
          <t>Module Breakage</t>
        </is>
      </c>
      <c r="O2739" s="51" t="n">
        <v>590</v>
      </c>
      <c r="P2739" s="2" t="inlineStr">
        <is>
          <t>NSMI24110846664</t>
        </is>
      </c>
      <c r="Q2739" s="29">
        <f>MID(P2739,5,2)</f>
        <v/>
      </c>
      <c r="R2739" s="14">
        <f>MID(P2739,7,2)</f>
        <v/>
      </c>
      <c r="S2739" s="6" t="inlineStr">
        <is>
          <t>G2G</t>
        </is>
      </c>
      <c r="T2739" s="1" t="inlineStr">
        <is>
          <t>P4 - PEIPL</t>
        </is>
      </c>
      <c r="U2739" s="2" t="inlineStr">
        <is>
          <t xml:space="preserve">physically damaged </t>
        </is>
      </c>
      <c r="V2739" s="1" t="inlineStr">
        <is>
          <t>Inspection</t>
        </is>
      </c>
      <c r="W2739" s="1" t="inlineStr">
        <is>
          <t>Rejected</t>
        </is>
      </c>
      <c r="X2739" s="5">
        <f>Z2739</f>
        <v/>
      </c>
      <c r="Y2739" s="1">
        <f>X2739-A2739</f>
        <v/>
      </c>
      <c r="Z2739" s="5" t="n">
        <v>46200</v>
      </c>
      <c r="AA2739" s="3" t="n"/>
      <c r="AB2739" s="3" t="n"/>
      <c r="AE2739" s="146">
        <f>IF(AND(F2739="Closed",X2739&gt;=DATE(2026,6,1),X2739&lt;=DATE(2026,6,30)),"Closed in June","other")</f>
        <v/>
      </c>
    </row>
    <row r="2740" hidden="1">
      <c r="A2740" s="49" t="n">
        <v>46177</v>
      </c>
      <c r="B2740" s="1" t="n">
        <v>2026</v>
      </c>
      <c r="C2740" s="8" t="inlineStr">
        <is>
          <t>Ayana</t>
        </is>
      </c>
      <c r="D2740" s="11" t="inlineStr">
        <is>
          <t>Utility and C&amp;I</t>
        </is>
      </c>
      <c r="E2740" s="1" t="n"/>
      <c r="F2740" s="1" t="inlineStr">
        <is>
          <t>Closed</t>
        </is>
      </c>
      <c r="G2740" s="11" t="inlineStr">
        <is>
          <t>Vasu.N</t>
        </is>
      </c>
      <c r="H2740" s="8" t="n">
        <v>9578099893</v>
      </c>
      <c r="I2740" s="10" t="inlineStr">
        <is>
          <t>PE04062601</t>
        </is>
      </c>
      <c r="J2740" s="28" t="inlineStr">
        <is>
          <t>Module burnt</t>
        </is>
      </c>
      <c r="K2740" s="8" t="inlineStr">
        <is>
          <t>Zura</t>
        </is>
      </c>
      <c r="L2740" s="8" t="inlineStr">
        <is>
          <t>Gujarat</t>
        </is>
      </c>
      <c r="M2740" s="2" t="inlineStr">
        <is>
          <t xml:space="preserve">damage </t>
        </is>
      </c>
      <c r="N2740" s="6" t="inlineStr">
        <is>
          <t>Module Breakage</t>
        </is>
      </c>
      <c r="O2740" s="51" t="n">
        <v>590</v>
      </c>
      <c r="P2740" s="2" t="inlineStr">
        <is>
          <t>NSMI24100633938</t>
        </is>
      </c>
      <c r="Q2740" s="29">
        <f>MID(P2740,5,2)</f>
        <v/>
      </c>
      <c r="R2740" s="14">
        <f>MID(P2740,7,2)</f>
        <v/>
      </c>
      <c r="S2740" s="6" t="inlineStr">
        <is>
          <t>G2G</t>
        </is>
      </c>
      <c r="T2740" s="1" t="inlineStr">
        <is>
          <t>P4 - PEIPL</t>
        </is>
      </c>
      <c r="U2740" s="2" t="inlineStr">
        <is>
          <t xml:space="preserve">physically damaged </t>
        </is>
      </c>
      <c r="V2740" s="1" t="inlineStr">
        <is>
          <t>Inspection</t>
        </is>
      </c>
      <c r="W2740" s="1" t="inlineStr">
        <is>
          <t>Rejected</t>
        </is>
      </c>
      <c r="X2740" s="5">
        <f>Z2740</f>
        <v/>
      </c>
      <c r="Y2740" s="1">
        <f>X2740-A2740</f>
        <v/>
      </c>
      <c r="Z2740" s="5" t="n">
        <v>46200</v>
      </c>
      <c r="AA2740" s="3" t="n"/>
      <c r="AB2740" s="3" t="n"/>
      <c r="AE2740" s="146">
        <f>IF(AND(F2740="Closed",X2740&gt;=DATE(2026,6,1),X2740&lt;=DATE(2026,6,30)),"Closed in June","other")</f>
        <v/>
      </c>
    </row>
    <row r="2741" hidden="1">
      <c r="A2741" s="49" t="n">
        <v>46177</v>
      </c>
      <c r="B2741" s="1" t="n">
        <v>2026</v>
      </c>
      <c r="C2741" s="8" t="inlineStr">
        <is>
          <t>Ayana</t>
        </is>
      </c>
      <c r="D2741" s="11" t="inlineStr">
        <is>
          <t>Utility and C&amp;I</t>
        </is>
      </c>
      <c r="E2741" s="1" t="n"/>
      <c r="F2741" s="1" t="inlineStr">
        <is>
          <t>Closed</t>
        </is>
      </c>
      <c r="G2741" s="11" t="inlineStr">
        <is>
          <t>Vasu.N</t>
        </is>
      </c>
      <c r="H2741" s="8" t="n">
        <v>9578099893</v>
      </c>
      <c r="I2741" s="10" t="inlineStr">
        <is>
          <t>PE04062601</t>
        </is>
      </c>
      <c r="J2741" s="28" t="inlineStr">
        <is>
          <t>Module burnt</t>
        </is>
      </c>
      <c r="K2741" s="8" t="inlineStr">
        <is>
          <t>Zura</t>
        </is>
      </c>
      <c r="L2741" s="8" t="inlineStr">
        <is>
          <t>Gujarat</t>
        </is>
      </c>
      <c r="M2741" s="2" t="inlineStr">
        <is>
          <t xml:space="preserve">damage </t>
        </is>
      </c>
      <c r="N2741" s="6" t="inlineStr">
        <is>
          <t>Module Breakage</t>
        </is>
      </c>
      <c r="O2741" s="51" t="n">
        <v>590</v>
      </c>
      <c r="P2741" s="2" t="inlineStr">
        <is>
          <t>NSMI24100607207</t>
        </is>
      </c>
      <c r="Q2741" s="29">
        <f>MID(P2741,5,2)</f>
        <v/>
      </c>
      <c r="R2741" s="14">
        <f>MID(P2741,7,2)</f>
        <v/>
      </c>
      <c r="S2741" s="6" t="inlineStr">
        <is>
          <t>G2G</t>
        </is>
      </c>
      <c r="T2741" s="1" t="inlineStr">
        <is>
          <t>P4 - PEIPL</t>
        </is>
      </c>
      <c r="U2741" s="2" t="inlineStr">
        <is>
          <t xml:space="preserve">physically damaged </t>
        </is>
      </c>
      <c r="V2741" s="1" t="inlineStr">
        <is>
          <t>Inspection</t>
        </is>
      </c>
      <c r="W2741" s="1" t="inlineStr">
        <is>
          <t>Rejected</t>
        </is>
      </c>
      <c r="X2741" s="5">
        <f>Z2741</f>
        <v/>
      </c>
      <c r="Y2741" s="1">
        <f>X2741-A2741</f>
        <v/>
      </c>
      <c r="Z2741" s="5" t="n">
        <v>46200</v>
      </c>
      <c r="AA2741" s="3" t="n"/>
      <c r="AB2741" s="3" t="n"/>
      <c r="AE2741" s="146">
        <f>IF(AND(F2741="Closed",X2741&gt;=DATE(2026,6,1),X2741&lt;=DATE(2026,6,30)),"Closed in June","other")</f>
        <v/>
      </c>
    </row>
    <row r="2742" hidden="1">
      <c r="A2742" s="49" t="n">
        <v>46177</v>
      </c>
      <c r="B2742" s="1" t="n">
        <v>2026</v>
      </c>
      <c r="C2742" s="8" t="inlineStr">
        <is>
          <t>Ayana</t>
        </is>
      </c>
      <c r="D2742" s="11" t="inlineStr">
        <is>
          <t>Utility and C&amp;I</t>
        </is>
      </c>
      <c r="E2742" s="1" t="n"/>
      <c r="F2742" s="1" t="inlineStr">
        <is>
          <t>Closed</t>
        </is>
      </c>
      <c r="G2742" s="11" t="inlineStr">
        <is>
          <t>Vasu.N</t>
        </is>
      </c>
      <c r="H2742" s="8" t="n">
        <v>9578099893</v>
      </c>
      <c r="I2742" s="10" t="inlineStr">
        <is>
          <t>PE04062601</t>
        </is>
      </c>
      <c r="J2742" s="28" t="inlineStr">
        <is>
          <t>Module burnt</t>
        </is>
      </c>
      <c r="K2742" s="8" t="inlineStr">
        <is>
          <t>Zura</t>
        </is>
      </c>
      <c r="L2742" s="8" t="inlineStr">
        <is>
          <t>Gujarat</t>
        </is>
      </c>
      <c r="M2742" s="2" t="inlineStr">
        <is>
          <t xml:space="preserve">damage </t>
        </is>
      </c>
      <c r="N2742" s="6" t="inlineStr">
        <is>
          <t>Module Breakage</t>
        </is>
      </c>
      <c r="O2742" s="51" t="n">
        <v>590</v>
      </c>
      <c r="P2742" s="2" t="inlineStr">
        <is>
          <t>NSMI24100607220</t>
        </is>
      </c>
      <c r="Q2742" s="29">
        <f>MID(P2742,5,2)</f>
        <v/>
      </c>
      <c r="R2742" s="14">
        <f>MID(P2742,7,2)</f>
        <v/>
      </c>
      <c r="S2742" s="6" t="inlineStr">
        <is>
          <t>G2G</t>
        </is>
      </c>
      <c r="T2742" s="1" t="inlineStr">
        <is>
          <t>P4 - PEIPL</t>
        </is>
      </c>
      <c r="U2742" s="2" t="inlineStr">
        <is>
          <t xml:space="preserve">physically damaged </t>
        </is>
      </c>
      <c r="V2742" s="1" t="inlineStr">
        <is>
          <t>Inspection</t>
        </is>
      </c>
      <c r="W2742" s="1" t="inlineStr">
        <is>
          <t>Rejected</t>
        </is>
      </c>
      <c r="X2742" s="5">
        <f>Z2742</f>
        <v/>
      </c>
      <c r="Y2742" s="1">
        <f>X2742-A2742</f>
        <v/>
      </c>
      <c r="Z2742" s="5" t="n">
        <v>46200</v>
      </c>
      <c r="AA2742" s="3" t="n"/>
      <c r="AB2742" s="3" t="n"/>
      <c r="AE2742" s="146">
        <f>IF(AND(F2742="Closed",X2742&gt;=DATE(2026,6,1),X2742&lt;=DATE(2026,6,30)),"Closed in June","other")</f>
        <v/>
      </c>
    </row>
    <row r="2743" hidden="1">
      <c r="A2743" s="49" t="n">
        <v>46177</v>
      </c>
      <c r="B2743" s="1" t="n">
        <v>2026</v>
      </c>
      <c r="C2743" s="8" t="inlineStr">
        <is>
          <t>Ayana</t>
        </is>
      </c>
      <c r="D2743" s="11" t="inlineStr">
        <is>
          <t>Utility and C&amp;I</t>
        </is>
      </c>
      <c r="E2743" s="1" t="n"/>
      <c r="F2743" s="1" t="inlineStr">
        <is>
          <t>Closed</t>
        </is>
      </c>
      <c r="G2743" s="11" t="inlineStr">
        <is>
          <t>Vasu.N</t>
        </is>
      </c>
      <c r="H2743" s="8" t="n">
        <v>9578099893</v>
      </c>
      <c r="I2743" s="10" t="inlineStr">
        <is>
          <t>PE04062601</t>
        </is>
      </c>
      <c r="J2743" s="28" t="inlineStr">
        <is>
          <t>Module burnt</t>
        </is>
      </c>
      <c r="K2743" s="8" t="inlineStr">
        <is>
          <t>Zura</t>
        </is>
      </c>
      <c r="L2743" s="8" t="inlineStr">
        <is>
          <t>Gujarat</t>
        </is>
      </c>
      <c r="M2743" s="2" t="inlineStr">
        <is>
          <t xml:space="preserve">damage </t>
        </is>
      </c>
      <c r="N2743" s="6" t="inlineStr">
        <is>
          <t>Module Breakage</t>
        </is>
      </c>
      <c r="O2743" s="51" t="n">
        <v>590</v>
      </c>
      <c r="P2743" s="2" t="inlineStr">
        <is>
          <t>NSMI24100607228</t>
        </is>
      </c>
      <c r="Q2743" s="29">
        <f>MID(P2743,5,2)</f>
        <v/>
      </c>
      <c r="R2743" s="14">
        <f>MID(P2743,7,2)</f>
        <v/>
      </c>
      <c r="S2743" s="6" t="inlineStr">
        <is>
          <t>G2G</t>
        </is>
      </c>
      <c r="T2743" s="1" t="inlineStr">
        <is>
          <t>P4 - PEIPL</t>
        </is>
      </c>
      <c r="U2743" s="2" t="inlineStr">
        <is>
          <t xml:space="preserve">physically damaged </t>
        </is>
      </c>
      <c r="V2743" s="1" t="inlineStr">
        <is>
          <t>Inspection</t>
        </is>
      </c>
      <c r="W2743" s="1" t="inlineStr">
        <is>
          <t>Rejected</t>
        </is>
      </c>
      <c r="X2743" s="5">
        <f>Z2743</f>
        <v/>
      </c>
      <c r="Y2743" s="1">
        <f>X2743-A2743</f>
        <v/>
      </c>
      <c r="Z2743" s="5" t="n">
        <v>46200</v>
      </c>
      <c r="AA2743" s="3" t="n"/>
      <c r="AB2743" s="3" t="n"/>
      <c r="AE2743" s="146">
        <f>IF(AND(F2743="Closed",X2743&gt;=DATE(2026,6,1),X2743&lt;=DATE(2026,6,30)),"Closed in June","other")</f>
        <v/>
      </c>
    </row>
    <row r="2744" hidden="1">
      <c r="A2744" s="49" t="n">
        <v>46177</v>
      </c>
      <c r="B2744" s="1" t="n">
        <v>2026</v>
      </c>
      <c r="C2744" s="8" t="inlineStr">
        <is>
          <t>Ayana</t>
        </is>
      </c>
      <c r="D2744" s="11" t="inlineStr">
        <is>
          <t>Utility and C&amp;I</t>
        </is>
      </c>
      <c r="E2744" s="1" t="n"/>
      <c r="F2744" s="1" t="inlineStr">
        <is>
          <t>Closed</t>
        </is>
      </c>
      <c r="G2744" s="11" t="inlineStr">
        <is>
          <t>Vasu.N</t>
        </is>
      </c>
      <c r="H2744" s="8" t="n">
        <v>9578099893</v>
      </c>
      <c r="I2744" s="10" t="inlineStr">
        <is>
          <t>PE04062601</t>
        </is>
      </c>
      <c r="J2744" s="28" t="inlineStr">
        <is>
          <t>Module burnt</t>
        </is>
      </c>
      <c r="K2744" s="8" t="inlineStr">
        <is>
          <t>Zura</t>
        </is>
      </c>
      <c r="L2744" s="8" t="inlineStr">
        <is>
          <t>Gujarat</t>
        </is>
      </c>
      <c r="M2744" s="2" t="inlineStr">
        <is>
          <t xml:space="preserve">damage </t>
        </is>
      </c>
      <c r="N2744" s="6" t="inlineStr">
        <is>
          <t>Module Breakage</t>
        </is>
      </c>
      <c r="O2744" s="51" t="n">
        <v>590</v>
      </c>
      <c r="P2744" s="2" t="inlineStr">
        <is>
          <t>NSMI24110818144</t>
        </is>
      </c>
      <c r="Q2744" s="29">
        <f>MID(P2744,5,2)</f>
        <v/>
      </c>
      <c r="R2744" s="14">
        <f>MID(P2744,7,2)</f>
        <v/>
      </c>
      <c r="S2744" s="6" t="inlineStr">
        <is>
          <t>G2G</t>
        </is>
      </c>
      <c r="T2744" s="1" t="inlineStr">
        <is>
          <t>P4 - PEIPL</t>
        </is>
      </c>
      <c r="U2744" s="2" t="inlineStr">
        <is>
          <t xml:space="preserve">physically damaged </t>
        </is>
      </c>
      <c r="V2744" s="1" t="inlineStr">
        <is>
          <t>Inspection</t>
        </is>
      </c>
      <c r="W2744" s="1" t="inlineStr">
        <is>
          <t>Rejected</t>
        </is>
      </c>
      <c r="X2744" s="5">
        <f>Z2744</f>
        <v/>
      </c>
      <c r="Y2744" s="1">
        <f>X2744-A2744</f>
        <v/>
      </c>
      <c r="Z2744" s="5" t="n">
        <v>46200</v>
      </c>
      <c r="AA2744" s="3" t="n"/>
      <c r="AB2744" s="3" t="n"/>
      <c r="AE2744" s="146">
        <f>IF(AND(F2744="Closed",X2744&gt;=DATE(2026,6,1),X2744&lt;=DATE(2026,6,30)),"Closed in June","other")</f>
        <v/>
      </c>
    </row>
    <row r="2745" hidden="1">
      <c r="A2745" s="49" t="n">
        <v>46177</v>
      </c>
      <c r="B2745" s="1" t="n">
        <v>2026</v>
      </c>
      <c r="C2745" s="8" t="inlineStr">
        <is>
          <t>Ayana</t>
        </is>
      </c>
      <c r="D2745" s="11" t="inlineStr">
        <is>
          <t>Utility and C&amp;I</t>
        </is>
      </c>
      <c r="E2745" s="1" t="n"/>
      <c r="F2745" s="1" t="inlineStr">
        <is>
          <t>Closed</t>
        </is>
      </c>
      <c r="G2745" s="11" t="inlineStr">
        <is>
          <t>Vasu.N</t>
        </is>
      </c>
      <c r="H2745" s="8" t="n">
        <v>9578099893</v>
      </c>
      <c r="I2745" s="10" t="inlineStr">
        <is>
          <t>PE04062601</t>
        </is>
      </c>
      <c r="J2745" s="28" t="inlineStr">
        <is>
          <t>Module burnt</t>
        </is>
      </c>
      <c r="K2745" s="8" t="inlineStr">
        <is>
          <t>Zura</t>
        </is>
      </c>
      <c r="L2745" s="8" t="inlineStr">
        <is>
          <t>Gujarat</t>
        </is>
      </c>
      <c r="M2745" s="2" t="inlineStr">
        <is>
          <t xml:space="preserve">damage </t>
        </is>
      </c>
      <c r="N2745" s="6" t="inlineStr">
        <is>
          <t>Module Breakage</t>
        </is>
      </c>
      <c r="O2745" s="51" t="n">
        <v>590</v>
      </c>
      <c r="P2745" s="2" t="inlineStr">
        <is>
          <t>NSMI24100609041</t>
        </is>
      </c>
      <c r="Q2745" s="29">
        <f>MID(P2745,5,2)</f>
        <v/>
      </c>
      <c r="R2745" s="14">
        <f>MID(P2745,7,2)</f>
        <v/>
      </c>
      <c r="S2745" s="6" t="inlineStr">
        <is>
          <t>G2G</t>
        </is>
      </c>
      <c r="T2745" s="1" t="inlineStr">
        <is>
          <t>P4 - PEIPL</t>
        </is>
      </c>
      <c r="U2745" s="2" t="inlineStr">
        <is>
          <t xml:space="preserve">physically damaged </t>
        </is>
      </c>
      <c r="V2745" s="1" t="inlineStr">
        <is>
          <t>Inspection</t>
        </is>
      </c>
      <c r="W2745" s="1" t="inlineStr">
        <is>
          <t>Rejected</t>
        </is>
      </c>
      <c r="X2745" s="5">
        <f>Z2745</f>
        <v/>
      </c>
      <c r="Y2745" s="1">
        <f>X2745-A2745</f>
        <v/>
      </c>
      <c r="Z2745" s="5" t="n">
        <v>46200</v>
      </c>
      <c r="AA2745" s="3" t="n"/>
      <c r="AB2745" s="3" t="n"/>
      <c r="AE2745" s="146">
        <f>IF(AND(F2745="Closed",X2745&gt;=DATE(2026,6,1),X2745&lt;=DATE(2026,6,30)),"Closed in June","other")</f>
        <v/>
      </c>
    </row>
    <row r="2746" hidden="1">
      <c r="A2746" s="49" t="n">
        <v>46177</v>
      </c>
      <c r="B2746" s="1" t="n">
        <v>2026</v>
      </c>
      <c r="C2746" s="8" t="inlineStr">
        <is>
          <t>Ayana</t>
        </is>
      </c>
      <c r="D2746" s="11" t="inlineStr">
        <is>
          <t>Utility and C&amp;I</t>
        </is>
      </c>
      <c r="E2746" s="1" t="n"/>
      <c r="F2746" s="1" t="inlineStr">
        <is>
          <t>Closed</t>
        </is>
      </c>
      <c r="G2746" s="11" t="inlineStr">
        <is>
          <t>Vasu.N</t>
        </is>
      </c>
      <c r="H2746" s="8" t="n">
        <v>9578099893</v>
      </c>
      <c r="I2746" s="10" t="inlineStr">
        <is>
          <t>PE04062601</t>
        </is>
      </c>
      <c r="J2746" s="28" t="inlineStr">
        <is>
          <t>Module burnt</t>
        </is>
      </c>
      <c r="K2746" s="8" t="inlineStr">
        <is>
          <t>Zura</t>
        </is>
      </c>
      <c r="L2746" s="8" t="inlineStr">
        <is>
          <t>Gujarat</t>
        </is>
      </c>
      <c r="M2746" s="2" t="inlineStr">
        <is>
          <t xml:space="preserve">damage </t>
        </is>
      </c>
      <c r="N2746" s="6" t="inlineStr">
        <is>
          <t>Module Breakage</t>
        </is>
      </c>
      <c r="O2746" s="51" t="n">
        <v>590</v>
      </c>
      <c r="P2746" s="2" t="inlineStr">
        <is>
          <t>NSMI24100634942</t>
        </is>
      </c>
      <c r="Q2746" s="29">
        <f>MID(P2746,5,2)</f>
        <v/>
      </c>
      <c r="R2746" s="14">
        <f>MID(P2746,7,2)</f>
        <v/>
      </c>
      <c r="S2746" s="6" t="inlineStr">
        <is>
          <t>G2G</t>
        </is>
      </c>
      <c r="T2746" s="1" t="inlineStr">
        <is>
          <t>P4 - PEIPL</t>
        </is>
      </c>
      <c r="U2746" s="2" t="inlineStr">
        <is>
          <t xml:space="preserve">physically damaged </t>
        </is>
      </c>
      <c r="V2746" s="1" t="inlineStr">
        <is>
          <t>Inspection</t>
        </is>
      </c>
      <c r="W2746" s="1" t="inlineStr">
        <is>
          <t>Rejected</t>
        </is>
      </c>
      <c r="X2746" s="5">
        <f>Z2746</f>
        <v/>
      </c>
      <c r="Y2746" s="1">
        <f>X2746-A2746</f>
        <v/>
      </c>
      <c r="Z2746" s="5" t="n">
        <v>46200</v>
      </c>
      <c r="AA2746" s="3" t="n"/>
      <c r="AB2746" s="3" t="n"/>
      <c r="AE2746" s="146">
        <f>IF(AND(F2746="Closed",X2746&gt;=DATE(2026,6,1),X2746&lt;=DATE(2026,6,30)),"Closed in June","other")</f>
        <v/>
      </c>
    </row>
    <row r="2747" hidden="1">
      <c r="A2747" s="49" t="n">
        <v>46177</v>
      </c>
      <c r="B2747" s="1" t="n">
        <v>2026</v>
      </c>
      <c r="C2747" s="8" t="inlineStr">
        <is>
          <t>Ayana</t>
        </is>
      </c>
      <c r="D2747" s="11" t="inlineStr">
        <is>
          <t>Utility and C&amp;I</t>
        </is>
      </c>
      <c r="E2747" s="1" t="n"/>
      <c r="F2747" s="1" t="inlineStr">
        <is>
          <t>Closed</t>
        </is>
      </c>
      <c r="G2747" s="11" t="inlineStr">
        <is>
          <t>Vasu.N</t>
        </is>
      </c>
      <c r="H2747" s="8" t="n">
        <v>9578099893</v>
      </c>
      <c r="I2747" s="10" t="inlineStr">
        <is>
          <t>PE04062601</t>
        </is>
      </c>
      <c r="J2747" s="28" t="inlineStr">
        <is>
          <t>Module burnt</t>
        </is>
      </c>
      <c r="K2747" s="8" t="inlineStr">
        <is>
          <t>Zura</t>
        </is>
      </c>
      <c r="L2747" s="8" t="inlineStr">
        <is>
          <t>Gujarat</t>
        </is>
      </c>
      <c r="M2747" s="2" t="inlineStr">
        <is>
          <t xml:space="preserve">damage </t>
        </is>
      </c>
      <c r="N2747" s="6" t="inlineStr">
        <is>
          <t>Module Breakage</t>
        </is>
      </c>
      <c r="O2747" s="51" t="n">
        <v>590</v>
      </c>
      <c r="P2747" s="2" t="inlineStr">
        <is>
          <t>NSMI24100634943</t>
        </is>
      </c>
      <c r="Q2747" s="29">
        <f>MID(P2747,5,2)</f>
        <v/>
      </c>
      <c r="R2747" s="14">
        <f>MID(P2747,7,2)</f>
        <v/>
      </c>
      <c r="S2747" s="6" t="inlineStr">
        <is>
          <t>G2G</t>
        </is>
      </c>
      <c r="T2747" s="1" t="inlineStr">
        <is>
          <t>P4 - PEIPL</t>
        </is>
      </c>
      <c r="U2747" s="2" t="inlineStr">
        <is>
          <t xml:space="preserve">physically damaged </t>
        </is>
      </c>
      <c r="V2747" s="1" t="inlineStr">
        <is>
          <t>Inspection</t>
        </is>
      </c>
      <c r="W2747" s="1" t="inlineStr">
        <is>
          <t>Rejected</t>
        </is>
      </c>
      <c r="X2747" s="5">
        <f>Z2747</f>
        <v/>
      </c>
      <c r="Y2747" s="1">
        <f>X2747-A2747</f>
        <v/>
      </c>
      <c r="Z2747" s="5" t="n">
        <v>46200</v>
      </c>
      <c r="AA2747" s="3" t="n"/>
      <c r="AB2747" s="3" t="n"/>
      <c r="AE2747" s="146">
        <f>IF(AND(F2747="Closed",X2747&gt;=DATE(2026,6,1),X2747&lt;=DATE(2026,6,30)),"Closed in June","other")</f>
        <v/>
      </c>
    </row>
    <row r="2748" hidden="1">
      <c r="A2748" s="49" t="n">
        <v>46177</v>
      </c>
      <c r="B2748" s="1" t="n">
        <v>2026</v>
      </c>
      <c r="C2748" s="8" t="inlineStr">
        <is>
          <t>Ayana</t>
        </is>
      </c>
      <c r="D2748" s="11" t="inlineStr">
        <is>
          <t>Utility and C&amp;I</t>
        </is>
      </c>
      <c r="E2748" s="1" t="n"/>
      <c r="F2748" s="1" t="inlineStr">
        <is>
          <t>Closed</t>
        </is>
      </c>
      <c r="G2748" s="11" t="inlineStr">
        <is>
          <t>Vasu.N</t>
        </is>
      </c>
      <c r="H2748" s="8" t="n">
        <v>9578099893</v>
      </c>
      <c r="I2748" s="10" t="inlineStr">
        <is>
          <t>PE04062601</t>
        </is>
      </c>
      <c r="J2748" s="28" t="inlineStr">
        <is>
          <t>Module burnt</t>
        </is>
      </c>
      <c r="K2748" s="8" t="inlineStr">
        <is>
          <t>Zura</t>
        </is>
      </c>
      <c r="L2748" s="8" t="inlineStr">
        <is>
          <t>Gujarat</t>
        </is>
      </c>
      <c r="M2748" s="2" t="inlineStr">
        <is>
          <t xml:space="preserve">damage </t>
        </is>
      </c>
      <c r="N2748" s="6" t="inlineStr">
        <is>
          <t>Module Breakage</t>
        </is>
      </c>
      <c r="O2748" s="51" t="n">
        <v>590</v>
      </c>
      <c r="P2748" s="2" t="inlineStr">
        <is>
          <t>NSMI24100634930</t>
        </is>
      </c>
      <c r="Q2748" s="29">
        <f>MID(P2748,5,2)</f>
        <v/>
      </c>
      <c r="R2748" s="14">
        <f>MID(P2748,7,2)</f>
        <v/>
      </c>
      <c r="S2748" s="6" t="inlineStr">
        <is>
          <t>G2G</t>
        </is>
      </c>
      <c r="T2748" s="1" t="inlineStr">
        <is>
          <t>P4 - PEIPL</t>
        </is>
      </c>
      <c r="U2748" s="2" t="inlineStr">
        <is>
          <t xml:space="preserve">physically damaged </t>
        </is>
      </c>
      <c r="V2748" s="1" t="inlineStr">
        <is>
          <t>Inspection</t>
        </is>
      </c>
      <c r="W2748" s="1" t="inlineStr">
        <is>
          <t>Rejected</t>
        </is>
      </c>
      <c r="X2748" s="5">
        <f>Z2748</f>
        <v/>
      </c>
      <c r="Y2748" s="1">
        <f>X2748-A2748</f>
        <v/>
      </c>
      <c r="Z2748" s="5" t="n">
        <v>46200</v>
      </c>
      <c r="AA2748" s="3" t="n"/>
      <c r="AB2748" s="3" t="n"/>
      <c r="AE2748" s="146">
        <f>IF(AND(F2748="Closed",X2748&gt;=DATE(2026,6,1),X2748&lt;=DATE(2026,6,30)),"Closed in June","other")</f>
        <v/>
      </c>
    </row>
    <row r="2749" hidden="1">
      <c r="A2749" s="49" t="n">
        <v>46177</v>
      </c>
      <c r="B2749" s="1" t="n">
        <v>2026</v>
      </c>
      <c r="C2749" s="8" t="inlineStr">
        <is>
          <t>Ayana</t>
        </is>
      </c>
      <c r="D2749" s="11" t="inlineStr">
        <is>
          <t>Utility and C&amp;I</t>
        </is>
      </c>
      <c r="E2749" s="1" t="n"/>
      <c r="F2749" s="1" t="inlineStr">
        <is>
          <t>Closed</t>
        </is>
      </c>
      <c r="G2749" s="11" t="inlineStr">
        <is>
          <t>Vasu.N</t>
        </is>
      </c>
      <c r="H2749" s="8" t="n">
        <v>9578099893</v>
      </c>
      <c r="I2749" s="10" t="inlineStr">
        <is>
          <t>PE04062601</t>
        </is>
      </c>
      <c r="J2749" s="28" t="inlineStr">
        <is>
          <t>Module burnt</t>
        </is>
      </c>
      <c r="K2749" s="8" t="inlineStr">
        <is>
          <t>Zura</t>
        </is>
      </c>
      <c r="L2749" s="8" t="inlineStr">
        <is>
          <t>Gujarat</t>
        </is>
      </c>
      <c r="M2749" s="2" t="inlineStr">
        <is>
          <t xml:space="preserve">damage </t>
        </is>
      </c>
      <c r="N2749" s="6" t="inlineStr">
        <is>
          <t>Module Breakage</t>
        </is>
      </c>
      <c r="O2749" s="51" t="n">
        <v>590</v>
      </c>
      <c r="P2749" s="2" t="inlineStr">
        <is>
          <t>NSMI24100607240</t>
        </is>
      </c>
      <c r="Q2749" s="29">
        <f>MID(P2749,5,2)</f>
        <v/>
      </c>
      <c r="R2749" s="14">
        <f>MID(P2749,7,2)</f>
        <v/>
      </c>
      <c r="S2749" s="6" t="inlineStr">
        <is>
          <t>G2G</t>
        </is>
      </c>
      <c r="T2749" s="1" t="inlineStr">
        <is>
          <t>P4 - PEIPL</t>
        </is>
      </c>
      <c r="U2749" s="2" t="inlineStr">
        <is>
          <t xml:space="preserve">physically damaged </t>
        </is>
      </c>
      <c r="V2749" s="1" t="inlineStr">
        <is>
          <t>Inspection</t>
        </is>
      </c>
      <c r="W2749" s="1" t="inlineStr">
        <is>
          <t>Rejected</t>
        </is>
      </c>
      <c r="X2749" s="5">
        <f>Z2749</f>
        <v/>
      </c>
      <c r="Y2749" s="1">
        <f>X2749-A2749</f>
        <v/>
      </c>
      <c r="Z2749" s="5" t="n">
        <v>46200</v>
      </c>
      <c r="AA2749" s="3" t="n"/>
      <c r="AB2749" s="3" t="n"/>
      <c r="AE2749" s="146">
        <f>IF(AND(F2749="Closed",X2749&gt;=DATE(2026,6,1),X2749&lt;=DATE(2026,6,30)),"Closed in June","other")</f>
        <v/>
      </c>
    </row>
    <row r="2750" hidden="1">
      <c r="A2750" s="49" t="n">
        <v>46177</v>
      </c>
      <c r="B2750" s="1" t="n">
        <v>2026</v>
      </c>
      <c r="C2750" s="8" t="inlineStr">
        <is>
          <t>Ayana</t>
        </is>
      </c>
      <c r="D2750" s="11" t="inlineStr">
        <is>
          <t>Utility and C&amp;I</t>
        </is>
      </c>
      <c r="E2750" s="1" t="n"/>
      <c r="F2750" s="1" t="inlineStr">
        <is>
          <t>Closed</t>
        </is>
      </c>
      <c r="G2750" s="11" t="inlineStr">
        <is>
          <t>Vasu.N</t>
        </is>
      </c>
      <c r="H2750" s="8" t="n">
        <v>9578099893</v>
      </c>
      <c r="I2750" s="10" t="inlineStr">
        <is>
          <t>PE04062601</t>
        </is>
      </c>
      <c r="J2750" s="28" t="inlineStr">
        <is>
          <t>Module burnt</t>
        </is>
      </c>
      <c r="K2750" s="8" t="inlineStr">
        <is>
          <t>Zura</t>
        </is>
      </c>
      <c r="L2750" s="8" t="inlineStr">
        <is>
          <t>Gujarat</t>
        </is>
      </c>
      <c r="M2750" s="2" t="inlineStr">
        <is>
          <t xml:space="preserve">damage </t>
        </is>
      </c>
      <c r="N2750" s="6" t="inlineStr">
        <is>
          <t>Module Breakage</t>
        </is>
      </c>
      <c r="O2750" s="51" t="n">
        <v>590</v>
      </c>
      <c r="P2750" s="2" t="inlineStr">
        <is>
          <t>NSMI24110813628</t>
        </is>
      </c>
      <c r="Q2750" s="29">
        <f>MID(P2750,5,2)</f>
        <v/>
      </c>
      <c r="R2750" s="14">
        <f>MID(P2750,7,2)</f>
        <v/>
      </c>
      <c r="S2750" s="6" t="inlineStr">
        <is>
          <t>G2G</t>
        </is>
      </c>
      <c r="T2750" s="1" t="inlineStr">
        <is>
          <t>P4 - PEIPL</t>
        </is>
      </c>
      <c r="U2750" s="2" t="inlineStr">
        <is>
          <t xml:space="preserve">physically damaged </t>
        </is>
      </c>
      <c r="V2750" s="1" t="inlineStr">
        <is>
          <t>Inspection</t>
        </is>
      </c>
      <c r="W2750" s="1" t="inlineStr">
        <is>
          <t>Rejected</t>
        </is>
      </c>
      <c r="X2750" s="5">
        <f>Z2750</f>
        <v/>
      </c>
      <c r="Y2750" s="1">
        <f>X2750-A2750</f>
        <v/>
      </c>
      <c r="Z2750" s="5" t="n">
        <v>46200</v>
      </c>
      <c r="AA2750" s="3" t="n"/>
      <c r="AB2750" s="3" t="n"/>
      <c r="AE2750" s="146">
        <f>IF(AND(F2750="Closed",X2750&gt;=DATE(2026,6,1),X2750&lt;=DATE(2026,6,30)),"Closed in June","other")</f>
        <v/>
      </c>
    </row>
    <row r="2751" hidden="1">
      <c r="A2751" s="49" t="n">
        <v>46177</v>
      </c>
      <c r="B2751" s="1" t="n">
        <v>2026</v>
      </c>
      <c r="C2751" s="8" t="inlineStr">
        <is>
          <t>Ayana</t>
        </is>
      </c>
      <c r="D2751" s="11" t="inlineStr">
        <is>
          <t>Utility and C&amp;I</t>
        </is>
      </c>
      <c r="E2751" s="1" t="n"/>
      <c r="F2751" s="1" t="inlineStr">
        <is>
          <t>Closed</t>
        </is>
      </c>
      <c r="G2751" s="11" t="inlineStr">
        <is>
          <t>Vasu.N</t>
        </is>
      </c>
      <c r="H2751" s="8" t="n">
        <v>9578099893</v>
      </c>
      <c r="I2751" s="10" t="inlineStr">
        <is>
          <t>PE04062601</t>
        </is>
      </c>
      <c r="J2751" s="28" t="inlineStr">
        <is>
          <t>Module burnt</t>
        </is>
      </c>
      <c r="K2751" s="8" t="inlineStr">
        <is>
          <t>Zura</t>
        </is>
      </c>
      <c r="L2751" s="8" t="inlineStr">
        <is>
          <t>Gujarat</t>
        </is>
      </c>
      <c r="M2751" s="2" t="inlineStr">
        <is>
          <t xml:space="preserve">damage </t>
        </is>
      </c>
      <c r="N2751" s="6" t="inlineStr">
        <is>
          <t>Module Breakage</t>
        </is>
      </c>
      <c r="O2751" s="51" t="n">
        <v>590</v>
      </c>
      <c r="P2751" s="2" t="inlineStr">
        <is>
          <t>NSMI24110813633</t>
        </is>
      </c>
      <c r="Q2751" s="29">
        <f>MID(P2751,5,2)</f>
        <v/>
      </c>
      <c r="R2751" s="14">
        <f>MID(P2751,7,2)</f>
        <v/>
      </c>
      <c r="S2751" s="6" t="inlineStr">
        <is>
          <t>G2G</t>
        </is>
      </c>
      <c r="T2751" s="1" t="inlineStr">
        <is>
          <t>P4 - PEIPL</t>
        </is>
      </c>
      <c r="U2751" s="2" t="inlineStr">
        <is>
          <t xml:space="preserve">physically damaged </t>
        </is>
      </c>
      <c r="V2751" s="1" t="inlineStr">
        <is>
          <t>Inspection</t>
        </is>
      </c>
      <c r="W2751" s="1" t="inlineStr">
        <is>
          <t>Rejected</t>
        </is>
      </c>
      <c r="X2751" s="5">
        <f>Z2751</f>
        <v/>
      </c>
      <c r="Y2751" s="1">
        <f>X2751-A2751</f>
        <v/>
      </c>
      <c r="Z2751" s="5" t="n">
        <v>46200</v>
      </c>
      <c r="AA2751" s="3" t="n"/>
      <c r="AB2751" s="3" t="n"/>
      <c r="AE2751" s="146">
        <f>IF(AND(F2751="Closed",X2751&gt;=DATE(2026,6,1),X2751&lt;=DATE(2026,6,30)),"Closed in June","other")</f>
        <v/>
      </c>
    </row>
    <row r="2752" hidden="1">
      <c r="A2752" s="49" t="n">
        <v>46177</v>
      </c>
      <c r="B2752" s="1" t="n">
        <v>2026</v>
      </c>
      <c r="C2752" s="8" t="inlineStr">
        <is>
          <t>Ayana</t>
        </is>
      </c>
      <c r="D2752" s="11" t="inlineStr">
        <is>
          <t>Utility and C&amp;I</t>
        </is>
      </c>
      <c r="E2752" s="1" t="n"/>
      <c r="F2752" s="1" t="inlineStr">
        <is>
          <t>Closed</t>
        </is>
      </c>
      <c r="G2752" s="11" t="inlineStr">
        <is>
          <t>Vasu.N</t>
        </is>
      </c>
      <c r="H2752" s="8" t="n">
        <v>9578099893</v>
      </c>
      <c r="I2752" s="10" t="inlineStr">
        <is>
          <t>PE04062601</t>
        </is>
      </c>
      <c r="J2752" s="28" t="inlineStr">
        <is>
          <t>Module burnt</t>
        </is>
      </c>
      <c r="K2752" s="8" t="inlineStr">
        <is>
          <t>Zura</t>
        </is>
      </c>
      <c r="L2752" s="8" t="inlineStr">
        <is>
          <t>Gujarat</t>
        </is>
      </c>
      <c r="M2752" s="2" t="inlineStr">
        <is>
          <t xml:space="preserve">damage </t>
        </is>
      </c>
      <c r="N2752" s="6" t="inlineStr">
        <is>
          <t>Module Breakage</t>
        </is>
      </c>
      <c r="O2752" s="51" t="n">
        <v>590</v>
      </c>
      <c r="P2752" s="2" t="inlineStr">
        <is>
          <t>NSMI24110813616</t>
        </is>
      </c>
      <c r="Q2752" s="29">
        <f>MID(P2752,5,2)</f>
        <v/>
      </c>
      <c r="R2752" s="14">
        <f>MID(P2752,7,2)</f>
        <v/>
      </c>
      <c r="S2752" s="6" t="inlineStr">
        <is>
          <t>G2G</t>
        </is>
      </c>
      <c r="T2752" s="1" t="inlineStr">
        <is>
          <t>P4 - PEIPL</t>
        </is>
      </c>
      <c r="U2752" s="2" t="inlineStr">
        <is>
          <t xml:space="preserve">physically damaged </t>
        </is>
      </c>
      <c r="V2752" s="1" t="inlineStr">
        <is>
          <t>Inspection</t>
        </is>
      </c>
      <c r="W2752" s="1" t="inlineStr">
        <is>
          <t>Rejected</t>
        </is>
      </c>
      <c r="X2752" s="5">
        <f>Z2752</f>
        <v/>
      </c>
      <c r="Y2752" s="1">
        <f>X2752-A2752</f>
        <v/>
      </c>
      <c r="Z2752" s="5" t="n">
        <v>46200</v>
      </c>
      <c r="AA2752" s="3" t="n"/>
      <c r="AB2752" s="3" t="n"/>
      <c r="AE2752" s="146">
        <f>IF(AND(F2752="Closed",X2752&gt;=DATE(2026,6,1),X2752&lt;=DATE(2026,6,30)),"Closed in June","other")</f>
        <v/>
      </c>
    </row>
    <row r="2753" hidden="1">
      <c r="A2753" s="49" t="n">
        <v>46177</v>
      </c>
      <c r="B2753" s="1" t="n">
        <v>2026</v>
      </c>
      <c r="C2753" s="8" t="inlineStr">
        <is>
          <t>Ayana</t>
        </is>
      </c>
      <c r="D2753" s="11" t="inlineStr">
        <is>
          <t>Utility and C&amp;I</t>
        </is>
      </c>
      <c r="E2753" s="1" t="n"/>
      <c r="F2753" s="1" t="inlineStr">
        <is>
          <t>Closed</t>
        </is>
      </c>
      <c r="G2753" s="11" t="inlineStr">
        <is>
          <t>Vasu.N</t>
        </is>
      </c>
      <c r="H2753" s="8" t="n">
        <v>9578099893</v>
      </c>
      <c r="I2753" s="10" t="inlineStr">
        <is>
          <t>PE04062601</t>
        </is>
      </c>
      <c r="J2753" s="28" t="inlineStr">
        <is>
          <t>Module burnt</t>
        </is>
      </c>
      <c r="K2753" s="8" t="inlineStr">
        <is>
          <t>Zura</t>
        </is>
      </c>
      <c r="L2753" s="8" t="inlineStr">
        <is>
          <t>Gujarat</t>
        </is>
      </c>
      <c r="M2753" s="2" t="inlineStr">
        <is>
          <t xml:space="preserve">damage </t>
        </is>
      </c>
      <c r="N2753" s="6" t="inlineStr">
        <is>
          <t>Module Breakage</t>
        </is>
      </c>
      <c r="O2753" s="51" t="n">
        <v>590</v>
      </c>
      <c r="P2753" s="2" t="inlineStr">
        <is>
          <t>NSMI24110821162</t>
        </is>
      </c>
      <c r="Q2753" s="29">
        <f>MID(P2753,5,2)</f>
        <v/>
      </c>
      <c r="R2753" s="14">
        <f>MID(P2753,7,2)</f>
        <v/>
      </c>
      <c r="S2753" s="6" t="inlineStr">
        <is>
          <t>G2G</t>
        </is>
      </c>
      <c r="T2753" s="1" t="inlineStr">
        <is>
          <t>P4 - PEIPL</t>
        </is>
      </c>
      <c r="U2753" s="2" t="inlineStr">
        <is>
          <t xml:space="preserve">physically damaged </t>
        </is>
      </c>
      <c r="V2753" s="1" t="inlineStr">
        <is>
          <t>Inspection</t>
        </is>
      </c>
      <c r="W2753" s="1" t="inlineStr">
        <is>
          <t>Rejected</t>
        </is>
      </c>
      <c r="X2753" s="5">
        <f>Z2753</f>
        <v/>
      </c>
      <c r="Y2753" s="1">
        <f>X2753-A2753</f>
        <v/>
      </c>
      <c r="Z2753" s="5" t="n">
        <v>46200</v>
      </c>
      <c r="AA2753" s="3" t="n"/>
      <c r="AB2753" s="3" t="n"/>
      <c r="AE2753" s="146">
        <f>IF(AND(F2753="Closed",X2753&gt;=DATE(2026,6,1),X2753&lt;=DATE(2026,6,30)),"Closed in June","other")</f>
        <v/>
      </c>
    </row>
    <row r="2754" hidden="1">
      <c r="A2754" s="49" t="n">
        <v>46177</v>
      </c>
      <c r="B2754" s="1" t="n">
        <v>2026</v>
      </c>
      <c r="C2754" s="8" t="inlineStr">
        <is>
          <t>Ayana</t>
        </is>
      </c>
      <c r="D2754" s="11" t="inlineStr">
        <is>
          <t>Utility and C&amp;I</t>
        </is>
      </c>
      <c r="E2754" s="1" t="n"/>
      <c r="F2754" s="1" t="inlineStr">
        <is>
          <t>Closed</t>
        </is>
      </c>
      <c r="G2754" s="11" t="inlineStr">
        <is>
          <t>Vasu.N</t>
        </is>
      </c>
      <c r="H2754" s="8" t="n">
        <v>9578099893</v>
      </c>
      <c r="I2754" s="10" t="inlineStr">
        <is>
          <t>PE04062601</t>
        </is>
      </c>
      <c r="J2754" s="28" t="inlineStr">
        <is>
          <t>Module burnt</t>
        </is>
      </c>
      <c r="K2754" s="8" t="inlineStr">
        <is>
          <t>Zura</t>
        </is>
      </c>
      <c r="L2754" s="8" t="inlineStr">
        <is>
          <t>Gujarat</t>
        </is>
      </c>
      <c r="M2754" s="2" t="inlineStr">
        <is>
          <t xml:space="preserve">damage </t>
        </is>
      </c>
      <c r="N2754" s="6" t="inlineStr">
        <is>
          <t>Module Breakage</t>
        </is>
      </c>
      <c r="O2754" s="51" t="n">
        <v>590</v>
      </c>
      <c r="P2754" s="2" t="inlineStr">
        <is>
          <t>NSMI24110821128</t>
        </is>
      </c>
      <c r="Q2754" s="29">
        <f>MID(P2754,5,2)</f>
        <v/>
      </c>
      <c r="R2754" s="14">
        <f>MID(P2754,7,2)</f>
        <v/>
      </c>
      <c r="S2754" s="6" t="inlineStr">
        <is>
          <t>G2G</t>
        </is>
      </c>
      <c r="T2754" s="1" t="inlineStr">
        <is>
          <t>P4 - PEIPL</t>
        </is>
      </c>
      <c r="U2754" s="2" t="inlineStr">
        <is>
          <t xml:space="preserve">physically damaged </t>
        </is>
      </c>
      <c r="V2754" s="1" t="inlineStr">
        <is>
          <t>Inspection</t>
        </is>
      </c>
      <c r="W2754" s="1" t="inlineStr">
        <is>
          <t>Rejected</t>
        </is>
      </c>
      <c r="X2754" s="5">
        <f>Z2754</f>
        <v/>
      </c>
      <c r="Y2754" s="1">
        <f>X2754-A2754</f>
        <v/>
      </c>
      <c r="Z2754" s="5" t="n">
        <v>46200</v>
      </c>
      <c r="AA2754" s="3" t="n"/>
      <c r="AB2754" s="3" t="n"/>
      <c r="AE2754" s="146">
        <f>IF(AND(F2754="Closed",X2754&gt;=DATE(2026,6,1),X2754&lt;=DATE(2026,6,30)),"Closed in June","other")</f>
        <v/>
      </c>
    </row>
    <row r="2755" hidden="1">
      <c r="A2755" s="49" t="n">
        <v>46177</v>
      </c>
      <c r="B2755" s="1" t="n">
        <v>2026</v>
      </c>
      <c r="C2755" s="8" t="inlineStr">
        <is>
          <t>Ayana</t>
        </is>
      </c>
      <c r="D2755" s="11" t="inlineStr">
        <is>
          <t>Utility and C&amp;I</t>
        </is>
      </c>
      <c r="E2755" s="1" t="n"/>
      <c r="F2755" s="1" t="inlineStr">
        <is>
          <t>Closed</t>
        </is>
      </c>
      <c r="G2755" s="11" t="inlineStr">
        <is>
          <t>Vasu.N</t>
        </is>
      </c>
      <c r="H2755" s="8" t="n">
        <v>9578099893</v>
      </c>
      <c r="I2755" s="10" t="inlineStr">
        <is>
          <t>PE04062601</t>
        </is>
      </c>
      <c r="J2755" s="28" t="inlineStr">
        <is>
          <t>Module burnt</t>
        </is>
      </c>
      <c r="K2755" s="8" t="inlineStr">
        <is>
          <t>Zura</t>
        </is>
      </c>
      <c r="L2755" s="8" t="inlineStr">
        <is>
          <t>Gujarat</t>
        </is>
      </c>
      <c r="M2755" s="2" t="inlineStr">
        <is>
          <t xml:space="preserve">damage </t>
        </is>
      </c>
      <c r="N2755" s="6" t="inlineStr">
        <is>
          <t>Module Breakage</t>
        </is>
      </c>
      <c r="O2755" s="51" t="n">
        <v>590</v>
      </c>
      <c r="P2755" s="2" t="inlineStr">
        <is>
          <t>NSMI24110821155</t>
        </is>
      </c>
      <c r="Q2755" s="29">
        <f>MID(P2755,5,2)</f>
        <v/>
      </c>
      <c r="R2755" s="14">
        <f>MID(P2755,7,2)</f>
        <v/>
      </c>
      <c r="S2755" s="6" t="inlineStr">
        <is>
          <t>G2G</t>
        </is>
      </c>
      <c r="T2755" s="1" t="inlineStr">
        <is>
          <t>P4 - PEIPL</t>
        </is>
      </c>
      <c r="U2755" s="2" t="inlineStr">
        <is>
          <t xml:space="preserve">physically damaged </t>
        </is>
      </c>
      <c r="V2755" s="1" t="inlineStr">
        <is>
          <t>Inspection</t>
        </is>
      </c>
      <c r="W2755" s="1" t="inlineStr">
        <is>
          <t>Rejected</t>
        </is>
      </c>
      <c r="X2755" s="5">
        <f>Z2755</f>
        <v/>
      </c>
      <c r="Y2755" s="1">
        <f>X2755-A2755</f>
        <v/>
      </c>
      <c r="Z2755" s="5" t="n">
        <v>46200</v>
      </c>
      <c r="AA2755" s="3" t="n"/>
      <c r="AB2755" s="3" t="n"/>
      <c r="AE2755" s="146">
        <f>IF(AND(F2755="Closed",X2755&gt;=DATE(2026,6,1),X2755&lt;=DATE(2026,6,30)),"Closed in June","other")</f>
        <v/>
      </c>
    </row>
    <row r="2756" hidden="1">
      <c r="A2756" s="49" t="n">
        <v>46177</v>
      </c>
      <c r="B2756" s="1" t="n">
        <v>2026</v>
      </c>
      <c r="C2756" s="8" t="inlineStr">
        <is>
          <t>Ayana</t>
        </is>
      </c>
      <c r="D2756" s="11" t="inlineStr">
        <is>
          <t>Utility and C&amp;I</t>
        </is>
      </c>
      <c r="E2756" s="1" t="n"/>
      <c r="F2756" s="1" t="inlineStr">
        <is>
          <t>Closed</t>
        </is>
      </c>
      <c r="G2756" s="11" t="inlineStr">
        <is>
          <t>Vasu.N</t>
        </is>
      </c>
      <c r="H2756" s="8" t="n">
        <v>9578099893</v>
      </c>
      <c r="I2756" s="10" t="inlineStr">
        <is>
          <t>PE04062601</t>
        </is>
      </c>
      <c r="J2756" s="28" t="inlineStr">
        <is>
          <t>Module burnt</t>
        </is>
      </c>
      <c r="K2756" s="8" t="inlineStr">
        <is>
          <t>Zura</t>
        </is>
      </c>
      <c r="L2756" s="8" t="inlineStr">
        <is>
          <t>Gujarat</t>
        </is>
      </c>
      <c r="M2756" s="2" t="inlineStr">
        <is>
          <t xml:space="preserve">damage </t>
        </is>
      </c>
      <c r="N2756" s="6" t="inlineStr">
        <is>
          <t>Module Breakage</t>
        </is>
      </c>
      <c r="O2756" s="51" t="n">
        <v>590</v>
      </c>
      <c r="P2756" s="2" t="inlineStr">
        <is>
          <t>NSMI24110820091</t>
        </is>
      </c>
      <c r="Q2756" s="29">
        <f>MID(P2756,5,2)</f>
        <v/>
      </c>
      <c r="R2756" s="14">
        <f>MID(P2756,7,2)</f>
        <v/>
      </c>
      <c r="S2756" s="6" t="inlineStr">
        <is>
          <t>G2G</t>
        </is>
      </c>
      <c r="T2756" s="1" t="inlineStr">
        <is>
          <t>P4 - PEIPL</t>
        </is>
      </c>
      <c r="U2756" s="2" t="inlineStr">
        <is>
          <t xml:space="preserve">physically damaged </t>
        </is>
      </c>
      <c r="V2756" s="1" t="inlineStr">
        <is>
          <t>Inspection</t>
        </is>
      </c>
      <c r="W2756" s="1" t="inlineStr">
        <is>
          <t>Rejected</t>
        </is>
      </c>
      <c r="X2756" s="5">
        <f>Z2756</f>
        <v/>
      </c>
      <c r="Y2756" s="1">
        <f>X2756-A2756</f>
        <v/>
      </c>
      <c r="Z2756" s="5" t="n">
        <v>46200</v>
      </c>
      <c r="AA2756" s="3" t="n"/>
      <c r="AB2756" s="3" t="n"/>
      <c r="AE2756" s="146">
        <f>IF(AND(F2756="Closed",X2756&gt;=DATE(2026,6,1),X2756&lt;=DATE(2026,6,30)),"Closed in June","other")</f>
        <v/>
      </c>
    </row>
    <row r="2757" hidden="1">
      <c r="A2757" s="49" t="n">
        <v>46177</v>
      </c>
      <c r="B2757" s="1" t="n">
        <v>2026</v>
      </c>
      <c r="C2757" s="8" t="inlineStr">
        <is>
          <t>Ayana</t>
        </is>
      </c>
      <c r="D2757" s="11" t="inlineStr">
        <is>
          <t>Utility and C&amp;I</t>
        </is>
      </c>
      <c r="E2757" s="1" t="n"/>
      <c r="F2757" s="1" t="inlineStr">
        <is>
          <t>Closed</t>
        </is>
      </c>
      <c r="G2757" s="11" t="inlineStr">
        <is>
          <t>Vasu.N</t>
        </is>
      </c>
      <c r="H2757" s="8" t="n">
        <v>9578099893</v>
      </c>
      <c r="I2757" s="10" t="inlineStr">
        <is>
          <t>PE04062601</t>
        </is>
      </c>
      <c r="J2757" s="28" t="inlineStr">
        <is>
          <t>Module burnt</t>
        </is>
      </c>
      <c r="K2757" s="8" t="inlineStr">
        <is>
          <t>Zura</t>
        </is>
      </c>
      <c r="L2757" s="8" t="inlineStr">
        <is>
          <t>Gujarat</t>
        </is>
      </c>
      <c r="M2757" s="2" t="inlineStr">
        <is>
          <t xml:space="preserve">damage </t>
        </is>
      </c>
      <c r="N2757" s="6" t="inlineStr">
        <is>
          <t>Module Breakage</t>
        </is>
      </c>
      <c r="O2757" s="51" t="n">
        <v>590</v>
      </c>
      <c r="P2757" s="2" t="inlineStr">
        <is>
          <t>NSMI24110838468</t>
        </is>
      </c>
      <c r="Q2757" s="29">
        <f>MID(P2757,5,2)</f>
        <v/>
      </c>
      <c r="R2757" s="14">
        <f>MID(P2757,7,2)</f>
        <v/>
      </c>
      <c r="S2757" s="6" t="inlineStr">
        <is>
          <t>G2G</t>
        </is>
      </c>
      <c r="T2757" s="1" t="inlineStr">
        <is>
          <t>P4 - PEIPL</t>
        </is>
      </c>
      <c r="U2757" s="2" t="inlineStr">
        <is>
          <t xml:space="preserve">physically damaged </t>
        </is>
      </c>
      <c r="V2757" s="1" t="inlineStr">
        <is>
          <t>Inspection</t>
        </is>
      </c>
      <c r="W2757" s="1" t="inlineStr">
        <is>
          <t>Rejected</t>
        </is>
      </c>
      <c r="X2757" s="5">
        <f>Z2757</f>
        <v/>
      </c>
      <c r="Y2757" s="1">
        <f>X2757-A2757</f>
        <v/>
      </c>
      <c r="Z2757" s="5" t="n">
        <v>46200</v>
      </c>
      <c r="AA2757" s="3" t="n"/>
      <c r="AB2757" s="3" t="n"/>
      <c r="AE2757" s="146">
        <f>IF(AND(F2757="Closed",X2757&gt;=DATE(2026,6,1),X2757&lt;=DATE(2026,6,30)),"Closed in June","other")</f>
        <v/>
      </c>
    </row>
    <row r="2758" hidden="1">
      <c r="A2758" s="49" t="n">
        <v>46177</v>
      </c>
      <c r="B2758" s="1" t="n">
        <v>2026</v>
      </c>
      <c r="C2758" s="8" t="inlineStr">
        <is>
          <t>Ayana</t>
        </is>
      </c>
      <c r="D2758" s="11" t="inlineStr">
        <is>
          <t>Utility and C&amp;I</t>
        </is>
      </c>
      <c r="E2758" s="1" t="n"/>
      <c r="F2758" s="1" t="inlineStr">
        <is>
          <t>Closed</t>
        </is>
      </c>
      <c r="G2758" s="11" t="inlineStr">
        <is>
          <t>Vasu.N</t>
        </is>
      </c>
      <c r="H2758" s="8" t="n">
        <v>9578099893</v>
      </c>
      <c r="I2758" s="10" t="inlineStr">
        <is>
          <t>PE04062601</t>
        </is>
      </c>
      <c r="J2758" s="28" t="inlineStr">
        <is>
          <t>Module burnt</t>
        </is>
      </c>
      <c r="K2758" s="8" t="inlineStr">
        <is>
          <t>Zura</t>
        </is>
      </c>
      <c r="L2758" s="8" t="inlineStr">
        <is>
          <t>Gujarat</t>
        </is>
      </c>
      <c r="M2758" s="2" t="inlineStr">
        <is>
          <t xml:space="preserve">damage </t>
        </is>
      </c>
      <c r="N2758" s="6" t="inlineStr">
        <is>
          <t>Module Breakage</t>
        </is>
      </c>
      <c r="O2758" s="51" t="n">
        <v>590</v>
      </c>
      <c r="P2758" s="2" t="inlineStr">
        <is>
          <t>NSMI24100611097</t>
        </is>
      </c>
      <c r="Q2758" s="29">
        <f>MID(P2758,5,2)</f>
        <v/>
      </c>
      <c r="R2758" s="14">
        <f>MID(P2758,7,2)</f>
        <v/>
      </c>
      <c r="S2758" s="6" t="inlineStr">
        <is>
          <t>G2G</t>
        </is>
      </c>
      <c r="T2758" s="1" t="inlineStr">
        <is>
          <t>P4 - PEIPL</t>
        </is>
      </c>
      <c r="U2758" s="2" t="inlineStr">
        <is>
          <t xml:space="preserve">physically damaged </t>
        </is>
      </c>
      <c r="V2758" s="1" t="inlineStr">
        <is>
          <t>Inspection</t>
        </is>
      </c>
      <c r="W2758" s="1" t="inlineStr">
        <is>
          <t>Rejected</t>
        </is>
      </c>
      <c r="X2758" s="5">
        <f>Z2758</f>
        <v/>
      </c>
      <c r="Y2758" s="1">
        <f>X2758-A2758</f>
        <v/>
      </c>
      <c r="Z2758" s="5" t="n">
        <v>46200</v>
      </c>
      <c r="AA2758" s="3" t="n"/>
      <c r="AB2758" s="3" t="n"/>
      <c r="AE2758" s="146">
        <f>IF(AND(F2758="Closed",X2758&gt;=DATE(2026,6,1),X2758&lt;=DATE(2026,6,30)),"Closed in June","other")</f>
        <v/>
      </c>
    </row>
    <row r="2759" hidden="1">
      <c r="A2759" s="49" t="n">
        <v>46177</v>
      </c>
      <c r="B2759" s="1" t="n">
        <v>2026</v>
      </c>
      <c r="C2759" s="8" t="inlineStr">
        <is>
          <t>Ayana</t>
        </is>
      </c>
      <c r="D2759" s="11" t="inlineStr">
        <is>
          <t>Utility and C&amp;I</t>
        </is>
      </c>
      <c r="E2759" s="1" t="n"/>
      <c r="F2759" s="1" t="inlineStr">
        <is>
          <t>Closed</t>
        </is>
      </c>
      <c r="G2759" s="11" t="inlineStr">
        <is>
          <t>Vasu.N</t>
        </is>
      </c>
      <c r="H2759" s="8" t="n">
        <v>9578099893</v>
      </c>
      <c r="I2759" s="10" t="inlineStr">
        <is>
          <t>PE04062601</t>
        </is>
      </c>
      <c r="J2759" s="28" t="inlineStr">
        <is>
          <t>Module burnt</t>
        </is>
      </c>
      <c r="K2759" s="8" t="inlineStr">
        <is>
          <t>Zura</t>
        </is>
      </c>
      <c r="L2759" s="8" t="inlineStr">
        <is>
          <t>Gujarat</t>
        </is>
      </c>
      <c r="M2759" s="2" t="inlineStr">
        <is>
          <t xml:space="preserve">damage </t>
        </is>
      </c>
      <c r="N2759" s="6" t="inlineStr">
        <is>
          <t>Module Breakage</t>
        </is>
      </c>
      <c r="O2759" s="51" t="n">
        <v>590</v>
      </c>
      <c r="P2759" s="2" t="inlineStr">
        <is>
          <t>NSMI24110800818</t>
        </is>
      </c>
      <c r="Q2759" s="29">
        <f>MID(P2759,5,2)</f>
        <v/>
      </c>
      <c r="R2759" s="14">
        <f>MID(P2759,7,2)</f>
        <v/>
      </c>
      <c r="S2759" s="6" t="inlineStr">
        <is>
          <t>G2G</t>
        </is>
      </c>
      <c r="T2759" s="1" t="inlineStr">
        <is>
          <t>P4 - PEIPL</t>
        </is>
      </c>
      <c r="U2759" s="2" t="inlineStr">
        <is>
          <t xml:space="preserve">physically damaged </t>
        </is>
      </c>
      <c r="V2759" s="1" t="inlineStr">
        <is>
          <t>Inspection</t>
        </is>
      </c>
      <c r="W2759" s="1" t="inlineStr">
        <is>
          <t>Rejected</t>
        </is>
      </c>
      <c r="X2759" s="5">
        <f>Z2759</f>
        <v/>
      </c>
      <c r="Y2759" s="1">
        <f>X2759-A2759</f>
        <v/>
      </c>
      <c r="Z2759" s="5" t="n">
        <v>46200</v>
      </c>
      <c r="AA2759" s="3" t="n"/>
      <c r="AB2759" s="3" t="n"/>
      <c r="AE2759" s="146">
        <f>IF(AND(F2759="Closed",X2759&gt;=DATE(2026,6,1),X2759&lt;=DATE(2026,6,30)),"Closed in June","other")</f>
        <v/>
      </c>
    </row>
    <row r="2760" hidden="1">
      <c r="A2760" s="49" t="n">
        <v>46177</v>
      </c>
      <c r="B2760" s="1" t="n">
        <v>2026</v>
      </c>
      <c r="C2760" s="8" t="inlineStr">
        <is>
          <t>Ayana</t>
        </is>
      </c>
      <c r="D2760" s="11" t="inlineStr">
        <is>
          <t>Utility and C&amp;I</t>
        </is>
      </c>
      <c r="E2760" s="1" t="n"/>
      <c r="F2760" s="1" t="inlineStr">
        <is>
          <t>Closed</t>
        </is>
      </c>
      <c r="G2760" s="11" t="inlineStr">
        <is>
          <t>Vasu.N</t>
        </is>
      </c>
      <c r="H2760" s="8" t="n">
        <v>9578099893</v>
      </c>
      <c r="I2760" s="10" t="inlineStr">
        <is>
          <t>PE04062601</t>
        </is>
      </c>
      <c r="J2760" s="28" t="inlineStr">
        <is>
          <t>Module burnt</t>
        </is>
      </c>
      <c r="K2760" s="8" t="inlineStr">
        <is>
          <t>Zura</t>
        </is>
      </c>
      <c r="L2760" s="8" t="inlineStr">
        <is>
          <t>Gujarat</t>
        </is>
      </c>
      <c r="M2760" s="2" t="inlineStr">
        <is>
          <t xml:space="preserve">damage </t>
        </is>
      </c>
      <c r="N2760" s="6" t="inlineStr">
        <is>
          <t>Module Breakage</t>
        </is>
      </c>
      <c r="O2760" s="51" t="n">
        <v>590</v>
      </c>
      <c r="P2760" s="2" t="inlineStr">
        <is>
          <t>NSMI24110805338</t>
        </is>
      </c>
      <c r="Q2760" s="29">
        <f>MID(P2760,5,2)</f>
        <v/>
      </c>
      <c r="R2760" s="14">
        <f>MID(P2760,7,2)</f>
        <v/>
      </c>
      <c r="S2760" s="6" t="inlineStr">
        <is>
          <t>G2G</t>
        </is>
      </c>
      <c r="T2760" s="1" t="inlineStr">
        <is>
          <t>P4 - PEIPL</t>
        </is>
      </c>
      <c r="U2760" s="2" t="inlineStr">
        <is>
          <t xml:space="preserve">physically damaged </t>
        </is>
      </c>
      <c r="V2760" s="1" t="inlineStr">
        <is>
          <t>Inspection</t>
        </is>
      </c>
      <c r="W2760" s="1" t="inlineStr">
        <is>
          <t>Rejected</t>
        </is>
      </c>
      <c r="X2760" s="5">
        <f>Z2760</f>
        <v/>
      </c>
      <c r="Y2760" s="1">
        <f>X2760-A2760</f>
        <v/>
      </c>
      <c r="Z2760" s="5" t="n">
        <v>46200</v>
      </c>
      <c r="AA2760" s="3" t="n"/>
      <c r="AB2760" s="3" t="n"/>
      <c r="AE2760" s="146">
        <f>IF(AND(F2760="Closed",X2760&gt;=DATE(2026,6,1),X2760&lt;=DATE(2026,6,30)),"Closed in June","other")</f>
        <v/>
      </c>
    </row>
    <row r="2761" hidden="1">
      <c r="A2761" s="49" t="n">
        <v>46177</v>
      </c>
      <c r="B2761" s="1" t="n">
        <v>2026</v>
      </c>
      <c r="C2761" s="8" t="inlineStr">
        <is>
          <t>Ayana</t>
        </is>
      </c>
      <c r="D2761" s="11" t="inlineStr">
        <is>
          <t>Utility and C&amp;I</t>
        </is>
      </c>
      <c r="E2761" s="1" t="n"/>
      <c r="F2761" s="1" t="inlineStr">
        <is>
          <t>Closed</t>
        </is>
      </c>
      <c r="G2761" s="11" t="inlineStr">
        <is>
          <t>Vasu.N</t>
        </is>
      </c>
      <c r="H2761" s="8" t="n">
        <v>9578099893</v>
      </c>
      <c r="I2761" s="10" t="inlineStr">
        <is>
          <t>PE04062601</t>
        </is>
      </c>
      <c r="J2761" s="28" t="inlineStr">
        <is>
          <t>Module burnt</t>
        </is>
      </c>
      <c r="K2761" s="8" t="inlineStr">
        <is>
          <t>Zura</t>
        </is>
      </c>
      <c r="L2761" s="8" t="inlineStr">
        <is>
          <t>Gujarat</t>
        </is>
      </c>
      <c r="M2761" s="2" t="inlineStr">
        <is>
          <t xml:space="preserve">damage </t>
        </is>
      </c>
      <c r="N2761" s="6" t="inlineStr">
        <is>
          <t>Module Breakage</t>
        </is>
      </c>
      <c r="O2761" s="51" t="n">
        <v>590</v>
      </c>
      <c r="P2761" s="2" t="inlineStr">
        <is>
          <t>NSMI24110805405</t>
        </is>
      </c>
      <c r="Q2761" s="29">
        <f>MID(P2761,5,2)</f>
        <v/>
      </c>
      <c r="R2761" s="14">
        <f>MID(P2761,7,2)</f>
        <v/>
      </c>
      <c r="S2761" s="6" t="inlineStr">
        <is>
          <t>G2G</t>
        </is>
      </c>
      <c r="T2761" s="1" t="inlineStr">
        <is>
          <t>P4 - PEIPL</t>
        </is>
      </c>
      <c r="U2761" s="2" t="inlineStr">
        <is>
          <t xml:space="preserve">physically damaged </t>
        </is>
      </c>
      <c r="V2761" s="1" t="inlineStr">
        <is>
          <t>Inspection</t>
        </is>
      </c>
      <c r="W2761" s="1" t="inlineStr">
        <is>
          <t>Rejected</t>
        </is>
      </c>
      <c r="X2761" s="5">
        <f>Z2761</f>
        <v/>
      </c>
      <c r="Y2761" s="1">
        <f>X2761-A2761</f>
        <v/>
      </c>
      <c r="Z2761" s="5" t="n">
        <v>46200</v>
      </c>
      <c r="AA2761" s="3" t="n"/>
      <c r="AB2761" s="3" t="n"/>
      <c r="AE2761" s="146">
        <f>IF(AND(F2761="Closed",X2761&gt;=DATE(2026,6,1),X2761&lt;=DATE(2026,6,30)),"Closed in June","other")</f>
        <v/>
      </c>
    </row>
    <row r="2762" hidden="1">
      <c r="A2762" s="49" t="n">
        <v>46177</v>
      </c>
      <c r="B2762" s="1" t="n">
        <v>2026</v>
      </c>
      <c r="C2762" s="8" t="inlineStr">
        <is>
          <t>Ayana</t>
        </is>
      </c>
      <c r="D2762" s="11" t="inlineStr">
        <is>
          <t>Utility and C&amp;I</t>
        </is>
      </c>
      <c r="E2762" s="1" t="n"/>
      <c r="F2762" s="1" t="inlineStr">
        <is>
          <t>Closed</t>
        </is>
      </c>
      <c r="G2762" s="11" t="inlineStr">
        <is>
          <t>Vasu.N</t>
        </is>
      </c>
      <c r="H2762" s="8" t="n">
        <v>9578099893</v>
      </c>
      <c r="I2762" s="10" t="inlineStr">
        <is>
          <t>PE04062601</t>
        </is>
      </c>
      <c r="J2762" s="28" t="inlineStr">
        <is>
          <t>Module burnt</t>
        </is>
      </c>
      <c r="K2762" s="8" t="inlineStr">
        <is>
          <t>Zura</t>
        </is>
      </c>
      <c r="L2762" s="8" t="inlineStr">
        <is>
          <t>Gujarat</t>
        </is>
      </c>
      <c r="M2762" s="2" t="inlineStr">
        <is>
          <t xml:space="preserve">damage </t>
        </is>
      </c>
      <c r="N2762" s="6" t="inlineStr">
        <is>
          <t>Module Breakage</t>
        </is>
      </c>
      <c r="O2762" s="51" t="n">
        <v>590</v>
      </c>
      <c r="P2762" s="2" t="inlineStr">
        <is>
          <t>NSMI24110805487</t>
        </is>
      </c>
      <c r="Q2762" s="29">
        <f>MID(P2762,5,2)</f>
        <v/>
      </c>
      <c r="R2762" s="14">
        <f>MID(P2762,7,2)</f>
        <v/>
      </c>
      <c r="S2762" s="6" t="inlineStr">
        <is>
          <t>G2G</t>
        </is>
      </c>
      <c r="T2762" s="1" t="inlineStr">
        <is>
          <t>P4 - PEIPL</t>
        </is>
      </c>
      <c r="U2762" s="2" t="inlineStr">
        <is>
          <t xml:space="preserve">physically damaged </t>
        </is>
      </c>
      <c r="V2762" s="1" t="inlineStr">
        <is>
          <t>Inspection</t>
        </is>
      </c>
      <c r="W2762" s="1" t="inlineStr">
        <is>
          <t>Rejected</t>
        </is>
      </c>
      <c r="X2762" s="5">
        <f>Z2762</f>
        <v/>
      </c>
      <c r="Y2762" s="1">
        <f>X2762-A2762</f>
        <v/>
      </c>
      <c r="Z2762" s="5" t="n">
        <v>46200</v>
      </c>
      <c r="AA2762" s="3" t="n"/>
      <c r="AB2762" s="3" t="n"/>
      <c r="AE2762" s="146">
        <f>IF(AND(F2762="Closed",X2762&gt;=DATE(2026,6,1),X2762&lt;=DATE(2026,6,30)),"Closed in June","other")</f>
        <v/>
      </c>
    </row>
    <row r="2763" hidden="1">
      <c r="A2763" s="49" t="n">
        <v>46177</v>
      </c>
      <c r="B2763" s="1" t="n">
        <v>2026</v>
      </c>
      <c r="C2763" s="8" t="inlineStr">
        <is>
          <t>Ayana</t>
        </is>
      </c>
      <c r="D2763" s="11" t="inlineStr">
        <is>
          <t>Utility and C&amp;I</t>
        </is>
      </c>
      <c r="E2763" s="1" t="n"/>
      <c r="F2763" s="1" t="inlineStr">
        <is>
          <t>Closed</t>
        </is>
      </c>
      <c r="G2763" s="11" t="inlineStr">
        <is>
          <t>Vasu.N</t>
        </is>
      </c>
      <c r="H2763" s="8" t="n">
        <v>9578099893</v>
      </c>
      <c r="I2763" s="10" t="inlineStr">
        <is>
          <t>PE04062601</t>
        </is>
      </c>
      <c r="J2763" s="28" t="inlineStr">
        <is>
          <t>Module burnt</t>
        </is>
      </c>
      <c r="K2763" s="8" t="inlineStr">
        <is>
          <t>Zura</t>
        </is>
      </c>
      <c r="L2763" s="8" t="inlineStr">
        <is>
          <t>Gujarat</t>
        </is>
      </c>
      <c r="M2763" s="2" t="inlineStr">
        <is>
          <t xml:space="preserve">damage </t>
        </is>
      </c>
      <c r="N2763" s="6" t="inlineStr">
        <is>
          <t>Module Breakage</t>
        </is>
      </c>
      <c r="O2763" s="51" t="n">
        <v>590</v>
      </c>
      <c r="P2763" s="2" t="inlineStr">
        <is>
          <t>NSMI24110805420</t>
        </is>
      </c>
      <c r="Q2763" s="29">
        <f>MID(P2763,5,2)</f>
        <v/>
      </c>
      <c r="R2763" s="14">
        <f>MID(P2763,7,2)</f>
        <v/>
      </c>
      <c r="S2763" s="6" t="inlineStr">
        <is>
          <t>G2G</t>
        </is>
      </c>
      <c r="T2763" s="1" t="inlineStr">
        <is>
          <t>P4 - PEIPL</t>
        </is>
      </c>
      <c r="U2763" s="2" t="inlineStr">
        <is>
          <t xml:space="preserve">physically damaged </t>
        </is>
      </c>
      <c r="V2763" s="1" t="inlineStr">
        <is>
          <t>Inspection</t>
        </is>
      </c>
      <c r="W2763" s="1" t="inlineStr">
        <is>
          <t>Rejected</t>
        </is>
      </c>
      <c r="X2763" s="5">
        <f>Z2763</f>
        <v/>
      </c>
      <c r="Y2763" s="1">
        <f>X2763-A2763</f>
        <v/>
      </c>
      <c r="Z2763" s="5" t="n">
        <v>46200</v>
      </c>
      <c r="AA2763" s="3" t="n"/>
      <c r="AB2763" s="3" t="n"/>
      <c r="AE2763" s="146">
        <f>IF(AND(F2763="Closed",X2763&gt;=DATE(2026,6,1),X2763&lt;=DATE(2026,6,30)),"Closed in June","other")</f>
        <v/>
      </c>
    </row>
    <row r="2764" hidden="1">
      <c r="A2764" s="49" t="n">
        <v>46177</v>
      </c>
      <c r="B2764" s="1" t="n">
        <v>2026</v>
      </c>
      <c r="C2764" s="8" t="inlineStr">
        <is>
          <t>Ayana</t>
        </is>
      </c>
      <c r="D2764" s="11" t="inlineStr">
        <is>
          <t>Utility and C&amp;I</t>
        </is>
      </c>
      <c r="E2764" s="1" t="n"/>
      <c r="F2764" s="1" t="inlineStr">
        <is>
          <t>Closed</t>
        </is>
      </c>
      <c r="G2764" s="11" t="inlineStr">
        <is>
          <t>Vasu.N</t>
        </is>
      </c>
      <c r="H2764" s="8" t="n">
        <v>9578099893</v>
      </c>
      <c r="I2764" s="10" t="inlineStr">
        <is>
          <t>PE04062601</t>
        </is>
      </c>
      <c r="J2764" s="28" t="inlineStr">
        <is>
          <t>Module burnt</t>
        </is>
      </c>
      <c r="K2764" s="8" t="inlineStr">
        <is>
          <t>Zura</t>
        </is>
      </c>
      <c r="L2764" s="8" t="inlineStr">
        <is>
          <t>Gujarat</t>
        </is>
      </c>
      <c r="M2764" s="2" t="inlineStr">
        <is>
          <t xml:space="preserve">damage </t>
        </is>
      </c>
      <c r="N2764" s="6" t="inlineStr">
        <is>
          <t>Module Breakage</t>
        </is>
      </c>
      <c r="O2764" s="51" t="n">
        <v>590</v>
      </c>
      <c r="P2764" s="2" t="inlineStr">
        <is>
          <t>NSMI24110805397</t>
        </is>
      </c>
      <c r="Q2764" s="29">
        <f>MID(P2764,5,2)</f>
        <v/>
      </c>
      <c r="R2764" s="14">
        <f>MID(P2764,7,2)</f>
        <v/>
      </c>
      <c r="S2764" s="6" t="inlineStr">
        <is>
          <t>G2G</t>
        </is>
      </c>
      <c r="T2764" s="1" t="inlineStr">
        <is>
          <t>P4 - PEIPL</t>
        </is>
      </c>
      <c r="U2764" s="2" t="inlineStr">
        <is>
          <t xml:space="preserve">physically damaged </t>
        </is>
      </c>
      <c r="V2764" s="1" t="inlineStr">
        <is>
          <t>Inspection</t>
        </is>
      </c>
      <c r="W2764" s="1" t="inlineStr">
        <is>
          <t>Rejected</t>
        </is>
      </c>
      <c r="X2764" s="5">
        <f>Z2764</f>
        <v/>
      </c>
      <c r="Y2764" s="1">
        <f>X2764-A2764</f>
        <v/>
      </c>
      <c r="Z2764" s="5" t="n">
        <v>46200</v>
      </c>
      <c r="AA2764" s="3" t="n"/>
      <c r="AB2764" s="3" t="n"/>
      <c r="AE2764" s="146">
        <f>IF(AND(F2764="Closed",X2764&gt;=DATE(2026,6,1),X2764&lt;=DATE(2026,6,30)),"Closed in June","other")</f>
        <v/>
      </c>
    </row>
    <row r="2765" hidden="1">
      <c r="A2765" s="49" t="n">
        <v>46177</v>
      </c>
      <c r="B2765" s="1" t="n">
        <v>2026</v>
      </c>
      <c r="C2765" s="8" t="inlineStr">
        <is>
          <t>Ayana</t>
        </is>
      </c>
      <c r="D2765" s="11" t="inlineStr">
        <is>
          <t>Utility and C&amp;I</t>
        </is>
      </c>
      <c r="E2765" s="1" t="n"/>
      <c r="F2765" s="1" t="inlineStr">
        <is>
          <t>Closed</t>
        </is>
      </c>
      <c r="G2765" s="11" t="inlineStr">
        <is>
          <t>Vasu.N</t>
        </is>
      </c>
      <c r="H2765" s="8" t="n">
        <v>9578099893</v>
      </c>
      <c r="I2765" s="10" t="inlineStr">
        <is>
          <t>PE04062601</t>
        </is>
      </c>
      <c r="J2765" s="28" t="inlineStr">
        <is>
          <t>Module burnt</t>
        </is>
      </c>
      <c r="K2765" s="8" t="inlineStr">
        <is>
          <t>Zura</t>
        </is>
      </c>
      <c r="L2765" s="8" t="inlineStr">
        <is>
          <t>Gujarat</t>
        </is>
      </c>
      <c r="M2765" s="2" t="inlineStr">
        <is>
          <t xml:space="preserve">damage </t>
        </is>
      </c>
      <c r="N2765" s="6" t="inlineStr">
        <is>
          <t>Module Breakage</t>
        </is>
      </c>
      <c r="O2765" s="51" t="n">
        <v>590</v>
      </c>
      <c r="P2765" s="2" t="inlineStr">
        <is>
          <t>NSMI24100627233</t>
        </is>
      </c>
      <c r="Q2765" s="29">
        <f>MID(P2765,5,2)</f>
        <v/>
      </c>
      <c r="R2765" s="14">
        <f>MID(P2765,7,2)</f>
        <v/>
      </c>
      <c r="S2765" s="6" t="inlineStr">
        <is>
          <t>G2G</t>
        </is>
      </c>
      <c r="T2765" s="1" t="inlineStr">
        <is>
          <t>P4 - PEIPL</t>
        </is>
      </c>
      <c r="U2765" s="2" t="inlineStr">
        <is>
          <t xml:space="preserve">physically damaged </t>
        </is>
      </c>
      <c r="V2765" s="1" t="inlineStr">
        <is>
          <t>Inspection</t>
        </is>
      </c>
      <c r="W2765" s="1" t="inlineStr">
        <is>
          <t>Rejected</t>
        </is>
      </c>
      <c r="X2765" s="5">
        <f>Z2765</f>
        <v/>
      </c>
      <c r="Y2765" s="1">
        <f>X2765-A2765</f>
        <v/>
      </c>
      <c r="Z2765" s="5" t="n">
        <v>46200</v>
      </c>
      <c r="AA2765" s="3" t="n"/>
      <c r="AB2765" s="3" t="n"/>
      <c r="AE2765" s="146">
        <f>IF(AND(F2765="Closed",X2765&gt;=DATE(2026,6,1),X2765&lt;=DATE(2026,6,30)),"Closed in June","other")</f>
        <v/>
      </c>
    </row>
    <row r="2766" hidden="1">
      <c r="A2766" s="49" t="n">
        <v>46177</v>
      </c>
      <c r="B2766" s="1" t="n">
        <v>2026</v>
      </c>
      <c r="C2766" s="8" t="inlineStr">
        <is>
          <t>Ayana</t>
        </is>
      </c>
      <c r="D2766" s="11" t="inlineStr">
        <is>
          <t>Utility and C&amp;I</t>
        </is>
      </c>
      <c r="E2766" s="1" t="n"/>
      <c r="F2766" s="1" t="inlineStr">
        <is>
          <t>WIP</t>
        </is>
      </c>
      <c r="G2766" s="11" t="inlineStr">
        <is>
          <t>Vasu.N</t>
        </is>
      </c>
      <c r="H2766" s="8" t="n">
        <v>9578099893</v>
      </c>
      <c r="I2766" s="10" t="inlineStr">
        <is>
          <t>PE04062601</t>
        </is>
      </c>
      <c r="J2766" s="28" t="inlineStr">
        <is>
          <t>Module burnt</t>
        </is>
      </c>
      <c r="K2766" s="8" t="inlineStr">
        <is>
          <t>Zura</t>
        </is>
      </c>
      <c r="L2766" s="8" t="inlineStr">
        <is>
          <t>Gujarat</t>
        </is>
      </c>
      <c r="M2766" s="2" t="inlineStr">
        <is>
          <t xml:space="preserve">damage </t>
        </is>
      </c>
      <c r="N2766" s="6" t="inlineStr">
        <is>
          <t>Module Breakage</t>
        </is>
      </c>
      <c r="O2766" s="51" t="n">
        <v>590</v>
      </c>
      <c r="P2766" s="2" t="inlineStr">
        <is>
          <t>NSMI24100612138</t>
        </is>
      </c>
      <c r="Q2766" s="29">
        <f>MID(P2766,5,2)</f>
        <v/>
      </c>
      <c r="R2766" s="14">
        <f>MID(P2766,7,2)</f>
        <v/>
      </c>
      <c r="S2766" s="6" t="inlineStr">
        <is>
          <t>G2G</t>
        </is>
      </c>
      <c r="T2766" s="1" t="inlineStr">
        <is>
          <t>P4 - PEIPL</t>
        </is>
      </c>
      <c r="U2766" s="2" t="inlineStr">
        <is>
          <t>Frame Damaged</t>
        </is>
      </c>
      <c r="V2766" s="47" t="inlineStr">
        <is>
          <t>WIP</t>
        </is>
      </c>
      <c r="W2766" s="1" t="inlineStr">
        <is>
          <t>WIP</t>
        </is>
      </c>
      <c r="X2766" s="5" t="n"/>
      <c r="Y2766" s="1">
        <f>IF(X2766="","",X2766-A2766)</f>
        <v/>
      </c>
      <c r="Z2766" s="5" t="n">
        <v>46200</v>
      </c>
      <c r="AA2766" s="3" t="n"/>
      <c r="AB2766" s="3" t="n"/>
      <c r="AE2766" s="146">
        <f>IF(AND(F2766="Closed",X2766&gt;=DATE(2026,6,1),X2766&lt;=DATE(2026,6,30)),"Closed in June","other")</f>
        <v/>
      </c>
    </row>
    <row r="2767" hidden="1">
      <c r="A2767" s="49" t="n">
        <v>46177</v>
      </c>
      <c r="B2767" s="1" t="n">
        <v>2026</v>
      </c>
      <c r="C2767" s="8" t="inlineStr">
        <is>
          <t>Ayana</t>
        </is>
      </c>
      <c r="D2767" s="11" t="inlineStr">
        <is>
          <t>Utility and C&amp;I</t>
        </is>
      </c>
      <c r="E2767" s="1" t="n"/>
      <c r="F2767" s="1" t="inlineStr">
        <is>
          <t>Closed</t>
        </is>
      </c>
      <c r="G2767" s="11" t="inlineStr">
        <is>
          <t>Vasu.N</t>
        </is>
      </c>
      <c r="H2767" s="8" t="n">
        <v>9578099893</v>
      </c>
      <c r="I2767" s="10" t="inlineStr">
        <is>
          <t>PE04062601</t>
        </is>
      </c>
      <c r="J2767" s="28" t="inlineStr">
        <is>
          <t>Module burnt</t>
        </is>
      </c>
      <c r="K2767" s="8" t="inlineStr">
        <is>
          <t>Zura</t>
        </is>
      </c>
      <c r="L2767" s="8" t="inlineStr">
        <is>
          <t>Gujarat</t>
        </is>
      </c>
      <c r="M2767" s="2" t="inlineStr">
        <is>
          <t xml:space="preserve">damage </t>
        </is>
      </c>
      <c r="N2767" s="6" t="inlineStr">
        <is>
          <t>Module Breakage</t>
        </is>
      </c>
      <c r="O2767" s="51" t="n">
        <v>590</v>
      </c>
      <c r="P2767" s="2" t="inlineStr">
        <is>
          <t>NSMI24110820056</t>
        </is>
      </c>
      <c r="Q2767" s="29">
        <f>MID(P2767,5,2)</f>
        <v/>
      </c>
      <c r="R2767" s="14">
        <f>MID(P2767,7,2)</f>
        <v/>
      </c>
      <c r="S2767" s="6" t="inlineStr">
        <is>
          <t>G2G</t>
        </is>
      </c>
      <c r="T2767" s="1" t="inlineStr">
        <is>
          <t>P4 - PEIPL</t>
        </is>
      </c>
      <c r="U2767" s="2" t="inlineStr">
        <is>
          <t xml:space="preserve">physically damaged </t>
        </is>
      </c>
      <c r="V2767" s="1" t="inlineStr">
        <is>
          <t>Inspection</t>
        </is>
      </c>
      <c r="W2767" s="1" t="inlineStr">
        <is>
          <t>Rejected</t>
        </is>
      </c>
      <c r="X2767" s="5">
        <f>Z2767</f>
        <v/>
      </c>
      <c r="Y2767" s="1">
        <f>X2767-A2767</f>
        <v/>
      </c>
      <c r="Z2767" s="5" t="n">
        <v>46200</v>
      </c>
      <c r="AA2767" s="3" t="n"/>
      <c r="AB2767" s="3" t="n"/>
      <c r="AE2767" s="146">
        <f>IF(AND(F2767="Closed",X2767&gt;=DATE(2026,6,1),X2767&lt;=DATE(2026,6,30)),"Closed in June","other")</f>
        <v/>
      </c>
    </row>
    <row r="2768" hidden="1">
      <c r="A2768" s="49" t="n">
        <v>46177</v>
      </c>
      <c r="B2768" s="1" t="n">
        <v>2026</v>
      </c>
      <c r="C2768" s="8" t="inlineStr">
        <is>
          <t>Ayana</t>
        </is>
      </c>
      <c r="D2768" s="11" t="inlineStr">
        <is>
          <t>Utility and C&amp;I</t>
        </is>
      </c>
      <c r="E2768" s="1" t="n"/>
      <c r="F2768" s="1" t="inlineStr">
        <is>
          <t>Closed</t>
        </is>
      </c>
      <c r="G2768" s="11" t="inlineStr">
        <is>
          <t>Vasu.N</t>
        </is>
      </c>
      <c r="H2768" s="8" t="n">
        <v>9578099893</v>
      </c>
      <c r="I2768" s="10" t="inlineStr">
        <is>
          <t>PE04062601</t>
        </is>
      </c>
      <c r="J2768" s="28" t="inlineStr">
        <is>
          <t>Module burnt</t>
        </is>
      </c>
      <c r="K2768" s="8" t="inlineStr">
        <is>
          <t>Zura</t>
        </is>
      </c>
      <c r="L2768" s="8" t="inlineStr">
        <is>
          <t>Gujarat</t>
        </is>
      </c>
      <c r="M2768" s="2" t="inlineStr">
        <is>
          <t xml:space="preserve">damage </t>
        </is>
      </c>
      <c r="N2768" s="6" t="inlineStr">
        <is>
          <t>Module Breakage</t>
        </is>
      </c>
      <c r="O2768" s="51" t="n">
        <v>590</v>
      </c>
      <c r="P2768" s="2" t="inlineStr">
        <is>
          <t>NSMI24110820062</t>
        </is>
      </c>
      <c r="Q2768" s="29">
        <f>MID(P2768,5,2)</f>
        <v/>
      </c>
      <c r="R2768" s="14">
        <f>MID(P2768,7,2)</f>
        <v/>
      </c>
      <c r="S2768" s="6" t="inlineStr">
        <is>
          <t>G2G</t>
        </is>
      </c>
      <c r="T2768" s="1" t="inlineStr">
        <is>
          <t>P4 - PEIPL</t>
        </is>
      </c>
      <c r="U2768" s="2" t="inlineStr">
        <is>
          <t xml:space="preserve">physically damaged </t>
        </is>
      </c>
      <c r="V2768" s="1" t="inlineStr">
        <is>
          <t>Inspection</t>
        </is>
      </c>
      <c r="W2768" s="1" t="inlineStr">
        <is>
          <t>Rejected</t>
        </is>
      </c>
      <c r="X2768" s="5">
        <f>Z2768</f>
        <v/>
      </c>
      <c r="Y2768" s="1">
        <f>X2768-A2768</f>
        <v/>
      </c>
      <c r="Z2768" s="5" t="n">
        <v>46200</v>
      </c>
      <c r="AA2768" s="3" t="n"/>
      <c r="AB2768" s="3" t="n"/>
      <c r="AE2768" s="146">
        <f>IF(AND(F2768="Closed",X2768&gt;=DATE(2026,6,1),X2768&lt;=DATE(2026,6,30)),"Closed in June","other")</f>
        <v/>
      </c>
    </row>
    <row r="2769" hidden="1">
      <c r="A2769" s="49" t="n">
        <v>46177</v>
      </c>
      <c r="B2769" s="1" t="n">
        <v>2026</v>
      </c>
      <c r="C2769" s="8" t="inlineStr">
        <is>
          <t>Ayana</t>
        </is>
      </c>
      <c r="D2769" s="11" t="inlineStr">
        <is>
          <t>Utility and C&amp;I</t>
        </is>
      </c>
      <c r="E2769" s="1" t="n"/>
      <c r="F2769" s="1" t="inlineStr">
        <is>
          <t>Closed</t>
        </is>
      </c>
      <c r="G2769" s="11" t="inlineStr">
        <is>
          <t>Vasu.N</t>
        </is>
      </c>
      <c r="H2769" s="8" t="n">
        <v>9578099893</v>
      </c>
      <c r="I2769" s="10" t="inlineStr">
        <is>
          <t>PE04062601</t>
        </is>
      </c>
      <c r="J2769" s="28" t="inlineStr">
        <is>
          <t>Module burnt</t>
        </is>
      </c>
      <c r="K2769" s="8" t="inlineStr">
        <is>
          <t>Zura</t>
        </is>
      </c>
      <c r="L2769" s="8" t="inlineStr">
        <is>
          <t>Gujarat</t>
        </is>
      </c>
      <c r="M2769" s="2" t="inlineStr">
        <is>
          <t xml:space="preserve">damage </t>
        </is>
      </c>
      <c r="N2769" s="6" t="inlineStr">
        <is>
          <t>Module Breakage</t>
        </is>
      </c>
      <c r="O2769" s="51" t="n">
        <v>590</v>
      </c>
      <c r="P2769" s="2" t="inlineStr">
        <is>
          <t>NSMI24110804764</t>
        </is>
      </c>
      <c r="Q2769" s="29">
        <f>MID(P2769,5,2)</f>
        <v/>
      </c>
      <c r="R2769" s="14">
        <f>MID(P2769,7,2)</f>
        <v/>
      </c>
      <c r="S2769" s="6" t="inlineStr">
        <is>
          <t>G2G</t>
        </is>
      </c>
      <c r="T2769" s="1" t="inlineStr">
        <is>
          <t>P4 - PEIPL</t>
        </is>
      </c>
      <c r="U2769" s="2" t="inlineStr">
        <is>
          <t xml:space="preserve">physically damaged </t>
        </is>
      </c>
      <c r="V2769" s="1" t="inlineStr">
        <is>
          <t>Inspection</t>
        </is>
      </c>
      <c r="W2769" s="1" t="inlineStr">
        <is>
          <t>Rejected</t>
        </is>
      </c>
      <c r="X2769" s="5">
        <f>Z2769</f>
        <v/>
      </c>
      <c r="Y2769" s="1">
        <f>X2769-A2769</f>
        <v/>
      </c>
      <c r="Z2769" s="5" t="n">
        <v>46200</v>
      </c>
      <c r="AA2769" s="3" t="n"/>
      <c r="AB2769" s="3" t="n"/>
      <c r="AE2769" s="146">
        <f>IF(AND(F2769="Closed",X2769&gt;=DATE(2026,6,1),X2769&lt;=DATE(2026,6,30)),"Closed in June","other")</f>
        <v/>
      </c>
    </row>
    <row r="2770" hidden="1">
      <c r="A2770" s="49" t="n">
        <v>46177</v>
      </c>
      <c r="B2770" s="1" t="n">
        <v>2026</v>
      </c>
      <c r="C2770" s="8" t="inlineStr">
        <is>
          <t>Ayana</t>
        </is>
      </c>
      <c r="D2770" s="11" t="inlineStr">
        <is>
          <t>Utility and C&amp;I</t>
        </is>
      </c>
      <c r="E2770" s="1" t="n"/>
      <c r="F2770" s="1" t="inlineStr">
        <is>
          <t>Closed</t>
        </is>
      </c>
      <c r="G2770" s="11" t="inlineStr">
        <is>
          <t>Vasu.N</t>
        </is>
      </c>
      <c r="H2770" s="8" t="n">
        <v>9578099893</v>
      </c>
      <c r="I2770" s="10" t="inlineStr">
        <is>
          <t>PE04062601</t>
        </is>
      </c>
      <c r="J2770" s="28" t="inlineStr">
        <is>
          <t>Module burnt</t>
        </is>
      </c>
      <c r="K2770" s="8" t="inlineStr">
        <is>
          <t>Zura</t>
        </is>
      </c>
      <c r="L2770" s="8" t="inlineStr">
        <is>
          <t>Gujarat</t>
        </is>
      </c>
      <c r="M2770" s="2" t="inlineStr">
        <is>
          <t xml:space="preserve">damage </t>
        </is>
      </c>
      <c r="N2770" s="6" t="inlineStr">
        <is>
          <t>Module Breakage</t>
        </is>
      </c>
      <c r="O2770" s="51" t="n">
        <v>590</v>
      </c>
      <c r="P2770" s="2" t="inlineStr">
        <is>
          <t>NSMI24110826194</t>
        </is>
      </c>
      <c r="Q2770" s="29">
        <f>MID(P2770,5,2)</f>
        <v/>
      </c>
      <c r="R2770" s="14">
        <f>MID(P2770,7,2)</f>
        <v/>
      </c>
      <c r="S2770" s="6" t="inlineStr">
        <is>
          <t>G2G</t>
        </is>
      </c>
      <c r="T2770" s="1" t="inlineStr">
        <is>
          <t>P4 - PEIPL</t>
        </is>
      </c>
      <c r="U2770" s="2" t="inlineStr">
        <is>
          <t xml:space="preserve">physically damaged </t>
        </is>
      </c>
      <c r="V2770" s="1" t="inlineStr">
        <is>
          <t>Inspection</t>
        </is>
      </c>
      <c r="W2770" s="1" t="inlineStr">
        <is>
          <t>Rejected</t>
        </is>
      </c>
      <c r="X2770" s="5">
        <f>Z2770</f>
        <v/>
      </c>
      <c r="Y2770" s="1">
        <f>X2770-A2770</f>
        <v/>
      </c>
      <c r="Z2770" s="5" t="n">
        <v>46200</v>
      </c>
      <c r="AA2770" s="3" t="n"/>
      <c r="AB2770" s="3" t="n"/>
      <c r="AE2770" s="146">
        <f>IF(AND(F2770="Closed",X2770&gt;=DATE(2026,6,1),X2770&lt;=DATE(2026,6,30)),"Closed in June","other")</f>
        <v/>
      </c>
    </row>
    <row r="2771" hidden="1">
      <c r="A2771" s="49" t="n">
        <v>46177</v>
      </c>
      <c r="B2771" s="1" t="n">
        <v>2026</v>
      </c>
      <c r="C2771" s="8" t="inlineStr">
        <is>
          <t>Ayana</t>
        </is>
      </c>
      <c r="D2771" s="11" t="inlineStr">
        <is>
          <t>Utility and C&amp;I</t>
        </is>
      </c>
      <c r="E2771" s="1" t="n"/>
      <c r="F2771" s="1" t="inlineStr">
        <is>
          <t>Closed</t>
        </is>
      </c>
      <c r="G2771" s="11" t="inlineStr">
        <is>
          <t>Vasu.N</t>
        </is>
      </c>
      <c r="H2771" s="8" t="n">
        <v>9578099893</v>
      </c>
      <c r="I2771" s="10" t="inlineStr">
        <is>
          <t>PE04062601</t>
        </is>
      </c>
      <c r="J2771" s="28" t="inlineStr">
        <is>
          <t>Module burnt</t>
        </is>
      </c>
      <c r="K2771" s="8" t="inlineStr">
        <is>
          <t>Zura</t>
        </is>
      </c>
      <c r="L2771" s="8" t="inlineStr">
        <is>
          <t>Gujarat</t>
        </is>
      </c>
      <c r="M2771" s="2" t="inlineStr">
        <is>
          <t xml:space="preserve">damage </t>
        </is>
      </c>
      <c r="N2771" s="6" t="inlineStr">
        <is>
          <t>Module Breakage</t>
        </is>
      </c>
      <c r="O2771" s="51" t="n">
        <v>590</v>
      </c>
      <c r="P2771" s="2" t="inlineStr">
        <is>
          <t>NSMI24110809202</t>
        </is>
      </c>
      <c r="Q2771" s="29">
        <f>MID(P2771,5,2)</f>
        <v/>
      </c>
      <c r="R2771" s="14">
        <f>MID(P2771,7,2)</f>
        <v/>
      </c>
      <c r="S2771" s="6" t="inlineStr">
        <is>
          <t>G2G</t>
        </is>
      </c>
      <c r="T2771" s="1" t="inlineStr">
        <is>
          <t>P4 - PEIPL</t>
        </is>
      </c>
      <c r="U2771" s="2" t="inlineStr">
        <is>
          <t xml:space="preserve">physically damaged </t>
        </is>
      </c>
      <c r="V2771" s="1" t="inlineStr">
        <is>
          <t>Inspection</t>
        </is>
      </c>
      <c r="W2771" s="1" t="inlineStr">
        <is>
          <t>Rejected</t>
        </is>
      </c>
      <c r="X2771" s="5">
        <f>Z2771</f>
        <v/>
      </c>
      <c r="Y2771" s="1">
        <f>X2771-A2771</f>
        <v/>
      </c>
      <c r="Z2771" s="5" t="n">
        <v>46200</v>
      </c>
      <c r="AA2771" s="3" t="n"/>
      <c r="AB2771" s="3" t="n"/>
      <c r="AE2771" s="146">
        <f>IF(AND(F2771="Closed",X2771&gt;=DATE(2026,6,1),X2771&lt;=DATE(2026,6,30)),"Closed in June","other")</f>
        <v/>
      </c>
    </row>
    <row r="2772" hidden="1">
      <c r="A2772" s="49" t="n">
        <v>46177</v>
      </c>
      <c r="B2772" s="1" t="n">
        <v>2026</v>
      </c>
      <c r="C2772" s="8" t="inlineStr">
        <is>
          <t>Ayana</t>
        </is>
      </c>
      <c r="D2772" s="11" t="inlineStr">
        <is>
          <t>Utility and C&amp;I</t>
        </is>
      </c>
      <c r="E2772" s="1" t="n"/>
      <c r="F2772" s="1" t="inlineStr">
        <is>
          <t>Closed</t>
        </is>
      </c>
      <c r="G2772" s="11" t="inlineStr">
        <is>
          <t>Vasu.N</t>
        </is>
      </c>
      <c r="H2772" s="8" t="n">
        <v>9578099893</v>
      </c>
      <c r="I2772" s="10" t="inlineStr">
        <is>
          <t>PE04062601</t>
        </is>
      </c>
      <c r="J2772" s="28" t="inlineStr">
        <is>
          <t>Module burnt</t>
        </is>
      </c>
      <c r="K2772" s="8" t="inlineStr">
        <is>
          <t>Zura</t>
        </is>
      </c>
      <c r="L2772" s="8" t="inlineStr">
        <is>
          <t>Gujarat</t>
        </is>
      </c>
      <c r="M2772" s="2" t="inlineStr">
        <is>
          <t xml:space="preserve">damage </t>
        </is>
      </c>
      <c r="N2772" s="6" t="inlineStr">
        <is>
          <t>Module Breakage</t>
        </is>
      </c>
      <c r="O2772" s="51" t="n">
        <v>590</v>
      </c>
      <c r="P2772" s="2" t="inlineStr">
        <is>
          <t>NSMI24090499955</t>
        </is>
      </c>
      <c r="Q2772" s="29">
        <f>MID(P2772,5,2)</f>
        <v/>
      </c>
      <c r="R2772" s="14">
        <f>MID(P2772,7,2)</f>
        <v/>
      </c>
      <c r="S2772" s="6" t="inlineStr">
        <is>
          <t>G2G</t>
        </is>
      </c>
      <c r="T2772" s="1" t="inlineStr">
        <is>
          <t>P4 - PEIPL</t>
        </is>
      </c>
      <c r="U2772" s="2" t="inlineStr">
        <is>
          <t xml:space="preserve">physically damaged </t>
        </is>
      </c>
      <c r="V2772" s="1" t="inlineStr">
        <is>
          <t>Inspection</t>
        </is>
      </c>
      <c r="W2772" s="1" t="inlineStr">
        <is>
          <t>Rejected</t>
        </is>
      </c>
      <c r="X2772" s="5">
        <f>Z2772</f>
        <v/>
      </c>
      <c r="Y2772" s="1">
        <f>X2772-A2772</f>
        <v/>
      </c>
      <c r="Z2772" s="5" t="n">
        <v>46200</v>
      </c>
      <c r="AA2772" s="3" t="n"/>
      <c r="AB2772" s="3" t="n"/>
      <c r="AE2772" s="146">
        <f>IF(AND(F2772="Closed",X2772&gt;=DATE(2026,6,1),X2772&lt;=DATE(2026,6,30)),"Closed in June","other")</f>
        <v/>
      </c>
    </row>
    <row r="2773" hidden="1">
      <c r="A2773" s="49" t="n">
        <v>46177</v>
      </c>
      <c r="B2773" s="1" t="n">
        <v>2026</v>
      </c>
      <c r="C2773" s="8" t="inlineStr">
        <is>
          <t>Ayana</t>
        </is>
      </c>
      <c r="D2773" s="11" t="inlineStr">
        <is>
          <t>Utility and C&amp;I</t>
        </is>
      </c>
      <c r="E2773" s="1" t="n"/>
      <c r="F2773" s="1" t="inlineStr">
        <is>
          <t>Closed</t>
        </is>
      </c>
      <c r="G2773" s="11" t="inlineStr">
        <is>
          <t>Vasu.N</t>
        </is>
      </c>
      <c r="H2773" s="8" t="n">
        <v>9578099893</v>
      </c>
      <c r="I2773" s="10" t="inlineStr">
        <is>
          <t>PE04062601</t>
        </is>
      </c>
      <c r="J2773" s="28" t="inlineStr">
        <is>
          <t>Module burnt</t>
        </is>
      </c>
      <c r="K2773" s="8" t="inlineStr">
        <is>
          <t>Zura</t>
        </is>
      </c>
      <c r="L2773" s="8" t="inlineStr">
        <is>
          <t>Gujarat</t>
        </is>
      </c>
      <c r="M2773" s="2" t="inlineStr">
        <is>
          <t xml:space="preserve">damage </t>
        </is>
      </c>
      <c r="N2773" s="6" t="inlineStr">
        <is>
          <t>Module Breakage</t>
        </is>
      </c>
      <c r="O2773" s="51" t="n">
        <v>590</v>
      </c>
      <c r="P2773" s="2" t="inlineStr">
        <is>
          <t>NSMI24090499945</t>
        </is>
      </c>
      <c r="Q2773" s="29">
        <f>MID(P2773,5,2)</f>
        <v/>
      </c>
      <c r="R2773" s="14">
        <f>MID(P2773,7,2)</f>
        <v/>
      </c>
      <c r="S2773" s="6" t="inlineStr">
        <is>
          <t>G2G</t>
        </is>
      </c>
      <c r="T2773" s="1" t="inlineStr">
        <is>
          <t>P4 - PEIPL</t>
        </is>
      </c>
      <c r="U2773" s="2" t="inlineStr">
        <is>
          <t xml:space="preserve">physically damaged </t>
        </is>
      </c>
      <c r="V2773" s="1" t="inlineStr">
        <is>
          <t>Inspection</t>
        </is>
      </c>
      <c r="W2773" s="1" t="inlineStr">
        <is>
          <t>Rejected</t>
        </is>
      </c>
      <c r="X2773" s="5">
        <f>Z2773</f>
        <v/>
      </c>
      <c r="Y2773" s="1">
        <f>X2773-A2773</f>
        <v/>
      </c>
      <c r="Z2773" s="5" t="n">
        <v>46200</v>
      </c>
      <c r="AA2773" s="3" t="n"/>
      <c r="AB2773" s="3" t="n"/>
      <c r="AE2773" s="146">
        <f>IF(AND(F2773="Closed",X2773&gt;=DATE(2026,6,1),X2773&lt;=DATE(2026,6,30)),"Closed in June","other")</f>
        <v/>
      </c>
    </row>
    <row r="2774" hidden="1">
      <c r="A2774" s="49" t="n">
        <v>46177</v>
      </c>
      <c r="B2774" s="1" t="n">
        <v>2026</v>
      </c>
      <c r="C2774" s="8" t="inlineStr">
        <is>
          <t>Ayana</t>
        </is>
      </c>
      <c r="D2774" s="11" t="inlineStr">
        <is>
          <t>Utility and C&amp;I</t>
        </is>
      </c>
      <c r="E2774" s="1" t="n"/>
      <c r="F2774" s="1" t="inlineStr">
        <is>
          <t>Closed</t>
        </is>
      </c>
      <c r="G2774" s="11" t="inlineStr">
        <is>
          <t>Vasu.N</t>
        </is>
      </c>
      <c r="H2774" s="8" t="n">
        <v>9578099893</v>
      </c>
      <c r="I2774" s="10" t="inlineStr">
        <is>
          <t>PE04062601</t>
        </is>
      </c>
      <c r="J2774" s="28" t="inlineStr">
        <is>
          <t>Module burnt</t>
        </is>
      </c>
      <c r="K2774" s="8" t="inlineStr">
        <is>
          <t>Zura</t>
        </is>
      </c>
      <c r="L2774" s="8" t="inlineStr">
        <is>
          <t>Gujarat</t>
        </is>
      </c>
      <c r="M2774" s="2" t="inlineStr">
        <is>
          <t xml:space="preserve">damage </t>
        </is>
      </c>
      <c r="N2774" s="6" t="inlineStr">
        <is>
          <t>Module Breakage</t>
        </is>
      </c>
      <c r="O2774" s="51" t="n">
        <v>590</v>
      </c>
      <c r="P2774" s="28" t="inlineStr">
        <is>
          <t>NSMI24109554622</t>
        </is>
      </c>
      <c r="Q2774" s="29">
        <f>MID(P2774,5,2)</f>
        <v/>
      </c>
      <c r="R2774" s="14">
        <f>MID(P2774,7,2)</f>
        <v/>
      </c>
      <c r="S2774" s="6" t="inlineStr">
        <is>
          <t>G2G</t>
        </is>
      </c>
      <c r="T2774" s="1" t="inlineStr">
        <is>
          <t>P4 - PEIPL</t>
        </is>
      </c>
      <c r="U2774" s="2" t="inlineStr">
        <is>
          <t xml:space="preserve">physically damaged </t>
        </is>
      </c>
      <c r="V2774" s="1" t="inlineStr">
        <is>
          <t>Inspection</t>
        </is>
      </c>
      <c r="W2774" s="1" t="inlineStr">
        <is>
          <t>Rejected</t>
        </is>
      </c>
      <c r="X2774" s="5">
        <f>Z2774</f>
        <v/>
      </c>
      <c r="Y2774" s="1">
        <f>X2774-A2774</f>
        <v/>
      </c>
      <c r="Z2774" s="5" t="n">
        <v>46200</v>
      </c>
      <c r="AA2774" s="3" t="n"/>
      <c r="AB2774" s="3" t="n"/>
      <c r="AE2774" s="146">
        <f>IF(AND(F2774="Closed",X2774&gt;=DATE(2026,6,1),X2774&lt;=DATE(2026,6,30)),"Closed in June","other")</f>
        <v/>
      </c>
    </row>
    <row r="2775" hidden="1">
      <c r="A2775" s="49" t="n">
        <v>46177</v>
      </c>
      <c r="B2775" s="1" t="n">
        <v>2026</v>
      </c>
      <c r="C2775" s="8" t="inlineStr">
        <is>
          <t>Ayana</t>
        </is>
      </c>
      <c r="D2775" s="11" t="inlineStr">
        <is>
          <t>Utility and C&amp;I</t>
        </is>
      </c>
      <c r="E2775" s="1" t="n"/>
      <c r="F2775" s="1" t="inlineStr">
        <is>
          <t>Closed</t>
        </is>
      </c>
      <c r="G2775" s="11" t="inlineStr">
        <is>
          <t>Vasu.N</t>
        </is>
      </c>
      <c r="H2775" s="8" t="n">
        <v>9578099893</v>
      </c>
      <c r="I2775" s="10" t="inlineStr">
        <is>
          <t>PE04062601</t>
        </is>
      </c>
      <c r="J2775" s="28" t="inlineStr">
        <is>
          <t>Module burnt</t>
        </is>
      </c>
      <c r="K2775" s="8" t="inlineStr">
        <is>
          <t>Zura</t>
        </is>
      </c>
      <c r="L2775" s="8" t="inlineStr">
        <is>
          <t>Gujarat</t>
        </is>
      </c>
      <c r="M2775" s="2" t="inlineStr">
        <is>
          <t xml:space="preserve">damage </t>
        </is>
      </c>
      <c r="N2775" s="6" t="inlineStr">
        <is>
          <t>Module Breakage</t>
        </is>
      </c>
      <c r="O2775" s="51" t="n">
        <v>590</v>
      </c>
      <c r="P2775" s="2" t="inlineStr">
        <is>
          <t>NSMI24100554441</t>
        </is>
      </c>
      <c r="Q2775" s="29">
        <f>MID(P2775,5,2)</f>
        <v/>
      </c>
      <c r="R2775" s="14">
        <f>MID(P2775,7,2)</f>
        <v/>
      </c>
      <c r="S2775" s="6" t="inlineStr">
        <is>
          <t>G2G</t>
        </is>
      </c>
      <c r="T2775" s="1" t="inlineStr">
        <is>
          <t>P4 - PEIPL</t>
        </is>
      </c>
      <c r="U2775" s="2" t="inlineStr">
        <is>
          <t xml:space="preserve">physically damaged </t>
        </is>
      </c>
      <c r="V2775" s="1" t="inlineStr">
        <is>
          <t>Inspection</t>
        </is>
      </c>
      <c r="W2775" s="1" t="inlineStr">
        <is>
          <t>Rejected</t>
        </is>
      </c>
      <c r="X2775" s="5">
        <f>Z2775</f>
        <v/>
      </c>
      <c r="Y2775" s="1">
        <f>X2775-A2775</f>
        <v/>
      </c>
      <c r="Z2775" s="5" t="n">
        <v>46200</v>
      </c>
      <c r="AA2775" s="3" t="n"/>
      <c r="AB2775" s="3" t="n"/>
      <c r="AE2775" s="146">
        <f>IF(AND(F2775="Closed",X2775&gt;=DATE(2026,6,1),X2775&lt;=DATE(2026,6,30)),"Closed in June","other")</f>
        <v/>
      </c>
    </row>
    <row r="2776" hidden="1">
      <c r="A2776" s="49" t="n">
        <v>46177</v>
      </c>
      <c r="B2776" s="1" t="n">
        <v>2026</v>
      </c>
      <c r="C2776" s="8" t="inlineStr">
        <is>
          <t>Ayana</t>
        </is>
      </c>
      <c r="D2776" s="11" t="inlineStr">
        <is>
          <t>Utility and C&amp;I</t>
        </is>
      </c>
      <c r="E2776" s="1" t="n"/>
      <c r="F2776" s="1" t="inlineStr">
        <is>
          <t>Closed</t>
        </is>
      </c>
      <c r="G2776" s="11" t="inlineStr">
        <is>
          <t>Vasu.N</t>
        </is>
      </c>
      <c r="H2776" s="8" t="n">
        <v>9578099893</v>
      </c>
      <c r="I2776" s="10" t="inlineStr">
        <is>
          <t>PE04062601</t>
        </is>
      </c>
      <c r="J2776" s="28" t="inlineStr">
        <is>
          <t>Module burnt</t>
        </is>
      </c>
      <c r="K2776" s="8" t="inlineStr">
        <is>
          <t>Zura</t>
        </is>
      </c>
      <c r="L2776" s="8" t="inlineStr">
        <is>
          <t>Gujarat</t>
        </is>
      </c>
      <c r="M2776" s="2" t="inlineStr">
        <is>
          <t xml:space="preserve">damage </t>
        </is>
      </c>
      <c r="N2776" s="6" t="inlineStr">
        <is>
          <t>Module Breakage</t>
        </is>
      </c>
      <c r="O2776" s="51" t="n">
        <v>590</v>
      </c>
      <c r="P2776" s="2" t="inlineStr">
        <is>
          <t>NSMI24100554449</t>
        </is>
      </c>
      <c r="Q2776" s="29">
        <f>MID(P2776,5,2)</f>
        <v/>
      </c>
      <c r="R2776" s="14">
        <f>MID(P2776,7,2)</f>
        <v/>
      </c>
      <c r="S2776" s="6" t="inlineStr">
        <is>
          <t>G2G</t>
        </is>
      </c>
      <c r="T2776" s="1" t="inlineStr">
        <is>
          <t>P4 - PEIPL</t>
        </is>
      </c>
      <c r="U2776" s="2" t="inlineStr">
        <is>
          <t xml:space="preserve">physically damaged </t>
        </is>
      </c>
      <c r="V2776" s="1" t="inlineStr">
        <is>
          <t>Inspection</t>
        </is>
      </c>
      <c r="W2776" s="1" t="inlineStr">
        <is>
          <t>Rejected</t>
        </is>
      </c>
      <c r="X2776" s="5">
        <f>Z2776</f>
        <v/>
      </c>
      <c r="Y2776" s="1">
        <f>X2776-A2776</f>
        <v/>
      </c>
      <c r="Z2776" s="5" t="n">
        <v>46200</v>
      </c>
      <c r="AA2776" s="3" t="n"/>
      <c r="AB2776" s="3" t="n"/>
      <c r="AE2776" s="146">
        <f>IF(AND(F2776="Closed",X2776&gt;=DATE(2026,6,1),X2776&lt;=DATE(2026,6,30)),"Closed in June","other")</f>
        <v/>
      </c>
    </row>
    <row r="2777" hidden="1">
      <c r="A2777" s="49" t="n">
        <v>46177</v>
      </c>
      <c r="B2777" s="1" t="n">
        <v>2026</v>
      </c>
      <c r="C2777" s="8" t="inlineStr">
        <is>
          <t>Ayana</t>
        </is>
      </c>
      <c r="D2777" s="11" t="inlineStr">
        <is>
          <t>Utility and C&amp;I</t>
        </is>
      </c>
      <c r="E2777" s="1" t="n"/>
      <c r="F2777" s="1" t="inlineStr">
        <is>
          <t>Closed</t>
        </is>
      </c>
      <c r="G2777" s="11" t="inlineStr">
        <is>
          <t>Vasu.N</t>
        </is>
      </c>
      <c r="H2777" s="8" t="n">
        <v>9578099893</v>
      </c>
      <c r="I2777" s="10" t="inlineStr">
        <is>
          <t>PE04062601</t>
        </is>
      </c>
      <c r="J2777" s="28" t="inlineStr">
        <is>
          <t>Module burnt</t>
        </is>
      </c>
      <c r="K2777" s="8" t="inlineStr">
        <is>
          <t>Zura</t>
        </is>
      </c>
      <c r="L2777" s="8" t="inlineStr">
        <is>
          <t>Gujarat</t>
        </is>
      </c>
      <c r="M2777" s="2" t="inlineStr">
        <is>
          <t xml:space="preserve">damage </t>
        </is>
      </c>
      <c r="N2777" s="6" t="inlineStr">
        <is>
          <t>Module Breakage</t>
        </is>
      </c>
      <c r="O2777" s="51" t="n">
        <v>590</v>
      </c>
      <c r="P2777" s="2" t="inlineStr">
        <is>
          <t>NSMI24100632289</t>
        </is>
      </c>
      <c r="Q2777" s="29">
        <f>MID(P2777,5,2)</f>
        <v/>
      </c>
      <c r="R2777" s="14">
        <f>MID(P2777,7,2)</f>
        <v/>
      </c>
      <c r="S2777" s="6" t="inlineStr">
        <is>
          <t>G2G</t>
        </is>
      </c>
      <c r="T2777" s="1" t="inlineStr">
        <is>
          <t>P4 - PEIPL</t>
        </is>
      </c>
      <c r="U2777" s="2" t="inlineStr">
        <is>
          <t xml:space="preserve">physically damaged </t>
        </is>
      </c>
      <c r="V2777" s="1" t="inlineStr">
        <is>
          <t>Inspection</t>
        </is>
      </c>
      <c r="W2777" s="1" t="inlineStr">
        <is>
          <t>Rejected</t>
        </is>
      </c>
      <c r="X2777" s="5">
        <f>Z2777</f>
        <v/>
      </c>
      <c r="Y2777" s="1">
        <f>X2777-A2777</f>
        <v/>
      </c>
      <c r="Z2777" s="5" t="n">
        <v>46200</v>
      </c>
      <c r="AA2777" s="3" t="n"/>
      <c r="AB2777" s="3" t="n"/>
      <c r="AE2777" s="146">
        <f>IF(AND(F2777="Closed",X2777&gt;=DATE(2026,6,1),X2777&lt;=DATE(2026,6,30)),"Closed in June","other")</f>
        <v/>
      </c>
    </row>
    <row r="2778" hidden="1">
      <c r="A2778" s="49" t="n">
        <v>46177</v>
      </c>
      <c r="B2778" s="1" t="n">
        <v>2026</v>
      </c>
      <c r="C2778" s="8" t="inlineStr">
        <is>
          <t>Ayana</t>
        </is>
      </c>
      <c r="D2778" s="11" t="inlineStr">
        <is>
          <t>Utility and C&amp;I</t>
        </is>
      </c>
      <c r="E2778" s="1" t="n"/>
      <c r="F2778" s="1" t="inlineStr">
        <is>
          <t>Closed</t>
        </is>
      </c>
      <c r="G2778" s="11" t="inlineStr">
        <is>
          <t>Vasu.N</t>
        </is>
      </c>
      <c r="H2778" s="8" t="n">
        <v>9578099893</v>
      </c>
      <c r="I2778" s="10" t="inlineStr">
        <is>
          <t>PE04062601</t>
        </is>
      </c>
      <c r="J2778" s="28" t="inlineStr">
        <is>
          <t>Module burnt</t>
        </is>
      </c>
      <c r="K2778" s="8" t="inlineStr">
        <is>
          <t>Zura</t>
        </is>
      </c>
      <c r="L2778" s="8" t="inlineStr">
        <is>
          <t>Gujarat</t>
        </is>
      </c>
      <c r="M2778" s="2" t="inlineStr">
        <is>
          <t xml:space="preserve">damage </t>
        </is>
      </c>
      <c r="N2778" s="6" t="inlineStr">
        <is>
          <t>Module Breakage</t>
        </is>
      </c>
      <c r="O2778" s="51" t="n">
        <v>590</v>
      </c>
      <c r="P2778" s="2" t="inlineStr">
        <is>
          <t>NSMI24100610595</t>
        </is>
      </c>
      <c r="Q2778" s="29">
        <f>MID(P2778,5,2)</f>
        <v/>
      </c>
      <c r="R2778" s="14">
        <f>MID(P2778,7,2)</f>
        <v/>
      </c>
      <c r="S2778" s="6" t="inlineStr">
        <is>
          <t>G2G</t>
        </is>
      </c>
      <c r="T2778" s="1" t="inlineStr">
        <is>
          <t>P4 - PEIPL</t>
        </is>
      </c>
      <c r="U2778" s="2" t="inlineStr">
        <is>
          <t xml:space="preserve">physically damaged </t>
        </is>
      </c>
      <c r="V2778" s="1" t="inlineStr">
        <is>
          <t>Inspection</t>
        </is>
      </c>
      <c r="W2778" s="1" t="inlineStr">
        <is>
          <t>Rejected</t>
        </is>
      </c>
      <c r="X2778" s="5">
        <f>Z2778</f>
        <v/>
      </c>
      <c r="Y2778" s="1">
        <f>X2778-A2778</f>
        <v/>
      </c>
      <c r="Z2778" s="5" t="n">
        <v>46200</v>
      </c>
      <c r="AA2778" s="3" t="n"/>
      <c r="AB2778" s="3" t="n"/>
      <c r="AE2778" s="146">
        <f>IF(AND(F2778="Closed",X2778&gt;=DATE(2026,6,1),X2778&lt;=DATE(2026,6,30)),"Closed in June","other")</f>
        <v/>
      </c>
    </row>
    <row r="2779" hidden="1">
      <c r="A2779" s="49" t="n">
        <v>46177</v>
      </c>
      <c r="B2779" s="1" t="n">
        <v>2026</v>
      </c>
      <c r="C2779" s="8" t="inlineStr">
        <is>
          <t>Ayana</t>
        </is>
      </c>
      <c r="D2779" s="11" t="inlineStr">
        <is>
          <t>Utility and C&amp;I</t>
        </is>
      </c>
      <c r="E2779" s="1" t="n"/>
      <c r="F2779" s="1" t="inlineStr">
        <is>
          <t>Closed</t>
        </is>
      </c>
      <c r="G2779" s="11" t="inlineStr">
        <is>
          <t>Vasu.N</t>
        </is>
      </c>
      <c r="H2779" s="8" t="n">
        <v>9578099893</v>
      </c>
      <c r="I2779" s="10" t="inlineStr">
        <is>
          <t>PE04062601</t>
        </is>
      </c>
      <c r="J2779" s="28" t="inlineStr">
        <is>
          <t>Module burnt</t>
        </is>
      </c>
      <c r="K2779" s="8" t="inlineStr">
        <is>
          <t>Zura</t>
        </is>
      </c>
      <c r="L2779" s="8" t="inlineStr">
        <is>
          <t>Gujarat</t>
        </is>
      </c>
      <c r="M2779" s="2" t="inlineStr">
        <is>
          <t xml:space="preserve">damage </t>
        </is>
      </c>
      <c r="N2779" s="6" t="inlineStr">
        <is>
          <t>Module Breakage</t>
        </is>
      </c>
      <c r="O2779" s="51" t="n">
        <v>590</v>
      </c>
      <c r="P2779" s="2" t="inlineStr">
        <is>
          <t>NSMI24100598473</t>
        </is>
      </c>
      <c r="Q2779" s="29">
        <f>MID(P2779,5,2)</f>
        <v/>
      </c>
      <c r="R2779" s="14">
        <f>MID(P2779,7,2)</f>
        <v/>
      </c>
      <c r="S2779" s="6" t="inlineStr">
        <is>
          <t>G2G</t>
        </is>
      </c>
      <c r="T2779" s="1" t="inlineStr">
        <is>
          <t>P4 - PEIPL</t>
        </is>
      </c>
      <c r="U2779" s="2" t="inlineStr">
        <is>
          <t xml:space="preserve">physically damaged </t>
        </is>
      </c>
      <c r="V2779" s="1" t="inlineStr">
        <is>
          <t>Inspection</t>
        </is>
      </c>
      <c r="W2779" s="1" t="inlineStr">
        <is>
          <t>Rejected</t>
        </is>
      </c>
      <c r="X2779" s="5">
        <f>Z2779</f>
        <v/>
      </c>
      <c r="Y2779" s="1">
        <f>X2779-A2779</f>
        <v/>
      </c>
      <c r="Z2779" s="5" t="n">
        <v>46200</v>
      </c>
      <c r="AA2779" s="3" t="n"/>
      <c r="AB2779" s="3" t="n"/>
      <c r="AE2779" s="146">
        <f>IF(AND(F2779="Closed",X2779&gt;=DATE(2026,6,1),X2779&lt;=DATE(2026,6,30)),"Closed in June","other")</f>
        <v/>
      </c>
    </row>
    <row r="2780" hidden="1">
      <c r="A2780" s="49" t="n">
        <v>46177</v>
      </c>
      <c r="B2780" s="1" t="n">
        <v>2026</v>
      </c>
      <c r="C2780" s="8" t="inlineStr">
        <is>
          <t>Ayana</t>
        </is>
      </c>
      <c r="D2780" s="11" t="inlineStr">
        <is>
          <t>Utility and C&amp;I</t>
        </is>
      </c>
      <c r="E2780" s="1" t="n"/>
      <c r="F2780" s="1" t="inlineStr">
        <is>
          <t>Closed</t>
        </is>
      </c>
      <c r="G2780" s="11" t="inlineStr">
        <is>
          <t>Vasu.N</t>
        </is>
      </c>
      <c r="H2780" s="8" t="n">
        <v>9578099893</v>
      </c>
      <c r="I2780" s="10" t="inlineStr">
        <is>
          <t>PE04062601</t>
        </is>
      </c>
      <c r="J2780" s="28" t="inlineStr">
        <is>
          <t>Module burnt</t>
        </is>
      </c>
      <c r="K2780" s="8" t="inlineStr">
        <is>
          <t>Zura</t>
        </is>
      </c>
      <c r="L2780" s="8" t="inlineStr">
        <is>
          <t>Gujarat</t>
        </is>
      </c>
      <c r="M2780" s="2" t="inlineStr">
        <is>
          <t xml:space="preserve">damage </t>
        </is>
      </c>
      <c r="N2780" s="6" t="inlineStr">
        <is>
          <t>Module Breakage</t>
        </is>
      </c>
      <c r="O2780" s="51" t="n">
        <v>590</v>
      </c>
      <c r="P2780" s="2" t="inlineStr">
        <is>
          <t>NSMI24100598417</t>
        </is>
      </c>
      <c r="Q2780" s="29">
        <f>MID(P2780,5,2)</f>
        <v/>
      </c>
      <c r="R2780" s="14">
        <f>MID(P2780,7,2)</f>
        <v/>
      </c>
      <c r="S2780" s="6" t="inlineStr">
        <is>
          <t>G2G</t>
        </is>
      </c>
      <c r="T2780" s="1" t="inlineStr">
        <is>
          <t>P4 - PEIPL</t>
        </is>
      </c>
      <c r="U2780" s="2" t="inlineStr">
        <is>
          <t xml:space="preserve">physically damaged </t>
        </is>
      </c>
      <c r="V2780" s="1" t="inlineStr">
        <is>
          <t>Inspection</t>
        </is>
      </c>
      <c r="W2780" s="1" t="inlineStr">
        <is>
          <t>Rejected</t>
        </is>
      </c>
      <c r="X2780" s="5">
        <f>Z2780</f>
        <v/>
      </c>
      <c r="Y2780" s="1">
        <f>X2780-A2780</f>
        <v/>
      </c>
      <c r="Z2780" s="5" t="n">
        <v>46200</v>
      </c>
      <c r="AA2780" s="3" t="n"/>
      <c r="AB2780" s="3" t="n"/>
      <c r="AE2780" s="146">
        <f>IF(AND(F2780="Closed",X2780&gt;=DATE(2026,6,1),X2780&lt;=DATE(2026,6,30)),"Closed in June","other")</f>
        <v/>
      </c>
    </row>
    <row r="2781" hidden="1">
      <c r="A2781" s="49" t="n">
        <v>46177</v>
      </c>
      <c r="B2781" s="1" t="n">
        <v>2026</v>
      </c>
      <c r="C2781" s="8" t="inlineStr">
        <is>
          <t>Ayana</t>
        </is>
      </c>
      <c r="D2781" s="11" t="inlineStr">
        <is>
          <t>Utility and C&amp;I</t>
        </is>
      </c>
      <c r="E2781" s="1" t="n"/>
      <c r="F2781" s="1" t="inlineStr">
        <is>
          <t>Closed</t>
        </is>
      </c>
      <c r="G2781" s="11" t="inlineStr">
        <is>
          <t>Vasu.N</t>
        </is>
      </c>
      <c r="H2781" s="8" t="n">
        <v>9578099893</v>
      </c>
      <c r="I2781" s="10" t="inlineStr">
        <is>
          <t>PE04062601</t>
        </is>
      </c>
      <c r="J2781" s="28" t="inlineStr">
        <is>
          <t>Module burnt</t>
        </is>
      </c>
      <c r="K2781" s="8" t="inlineStr">
        <is>
          <t>Zura</t>
        </is>
      </c>
      <c r="L2781" s="8" t="inlineStr">
        <is>
          <t>Gujarat</t>
        </is>
      </c>
      <c r="M2781" s="2" t="inlineStr">
        <is>
          <t xml:space="preserve">damage </t>
        </is>
      </c>
      <c r="N2781" s="6" t="inlineStr">
        <is>
          <t>Module Breakage</t>
        </is>
      </c>
      <c r="O2781" s="51" t="n">
        <v>590</v>
      </c>
      <c r="P2781" s="2" t="inlineStr">
        <is>
          <t>NSMI24110800478</t>
        </is>
      </c>
      <c r="Q2781" s="29">
        <f>MID(P2781,5,2)</f>
        <v/>
      </c>
      <c r="R2781" s="14">
        <f>MID(P2781,7,2)</f>
        <v/>
      </c>
      <c r="S2781" s="6" t="inlineStr">
        <is>
          <t>G2G</t>
        </is>
      </c>
      <c r="T2781" s="1" t="inlineStr">
        <is>
          <t>P4 - PEIPL</t>
        </is>
      </c>
      <c r="U2781" s="2" t="inlineStr">
        <is>
          <t xml:space="preserve">physically damaged </t>
        </is>
      </c>
      <c r="V2781" s="1" t="inlineStr">
        <is>
          <t>Inspection</t>
        </is>
      </c>
      <c r="W2781" s="1" t="inlineStr">
        <is>
          <t>Rejected</t>
        </is>
      </c>
      <c r="X2781" s="5">
        <f>Z2781</f>
        <v/>
      </c>
      <c r="Y2781" s="1">
        <f>X2781-A2781</f>
        <v/>
      </c>
      <c r="Z2781" s="5" t="n">
        <v>46200</v>
      </c>
      <c r="AA2781" s="3" t="n"/>
      <c r="AB2781" s="3" t="n"/>
      <c r="AE2781" s="146">
        <f>IF(AND(F2781="Closed",X2781&gt;=DATE(2026,6,1),X2781&lt;=DATE(2026,6,30)),"Closed in June","other")</f>
        <v/>
      </c>
    </row>
    <row r="2782" hidden="1">
      <c r="A2782" s="49" t="n">
        <v>46177</v>
      </c>
      <c r="B2782" s="1" t="n">
        <v>2026</v>
      </c>
      <c r="C2782" s="8" t="inlineStr">
        <is>
          <t>Ayana</t>
        </is>
      </c>
      <c r="D2782" s="11" t="inlineStr">
        <is>
          <t>Utility and C&amp;I</t>
        </is>
      </c>
      <c r="E2782" s="1" t="n"/>
      <c r="F2782" s="1" t="inlineStr">
        <is>
          <t>Closed</t>
        </is>
      </c>
      <c r="G2782" s="11" t="inlineStr">
        <is>
          <t>Vasu.N</t>
        </is>
      </c>
      <c r="H2782" s="8" t="n">
        <v>9578099893</v>
      </c>
      <c r="I2782" s="10" t="inlineStr">
        <is>
          <t>PE04062601</t>
        </is>
      </c>
      <c r="J2782" s="28" t="inlineStr">
        <is>
          <t>Module burnt</t>
        </is>
      </c>
      <c r="K2782" s="8" t="inlineStr">
        <is>
          <t>Zura</t>
        </is>
      </c>
      <c r="L2782" s="8" t="inlineStr">
        <is>
          <t>Gujarat</t>
        </is>
      </c>
      <c r="M2782" s="2" t="inlineStr">
        <is>
          <t xml:space="preserve">damage </t>
        </is>
      </c>
      <c r="N2782" s="6" t="inlineStr">
        <is>
          <t>Module Breakage</t>
        </is>
      </c>
      <c r="O2782" s="51" t="n">
        <v>590</v>
      </c>
      <c r="P2782" s="2" t="inlineStr">
        <is>
          <t>NSMI24110800480</t>
        </is>
      </c>
      <c r="Q2782" s="29">
        <f>MID(P2782,5,2)</f>
        <v/>
      </c>
      <c r="R2782" s="14">
        <f>MID(P2782,7,2)</f>
        <v/>
      </c>
      <c r="S2782" s="6" t="inlineStr">
        <is>
          <t>G2G</t>
        </is>
      </c>
      <c r="T2782" s="1" t="inlineStr">
        <is>
          <t>P4 - PEIPL</t>
        </is>
      </c>
      <c r="U2782" s="2" t="inlineStr">
        <is>
          <t xml:space="preserve">physically damaged </t>
        </is>
      </c>
      <c r="V2782" s="1" t="inlineStr">
        <is>
          <t>Inspection</t>
        </is>
      </c>
      <c r="W2782" s="1" t="inlineStr">
        <is>
          <t>Rejected</t>
        </is>
      </c>
      <c r="X2782" s="5">
        <f>Z2782</f>
        <v/>
      </c>
      <c r="Y2782" s="1">
        <f>X2782-A2782</f>
        <v/>
      </c>
      <c r="Z2782" s="5" t="n">
        <v>46200</v>
      </c>
      <c r="AA2782" s="3" t="n"/>
      <c r="AB2782" s="3" t="n"/>
      <c r="AE2782" s="146">
        <f>IF(AND(F2782="Closed",X2782&gt;=DATE(2026,6,1),X2782&lt;=DATE(2026,6,30)),"Closed in June","other")</f>
        <v/>
      </c>
    </row>
    <row r="2783" hidden="1">
      <c r="A2783" s="49" t="n">
        <v>46177</v>
      </c>
      <c r="B2783" s="1" t="n">
        <v>2026</v>
      </c>
      <c r="C2783" s="8" t="inlineStr">
        <is>
          <t>Ayana</t>
        </is>
      </c>
      <c r="D2783" s="11" t="inlineStr">
        <is>
          <t>Utility and C&amp;I</t>
        </is>
      </c>
      <c r="E2783" s="1" t="n"/>
      <c r="F2783" s="1" t="inlineStr">
        <is>
          <t>Closed</t>
        </is>
      </c>
      <c r="G2783" s="11" t="inlineStr">
        <is>
          <t>Vasu.N</t>
        </is>
      </c>
      <c r="H2783" s="8" t="n">
        <v>9578099893</v>
      </c>
      <c r="I2783" s="10" t="inlineStr">
        <is>
          <t>PE04062601</t>
        </is>
      </c>
      <c r="J2783" s="28" t="inlineStr">
        <is>
          <t>Module burnt</t>
        </is>
      </c>
      <c r="K2783" s="8" t="inlineStr">
        <is>
          <t>Zura</t>
        </is>
      </c>
      <c r="L2783" s="8" t="inlineStr">
        <is>
          <t>Gujarat</t>
        </is>
      </c>
      <c r="M2783" s="2" t="inlineStr">
        <is>
          <t xml:space="preserve">damage </t>
        </is>
      </c>
      <c r="N2783" s="6" t="inlineStr">
        <is>
          <t>Module Breakage</t>
        </is>
      </c>
      <c r="O2783" s="51" t="n">
        <v>590</v>
      </c>
      <c r="P2783" s="2" t="inlineStr">
        <is>
          <t>NSMI24110795720</t>
        </is>
      </c>
      <c r="Q2783" s="29">
        <f>MID(P2783,5,2)</f>
        <v/>
      </c>
      <c r="R2783" s="14">
        <f>MID(P2783,7,2)</f>
        <v/>
      </c>
      <c r="S2783" s="6" t="inlineStr">
        <is>
          <t>G2G</t>
        </is>
      </c>
      <c r="T2783" s="1" t="inlineStr">
        <is>
          <t>P4 - PEIPL</t>
        </is>
      </c>
      <c r="U2783" s="2" t="inlineStr">
        <is>
          <t xml:space="preserve">physically damaged </t>
        </is>
      </c>
      <c r="V2783" s="1" t="inlineStr">
        <is>
          <t>Inspection</t>
        </is>
      </c>
      <c r="W2783" s="1" t="inlineStr">
        <is>
          <t>Rejected</t>
        </is>
      </c>
      <c r="X2783" s="5">
        <f>Z2783</f>
        <v/>
      </c>
      <c r="Y2783" s="1">
        <f>X2783-A2783</f>
        <v/>
      </c>
      <c r="Z2783" s="5" t="n">
        <v>46200</v>
      </c>
      <c r="AA2783" s="3" t="n"/>
      <c r="AB2783" s="3" t="n"/>
      <c r="AE2783" s="146">
        <f>IF(AND(F2783="Closed",X2783&gt;=DATE(2026,6,1),X2783&lt;=DATE(2026,6,30)),"Closed in June","other")</f>
        <v/>
      </c>
    </row>
    <row r="2784" hidden="1">
      <c r="A2784" s="49" t="n">
        <v>46177</v>
      </c>
      <c r="B2784" s="1" t="n">
        <v>2026</v>
      </c>
      <c r="C2784" s="8" t="inlineStr">
        <is>
          <t>Ayana</t>
        </is>
      </c>
      <c r="D2784" s="11" t="inlineStr">
        <is>
          <t>Utility and C&amp;I</t>
        </is>
      </c>
      <c r="E2784" s="1" t="n"/>
      <c r="F2784" s="1" t="inlineStr">
        <is>
          <t>Closed</t>
        </is>
      </c>
      <c r="G2784" s="11" t="inlineStr">
        <is>
          <t>Vasu.N</t>
        </is>
      </c>
      <c r="H2784" s="8" t="n">
        <v>9578099893</v>
      </c>
      <c r="I2784" s="10" t="inlineStr">
        <is>
          <t>PE04062601</t>
        </is>
      </c>
      <c r="J2784" s="28" t="inlineStr">
        <is>
          <t>Module burnt</t>
        </is>
      </c>
      <c r="K2784" s="8" t="inlineStr">
        <is>
          <t>Zura</t>
        </is>
      </c>
      <c r="L2784" s="8" t="inlineStr">
        <is>
          <t>Gujarat</t>
        </is>
      </c>
      <c r="M2784" s="2" t="inlineStr">
        <is>
          <t xml:space="preserve">damage </t>
        </is>
      </c>
      <c r="N2784" s="6" t="inlineStr">
        <is>
          <t>Module Breakage</t>
        </is>
      </c>
      <c r="O2784" s="51" t="n">
        <v>590</v>
      </c>
      <c r="P2784" s="2" t="inlineStr">
        <is>
          <t>NSMI24110795591</t>
        </is>
      </c>
      <c r="Q2784" s="29">
        <f>MID(P2784,5,2)</f>
        <v/>
      </c>
      <c r="R2784" s="14">
        <f>MID(P2784,7,2)</f>
        <v/>
      </c>
      <c r="S2784" s="6" t="inlineStr">
        <is>
          <t>G2G</t>
        </is>
      </c>
      <c r="T2784" s="1" t="inlineStr">
        <is>
          <t>P4 - PEIPL</t>
        </is>
      </c>
      <c r="U2784" s="2" t="inlineStr">
        <is>
          <t xml:space="preserve">physically damaged </t>
        </is>
      </c>
      <c r="V2784" s="1" t="inlineStr">
        <is>
          <t>Inspection</t>
        </is>
      </c>
      <c r="W2784" s="1" t="inlineStr">
        <is>
          <t>Rejected</t>
        </is>
      </c>
      <c r="X2784" s="5">
        <f>Z2784</f>
        <v/>
      </c>
      <c r="Y2784" s="1">
        <f>X2784-A2784</f>
        <v/>
      </c>
      <c r="Z2784" s="5" t="n">
        <v>46200</v>
      </c>
      <c r="AA2784" s="3" t="n"/>
      <c r="AB2784" s="3" t="n"/>
      <c r="AE2784" s="146">
        <f>IF(AND(F2784="Closed",X2784&gt;=DATE(2026,6,1),X2784&lt;=DATE(2026,6,30)),"Closed in June","other")</f>
        <v/>
      </c>
    </row>
    <row r="2785" hidden="1">
      <c r="A2785" s="49" t="n">
        <v>46177</v>
      </c>
      <c r="B2785" s="1" t="n">
        <v>2026</v>
      </c>
      <c r="C2785" s="8" t="inlineStr">
        <is>
          <t>Ayana</t>
        </is>
      </c>
      <c r="D2785" s="11" t="inlineStr">
        <is>
          <t>Utility and C&amp;I</t>
        </is>
      </c>
      <c r="E2785" s="1" t="n"/>
      <c r="F2785" s="1" t="inlineStr">
        <is>
          <t>Closed</t>
        </is>
      </c>
      <c r="G2785" s="11" t="inlineStr">
        <is>
          <t>Vasu.N</t>
        </is>
      </c>
      <c r="H2785" s="8" t="n">
        <v>9578099893</v>
      </c>
      <c r="I2785" s="10" t="inlineStr">
        <is>
          <t>PE04062601</t>
        </is>
      </c>
      <c r="J2785" s="28" t="inlineStr">
        <is>
          <t>Module burnt</t>
        </is>
      </c>
      <c r="K2785" s="8" t="inlineStr">
        <is>
          <t>Zura</t>
        </is>
      </c>
      <c r="L2785" s="8" t="inlineStr">
        <is>
          <t>Gujarat</t>
        </is>
      </c>
      <c r="M2785" s="2" t="inlineStr">
        <is>
          <t xml:space="preserve">damage </t>
        </is>
      </c>
      <c r="N2785" s="6" t="inlineStr">
        <is>
          <t>Module Breakage</t>
        </is>
      </c>
      <c r="O2785" s="51" t="n">
        <v>590</v>
      </c>
      <c r="P2785" s="2" t="inlineStr">
        <is>
          <t>NSMI24100641754</t>
        </is>
      </c>
      <c r="Q2785" s="29">
        <f>MID(P2785,5,2)</f>
        <v/>
      </c>
      <c r="R2785" s="14">
        <f>MID(P2785,7,2)</f>
        <v/>
      </c>
      <c r="S2785" s="6" t="inlineStr">
        <is>
          <t>G2G</t>
        </is>
      </c>
      <c r="T2785" s="1" t="inlineStr">
        <is>
          <t>P4 - PEIPL</t>
        </is>
      </c>
      <c r="U2785" s="2" t="inlineStr">
        <is>
          <t xml:space="preserve">physically damaged </t>
        </is>
      </c>
      <c r="V2785" s="1" t="inlineStr">
        <is>
          <t>Inspection</t>
        </is>
      </c>
      <c r="W2785" s="1" t="inlineStr">
        <is>
          <t>Rejected</t>
        </is>
      </c>
      <c r="X2785" s="5">
        <f>Z2785</f>
        <v/>
      </c>
      <c r="Y2785" s="1">
        <f>X2785-A2785</f>
        <v/>
      </c>
      <c r="Z2785" s="5" t="n">
        <v>46200</v>
      </c>
      <c r="AA2785" s="3" t="n"/>
      <c r="AB2785" s="3" t="n"/>
      <c r="AE2785" s="146">
        <f>IF(AND(F2785="Closed",X2785&gt;=DATE(2026,6,1),X2785&lt;=DATE(2026,6,30)),"Closed in June","other")</f>
        <v/>
      </c>
    </row>
    <row r="2786" hidden="1">
      <c r="A2786" s="49" t="n">
        <v>46177</v>
      </c>
      <c r="B2786" s="1" t="n">
        <v>2026</v>
      </c>
      <c r="C2786" s="8" t="inlineStr">
        <is>
          <t>Ayana</t>
        </is>
      </c>
      <c r="D2786" s="11" t="inlineStr">
        <is>
          <t>Utility and C&amp;I</t>
        </is>
      </c>
      <c r="E2786" s="1" t="n"/>
      <c r="F2786" s="1" t="inlineStr">
        <is>
          <t>Closed</t>
        </is>
      </c>
      <c r="G2786" s="11" t="inlineStr">
        <is>
          <t>Vasu.N</t>
        </is>
      </c>
      <c r="H2786" s="8" t="n">
        <v>9578099893</v>
      </c>
      <c r="I2786" s="10" t="inlineStr">
        <is>
          <t>PE04062601</t>
        </is>
      </c>
      <c r="J2786" s="28" t="inlineStr">
        <is>
          <t>Module burnt</t>
        </is>
      </c>
      <c r="K2786" s="8" t="inlineStr">
        <is>
          <t>Zura</t>
        </is>
      </c>
      <c r="L2786" s="8" t="inlineStr">
        <is>
          <t>Gujarat</t>
        </is>
      </c>
      <c r="M2786" s="2" t="inlineStr">
        <is>
          <t xml:space="preserve">damage </t>
        </is>
      </c>
      <c r="N2786" s="6" t="inlineStr">
        <is>
          <t>Module Breakage</t>
        </is>
      </c>
      <c r="O2786" s="51" t="n">
        <v>590</v>
      </c>
      <c r="P2786" s="2" t="inlineStr">
        <is>
          <t>NSMI24100641666</t>
        </is>
      </c>
      <c r="Q2786" s="29">
        <f>MID(P2786,5,2)</f>
        <v/>
      </c>
      <c r="R2786" s="14">
        <f>MID(P2786,7,2)</f>
        <v/>
      </c>
      <c r="S2786" s="6" t="inlineStr">
        <is>
          <t>G2G</t>
        </is>
      </c>
      <c r="T2786" s="1" t="inlineStr">
        <is>
          <t>P4 - PEIPL</t>
        </is>
      </c>
      <c r="U2786" s="2" t="inlineStr">
        <is>
          <t xml:space="preserve">physically damaged </t>
        </is>
      </c>
      <c r="V2786" s="1" t="inlineStr">
        <is>
          <t>Inspection</t>
        </is>
      </c>
      <c r="W2786" s="1" t="inlineStr">
        <is>
          <t>Rejected</t>
        </is>
      </c>
      <c r="X2786" s="5">
        <f>Z2786</f>
        <v/>
      </c>
      <c r="Y2786" s="1">
        <f>X2786-A2786</f>
        <v/>
      </c>
      <c r="Z2786" s="5" t="n">
        <v>46200</v>
      </c>
      <c r="AA2786" s="3" t="n"/>
      <c r="AB2786" s="3" t="n"/>
      <c r="AE2786" s="146">
        <f>IF(AND(F2786="Closed",X2786&gt;=DATE(2026,6,1),X2786&lt;=DATE(2026,6,30)),"Closed in June","other")</f>
        <v/>
      </c>
    </row>
    <row r="2787" hidden="1">
      <c r="A2787" s="49" t="n">
        <v>46177</v>
      </c>
      <c r="B2787" s="1" t="n">
        <v>2026</v>
      </c>
      <c r="C2787" s="8" t="inlineStr">
        <is>
          <t>Ayana</t>
        </is>
      </c>
      <c r="D2787" s="11" t="inlineStr">
        <is>
          <t>Utility and C&amp;I</t>
        </is>
      </c>
      <c r="E2787" s="1" t="n"/>
      <c r="F2787" s="1" t="inlineStr">
        <is>
          <t>Closed</t>
        </is>
      </c>
      <c r="G2787" s="11" t="inlineStr">
        <is>
          <t>Vasu.N</t>
        </is>
      </c>
      <c r="H2787" s="8" t="n">
        <v>9578099893</v>
      </c>
      <c r="I2787" s="10" t="inlineStr">
        <is>
          <t>PE04062601</t>
        </is>
      </c>
      <c r="J2787" s="28" t="inlineStr">
        <is>
          <t>Module burnt</t>
        </is>
      </c>
      <c r="K2787" s="8" t="inlineStr">
        <is>
          <t>Zura</t>
        </is>
      </c>
      <c r="L2787" s="8" t="inlineStr">
        <is>
          <t>Gujarat</t>
        </is>
      </c>
      <c r="M2787" s="2" t="inlineStr">
        <is>
          <t xml:space="preserve">damage </t>
        </is>
      </c>
      <c r="N2787" s="6" t="inlineStr">
        <is>
          <t>Module Breakage</t>
        </is>
      </c>
      <c r="O2787" s="51" t="n">
        <v>590</v>
      </c>
      <c r="P2787" s="2" t="inlineStr">
        <is>
          <t>NSMI24110826510</t>
        </is>
      </c>
      <c r="Q2787" s="29">
        <f>MID(P2787,5,2)</f>
        <v/>
      </c>
      <c r="R2787" s="14">
        <f>MID(P2787,7,2)</f>
        <v/>
      </c>
      <c r="S2787" s="6" t="inlineStr">
        <is>
          <t>G2G</t>
        </is>
      </c>
      <c r="T2787" s="1" t="inlineStr">
        <is>
          <t>P4 - PEIPL</t>
        </is>
      </c>
      <c r="U2787" s="2" t="inlineStr">
        <is>
          <t xml:space="preserve">physically damaged </t>
        </is>
      </c>
      <c r="V2787" s="1" t="inlineStr">
        <is>
          <t>Inspection</t>
        </is>
      </c>
      <c r="W2787" s="1" t="inlineStr">
        <is>
          <t>Rejected</t>
        </is>
      </c>
      <c r="X2787" s="5">
        <f>Z2787</f>
        <v/>
      </c>
      <c r="Y2787" s="1">
        <f>X2787-A2787</f>
        <v/>
      </c>
      <c r="Z2787" s="5" t="n">
        <v>46200</v>
      </c>
      <c r="AA2787" s="3" t="n"/>
      <c r="AB2787" s="3" t="n"/>
      <c r="AE2787" s="146">
        <f>IF(AND(F2787="Closed",X2787&gt;=DATE(2026,6,1),X2787&lt;=DATE(2026,6,30)),"Closed in June","other")</f>
        <v/>
      </c>
    </row>
    <row r="2788" hidden="1">
      <c r="A2788" s="49" t="n">
        <v>46177</v>
      </c>
      <c r="B2788" s="1" t="n">
        <v>2026</v>
      </c>
      <c r="C2788" s="8" t="inlineStr">
        <is>
          <t>Ayana</t>
        </is>
      </c>
      <c r="D2788" s="11" t="inlineStr">
        <is>
          <t>Utility and C&amp;I</t>
        </is>
      </c>
      <c r="E2788" s="1" t="n"/>
      <c r="F2788" s="1" t="inlineStr">
        <is>
          <t>Closed</t>
        </is>
      </c>
      <c r="G2788" s="11" t="inlineStr">
        <is>
          <t>Vasu.N</t>
        </is>
      </c>
      <c r="H2788" s="8" t="n">
        <v>9578099893</v>
      </c>
      <c r="I2788" s="10" t="inlineStr">
        <is>
          <t>PE04062601</t>
        </is>
      </c>
      <c r="J2788" s="28" t="inlineStr">
        <is>
          <t>Module burnt</t>
        </is>
      </c>
      <c r="K2788" s="8" t="inlineStr">
        <is>
          <t>Zura</t>
        </is>
      </c>
      <c r="L2788" s="8" t="inlineStr">
        <is>
          <t>Gujarat</t>
        </is>
      </c>
      <c r="M2788" s="2" t="inlineStr">
        <is>
          <t xml:space="preserve">damage </t>
        </is>
      </c>
      <c r="N2788" s="6" t="inlineStr">
        <is>
          <t>Module Breakage</t>
        </is>
      </c>
      <c r="O2788" s="51" t="n">
        <v>590</v>
      </c>
      <c r="P2788" s="2" t="inlineStr">
        <is>
          <t>NSMI24110840624</t>
        </is>
      </c>
      <c r="Q2788" s="29">
        <f>MID(P2788,5,2)</f>
        <v/>
      </c>
      <c r="R2788" s="14">
        <f>MID(P2788,7,2)</f>
        <v/>
      </c>
      <c r="S2788" s="6" t="inlineStr">
        <is>
          <t>G2G</t>
        </is>
      </c>
      <c r="T2788" s="1" t="inlineStr">
        <is>
          <t>P4 - PEIPL</t>
        </is>
      </c>
      <c r="U2788" s="2" t="inlineStr">
        <is>
          <t xml:space="preserve">physically damaged </t>
        </is>
      </c>
      <c r="V2788" s="1" t="inlineStr">
        <is>
          <t>Inspection</t>
        </is>
      </c>
      <c r="W2788" s="1" t="inlineStr">
        <is>
          <t>Rejected</t>
        </is>
      </c>
      <c r="X2788" s="5">
        <f>Z2788</f>
        <v/>
      </c>
      <c r="Y2788" s="1">
        <f>X2788-A2788</f>
        <v/>
      </c>
      <c r="Z2788" s="5" t="n">
        <v>46200</v>
      </c>
      <c r="AA2788" s="3" t="n"/>
      <c r="AB2788" s="3" t="n"/>
      <c r="AE2788" s="146">
        <f>IF(AND(F2788="Closed",X2788&gt;=DATE(2026,6,1),X2788&lt;=DATE(2026,6,30)),"Closed in June","other")</f>
        <v/>
      </c>
    </row>
    <row r="2789" hidden="1">
      <c r="A2789" s="49" t="n">
        <v>46177</v>
      </c>
      <c r="B2789" s="1" t="n">
        <v>2026</v>
      </c>
      <c r="C2789" s="8" t="inlineStr">
        <is>
          <t>Ayana</t>
        </is>
      </c>
      <c r="D2789" s="11" t="inlineStr">
        <is>
          <t>Utility and C&amp;I</t>
        </is>
      </c>
      <c r="E2789" s="1" t="n"/>
      <c r="F2789" s="1" t="inlineStr">
        <is>
          <t>Closed</t>
        </is>
      </c>
      <c r="G2789" s="11" t="inlineStr">
        <is>
          <t>Vasu.N</t>
        </is>
      </c>
      <c r="H2789" s="8" t="n">
        <v>9578099893</v>
      </c>
      <c r="I2789" s="10" t="inlineStr">
        <is>
          <t>PE04062601</t>
        </is>
      </c>
      <c r="J2789" s="28" t="inlineStr">
        <is>
          <t>Module burnt</t>
        </is>
      </c>
      <c r="K2789" s="8" t="inlineStr">
        <is>
          <t>Zura</t>
        </is>
      </c>
      <c r="L2789" s="8" t="inlineStr">
        <is>
          <t>Gujarat</t>
        </is>
      </c>
      <c r="M2789" s="2" t="inlineStr">
        <is>
          <t xml:space="preserve">damage </t>
        </is>
      </c>
      <c r="N2789" s="6" t="inlineStr">
        <is>
          <t>Module Breakage</t>
        </is>
      </c>
      <c r="O2789" s="51" t="n">
        <v>590</v>
      </c>
      <c r="P2789" s="2" t="inlineStr">
        <is>
          <t>NSMI24100591570</t>
        </is>
      </c>
      <c r="Q2789" s="29">
        <f>MID(P2789,5,2)</f>
        <v/>
      </c>
      <c r="R2789" s="14">
        <f>MID(P2789,7,2)</f>
        <v/>
      </c>
      <c r="S2789" s="6" t="inlineStr">
        <is>
          <t>G2G</t>
        </is>
      </c>
      <c r="T2789" s="1" t="inlineStr">
        <is>
          <t>P4 - PEIPL</t>
        </is>
      </c>
      <c r="U2789" s="2" t="inlineStr">
        <is>
          <t xml:space="preserve">physically damaged </t>
        </is>
      </c>
      <c r="V2789" s="1" t="inlineStr">
        <is>
          <t>Inspection</t>
        </is>
      </c>
      <c r="W2789" s="1" t="inlineStr">
        <is>
          <t>Rejected</t>
        </is>
      </c>
      <c r="X2789" s="5">
        <f>Z2789</f>
        <v/>
      </c>
      <c r="Y2789" s="1">
        <f>X2789-A2789</f>
        <v/>
      </c>
      <c r="Z2789" s="5" t="n">
        <v>46200</v>
      </c>
      <c r="AA2789" s="3" t="n"/>
      <c r="AB2789" s="3" t="n"/>
      <c r="AE2789" s="146">
        <f>IF(AND(F2789="Closed",X2789&gt;=DATE(2026,6,1),X2789&lt;=DATE(2026,6,30)),"Closed in June","other")</f>
        <v/>
      </c>
    </row>
    <row r="2790" hidden="1">
      <c r="A2790" s="49" t="n">
        <v>46177</v>
      </c>
      <c r="B2790" s="1" t="n">
        <v>2026</v>
      </c>
      <c r="C2790" s="8" t="inlineStr">
        <is>
          <t>Ayana</t>
        </is>
      </c>
      <c r="D2790" s="11" t="inlineStr">
        <is>
          <t>Utility and C&amp;I</t>
        </is>
      </c>
      <c r="E2790" s="1" t="n"/>
      <c r="F2790" s="1" t="inlineStr">
        <is>
          <t>Closed</t>
        </is>
      </c>
      <c r="G2790" s="11" t="inlineStr">
        <is>
          <t>Vasu.N</t>
        </is>
      </c>
      <c r="H2790" s="8" t="n">
        <v>9578099893</v>
      </c>
      <c r="I2790" s="10" t="inlineStr">
        <is>
          <t>PE04062601</t>
        </is>
      </c>
      <c r="J2790" s="28" t="inlineStr">
        <is>
          <t>Module burnt</t>
        </is>
      </c>
      <c r="K2790" s="8" t="inlineStr">
        <is>
          <t>Zura</t>
        </is>
      </c>
      <c r="L2790" s="8" t="inlineStr">
        <is>
          <t>Gujarat</t>
        </is>
      </c>
      <c r="M2790" s="2" t="inlineStr">
        <is>
          <t xml:space="preserve">damage </t>
        </is>
      </c>
      <c r="N2790" s="6" t="inlineStr">
        <is>
          <t>Module Breakage</t>
        </is>
      </c>
      <c r="O2790" s="51" t="n">
        <v>590</v>
      </c>
      <c r="P2790" s="2" t="inlineStr">
        <is>
          <t>NSMI24110838635</t>
        </is>
      </c>
      <c r="Q2790" s="29">
        <f>MID(P2790,5,2)</f>
        <v/>
      </c>
      <c r="R2790" s="14">
        <f>MID(P2790,7,2)</f>
        <v/>
      </c>
      <c r="S2790" s="6" t="inlineStr">
        <is>
          <t>G2G</t>
        </is>
      </c>
      <c r="T2790" s="1" t="inlineStr">
        <is>
          <t>P4 - PEIPL</t>
        </is>
      </c>
      <c r="U2790" s="2" t="inlineStr">
        <is>
          <t xml:space="preserve">physically damaged </t>
        </is>
      </c>
      <c r="V2790" s="1" t="inlineStr">
        <is>
          <t>Inspection</t>
        </is>
      </c>
      <c r="W2790" s="1" t="inlineStr">
        <is>
          <t>Rejected</t>
        </is>
      </c>
      <c r="X2790" s="5">
        <f>Z2790</f>
        <v/>
      </c>
      <c r="Y2790" s="1">
        <f>X2790-A2790</f>
        <v/>
      </c>
      <c r="Z2790" s="5" t="n">
        <v>46200</v>
      </c>
      <c r="AA2790" s="3" t="n"/>
      <c r="AB2790" s="3" t="n"/>
      <c r="AE2790" s="146">
        <f>IF(AND(F2790="Closed",X2790&gt;=DATE(2026,6,1),X2790&lt;=DATE(2026,6,30)),"Closed in June","other")</f>
        <v/>
      </c>
    </row>
    <row r="2791" hidden="1">
      <c r="A2791" s="49" t="n">
        <v>46177</v>
      </c>
      <c r="B2791" s="1" t="n">
        <v>2026</v>
      </c>
      <c r="C2791" s="8" t="inlineStr">
        <is>
          <t>Ayana</t>
        </is>
      </c>
      <c r="D2791" s="11" t="inlineStr">
        <is>
          <t>Utility and C&amp;I</t>
        </is>
      </c>
      <c r="E2791" s="1" t="n"/>
      <c r="F2791" s="1" t="inlineStr">
        <is>
          <t>Closed</t>
        </is>
      </c>
      <c r="G2791" s="11" t="inlineStr">
        <is>
          <t>Vasu.N</t>
        </is>
      </c>
      <c r="H2791" s="8" t="n">
        <v>9578099893</v>
      </c>
      <c r="I2791" s="10" t="inlineStr">
        <is>
          <t>PE04062601</t>
        </is>
      </c>
      <c r="J2791" s="28" t="inlineStr">
        <is>
          <t>Module burnt</t>
        </is>
      </c>
      <c r="K2791" s="8" t="inlineStr">
        <is>
          <t>Zura</t>
        </is>
      </c>
      <c r="L2791" s="8" t="inlineStr">
        <is>
          <t>Gujarat</t>
        </is>
      </c>
      <c r="M2791" s="2" t="inlineStr">
        <is>
          <t xml:space="preserve">damage </t>
        </is>
      </c>
      <c r="N2791" s="6" t="inlineStr">
        <is>
          <t>Module Breakage</t>
        </is>
      </c>
      <c r="O2791" s="51" t="n">
        <v>590</v>
      </c>
      <c r="P2791" s="2" t="inlineStr">
        <is>
          <t>NSMI24100684161</t>
        </is>
      </c>
      <c r="Q2791" s="29">
        <f>MID(P2791,5,2)</f>
        <v/>
      </c>
      <c r="R2791" s="14">
        <f>MID(P2791,7,2)</f>
        <v/>
      </c>
      <c r="S2791" s="6" t="inlineStr">
        <is>
          <t>G2G</t>
        </is>
      </c>
      <c r="T2791" s="1" t="inlineStr">
        <is>
          <t>P4 - PEIPL</t>
        </is>
      </c>
      <c r="U2791" s="2" t="inlineStr">
        <is>
          <t xml:space="preserve">physically damaged </t>
        </is>
      </c>
      <c r="V2791" s="1" t="inlineStr">
        <is>
          <t>Inspection</t>
        </is>
      </c>
      <c r="W2791" s="1" t="inlineStr">
        <is>
          <t>Rejected</t>
        </is>
      </c>
      <c r="X2791" s="5">
        <f>Z2791</f>
        <v/>
      </c>
      <c r="Y2791" s="1">
        <f>X2791-A2791</f>
        <v/>
      </c>
      <c r="Z2791" s="5" t="n">
        <v>46200</v>
      </c>
      <c r="AA2791" s="3" t="n"/>
      <c r="AB2791" s="3" t="n"/>
      <c r="AE2791" s="146">
        <f>IF(AND(F2791="Closed",X2791&gt;=DATE(2026,6,1),X2791&lt;=DATE(2026,6,30)),"Closed in June","other")</f>
        <v/>
      </c>
    </row>
    <row r="2792" hidden="1">
      <c r="A2792" s="49" t="n">
        <v>46177</v>
      </c>
      <c r="B2792" s="1" t="n">
        <v>2026</v>
      </c>
      <c r="C2792" s="8" t="inlineStr">
        <is>
          <t>Ayana</t>
        </is>
      </c>
      <c r="D2792" s="11" t="inlineStr">
        <is>
          <t>Utility and C&amp;I</t>
        </is>
      </c>
      <c r="E2792" s="1" t="n"/>
      <c r="F2792" s="1" t="inlineStr">
        <is>
          <t>Closed</t>
        </is>
      </c>
      <c r="G2792" s="11" t="inlineStr">
        <is>
          <t>Vasu.N</t>
        </is>
      </c>
      <c r="H2792" s="8" t="n">
        <v>9578099893</v>
      </c>
      <c r="I2792" s="10" t="inlineStr">
        <is>
          <t>PE04062601</t>
        </is>
      </c>
      <c r="J2792" s="28" t="inlineStr">
        <is>
          <t>Module burnt</t>
        </is>
      </c>
      <c r="K2792" s="8" t="inlineStr">
        <is>
          <t>Zura</t>
        </is>
      </c>
      <c r="L2792" s="8" t="inlineStr">
        <is>
          <t>Gujarat</t>
        </is>
      </c>
      <c r="M2792" s="2" t="inlineStr">
        <is>
          <t xml:space="preserve">damage </t>
        </is>
      </c>
      <c r="N2792" s="6" t="inlineStr">
        <is>
          <t>Module Breakage</t>
        </is>
      </c>
      <c r="O2792" s="51" t="n">
        <v>590</v>
      </c>
      <c r="P2792" s="2" t="inlineStr">
        <is>
          <t>NSMI24110846717</t>
        </is>
      </c>
      <c r="Q2792" s="29">
        <f>MID(P2792,5,2)</f>
        <v/>
      </c>
      <c r="R2792" s="14">
        <f>MID(P2792,7,2)</f>
        <v/>
      </c>
      <c r="S2792" s="6" t="inlineStr">
        <is>
          <t>G2G</t>
        </is>
      </c>
      <c r="T2792" s="1" t="inlineStr">
        <is>
          <t>P4 - PEIPL</t>
        </is>
      </c>
      <c r="U2792" s="2" t="inlineStr">
        <is>
          <t xml:space="preserve">physically damaged </t>
        </is>
      </c>
      <c r="V2792" s="1" t="inlineStr">
        <is>
          <t>Inspection</t>
        </is>
      </c>
      <c r="W2792" s="1" t="inlineStr">
        <is>
          <t>Rejected</t>
        </is>
      </c>
      <c r="X2792" s="5">
        <f>Z2792</f>
        <v/>
      </c>
      <c r="Y2792" s="1">
        <f>X2792-A2792</f>
        <v/>
      </c>
      <c r="Z2792" s="5" t="n">
        <v>46200</v>
      </c>
      <c r="AA2792" s="3" t="n"/>
      <c r="AB2792" s="3" t="n"/>
      <c r="AE2792" s="146">
        <f>IF(AND(F2792="Closed",X2792&gt;=DATE(2026,6,1),X2792&lt;=DATE(2026,6,30)),"Closed in June","other")</f>
        <v/>
      </c>
    </row>
    <row r="2793" hidden="1">
      <c r="A2793" s="49" t="n">
        <v>46177</v>
      </c>
      <c r="B2793" s="1" t="n">
        <v>2026</v>
      </c>
      <c r="C2793" s="8" t="inlineStr">
        <is>
          <t>Ayana</t>
        </is>
      </c>
      <c r="D2793" s="11" t="inlineStr">
        <is>
          <t>Utility and C&amp;I</t>
        </is>
      </c>
      <c r="E2793" s="1" t="n"/>
      <c r="F2793" s="1" t="inlineStr">
        <is>
          <t>Closed</t>
        </is>
      </c>
      <c r="G2793" s="11" t="inlineStr">
        <is>
          <t>Vasu.N</t>
        </is>
      </c>
      <c r="H2793" s="8" t="n">
        <v>9578099893</v>
      </c>
      <c r="I2793" s="10" t="inlineStr">
        <is>
          <t>PE04062601</t>
        </is>
      </c>
      <c r="J2793" s="28" t="inlineStr">
        <is>
          <t>Module burnt</t>
        </is>
      </c>
      <c r="K2793" s="8" t="inlineStr">
        <is>
          <t>Zura</t>
        </is>
      </c>
      <c r="L2793" s="8" t="inlineStr">
        <is>
          <t>Gujarat</t>
        </is>
      </c>
      <c r="M2793" s="2" t="inlineStr">
        <is>
          <t xml:space="preserve">damage </t>
        </is>
      </c>
      <c r="N2793" s="6" t="inlineStr">
        <is>
          <t>Module Breakage</t>
        </is>
      </c>
      <c r="O2793" s="51" t="n">
        <v>590</v>
      </c>
      <c r="P2793" s="2" t="inlineStr">
        <is>
          <t>NSMI24110813489</t>
        </is>
      </c>
      <c r="Q2793" s="29">
        <f>MID(P2793,5,2)</f>
        <v/>
      </c>
      <c r="R2793" s="14">
        <f>MID(P2793,7,2)</f>
        <v/>
      </c>
      <c r="S2793" s="6" t="inlineStr">
        <is>
          <t>G2G</t>
        </is>
      </c>
      <c r="T2793" s="1" t="inlineStr">
        <is>
          <t>P4 - PEIPL</t>
        </is>
      </c>
      <c r="U2793" s="2" t="inlineStr">
        <is>
          <t xml:space="preserve">physically damaged </t>
        </is>
      </c>
      <c r="V2793" s="1" t="inlineStr">
        <is>
          <t>Inspection</t>
        </is>
      </c>
      <c r="W2793" s="1" t="inlineStr">
        <is>
          <t>Rejected</t>
        </is>
      </c>
      <c r="X2793" s="5">
        <f>Z2793</f>
        <v/>
      </c>
      <c r="Y2793" s="1">
        <f>X2793-A2793</f>
        <v/>
      </c>
      <c r="Z2793" s="5" t="n">
        <v>46200</v>
      </c>
      <c r="AA2793" s="3" t="n"/>
      <c r="AB2793" s="3" t="n"/>
      <c r="AE2793" s="146">
        <f>IF(AND(F2793="Closed",X2793&gt;=DATE(2026,6,1),X2793&lt;=DATE(2026,6,30)),"Closed in June","other")</f>
        <v/>
      </c>
    </row>
    <row r="2794" hidden="1">
      <c r="A2794" s="49" t="n">
        <v>46177</v>
      </c>
      <c r="B2794" s="1" t="n">
        <v>2026</v>
      </c>
      <c r="C2794" s="8" t="inlineStr">
        <is>
          <t>Ayana</t>
        </is>
      </c>
      <c r="D2794" s="11" t="inlineStr">
        <is>
          <t>Utility and C&amp;I</t>
        </is>
      </c>
      <c r="E2794" s="1" t="n"/>
      <c r="F2794" s="1" t="inlineStr">
        <is>
          <t>Closed</t>
        </is>
      </c>
      <c r="G2794" s="11" t="inlineStr">
        <is>
          <t>Vasu.N</t>
        </is>
      </c>
      <c r="H2794" s="8" t="n">
        <v>9578099893</v>
      </c>
      <c r="I2794" s="10" t="inlineStr">
        <is>
          <t>PE04062601</t>
        </is>
      </c>
      <c r="J2794" s="28" t="inlineStr">
        <is>
          <t>Module burnt</t>
        </is>
      </c>
      <c r="K2794" s="8" t="inlineStr">
        <is>
          <t>Zura</t>
        </is>
      </c>
      <c r="L2794" s="8" t="inlineStr">
        <is>
          <t>Gujarat</t>
        </is>
      </c>
      <c r="M2794" s="2" t="inlineStr">
        <is>
          <t xml:space="preserve">damage </t>
        </is>
      </c>
      <c r="N2794" s="6" t="inlineStr">
        <is>
          <t>Module Breakage</t>
        </is>
      </c>
      <c r="O2794" s="51" t="n">
        <v>590</v>
      </c>
      <c r="P2794" s="2" t="inlineStr">
        <is>
          <t>NSMI24100605944</t>
        </is>
      </c>
      <c r="Q2794" s="29">
        <f>MID(P2794,5,2)</f>
        <v/>
      </c>
      <c r="R2794" s="14">
        <f>MID(P2794,7,2)</f>
        <v/>
      </c>
      <c r="S2794" s="6" t="inlineStr">
        <is>
          <t>G2G</t>
        </is>
      </c>
      <c r="T2794" s="1" t="inlineStr">
        <is>
          <t>P4 - PEIPL</t>
        </is>
      </c>
      <c r="U2794" s="2" t="inlineStr">
        <is>
          <t xml:space="preserve">physically damaged </t>
        </is>
      </c>
      <c r="V2794" s="1" t="inlineStr">
        <is>
          <t>Inspection</t>
        </is>
      </c>
      <c r="W2794" s="1" t="inlineStr">
        <is>
          <t>Rejected</t>
        </is>
      </c>
      <c r="X2794" s="5">
        <f>Z2794</f>
        <v/>
      </c>
      <c r="Y2794" s="1">
        <f>X2794-A2794</f>
        <v/>
      </c>
      <c r="Z2794" s="5" t="n">
        <v>46200</v>
      </c>
      <c r="AA2794" s="3" t="n"/>
      <c r="AB2794" s="3" t="n"/>
      <c r="AE2794" s="146">
        <f>IF(AND(F2794="Closed",X2794&gt;=DATE(2026,6,1),X2794&lt;=DATE(2026,6,30)),"Closed in June","other")</f>
        <v/>
      </c>
    </row>
    <row r="2795" hidden="1">
      <c r="A2795" s="49" t="n">
        <v>46177</v>
      </c>
      <c r="B2795" s="1" t="n">
        <v>2026</v>
      </c>
      <c r="C2795" s="8" t="inlineStr">
        <is>
          <t>Ayana</t>
        </is>
      </c>
      <c r="D2795" s="11" t="inlineStr">
        <is>
          <t>Utility and C&amp;I</t>
        </is>
      </c>
      <c r="E2795" s="1" t="n"/>
      <c r="F2795" s="1" t="inlineStr">
        <is>
          <t>Closed</t>
        </is>
      </c>
      <c r="G2795" s="11" t="inlineStr">
        <is>
          <t>Vasu.N</t>
        </is>
      </c>
      <c r="H2795" s="8" t="n">
        <v>9578099893</v>
      </c>
      <c r="I2795" s="10" t="inlineStr">
        <is>
          <t>PE04062601</t>
        </is>
      </c>
      <c r="J2795" s="28" t="inlineStr">
        <is>
          <t>Module burnt</t>
        </is>
      </c>
      <c r="K2795" s="8" t="inlineStr">
        <is>
          <t>Zura</t>
        </is>
      </c>
      <c r="L2795" s="8" t="inlineStr">
        <is>
          <t>Gujarat</t>
        </is>
      </c>
      <c r="M2795" s="2" t="inlineStr">
        <is>
          <t xml:space="preserve">damage </t>
        </is>
      </c>
      <c r="N2795" s="6" t="inlineStr">
        <is>
          <t>Module Breakage</t>
        </is>
      </c>
      <c r="O2795" s="51" t="n">
        <v>590</v>
      </c>
      <c r="P2795" s="2" t="inlineStr">
        <is>
          <t>NSMI24100684106</t>
        </is>
      </c>
      <c r="Q2795" s="29">
        <f>MID(P2795,5,2)</f>
        <v/>
      </c>
      <c r="R2795" s="14">
        <f>MID(P2795,7,2)</f>
        <v/>
      </c>
      <c r="S2795" s="6" t="inlineStr">
        <is>
          <t>G2G</t>
        </is>
      </c>
      <c r="T2795" s="1" t="inlineStr">
        <is>
          <t>P4 - PEIPL</t>
        </is>
      </c>
      <c r="U2795" s="2" t="inlineStr">
        <is>
          <t xml:space="preserve">physically damaged </t>
        </is>
      </c>
      <c r="V2795" s="1" t="inlineStr">
        <is>
          <t>Inspection</t>
        </is>
      </c>
      <c r="W2795" s="1" t="inlineStr">
        <is>
          <t>Rejected</t>
        </is>
      </c>
      <c r="X2795" s="5">
        <f>Z2795</f>
        <v/>
      </c>
      <c r="Y2795" s="1">
        <f>X2795-A2795</f>
        <v/>
      </c>
      <c r="Z2795" s="5" t="n">
        <v>46200</v>
      </c>
      <c r="AA2795" s="3" t="n"/>
      <c r="AB2795" s="3" t="n"/>
      <c r="AE2795" s="146">
        <f>IF(AND(F2795="Closed",X2795&gt;=DATE(2026,6,1),X2795&lt;=DATE(2026,6,30)),"Closed in June","other")</f>
        <v/>
      </c>
    </row>
    <row r="2796" hidden="1">
      <c r="A2796" s="49" t="n">
        <v>46177</v>
      </c>
      <c r="B2796" s="1" t="n">
        <v>2026</v>
      </c>
      <c r="C2796" s="8" t="inlineStr">
        <is>
          <t>Ayana</t>
        </is>
      </c>
      <c r="D2796" s="11" t="inlineStr">
        <is>
          <t>Utility and C&amp;I</t>
        </is>
      </c>
      <c r="E2796" s="1" t="n"/>
      <c r="F2796" s="1" t="inlineStr">
        <is>
          <t>Closed</t>
        </is>
      </c>
      <c r="G2796" s="11" t="inlineStr">
        <is>
          <t>Vasu.N</t>
        </is>
      </c>
      <c r="H2796" s="8" t="n">
        <v>9578099893</v>
      </c>
      <c r="I2796" s="10" t="inlineStr">
        <is>
          <t>PE04062601</t>
        </is>
      </c>
      <c r="J2796" s="28" t="inlineStr">
        <is>
          <t>Module burnt</t>
        </is>
      </c>
      <c r="K2796" s="8" t="inlineStr">
        <is>
          <t>Zura</t>
        </is>
      </c>
      <c r="L2796" s="8" t="inlineStr">
        <is>
          <t>Gujarat</t>
        </is>
      </c>
      <c r="M2796" s="2" t="inlineStr">
        <is>
          <t xml:space="preserve">damage </t>
        </is>
      </c>
      <c r="N2796" s="6" t="inlineStr">
        <is>
          <t>Module Breakage</t>
        </is>
      </c>
      <c r="O2796" s="51" t="n">
        <v>590</v>
      </c>
      <c r="P2796" s="2" t="inlineStr">
        <is>
          <t>NSMI24100657373</t>
        </is>
      </c>
      <c r="Q2796" s="29">
        <f>MID(P2796,5,2)</f>
        <v/>
      </c>
      <c r="R2796" s="14">
        <f>MID(P2796,7,2)</f>
        <v/>
      </c>
      <c r="S2796" s="6" t="inlineStr">
        <is>
          <t>G2G</t>
        </is>
      </c>
      <c r="T2796" s="1" t="inlineStr">
        <is>
          <t>P4 - PEIPL</t>
        </is>
      </c>
      <c r="U2796" s="2" t="inlineStr">
        <is>
          <t xml:space="preserve">physically damaged </t>
        </is>
      </c>
      <c r="V2796" s="1" t="inlineStr">
        <is>
          <t>Inspection</t>
        </is>
      </c>
      <c r="W2796" s="1" t="inlineStr">
        <is>
          <t>Rejected</t>
        </is>
      </c>
      <c r="X2796" s="5">
        <f>Z2796</f>
        <v/>
      </c>
      <c r="Y2796" s="1">
        <f>X2796-A2796</f>
        <v/>
      </c>
      <c r="Z2796" s="5" t="n">
        <v>46200</v>
      </c>
      <c r="AA2796" s="3" t="n"/>
      <c r="AB2796" s="3" t="n"/>
      <c r="AE2796" s="146">
        <f>IF(AND(F2796="Closed",X2796&gt;=DATE(2026,6,1),X2796&lt;=DATE(2026,6,30)),"Closed in June","other")</f>
        <v/>
      </c>
    </row>
    <row r="2797" hidden="1">
      <c r="A2797" s="49" t="n">
        <v>46177</v>
      </c>
      <c r="B2797" s="1" t="n">
        <v>2026</v>
      </c>
      <c r="C2797" s="8" t="inlineStr">
        <is>
          <t>Ayana</t>
        </is>
      </c>
      <c r="D2797" s="11" t="inlineStr">
        <is>
          <t>Utility and C&amp;I</t>
        </is>
      </c>
      <c r="E2797" s="1" t="n"/>
      <c r="F2797" s="1" t="inlineStr">
        <is>
          <t>WIP</t>
        </is>
      </c>
      <c r="G2797" s="11" t="inlineStr">
        <is>
          <t>Vasu.N</t>
        </is>
      </c>
      <c r="H2797" s="8" t="n">
        <v>9578099893</v>
      </c>
      <c r="I2797" s="10" t="inlineStr">
        <is>
          <t>PE04062601</t>
        </is>
      </c>
      <c r="J2797" s="28" t="inlineStr">
        <is>
          <t>Module burnt</t>
        </is>
      </c>
      <c r="K2797" s="8" t="inlineStr">
        <is>
          <t>Zura</t>
        </is>
      </c>
      <c r="L2797" s="8" t="inlineStr">
        <is>
          <t>Gujarat</t>
        </is>
      </c>
      <c r="M2797" s="2" t="inlineStr">
        <is>
          <t xml:space="preserve">damage </t>
        </is>
      </c>
      <c r="N2797" s="6" t="inlineStr">
        <is>
          <t>Module Breakage</t>
        </is>
      </c>
      <c r="O2797" s="51" t="n">
        <v>590</v>
      </c>
      <c r="P2797" s="2" t="inlineStr">
        <is>
          <t>NSMI24100649624</t>
        </is>
      </c>
      <c r="Q2797" s="29">
        <f>MID(P2797,5,2)</f>
        <v/>
      </c>
      <c r="R2797" s="14">
        <f>MID(P2797,7,2)</f>
        <v/>
      </c>
      <c r="S2797" s="6" t="inlineStr">
        <is>
          <t>G2G</t>
        </is>
      </c>
      <c r="T2797" s="1" t="inlineStr">
        <is>
          <t>P4 - PEIPL</t>
        </is>
      </c>
      <c r="U2797" s="2" t="inlineStr">
        <is>
          <t>Frame Damaged</t>
        </is>
      </c>
      <c r="V2797" s="47" t="inlineStr">
        <is>
          <t>WIP</t>
        </is>
      </c>
      <c r="W2797" s="1" t="inlineStr">
        <is>
          <t>WIP</t>
        </is>
      </c>
      <c r="X2797" s="5" t="n"/>
      <c r="Y2797" s="1">
        <f>IF(X2797="","",X2797-A2797)</f>
        <v/>
      </c>
      <c r="Z2797" s="5" t="n">
        <v>46200</v>
      </c>
      <c r="AA2797" s="3" t="n"/>
      <c r="AB2797" s="3" t="n"/>
      <c r="AE2797" s="146">
        <f>IF(AND(F2797="Closed",X2797&gt;=DATE(2026,6,1),X2797&lt;=DATE(2026,6,30)),"Closed in June","other")</f>
        <v/>
      </c>
    </row>
    <row r="2798" hidden="1">
      <c r="A2798" s="49" t="n">
        <v>46185</v>
      </c>
      <c r="B2798" s="1" t="n">
        <v>2026</v>
      </c>
      <c r="C2798" s="8" t="inlineStr">
        <is>
          <t>Solar Square</t>
        </is>
      </c>
      <c r="D2798" s="8" t="inlineStr">
        <is>
          <t>OEM</t>
        </is>
      </c>
      <c r="E2798" s="1" t="n"/>
      <c r="F2798" s="1" t="inlineStr">
        <is>
          <t>Closed</t>
        </is>
      </c>
      <c r="G2798" s="8" t="inlineStr">
        <is>
          <t>Punith Kumar</t>
        </is>
      </c>
      <c r="H2798" s="28" t="n">
        <v>9481311722</v>
      </c>
      <c r="I2798" s="10" t="inlineStr">
        <is>
          <t>PE12062601</t>
        </is>
      </c>
      <c r="J2798" s="8" t="inlineStr">
        <is>
          <t>Yellowing of potting &amp; blackish/greenish spots</t>
        </is>
      </c>
      <c r="K2798" s="8" t="inlineStr">
        <is>
          <t>Manglore</t>
        </is>
      </c>
      <c r="L2798" s="8" t="inlineStr">
        <is>
          <t>Karnataka</t>
        </is>
      </c>
      <c r="M2798" s="2" t="inlineStr">
        <is>
          <t>Yellowish discoloration at JB Ribbon  but Electrical parameters OK</t>
        </is>
      </c>
      <c r="N2798" s="2" t="inlineStr">
        <is>
          <t>No Issue Found</t>
        </is>
      </c>
      <c r="O2798" s="51" t="n">
        <v>545</v>
      </c>
      <c r="P2798" s="2" t="inlineStr">
        <is>
          <t>NSMP25032823510</t>
        </is>
      </c>
      <c r="Q2798" s="14">
        <f>MID(P2798,5,2)</f>
        <v/>
      </c>
      <c r="R2798" s="14">
        <f>MID(P2798,7,2)</f>
        <v/>
      </c>
      <c r="S2798" s="6" t="inlineStr">
        <is>
          <t>G2TB</t>
        </is>
      </c>
      <c r="T2798" s="1" t="inlineStr">
        <is>
          <t>P2 - PEPPL</t>
        </is>
      </c>
      <c r="U2798" s="2" t="inlineStr">
        <is>
          <t>Yellowish discoloration at JB Ribbon  but Electrical parameters OK</t>
        </is>
      </c>
      <c r="V2798" s="6" t="inlineStr">
        <is>
          <t>Inspection</t>
        </is>
      </c>
      <c r="W2798" s="1" t="inlineStr">
        <is>
          <t>Rejected</t>
        </is>
      </c>
      <c r="X2798" s="9" t="n">
        <v>46202</v>
      </c>
      <c r="Y2798" s="1">
        <f>IF(X2798="","",X2798-A2798)</f>
        <v/>
      </c>
      <c r="Z2798" s="9" t="n">
        <v>46202</v>
      </c>
      <c r="AA2798" s="3" t="n"/>
      <c r="AB2798" s="3" t="n"/>
      <c r="AE2798" s="146">
        <f>IF(AND(F2798="Closed",X2798&gt;=DATE(2026,6,1),X2798&lt;=DATE(2026,6,30)),"Closed in June","other")</f>
        <v/>
      </c>
    </row>
    <row r="2799" hidden="1">
      <c r="A2799" s="49" t="n">
        <v>46185</v>
      </c>
      <c r="B2799" s="1" t="n">
        <v>2026</v>
      </c>
      <c r="C2799" s="8" t="inlineStr">
        <is>
          <t>Solar Square</t>
        </is>
      </c>
      <c r="D2799" s="8" t="inlineStr">
        <is>
          <t>OEM</t>
        </is>
      </c>
      <c r="E2799" s="1" t="n"/>
      <c r="F2799" s="1" t="inlineStr">
        <is>
          <t>Closed</t>
        </is>
      </c>
      <c r="G2799" s="8" t="inlineStr">
        <is>
          <t>Punith Kumar</t>
        </is>
      </c>
      <c r="H2799" s="28" t="n">
        <v>9481311722</v>
      </c>
      <c r="I2799" s="10" t="inlineStr">
        <is>
          <t>PE12062601</t>
        </is>
      </c>
      <c r="J2799" s="8" t="inlineStr">
        <is>
          <t>Yellowing of potting &amp; blackish/greenish spots</t>
        </is>
      </c>
      <c r="K2799" s="8" t="inlineStr">
        <is>
          <t>Manglore</t>
        </is>
      </c>
      <c r="L2799" s="8" t="inlineStr">
        <is>
          <t>Karnataka</t>
        </is>
      </c>
      <c r="M2799" s="2" t="inlineStr">
        <is>
          <t>Yellowish discoloration at JB Ribbon  but Electrical parameters OK</t>
        </is>
      </c>
      <c r="N2799" s="2" t="inlineStr">
        <is>
          <t>No Issue Found</t>
        </is>
      </c>
      <c r="O2799" s="51" t="n">
        <v>545</v>
      </c>
      <c r="P2799" s="2" t="inlineStr">
        <is>
          <t>NSMP25032821951</t>
        </is>
      </c>
      <c r="Q2799" s="14">
        <f>MID(P2799,5,2)</f>
        <v/>
      </c>
      <c r="R2799" s="14">
        <f>MID(P2799,7,2)</f>
        <v/>
      </c>
      <c r="S2799" s="6" t="inlineStr">
        <is>
          <t>G2TB</t>
        </is>
      </c>
      <c r="T2799" s="1" t="inlineStr">
        <is>
          <t>P2 - PEPPL</t>
        </is>
      </c>
      <c r="U2799" s="2" t="inlineStr">
        <is>
          <t>Yellowish discoloration at JB Ribbon  but Electrical parameters OK</t>
        </is>
      </c>
      <c r="V2799" s="6" t="inlineStr">
        <is>
          <t>Inspection</t>
        </is>
      </c>
      <c r="W2799" s="1" t="inlineStr">
        <is>
          <t>Rejected</t>
        </is>
      </c>
      <c r="X2799" s="9" t="n">
        <v>46202</v>
      </c>
      <c r="Y2799" s="1">
        <f>IF(X2799="","",X2799-A2799)</f>
        <v/>
      </c>
      <c r="Z2799" s="9" t="n">
        <v>46202</v>
      </c>
      <c r="AA2799" s="3" t="n"/>
      <c r="AB2799" s="3" t="n"/>
      <c r="AE2799" s="146">
        <f>IF(AND(F2799="Closed",X2799&gt;=DATE(2026,6,1),X2799&lt;=DATE(2026,6,30)),"Closed in June","other")</f>
        <v/>
      </c>
    </row>
    <row r="2800" hidden="1">
      <c r="A2800" s="49" t="n">
        <v>46185</v>
      </c>
      <c r="B2800" s="1" t="n">
        <v>2026</v>
      </c>
      <c r="C2800" s="8" t="inlineStr">
        <is>
          <t>Solar Square</t>
        </is>
      </c>
      <c r="D2800" s="8" t="inlineStr">
        <is>
          <t>OEM</t>
        </is>
      </c>
      <c r="E2800" s="1" t="n"/>
      <c r="F2800" s="1" t="inlineStr">
        <is>
          <t>Closed</t>
        </is>
      </c>
      <c r="G2800" s="8" t="inlineStr">
        <is>
          <t>Punith Kumar</t>
        </is>
      </c>
      <c r="H2800" s="28" t="n">
        <v>9481311722</v>
      </c>
      <c r="I2800" s="10" t="inlineStr">
        <is>
          <t>PE12062601</t>
        </is>
      </c>
      <c r="J2800" s="8" t="inlineStr">
        <is>
          <t>Yellowing of potting &amp; blackish/greenish spots</t>
        </is>
      </c>
      <c r="K2800" s="8" t="inlineStr">
        <is>
          <t>Manglore</t>
        </is>
      </c>
      <c r="L2800" s="8" t="inlineStr">
        <is>
          <t>Karnataka</t>
        </is>
      </c>
      <c r="M2800" s="2" t="inlineStr">
        <is>
          <t>Yellowish discoloration at JB Ribbon  but Electrical parameters OK</t>
        </is>
      </c>
      <c r="N2800" s="2" t="inlineStr">
        <is>
          <t>No Issue Found</t>
        </is>
      </c>
      <c r="O2800" s="51" t="n">
        <v>545</v>
      </c>
      <c r="P2800" s="2" t="inlineStr">
        <is>
          <t>NSMP25032821958</t>
        </is>
      </c>
      <c r="Q2800" s="14">
        <f>MID(P2800,5,2)</f>
        <v/>
      </c>
      <c r="R2800" s="14">
        <f>MID(P2800,7,2)</f>
        <v/>
      </c>
      <c r="S2800" s="6" t="inlineStr">
        <is>
          <t>G2TB</t>
        </is>
      </c>
      <c r="T2800" s="1" t="inlineStr">
        <is>
          <t>P2 - PEPPL</t>
        </is>
      </c>
      <c r="U2800" s="2" t="inlineStr">
        <is>
          <t>Yellowish discoloration at JB Ribbon  but Electrical parameters OK</t>
        </is>
      </c>
      <c r="V2800" s="6" t="inlineStr">
        <is>
          <t>Inspection</t>
        </is>
      </c>
      <c r="W2800" s="1" t="inlineStr">
        <is>
          <t>Rejected</t>
        </is>
      </c>
      <c r="X2800" s="9" t="n">
        <v>46202</v>
      </c>
      <c r="Y2800" s="1">
        <f>IF(X2800="","",X2800-A2800)</f>
        <v/>
      </c>
      <c r="Z2800" s="9" t="n">
        <v>46202</v>
      </c>
      <c r="AA2800" s="3" t="n"/>
      <c r="AB2800" s="3" t="n"/>
      <c r="AE2800" s="146">
        <f>IF(AND(F2800="Closed",X2800&gt;=DATE(2026,6,1),X2800&lt;=DATE(2026,6,30)),"Closed in June","other")</f>
        <v/>
      </c>
    </row>
    <row r="2801" hidden="1">
      <c r="A2801" s="49" t="n">
        <v>46185</v>
      </c>
      <c r="B2801" s="1" t="n">
        <v>2026</v>
      </c>
      <c r="C2801" s="8" t="inlineStr">
        <is>
          <t>Solar Square</t>
        </is>
      </c>
      <c r="D2801" s="8" t="inlineStr">
        <is>
          <t>OEM</t>
        </is>
      </c>
      <c r="E2801" s="1" t="n"/>
      <c r="F2801" s="1" t="inlineStr">
        <is>
          <t>Closed</t>
        </is>
      </c>
      <c r="G2801" s="8" t="inlineStr">
        <is>
          <t>Punith Kumar</t>
        </is>
      </c>
      <c r="H2801" s="28" t="n">
        <v>9481311722</v>
      </c>
      <c r="I2801" s="10" t="inlineStr">
        <is>
          <t>PE12062601</t>
        </is>
      </c>
      <c r="J2801" s="8" t="inlineStr">
        <is>
          <t>Yellowing of potting &amp; blackish/greenish spots</t>
        </is>
      </c>
      <c r="K2801" s="8" t="inlineStr">
        <is>
          <t>Manglore</t>
        </is>
      </c>
      <c r="L2801" s="8" t="inlineStr">
        <is>
          <t>Karnataka</t>
        </is>
      </c>
      <c r="M2801" s="2" t="inlineStr">
        <is>
          <t>Yellowish discoloration at JB Ribbon  but Electrical parameters OK</t>
        </is>
      </c>
      <c r="N2801" s="2" t="inlineStr">
        <is>
          <t>No Issue Found</t>
        </is>
      </c>
      <c r="O2801" s="51" t="n">
        <v>545</v>
      </c>
      <c r="P2801" s="2" t="inlineStr">
        <is>
          <t>NSMP25032822522</t>
        </is>
      </c>
      <c r="Q2801" s="14">
        <f>MID(P2801,5,2)</f>
        <v/>
      </c>
      <c r="R2801" s="14">
        <f>MID(P2801,7,2)</f>
        <v/>
      </c>
      <c r="S2801" s="6" t="inlineStr">
        <is>
          <t>G2TB</t>
        </is>
      </c>
      <c r="T2801" s="1" t="inlineStr">
        <is>
          <t>P2 - PEPPL</t>
        </is>
      </c>
      <c r="U2801" s="2" t="inlineStr">
        <is>
          <t>Yellowish discoloration at JB Ribbon  but Electrical parameters OK</t>
        </is>
      </c>
      <c r="V2801" s="6" t="inlineStr">
        <is>
          <t>Inspection</t>
        </is>
      </c>
      <c r="W2801" s="1" t="inlineStr">
        <is>
          <t>Rejected</t>
        </is>
      </c>
      <c r="X2801" s="9" t="n">
        <v>46202</v>
      </c>
      <c r="Y2801" s="1">
        <f>IF(X2801="","",X2801-A2801)</f>
        <v/>
      </c>
      <c r="Z2801" s="9" t="n">
        <v>46202</v>
      </c>
      <c r="AA2801" s="3" t="n"/>
      <c r="AB2801" s="3" t="n"/>
      <c r="AE2801" s="146">
        <f>IF(AND(F2801="Closed",X2801&gt;=DATE(2026,6,1),X2801&lt;=DATE(2026,6,30)),"Closed in June","other")</f>
        <v/>
      </c>
    </row>
    <row r="2802" hidden="1">
      <c r="A2802" s="49" t="n">
        <v>46185</v>
      </c>
      <c r="B2802" s="1" t="n">
        <v>2026</v>
      </c>
      <c r="C2802" s="8" t="inlineStr">
        <is>
          <t>Solar Square</t>
        </is>
      </c>
      <c r="D2802" s="8" t="inlineStr">
        <is>
          <t>OEM</t>
        </is>
      </c>
      <c r="E2802" s="1" t="n"/>
      <c r="F2802" s="1" t="inlineStr">
        <is>
          <t>Closed</t>
        </is>
      </c>
      <c r="G2802" s="8" t="inlineStr">
        <is>
          <t>Punith Kumar</t>
        </is>
      </c>
      <c r="H2802" s="28" t="n">
        <v>9481311722</v>
      </c>
      <c r="I2802" s="10" t="inlineStr">
        <is>
          <t>PE12062601</t>
        </is>
      </c>
      <c r="J2802" s="8" t="inlineStr">
        <is>
          <t>Yellowing of potting &amp; blackish/greenish spots</t>
        </is>
      </c>
      <c r="K2802" s="8" t="inlineStr">
        <is>
          <t>Manglore</t>
        </is>
      </c>
      <c r="L2802" s="8" t="inlineStr">
        <is>
          <t>Karnataka</t>
        </is>
      </c>
      <c r="M2802" s="2" t="inlineStr">
        <is>
          <t>Yellowish discoloration at JB Ribbon  but Electrical parameters OK</t>
        </is>
      </c>
      <c r="N2802" s="2" t="inlineStr">
        <is>
          <t>No Issue Found</t>
        </is>
      </c>
      <c r="O2802" s="51" t="n">
        <v>545</v>
      </c>
      <c r="P2802" s="2" t="inlineStr">
        <is>
          <t>NSMP25032823495</t>
        </is>
      </c>
      <c r="Q2802" s="14">
        <f>MID(P2802,5,2)</f>
        <v/>
      </c>
      <c r="R2802" s="14">
        <f>MID(P2802,7,2)</f>
        <v/>
      </c>
      <c r="S2802" s="6" t="inlineStr">
        <is>
          <t>G2TB</t>
        </is>
      </c>
      <c r="T2802" s="1" t="inlineStr">
        <is>
          <t>P2 - PEPPL</t>
        </is>
      </c>
      <c r="U2802" s="2" t="inlineStr">
        <is>
          <t>Yellowish discoloration at JB Ribbon  but Electrical parameters OK</t>
        </is>
      </c>
      <c r="V2802" s="6" t="inlineStr">
        <is>
          <t>Inspection</t>
        </is>
      </c>
      <c r="W2802" s="1" t="inlineStr">
        <is>
          <t>Rejected</t>
        </is>
      </c>
      <c r="X2802" s="9" t="n">
        <v>46202</v>
      </c>
      <c r="Y2802" s="1">
        <f>IF(X2802="","",X2802-A2802)</f>
        <v/>
      </c>
      <c r="Z2802" s="9" t="n">
        <v>46202</v>
      </c>
      <c r="AA2802" s="3" t="n"/>
      <c r="AB2802" s="3" t="n"/>
      <c r="AE2802" s="146">
        <f>IF(AND(F2802="Closed",X2802&gt;=DATE(2026,6,1),X2802&lt;=DATE(2026,6,30)),"Closed in June","other")</f>
        <v/>
      </c>
    </row>
    <row r="2803" hidden="1">
      <c r="A2803" s="9" t="n">
        <v>46134</v>
      </c>
      <c r="B2803" s="1" t="n">
        <v>2026</v>
      </c>
      <c r="C2803" s="8" t="inlineStr">
        <is>
          <t>First Energy</t>
        </is>
      </c>
      <c r="D2803" s="11" t="inlineStr">
        <is>
          <t>Utility and C&amp;I</t>
        </is>
      </c>
      <c r="E2803" s="1" t="n"/>
      <c r="F2803" s="1" t="inlineStr">
        <is>
          <t>Closed</t>
        </is>
      </c>
      <c r="G2803" s="8" t="inlineStr">
        <is>
          <t>Saravanakumar</t>
        </is>
      </c>
      <c r="H2803" s="8" t="n">
        <v>8248438488</v>
      </c>
      <c r="I2803" s="10" t="inlineStr">
        <is>
          <t>PE22042601</t>
        </is>
      </c>
      <c r="J2803" s="8" t="inlineStr">
        <is>
          <t>Anomalies/defects in the modules</t>
        </is>
      </c>
      <c r="K2803" s="8" t="inlineStr">
        <is>
          <t>Tirunelveli</t>
        </is>
      </c>
      <c r="L2803" s="8" t="inlineStr">
        <is>
          <t>Tamil Nadu</t>
        </is>
      </c>
      <c r="M2803" s="61" t="inlineStr">
        <is>
          <t>PS</t>
        </is>
      </c>
      <c r="N2803" s="6" t="inlineStr">
        <is>
          <t>Cold Soldering</t>
        </is>
      </c>
      <c r="O2803" s="51" t="n">
        <v>550</v>
      </c>
      <c r="P2803" s="60" t="inlineStr">
        <is>
          <t>NSMP2308479812</t>
        </is>
      </c>
      <c r="Q2803" s="29">
        <f>MID(P2803,5,2)</f>
        <v/>
      </c>
      <c r="R2803" s="14">
        <f>MID(P2803,7,2)</f>
        <v/>
      </c>
      <c r="S2803" s="6" t="inlineStr">
        <is>
          <t>G2B</t>
        </is>
      </c>
      <c r="T2803" s="1" t="inlineStr">
        <is>
          <t>P2 - PEPPL</t>
        </is>
      </c>
      <c r="U2803" s="6" t="inlineStr">
        <is>
          <t>P JB Cold Soldering</t>
        </is>
      </c>
      <c r="V2803" s="1" t="inlineStr">
        <is>
          <t>Soldering</t>
        </is>
      </c>
      <c r="W2803" s="1" t="inlineStr">
        <is>
          <t>Repair</t>
        </is>
      </c>
      <c r="X2803" s="5" t="n">
        <v>46202</v>
      </c>
      <c r="Y2803" s="1">
        <f>IF(X2803="","",X2803-A2803)</f>
        <v/>
      </c>
      <c r="Z2803" s="5" t="n">
        <v>46202</v>
      </c>
      <c r="AA2803" s="3" t="n"/>
      <c r="AB2803" s="3" t="n"/>
      <c r="AE2803" s="146">
        <f>IF(AND(F2803="Closed",X2803&gt;=DATE(2026,6,1),X2803&lt;=DATE(2026,6,30)),"Closed in June","other")</f>
        <v/>
      </c>
    </row>
    <row r="2804" hidden="1">
      <c r="A2804" s="9" t="n">
        <v>46134</v>
      </c>
      <c r="B2804" s="1" t="n">
        <v>2026</v>
      </c>
      <c r="C2804" s="8" t="inlineStr">
        <is>
          <t>First Energy</t>
        </is>
      </c>
      <c r="D2804" s="11" t="inlineStr">
        <is>
          <t>Utility and C&amp;I</t>
        </is>
      </c>
      <c r="E2804" s="1" t="n"/>
      <c r="F2804" s="1" t="inlineStr">
        <is>
          <t>Closed</t>
        </is>
      </c>
      <c r="G2804" s="8" t="inlineStr">
        <is>
          <t>Saravanakumar</t>
        </is>
      </c>
      <c r="H2804" s="8" t="n">
        <v>8248438488</v>
      </c>
      <c r="I2804" s="10" t="inlineStr">
        <is>
          <t>PE22042601</t>
        </is>
      </c>
      <c r="J2804" s="8" t="inlineStr">
        <is>
          <t>Anomalies/defects in the modules</t>
        </is>
      </c>
      <c r="K2804" s="8" t="inlineStr">
        <is>
          <t>Tirunelveli</t>
        </is>
      </c>
      <c r="L2804" s="8" t="inlineStr">
        <is>
          <t>Tamil Nadu</t>
        </is>
      </c>
      <c r="M2804" s="62" t="inlineStr">
        <is>
          <t>PS</t>
        </is>
      </c>
      <c r="N2804" s="6" t="inlineStr">
        <is>
          <t>Cold Soldering</t>
        </is>
      </c>
      <c r="O2804" s="51" t="n">
        <v>550</v>
      </c>
      <c r="P2804" s="60" t="inlineStr">
        <is>
          <t>NSMP2305161875</t>
        </is>
      </c>
      <c r="Q2804" s="29">
        <f>MID(P2804,5,2)</f>
        <v/>
      </c>
      <c r="R2804" s="14">
        <f>MID(P2804,7,2)</f>
        <v/>
      </c>
      <c r="S2804" s="6" t="inlineStr">
        <is>
          <t>G2B</t>
        </is>
      </c>
      <c r="T2804" s="1" t="inlineStr">
        <is>
          <t>P2 - PEPPL</t>
        </is>
      </c>
      <c r="U2804" s="6" t="inlineStr">
        <is>
          <t>P JB Cold Soldering</t>
        </is>
      </c>
      <c r="V2804" s="1" t="inlineStr">
        <is>
          <t>Soldering</t>
        </is>
      </c>
      <c r="W2804" s="1" t="inlineStr">
        <is>
          <t>Repair</t>
        </is>
      </c>
      <c r="X2804" s="5" t="n">
        <v>46202</v>
      </c>
      <c r="Y2804" s="1">
        <f>IF(X2804="","",X2804-A2804)</f>
        <v/>
      </c>
      <c r="Z2804" s="5" t="n">
        <v>46202</v>
      </c>
      <c r="AA2804" s="3" t="n"/>
      <c r="AB2804" s="3" t="n"/>
      <c r="AE2804" s="146">
        <f>IF(AND(F2804="Closed",X2804&gt;=DATE(2026,6,1),X2804&lt;=DATE(2026,6,30)),"Closed in June","other")</f>
        <v/>
      </c>
    </row>
    <row r="2805" hidden="1">
      <c r="A2805" s="9" t="n">
        <v>46134</v>
      </c>
      <c r="B2805" s="1" t="n">
        <v>2026</v>
      </c>
      <c r="C2805" s="8" t="inlineStr">
        <is>
          <t>First Energy</t>
        </is>
      </c>
      <c r="D2805" s="11" t="inlineStr">
        <is>
          <t>Utility and C&amp;I</t>
        </is>
      </c>
      <c r="E2805" s="1" t="n"/>
      <c r="F2805" s="1" t="inlineStr">
        <is>
          <t>Closed</t>
        </is>
      </c>
      <c r="G2805" s="8" t="inlineStr">
        <is>
          <t>Saravanakumar</t>
        </is>
      </c>
      <c r="H2805" s="8" t="n">
        <v>8248438488</v>
      </c>
      <c r="I2805" s="10" t="inlineStr">
        <is>
          <t>PE22042601</t>
        </is>
      </c>
      <c r="J2805" s="8" t="inlineStr">
        <is>
          <t>Anomalies/defects in the modules</t>
        </is>
      </c>
      <c r="K2805" s="8" t="inlineStr">
        <is>
          <t>Tirunelveli</t>
        </is>
      </c>
      <c r="L2805" s="8" t="inlineStr">
        <is>
          <t>Tamil Nadu</t>
        </is>
      </c>
      <c r="M2805" s="62" t="inlineStr">
        <is>
          <t>OK</t>
        </is>
      </c>
      <c r="N2805" s="2" t="inlineStr">
        <is>
          <t>No Issue Found</t>
        </is>
      </c>
      <c r="O2805" s="51" t="n">
        <v>550</v>
      </c>
      <c r="P2805" s="60" t="inlineStr">
        <is>
          <t>NSMP2307367205</t>
        </is>
      </c>
      <c r="Q2805" s="29">
        <f>MID(P2805,5,2)</f>
        <v/>
      </c>
      <c r="R2805" s="14">
        <f>MID(P2805,7,2)</f>
        <v/>
      </c>
      <c r="S2805" s="6" t="inlineStr">
        <is>
          <t>G2B</t>
        </is>
      </c>
      <c r="T2805" s="1" t="inlineStr">
        <is>
          <t>P2 - PEPPL</t>
        </is>
      </c>
      <c r="U2805" s="6" t="inlineStr">
        <is>
          <t>No Issue Found</t>
        </is>
      </c>
      <c r="V2805" s="6" t="inlineStr">
        <is>
          <t>Inspection</t>
        </is>
      </c>
      <c r="W2805" s="1" t="inlineStr">
        <is>
          <t>Rejected</t>
        </is>
      </c>
      <c r="X2805" s="5" t="n">
        <v>46202</v>
      </c>
      <c r="Y2805" s="1">
        <f>IF(X2805="","",X2805-A2805)</f>
        <v/>
      </c>
      <c r="Z2805" s="5" t="n">
        <v>46202</v>
      </c>
      <c r="AA2805" s="3" t="n"/>
      <c r="AB2805" s="3" t="n"/>
      <c r="AE2805" s="146">
        <f>IF(AND(F2805="Closed",X2805&gt;=DATE(2026,6,1),X2805&lt;=DATE(2026,6,30)),"Closed in June","other")</f>
        <v/>
      </c>
    </row>
    <row r="2806" hidden="1">
      <c r="A2806" s="9" t="n">
        <v>46134</v>
      </c>
      <c r="B2806" s="1" t="n">
        <v>2026</v>
      </c>
      <c r="C2806" s="8" t="inlineStr">
        <is>
          <t>First Energy</t>
        </is>
      </c>
      <c r="D2806" s="11" t="inlineStr">
        <is>
          <t>Utility and C&amp;I</t>
        </is>
      </c>
      <c r="E2806" s="1" t="n"/>
      <c r="F2806" s="1" t="inlineStr">
        <is>
          <t>Closed</t>
        </is>
      </c>
      <c r="G2806" s="8" t="inlineStr">
        <is>
          <t>Saravanakumar</t>
        </is>
      </c>
      <c r="H2806" s="8" t="n">
        <v>8248438488</v>
      </c>
      <c r="I2806" s="10" t="inlineStr">
        <is>
          <t>PE22042601</t>
        </is>
      </c>
      <c r="J2806" s="8" t="inlineStr">
        <is>
          <t>Anomalies/defects in the modules</t>
        </is>
      </c>
      <c r="K2806" s="8" t="inlineStr">
        <is>
          <t>Tirunelveli</t>
        </is>
      </c>
      <c r="L2806" s="8" t="inlineStr">
        <is>
          <t>Tamil Nadu</t>
        </is>
      </c>
      <c r="M2806" s="62" t="inlineStr">
        <is>
          <t>NS</t>
        </is>
      </c>
      <c r="N2806" s="6" t="inlineStr">
        <is>
          <t>Cold Soldering</t>
        </is>
      </c>
      <c r="O2806" s="51" t="n">
        <v>550</v>
      </c>
      <c r="P2806" s="60" t="inlineStr">
        <is>
          <t>NSMP2305143043</t>
        </is>
      </c>
      <c r="Q2806" s="29">
        <f>MID(P2806,5,2)</f>
        <v/>
      </c>
      <c r="R2806" s="14">
        <f>MID(P2806,7,2)</f>
        <v/>
      </c>
      <c r="S2806" s="6" t="inlineStr">
        <is>
          <t>G2B</t>
        </is>
      </c>
      <c r="T2806" s="1" t="inlineStr">
        <is>
          <t>P2 - PEPPL</t>
        </is>
      </c>
      <c r="U2806" s="6" t="inlineStr">
        <is>
          <t>N JB Cold Soldering</t>
        </is>
      </c>
      <c r="V2806" s="1" t="inlineStr">
        <is>
          <t>Soldering</t>
        </is>
      </c>
      <c r="W2806" s="1" t="inlineStr">
        <is>
          <t>Repair</t>
        </is>
      </c>
      <c r="X2806" s="5" t="n">
        <v>46202</v>
      </c>
      <c r="Y2806" s="1">
        <f>IF(X2806="","",X2806-A2806)</f>
        <v/>
      </c>
      <c r="Z2806" s="5" t="n">
        <v>46202</v>
      </c>
      <c r="AA2806" s="3" t="n"/>
      <c r="AB2806" s="3" t="n"/>
      <c r="AE2806" s="146">
        <f>IF(AND(F2806="Closed",X2806&gt;=DATE(2026,6,1),X2806&lt;=DATE(2026,6,30)),"Closed in June","other")</f>
        <v/>
      </c>
    </row>
    <row r="2807" hidden="1">
      <c r="A2807" s="9" t="n">
        <v>46134</v>
      </c>
      <c r="B2807" s="1" t="n">
        <v>2026</v>
      </c>
      <c r="C2807" s="8" t="inlineStr">
        <is>
          <t>First Energy</t>
        </is>
      </c>
      <c r="D2807" s="11" t="inlineStr">
        <is>
          <t>Utility and C&amp;I</t>
        </is>
      </c>
      <c r="E2807" s="1" t="n"/>
      <c r="F2807" s="1" t="inlineStr">
        <is>
          <t>Closed</t>
        </is>
      </c>
      <c r="G2807" s="8" t="inlineStr">
        <is>
          <t>Saravanakumar</t>
        </is>
      </c>
      <c r="H2807" s="8" t="n">
        <v>8248438488</v>
      </c>
      <c r="I2807" s="10" t="inlineStr">
        <is>
          <t>PE22042601</t>
        </is>
      </c>
      <c r="J2807" s="8" t="inlineStr">
        <is>
          <t>Anomalies/defects in the modules</t>
        </is>
      </c>
      <c r="K2807" s="8" t="inlineStr">
        <is>
          <t>Tirunelveli</t>
        </is>
      </c>
      <c r="L2807" s="8" t="inlineStr">
        <is>
          <t>Tamil Nadu</t>
        </is>
      </c>
      <c r="M2807" s="62" t="inlineStr">
        <is>
          <t>PNS</t>
        </is>
      </c>
      <c r="N2807" s="6" t="inlineStr">
        <is>
          <t>Cold Soldering</t>
        </is>
      </c>
      <c r="O2807" s="51" t="n">
        <v>550</v>
      </c>
      <c r="P2807" s="60" t="inlineStr">
        <is>
          <t>NSMP2305156757</t>
        </is>
      </c>
      <c r="Q2807" s="29">
        <f>MID(P2807,5,2)</f>
        <v/>
      </c>
      <c r="R2807" s="14">
        <f>MID(P2807,7,2)</f>
        <v/>
      </c>
      <c r="S2807" s="6" t="inlineStr">
        <is>
          <t>G2B</t>
        </is>
      </c>
      <c r="T2807" s="1" t="inlineStr">
        <is>
          <t>P2 - PEPPL</t>
        </is>
      </c>
      <c r="U2807" s="6" t="inlineStr">
        <is>
          <t>P &amp; N JB Cold Soldering</t>
        </is>
      </c>
      <c r="V2807" s="1" t="inlineStr">
        <is>
          <t>Soldering</t>
        </is>
      </c>
      <c r="W2807" s="1" t="inlineStr">
        <is>
          <t>Repair</t>
        </is>
      </c>
      <c r="X2807" s="5" t="n">
        <v>46202</v>
      </c>
      <c r="Y2807" s="1">
        <f>IF(X2807="","",X2807-A2807)</f>
        <v/>
      </c>
      <c r="Z2807" s="5" t="n">
        <v>46202</v>
      </c>
      <c r="AA2807" s="3" t="n"/>
      <c r="AB2807" s="3" t="n"/>
      <c r="AE2807" s="146">
        <f>IF(AND(F2807="Closed",X2807&gt;=DATE(2026,6,1),X2807&lt;=DATE(2026,6,30)),"Closed in June","other")</f>
        <v/>
      </c>
    </row>
    <row r="2808" hidden="1">
      <c r="A2808" s="9" t="n">
        <v>46134</v>
      </c>
      <c r="B2808" s="1" t="n">
        <v>2026</v>
      </c>
      <c r="C2808" s="8" t="inlineStr">
        <is>
          <t>First Energy</t>
        </is>
      </c>
      <c r="D2808" s="11" t="inlineStr">
        <is>
          <t>Utility and C&amp;I</t>
        </is>
      </c>
      <c r="E2808" s="1" t="n"/>
      <c r="F2808" s="1" t="inlineStr">
        <is>
          <t>Closed</t>
        </is>
      </c>
      <c r="G2808" s="8" t="inlineStr">
        <is>
          <t>Saravanakumar</t>
        </is>
      </c>
      <c r="H2808" s="8" t="n">
        <v>8248438488</v>
      </c>
      <c r="I2808" s="10" t="inlineStr">
        <is>
          <t>PE22042601</t>
        </is>
      </c>
      <c r="J2808" s="8" t="inlineStr">
        <is>
          <t>Anomalies/defects in the modules</t>
        </is>
      </c>
      <c r="K2808" s="8" t="inlineStr">
        <is>
          <t>Tirunelveli</t>
        </is>
      </c>
      <c r="L2808" s="8" t="inlineStr">
        <is>
          <t>Tamil Nadu</t>
        </is>
      </c>
      <c r="M2808" s="62" t="inlineStr">
        <is>
          <t>PS</t>
        </is>
      </c>
      <c r="N2808" s="6" t="inlineStr">
        <is>
          <t>Cold Soldering</t>
        </is>
      </c>
      <c r="O2808" s="51" t="n">
        <v>550</v>
      </c>
      <c r="P2808" s="60" t="inlineStr">
        <is>
          <t>NSMP2205156831</t>
        </is>
      </c>
      <c r="Q2808" s="29">
        <f>MID(P2808,5,2)</f>
        <v/>
      </c>
      <c r="R2808" s="14">
        <f>MID(P2808,7,2)</f>
        <v/>
      </c>
      <c r="S2808" s="6" t="inlineStr">
        <is>
          <t>G2B</t>
        </is>
      </c>
      <c r="T2808" s="1" t="inlineStr">
        <is>
          <t>P2 - PEPPL</t>
        </is>
      </c>
      <c r="U2808" s="6" t="inlineStr">
        <is>
          <t>P JB Cold Soldering</t>
        </is>
      </c>
      <c r="V2808" s="1" t="inlineStr">
        <is>
          <t>Soldering</t>
        </is>
      </c>
      <c r="W2808" s="1" t="inlineStr">
        <is>
          <t>Repair</t>
        </is>
      </c>
      <c r="X2808" s="5" t="n">
        <v>46202</v>
      </c>
      <c r="Y2808" s="1">
        <f>IF(X2808="","",X2808-A2808)</f>
        <v/>
      </c>
      <c r="Z2808" s="5" t="n">
        <v>46202</v>
      </c>
      <c r="AA2808" s="3" t="n"/>
      <c r="AB2808" s="3" t="n"/>
      <c r="AE2808" s="146">
        <f>IF(AND(F2808="Closed",X2808&gt;=DATE(2026,6,1),X2808&lt;=DATE(2026,6,30)),"Closed in June","other")</f>
        <v/>
      </c>
    </row>
    <row r="2809" hidden="1">
      <c r="A2809" s="9" t="n">
        <v>46134</v>
      </c>
      <c r="B2809" s="1" t="n">
        <v>2026</v>
      </c>
      <c r="C2809" s="8" t="inlineStr">
        <is>
          <t>First Energy</t>
        </is>
      </c>
      <c r="D2809" s="11" t="inlineStr">
        <is>
          <t>Utility and C&amp;I</t>
        </is>
      </c>
      <c r="E2809" s="1" t="n"/>
      <c r="F2809" s="1" t="inlineStr">
        <is>
          <t>Closed</t>
        </is>
      </c>
      <c r="G2809" s="8" t="inlineStr">
        <is>
          <t>Saravanakumar</t>
        </is>
      </c>
      <c r="H2809" s="8" t="n">
        <v>8248438488</v>
      </c>
      <c r="I2809" s="10" t="inlineStr">
        <is>
          <t>PE22042601</t>
        </is>
      </c>
      <c r="J2809" s="8" t="inlineStr">
        <is>
          <t>Anomalies/defects in the modules</t>
        </is>
      </c>
      <c r="K2809" s="8" t="inlineStr">
        <is>
          <t>Tirunelveli</t>
        </is>
      </c>
      <c r="L2809" s="8" t="inlineStr">
        <is>
          <t>Tamil Nadu</t>
        </is>
      </c>
      <c r="M2809" s="62" t="inlineStr">
        <is>
          <t>PS</t>
        </is>
      </c>
      <c r="N2809" s="6" t="inlineStr">
        <is>
          <t>Cold Soldering</t>
        </is>
      </c>
      <c r="O2809" s="51" t="n">
        <v>550</v>
      </c>
      <c r="P2809" s="60" t="inlineStr">
        <is>
          <t>NSMP2305156781</t>
        </is>
      </c>
      <c r="Q2809" s="29">
        <f>MID(P2809,5,2)</f>
        <v/>
      </c>
      <c r="R2809" s="14">
        <f>MID(P2809,7,2)</f>
        <v/>
      </c>
      <c r="S2809" s="6" t="inlineStr">
        <is>
          <t>G2B</t>
        </is>
      </c>
      <c r="T2809" s="1" t="inlineStr">
        <is>
          <t>P2 - PEPPL</t>
        </is>
      </c>
      <c r="U2809" s="6" t="inlineStr">
        <is>
          <t>P JB Cold Soldering</t>
        </is>
      </c>
      <c r="V2809" s="1" t="inlineStr">
        <is>
          <t>Soldering</t>
        </is>
      </c>
      <c r="W2809" s="1" t="inlineStr">
        <is>
          <t>Repair</t>
        </is>
      </c>
      <c r="X2809" s="5" t="n">
        <v>46202</v>
      </c>
      <c r="Y2809" s="1">
        <f>IF(X2809="","",X2809-A2809)</f>
        <v/>
      </c>
      <c r="Z2809" s="5" t="n">
        <v>46202</v>
      </c>
      <c r="AA2809" s="3" t="n"/>
      <c r="AB2809" s="3" t="n"/>
      <c r="AE2809" s="146">
        <f>IF(AND(F2809="Closed",X2809&gt;=DATE(2026,6,1),X2809&lt;=DATE(2026,6,30)),"Closed in June","other")</f>
        <v/>
      </c>
    </row>
    <row r="2810" hidden="1">
      <c r="A2810" s="9" t="n">
        <v>46134</v>
      </c>
      <c r="B2810" s="1" t="n">
        <v>2026</v>
      </c>
      <c r="C2810" s="8" t="inlineStr">
        <is>
          <t>First Energy</t>
        </is>
      </c>
      <c r="D2810" s="11" t="inlineStr">
        <is>
          <t>Utility and C&amp;I</t>
        </is>
      </c>
      <c r="E2810" s="1" t="n"/>
      <c r="F2810" s="1" t="inlineStr">
        <is>
          <t>Closed</t>
        </is>
      </c>
      <c r="G2810" s="8" t="inlineStr">
        <is>
          <t>Saravanakumar</t>
        </is>
      </c>
      <c r="H2810" s="8" t="n">
        <v>8248438488</v>
      </c>
      <c r="I2810" s="10" t="inlineStr">
        <is>
          <t>PE22042601</t>
        </is>
      </c>
      <c r="J2810" s="8" t="inlineStr">
        <is>
          <t>Anomalies/defects in the modules</t>
        </is>
      </c>
      <c r="K2810" s="8" t="inlineStr">
        <is>
          <t>Tirunelveli</t>
        </is>
      </c>
      <c r="L2810" s="8" t="inlineStr">
        <is>
          <t>Tamil Nadu</t>
        </is>
      </c>
      <c r="M2810" s="62" t="inlineStr">
        <is>
          <t>PS</t>
        </is>
      </c>
      <c r="N2810" s="6" t="inlineStr">
        <is>
          <t>Cold Soldering</t>
        </is>
      </c>
      <c r="O2810" s="51" t="n">
        <v>550</v>
      </c>
      <c r="P2810" s="60" t="inlineStr">
        <is>
          <t>NSMP2305156651</t>
        </is>
      </c>
      <c r="Q2810" s="29">
        <f>MID(P2810,5,2)</f>
        <v/>
      </c>
      <c r="R2810" s="14">
        <f>MID(P2810,7,2)</f>
        <v/>
      </c>
      <c r="S2810" s="6" t="inlineStr">
        <is>
          <t>G2B</t>
        </is>
      </c>
      <c r="T2810" s="1" t="inlineStr">
        <is>
          <t>P2 - PEPPL</t>
        </is>
      </c>
      <c r="U2810" s="6" t="inlineStr">
        <is>
          <t>P JB Cold Soldering</t>
        </is>
      </c>
      <c r="V2810" s="1" t="inlineStr">
        <is>
          <t>Soldering</t>
        </is>
      </c>
      <c r="W2810" s="1" t="inlineStr">
        <is>
          <t>Repair</t>
        </is>
      </c>
      <c r="X2810" s="5" t="n">
        <v>46202</v>
      </c>
      <c r="Y2810" s="1">
        <f>IF(X2810="","",X2810-A2810)</f>
        <v/>
      </c>
      <c r="Z2810" s="5" t="n">
        <v>46202</v>
      </c>
      <c r="AA2810" s="3" t="n"/>
      <c r="AB2810" s="3" t="n"/>
      <c r="AE2810" s="146">
        <f>IF(AND(F2810="Closed",X2810&gt;=DATE(2026,6,1),X2810&lt;=DATE(2026,6,30)),"Closed in June","other")</f>
        <v/>
      </c>
    </row>
    <row r="2811" hidden="1">
      <c r="A2811" s="9" t="n">
        <v>46134</v>
      </c>
      <c r="B2811" s="1" t="n">
        <v>2026</v>
      </c>
      <c r="C2811" s="8" t="inlineStr">
        <is>
          <t>First Energy</t>
        </is>
      </c>
      <c r="D2811" s="11" t="inlineStr">
        <is>
          <t>Utility and C&amp;I</t>
        </is>
      </c>
      <c r="E2811" s="1" t="n"/>
      <c r="F2811" s="1" t="inlineStr">
        <is>
          <t>Closed</t>
        </is>
      </c>
      <c r="G2811" s="8" t="inlineStr">
        <is>
          <t>Saravanakumar</t>
        </is>
      </c>
      <c r="H2811" s="8" t="n">
        <v>8248438488</v>
      </c>
      <c r="I2811" s="10" t="inlineStr">
        <is>
          <t>PE22042601</t>
        </is>
      </c>
      <c r="J2811" s="8" t="inlineStr">
        <is>
          <t>Anomalies/defects in the modules</t>
        </is>
      </c>
      <c r="K2811" s="8" t="inlineStr">
        <is>
          <t>Tirunelveli</t>
        </is>
      </c>
      <c r="L2811" s="8" t="inlineStr">
        <is>
          <t>Tamil Nadu</t>
        </is>
      </c>
      <c r="M2811" s="62" t="inlineStr">
        <is>
          <t>PS</t>
        </is>
      </c>
      <c r="N2811" s="6" t="inlineStr">
        <is>
          <t>Cold Soldering</t>
        </is>
      </c>
      <c r="O2811" s="51" t="n">
        <v>550</v>
      </c>
      <c r="P2811" s="60" t="inlineStr">
        <is>
          <t>NSMP2305156800</t>
        </is>
      </c>
      <c r="Q2811" s="29">
        <f>MID(P2811,5,2)</f>
        <v/>
      </c>
      <c r="R2811" s="14">
        <f>MID(P2811,7,2)</f>
        <v/>
      </c>
      <c r="S2811" s="6" t="inlineStr">
        <is>
          <t>G2B</t>
        </is>
      </c>
      <c r="T2811" s="1" t="inlineStr">
        <is>
          <t>P2 - PEPPL</t>
        </is>
      </c>
      <c r="U2811" s="6" t="inlineStr">
        <is>
          <t>P JB Cold Soldering</t>
        </is>
      </c>
      <c r="V2811" s="1" t="inlineStr">
        <is>
          <t>Soldering</t>
        </is>
      </c>
      <c r="W2811" s="1" t="inlineStr">
        <is>
          <t>Repair</t>
        </is>
      </c>
      <c r="X2811" s="5" t="n">
        <v>46202</v>
      </c>
      <c r="Y2811" s="1">
        <f>IF(X2811="","",X2811-A2811)</f>
        <v/>
      </c>
      <c r="Z2811" s="5" t="n">
        <v>46202</v>
      </c>
      <c r="AA2811" s="3" t="n"/>
      <c r="AB2811" s="3" t="n"/>
      <c r="AE2811" s="146">
        <f>IF(AND(F2811="Closed",X2811&gt;=DATE(2026,6,1),X2811&lt;=DATE(2026,6,30)),"Closed in June","other")</f>
        <v/>
      </c>
    </row>
    <row r="2812" hidden="1">
      <c r="A2812" s="9" t="n">
        <v>46134</v>
      </c>
      <c r="B2812" s="1" t="n">
        <v>2026</v>
      </c>
      <c r="C2812" s="8" t="inlineStr">
        <is>
          <t>First Energy</t>
        </is>
      </c>
      <c r="D2812" s="11" t="inlineStr">
        <is>
          <t>Utility and C&amp;I</t>
        </is>
      </c>
      <c r="E2812" s="1" t="n"/>
      <c r="F2812" s="1" t="inlineStr">
        <is>
          <t>Closed</t>
        </is>
      </c>
      <c r="G2812" s="8" t="inlineStr">
        <is>
          <t>Saravanakumar</t>
        </is>
      </c>
      <c r="H2812" s="8" t="n">
        <v>8248438488</v>
      </c>
      <c r="I2812" s="10" t="inlineStr">
        <is>
          <t>PE22042601</t>
        </is>
      </c>
      <c r="J2812" s="8" t="inlineStr">
        <is>
          <t>Anomalies/defects in the modules</t>
        </is>
      </c>
      <c r="K2812" s="8" t="inlineStr">
        <is>
          <t>Tirunelveli</t>
        </is>
      </c>
      <c r="L2812" s="8" t="inlineStr">
        <is>
          <t>Tamil Nadu</t>
        </is>
      </c>
      <c r="M2812" s="62" t="inlineStr">
        <is>
          <t>PS</t>
        </is>
      </c>
      <c r="N2812" s="6" t="inlineStr">
        <is>
          <t>Cold Soldering</t>
        </is>
      </c>
      <c r="O2812" s="51" t="n">
        <v>550</v>
      </c>
      <c r="P2812" s="60" t="inlineStr">
        <is>
          <t>NSMP2305156741</t>
        </is>
      </c>
      <c r="Q2812" s="29">
        <f>MID(P2812,5,2)</f>
        <v/>
      </c>
      <c r="R2812" s="14">
        <f>MID(P2812,7,2)</f>
        <v/>
      </c>
      <c r="S2812" s="6" t="inlineStr">
        <is>
          <t>G2B</t>
        </is>
      </c>
      <c r="T2812" s="1" t="inlineStr">
        <is>
          <t>P2 - PEPPL</t>
        </is>
      </c>
      <c r="U2812" s="6" t="inlineStr">
        <is>
          <t>P JB Cold Soldering</t>
        </is>
      </c>
      <c r="V2812" s="1" t="inlineStr">
        <is>
          <t>Soldering</t>
        </is>
      </c>
      <c r="W2812" s="1" t="inlineStr">
        <is>
          <t>Repair</t>
        </is>
      </c>
      <c r="X2812" s="5" t="n">
        <v>46202</v>
      </c>
      <c r="Y2812" s="1">
        <f>IF(X2812="","",X2812-A2812)</f>
        <v/>
      </c>
      <c r="Z2812" s="5" t="n">
        <v>46202</v>
      </c>
      <c r="AA2812" s="3" t="n"/>
      <c r="AB2812" s="3" t="n"/>
      <c r="AE2812" s="146">
        <f>IF(AND(F2812="Closed",X2812&gt;=DATE(2026,6,1),X2812&lt;=DATE(2026,6,30)),"Closed in June","other")</f>
        <v/>
      </c>
    </row>
    <row r="2813" hidden="1">
      <c r="A2813" s="9" t="n">
        <v>46134</v>
      </c>
      <c r="B2813" s="1" t="n">
        <v>2026</v>
      </c>
      <c r="C2813" s="8" t="inlineStr">
        <is>
          <t>First Energy</t>
        </is>
      </c>
      <c r="D2813" s="11" t="inlineStr">
        <is>
          <t>Utility and C&amp;I</t>
        </is>
      </c>
      <c r="E2813" s="1" t="n"/>
      <c r="F2813" s="1" t="inlineStr">
        <is>
          <t>Closed</t>
        </is>
      </c>
      <c r="G2813" s="8" t="inlineStr">
        <is>
          <t>Saravanakumar</t>
        </is>
      </c>
      <c r="H2813" s="8" t="n">
        <v>8248438488</v>
      </c>
      <c r="I2813" s="10" t="inlineStr">
        <is>
          <t>PE22042601</t>
        </is>
      </c>
      <c r="J2813" s="8" t="inlineStr">
        <is>
          <t>Anomalies/defects in the modules</t>
        </is>
      </c>
      <c r="K2813" s="8" t="inlineStr">
        <is>
          <t>Tirunelveli</t>
        </is>
      </c>
      <c r="L2813" s="8" t="inlineStr">
        <is>
          <t>Tamil Nadu</t>
        </is>
      </c>
      <c r="M2813" s="62" t="inlineStr">
        <is>
          <t>PS</t>
        </is>
      </c>
      <c r="N2813" s="6" t="inlineStr">
        <is>
          <t>Cold Soldering</t>
        </is>
      </c>
      <c r="O2813" s="51" t="n">
        <v>550</v>
      </c>
      <c r="P2813" s="60" t="inlineStr">
        <is>
          <t>NSMP2305139671</t>
        </is>
      </c>
      <c r="Q2813" s="29">
        <f>MID(P2813,5,2)</f>
        <v/>
      </c>
      <c r="R2813" s="14">
        <f>MID(P2813,7,2)</f>
        <v/>
      </c>
      <c r="S2813" s="6" t="inlineStr">
        <is>
          <t>G2B</t>
        </is>
      </c>
      <c r="T2813" s="1" t="inlineStr">
        <is>
          <t>P2 - PEPPL</t>
        </is>
      </c>
      <c r="U2813" s="6" t="inlineStr">
        <is>
          <t>P JB Cold Soldering</t>
        </is>
      </c>
      <c r="V2813" s="1" t="inlineStr">
        <is>
          <t>Soldering</t>
        </is>
      </c>
      <c r="W2813" s="1" t="inlineStr">
        <is>
          <t>Repair</t>
        </is>
      </c>
      <c r="X2813" s="5" t="n">
        <v>46202</v>
      </c>
      <c r="Y2813" s="1">
        <f>IF(X2813="","",X2813-A2813)</f>
        <v/>
      </c>
      <c r="Z2813" s="5" t="n">
        <v>46202</v>
      </c>
      <c r="AA2813" s="3" t="n"/>
      <c r="AB2813" s="3" t="n"/>
      <c r="AE2813" s="146">
        <f>IF(AND(F2813="Closed",X2813&gt;=DATE(2026,6,1),X2813&lt;=DATE(2026,6,30)),"Closed in June","other")</f>
        <v/>
      </c>
    </row>
    <row r="2814" hidden="1">
      <c r="A2814" s="9" t="n">
        <v>46134</v>
      </c>
      <c r="B2814" s="1" t="n">
        <v>2026</v>
      </c>
      <c r="C2814" s="8" t="inlineStr">
        <is>
          <t>First Energy</t>
        </is>
      </c>
      <c r="D2814" s="11" t="inlineStr">
        <is>
          <t>Utility and C&amp;I</t>
        </is>
      </c>
      <c r="E2814" s="1" t="n"/>
      <c r="F2814" s="1" t="inlineStr">
        <is>
          <t>Closed</t>
        </is>
      </c>
      <c r="G2814" s="8" t="inlineStr">
        <is>
          <t>Saravanakumar</t>
        </is>
      </c>
      <c r="H2814" s="8" t="n">
        <v>8248438488</v>
      </c>
      <c r="I2814" s="10" t="inlineStr">
        <is>
          <t>PE22042601</t>
        </is>
      </c>
      <c r="J2814" s="8" t="inlineStr">
        <is>
          <t>Anomalies/defects in the modules</t>
        </is>
      </c>
      <c r="K2814" s="8" t="inlineStr">
        <is>
          <t>Tirunelveli</t>
        </is>
      </c>
      <c r="L2814" s="8" t="inlineStr">
        <is>
          <t>Tamil Nadu</t>
        </is>
      </c>
      <c r="M2814" s="62" t="inlineStr">
        <is>
          <t>PS</t>
        </is>
      </c>
      <c r="N2814" s="6" t="inlineStr">
        <is>
          <t>Cold Soldering</t>
        </is>
      </c>
      <c r="O2814" s="51" t="n">
        <v>550</v>
      </c>
      <c r="P2814" s="60" t="inlineStr">
        <is>
          <t>NSMP2305159070</t>
        </is>
      </c>
      <c r="Q2814" s="29">
        <f>MID(P2814,5,2)</f>
        <v/>
      </c>
      <c r="R2814" s="14">
        <f>MID(P2814,7,2)</f>
        <v/>
      </c>
      <c r="S2814" s="6" t="inlineStr">
        <is>
          <t>G2B</t>
        </is>
      </c>
      <c r="T2814" s="1" t="inlineStr">
        <is>
          <t>P2 - PEPPL</t>
        </is>
      </c>
      <c r="U2814" s="6" t="inlineStr">
        <is>
          <t>P JB Cold Soldering</t>
        </is>
      </c>
      <c r="V2814" s="1" t="inlineStr">
        <is>
          <t>Soldering</t>
        </is>
      </c>
      <c r="W2814" s="1" t="inlineStr">
        <is>
          <t>Repair</t>
        </is>
      </c>
      <c r="X2814" s="5" t="n">
        <v>46202</v>
      </c>
      <c r="Y2814" s="1">
        <f>IF(X2814="","",X2814-A2814)</f>
        <v/>
      </c>
      <c r="Z2814" s="5" t="n">
        <v>46202</v>
      </c>
      <c r="AA2814" s="3" t="n"/>
      <c r="AB2814" s="3" t="n"/>
      <c r="AE2814" s="146">
        <f>IF(AND(F2814="Closed",X2814&gt;=DATE(2026,6,1),X2814&lt;=DATE(2026,6,30)),"Closed in June","other")</f>
        <v/>
      </c>
    </row>
    <row r="2815" hidden="1">
      <c r="A2815" s="9" t="n">
        <v>46134</v>
      </c>
      <c r="B2815" s="1" t="n">
        <v>2026</v>
      </c>
      <c r="C2815" s="8" t="inlineStr">
        <is>
          <t>First Energy</t>
        </is>
      </c>
      <c r="D2815" s="11" t="inlineStr">
        <is>
          <t>Utility and C&amp;I</t>
        </is>
      </c>
      <c r="E2815" s="1" t="n"/>
      <c r="F2815" s="1" t="inlineStr">
        <is>
          <t>Closed</t>
        </is>
      </c>
      <c r="G2815" s="8" t="inlineStr">
        <is>
          <t>Saravanakumar</t>
        </is>
      </c>
      <c r="H2815" s="8" t="n">
        <v>8248438488</v>
      </c>
      <c r="I2815" s="10" t="inlineStr">
        <is>
          <t>PE22042601</t>
        </is>
      </c>
      <c r="J2815" s="8" t="inlineStr">
        <is>
          <t>Anomalies/defects in the modules</t>
        </is>
      </c>
      <c r="K2815" s="8" t="inlineStr">
        <is>
          <t>Tirunelveli</t>
        </is>
      </c>
      <c r="L2815" s="8" t="inlineStr">
        <is>
          <t>Tamil Nadu</t>
        </is>
      </c>
      <c r="M2815" s="62" t="inlineStr">
        <is>
          <t>PR</t>
        </is>
      </c>
      <c r="N2815" s="1" t="inlineStr">
        <is>
          <t>JB Issue</t>
        </is>
      </c>
      <c r="O2815" s="51" t="n">
        <v>550</v>
      </c>
      <c r="P2815" s="60" t="inlineStr">
        <is>
          <t>NSMP2308467427</t>
        </is>
      </c>
      <c r="Q2815" s="29">
        <f>MID(P2815,5,2)</f>
        <v/>
      </c>
      <c r="R2815" s="14">
        <f>MID(P2815,7,2)</f>
        <v/>
      </c>
      <c r="S2815" s="6" t="inlineStr">
        <is>
          <t>G2B</t>
        </is>
      </c>
      <c r="T2815" s="1" t="inlineStr">
        <is>
          <t>P2 - PEPPL</t>
        </is>
      </c>
      <c r="U2815" s="6" t="inlineStr">
        <is>
          <t>P JB Diode Issue</t>
        </is>
      </c>
      <c r="V2815" s="6" t="inlineStr">
        <is>
          <t>JB Changed</t>
        </is>
      </c>
      <c r="W2815" s="1" t="inlineStr">
        <is>
          <t>Repair</t>
        </is>
      </c>
      <c r="X2815" s="5" t="n">
        <v>46202</v>
      </c>
      <c r="Y2815" s="1">
        <f>IF(X2815="","",X2815-A2815)</f>
        <v/>
      </c>
      <c r="Z2815" s="5" t="n">
        <v>46202</v>
      </c>
      <c r="AA2815" s="3" t="n"/>
      <c r="AB2815" s="3" t="n"/>
      <c r="AE2815" s="146">
        <f>IF(AND(F2815="Closed",X2815&gt;=DATE(2026,6,1),X2815&lt;=DATE(2026,6,30)),"Closed in June","other")</f>
        <v/>
      </c>
    </row>
    <row r="2816" hidden="1">
      <c r="A2816" s="9" t="n">
        <v>46134</v>
      </c>
      <c r="B2816" s="1" t="n">
        <v>2026</v>
      </c>
      <c r="C2816" s="8" t="inlineStr">
        <is>
          <t>First Energy</t>
        </is>
      </c>
      <c r="D2816" s="11" t="inlineStr">
        <is>
          <t>Utility and C&amp;I</t>
        </is>
      </c>
      <c r="E2816" s="1" t="n"/>
      <c r="F2816" s="1" t="inlineStr">
        <is>
          <t>Closed</t>
        </is>
      </c>
      <c r="G2816" s="8" t="inlineStr">
        <is>
          <t>Saravanakumar</t>
        </is>
      </c>
      <c r="H2816" s="8" t="n">
        <v>8248438488</v>
      </c>
      <c r="I2816" s="10" t="inlineStr">
        <is>
          <t>PE22042601</t>
        </is>
      </c>
      <c r="J2816" s="8" t="inlineStr">
        <is>
          <t>Anomalies/defects in the modules</t>
        </is>
      </c>
      <c r="K2816" s="8" t="inlineStr">
        <is>
          <t>Tirunelveli</t>
        </is>
      </c>
      <c r="L2816" s="8" t="inlineStr">
        <is>
          <t>Tamil Nadu</t>
        </is>
      </c>
      <c r="M2816" s="62" t="inlineStr">
        <is>
          <t>PNS</t>
        </is>
      </c>
      <c r="N2816" s="6" t="inlineStr">
        <is>
          <t>Cold Soldering</t>
        </is>
      </c>
      <c r="O2816" s="51" t="n">
        <v>550</v>
      </c>
      <c r="P2816" s="60" t="inlineStr">
        <is>
          <t>NSMP2305142999</t>
        </is>
      </c>
      <c r="Q2816" s="29">
        <f>MID(P2816,5,2)</f>
        <v/>
      </c>
      <c r="R2816" s="14">
        <f>MID(P2816,7,2)</f>
        <v/>
      </c>
      <c r="S2816" s="6" t="inlineStr">
        <is>
          <t>G2B</t>
        </is>
      </c>
      <c r="T2816" s="1" t="inlineStr">
        <is>
          <t>P2 - PEPPL</t>
        </is>
      </c>
      <c r="U2816" s="6" t="inlineStr">
        <is>
          <t>P &amp; N JB Cold Soldering</t>
        </is>
      </c>
      <c r="V2816" s="1" t="inlineStr">
        <is>
          <t>Soldering</t>
        </is>
      </c>
      <c r="W2816" s="1" t="inlineStr">
        <is>
          <t>Repair</t>
        </is>
      </c>
      <c r="X2816" s="5" t="n">
        <v>46202</v>
      </c>
      <c r="Y2816" s="1">
        <f>IF(X2816="","",X2816-A2816)</f>
        <v/>
      </c>
      <c r="Z2816" s="5" t="n">
        <v>46202</v>
      </c>
      <c r="AA2816" s="3" t="n"/>
      <c r="AB2816" s="3" t="n"/>
      <c r="AE2816" s="146">
        <f>IF(AND(F2816="Closed",X2816&gt;=DATE(2026,6,1),X2816&lt;=DATE(2026,6,30)),"Closed in June","other")</f>
        <v/>
      </c>
    </row>
    <row r="2817" hidden="1">
      <c r="A2817" s="9" t="n">
        <v>46134</v>
      </c>
      <c r="B2817" s="1" t="n">
        <v>2026</v>
      </c>
      <c r="C2817" s="8" t="inlineStr">
        <is>
          <t>First Energy</t>
        </is>
      </c>
      <c r="D2817" s="11" t="inlineStr">
        <is>
          <t>Utility and C&amp;I</t>
        </is>
      </c>
      <c r="E2817" s="1" t="n"/>
      <c r="F2817" s="1" t="inlineStr">
        <is>
          <t>Closed</t>
        </is>
      </c>
      <c r="G2817" s="8" t="inlineStr">
        <is>
          <t>Saravanakumar</t>
        </is>
      </c>
      <c r="H2817" s="8" t="n">
        <v>8248438488</v>
      </c>
      <c r="I2817" s="10" t="inlineStr">
        <is>
          <t>PE22042601</t>
        </is>
      </c>
      <c r="J2817" s="8" t="inlineStr">
        <is>
          <t>Anomalies/defects in the modules</t>
        </is>
      </c>
      <c r="K2817" s="8" t="inlineStr">
        <is>
          <t>Tirunelveli</t>
        </is>
      </c>
      <c r="L2817" s="8" t="inlineStr">
        <is>
          <t>Tamil Nadu</t>
        </is>
      </c>
      <c r="M2817" s="62" t="inlineStr">
        <is>
          <t>PR</t>
        </is>
      </c>
      <c r="N2817" s="1" t="inlineStr">
        <is>
          <t>JB Issue</t>
        </is>
      </c>
      <c r="O2817" s="51" t="n">
        <v>550</v>
      </c>
      <c r="P2817" s="60" t="inlineStr">
        <is>
          <t>NSMP2306282537</t>
        </is>
      </c>
      <c r="Q2817" s="29">
        <f>MID(P2817,5,2)</f>
        <v/>
      </c>
      <c r="R2817" s="14">
        <f>MID(P2817,7,2)</f>
        <v/>
      </c>
      <c r="S2817" s="6" t="inlineStr">
        <is>
          <t>G2B</t>
        </is>
      </c>
      <c r="T2817" s="1" t="inlineStr">
        <is>
          <t>P2 - PEPPL</t>
        </is>
      </c>
      <c r="U2817" s="6" t="inlineStr">
        <is>
          <t>P JB MC4 Connector Issue</t>
        </is>
      </c>
      <c r="V2817" s="6" t="inlineStr">
        <is>
          <t>JB Changed</t>
        </is>
      </c>
      <c r="W2817" s="1" t="inlineStr">
        <is>
          <t>Repair</t>
        </is>
      </c>
      <c r="X2817" s="5" t="n">
        <v>46202</v>
      </c>
      <c r="Y2817" s="1">
        <f>IF(X2817="","",X2817-A2817)</f>
        <v/>
      </c>
      <c r="Z2817" s="5" t="n">
        <v>46202</v>
      </c>
      <c r="AA2817" s="3" t="n"/>
      <c r="AB2817" s="3" t="n"/>
      <c r="AE2817" s="146">
        <f>IF(AND(F2817="Closed",X2817&gt;=DATE(2026,6,1),X2817&lt;=DATE(2026,6,30)),"Closed in June","other")</f>
        <v/>
      </c>
    </row>
    <row r="2818" hidden="1">
      <c r="A2818" s="9" t="n">
        <v>46134</v>
      </c>
      <c r="B2818" s="1" t="n">
        <v>2026</v>
      </c>
      <c r="C2818" s="8" t="inlineStr">
        <is>
          <t>First Energy</t>
        </is>
      </c>
      <c r="D2818" s="11" t="inlineStr">
        <is>
          <t>Utility and C&amp;I</t>
        </is>
      </c>
      <c r="E2818" s="1" t="n"/>
      <c r="F2818" s="1" t="inlineStr">
        <is>
          <t>Closed</t>
        </is>
      </c>
      <c r="G2818" s="8" t="inlineStr">
        <is>
          <t>Saravanakumar</t>
        </is>
      </c>
      <c r="H2818" s="8" t="n">
        <v>8248438488</v>
      </c>
      <c r="I2818" s="10" t="inlineStr">
        <is>
          <t>PE22042601</t>
        </is>
      </c>
      <c r="J2818" s="8" t="inlineStr">
        <is>
          <t>Anomalies/defects in the modules</t>
        </is>
      </c>
      <c r="K2818" s="8" t="inlineStr">
        <is>
          <t>Tirunelveli</t>
        </is>
      </c>
      <c r="L2818" s="8" t="inlineStr">
        <is>
          <t>Tamil Nadu</t>
        </is>
      </c>
      <c r="M2818" s="62" t="inlineStr">
        <is>
          <t>OK</t>
        </is>
      </c>
      <c r="N2818" s="2" t="inlineStr">
        <is>
          <t>No Issue Found</t>
        </is>
      </c>
      <c r="O2818" s="51" t="n">
        <v>550</v>
      </c>
      <c r="P2818" s="60" t="inlineStr">
        <is>
          <t>NSMP2307327507</t>
        </is>
      </c>
      <c r="Q2818" s="29">
        <f>MID(P2818,5,2)</f>
        <v/>
      </c>
      <c r="R2818" s="14">
        <f>MID(P2818,7,2)</f>
        <v/>
      </c>
      <c r="S2818" s="6" t="inlineStr">
        <is>
          <t>G2B</t>
        </is>
      </c>
      <c r="T2818" s="1" t="inlineStr">
        <is>
          <t>P2 - PEPPL</t>
        </is>
      </c>
      <c r="U2818" s="6" t="inlineStr">
        <is>
          <t>No Issue Found</t>
        </is>
      </c>
      <c r="V2818" s="6" t="inlineStr">
        <is>
          <t>Inspection</t>
        </is>
      </c>
      <c r="W2818" s="1" t="inlineStr">
        <is>
          <t>Rejected</t>
        </is>
      </c>
      <c r="X2818" s="5" t="n">
        <v>46202</v>
      </c>
      <c r="Y2818" s="1">
        <f>IF(X2818="","",X2818-A2818)</f>
        <v/>
      </c>
      <c r="Z2818" s="5" t="n">
        <v>46202</v>
      </c>
      <c r="AA2818" s="3" t="n"/>
      <c r="AB2818" s="3" t="n"/>
      <c r="AE2818" s="146">
        <f>IF(AND(F2818="Closed",X2818&gt;=DATE(2026,6,1),X2818&lt;=DATE(2026,6,30)),"Closed in June","other")</f>
        <v/>
      </c>
    </row>
    <row r="2819" hidden="1">
      <c r="A2819" s="9" t="n">
        <v>46134</v>
      </c>
      <c r="B2819" s="1" t="n">
        <v>2026</v>
      </c>
      <c r="C2819" s="8" t="inlineStr">
        <is>
          <t>First Energy</t>
        </is>
      </c>
      <c r="D2819" s="11" t="inlineStr">
        <is>
          <t>Utility and C&amp;I</t>
        </is>
      </c>
      <c r="E2819" s="1" t="n"/>
      <c r="F2819" s="1" t="inlineStr">
        <is>
          <t>Closed</t>
        </is>
      </c>
      <c r="G2819" s="8" t="inlineStr">
        <is>
          <t>Saravanakumar</t>
        </is>
      </c>
      <c r="H2819" s="8" t="n">
        <v>8248438488</v>
      </c>
      <c r="I2819" s="10" t="inlineStr">
        <is>
          <t>PE22042601</t>
        </is>
      </c>
      <c r="J2819" s="8" t="inlineStr">
        <is>
          <t>Anomalies/defects in the modules</t>
        </is>
      </c>
      <c r="K2819" s="8" t="inlineStr">
        <is>
          <t>Tirunelveli</t>
        </is>
      </c>
      <c r="L2819" s="8" t="inlineStr">
        <is>
          <t>Tamil Nadu</t>
        </is>
      </c>
      <c r="M2819" s="62" t="inlineStr">
        <is>
          <t>OK</t>
        </is>
      </c>
      <c r="N2819" s="2" t="inlineStr">
        <is>
          <t>No Issue Found</t>
        </is>
      </c>
      <c r="O2819" s="51" t="n">
        <v>550</v>
      </c>
      <c r="P2819" s="60" t="inlineStr">
        <is>
          <t>NSMP2306284196</t>
        </is>
      </c>
      <c r="Q2819" s="29">
        <f>MID(P2819,5,2)</f>
        <v/>
      </c>
      <c r="R2819" s="14">
        <f>MID(P2819,7,2)</f>
        <v/>
      </c>
      <c r="S2819" s="6" t="inlineStr">
        <is>
          <t>G2B</t>
        </is>
      </c>
      <c r="T2819" s="1" t="inlineStr">
        <is>
          <t>P2 - PEPPL</t>
        </is>
      </c>
      <c r="U2819" s="6" t="inlineStr">
        <is>
          <t>No Issue Found</t>
        </is>
      </c>
      <c r="V2819" s="6" t="inlineStr">
        <is>
          <t>Inspection</t>
        </is>
      </c>
      <c r="W2819" s="1" t="inlineStr">
        <is>
          <t>Rejected</t>
        </is>
      </c>
      <c r="X2819" s="5" t="n">
        <v>46202</v>
      </c>
      <c r="Y2819" s="1">
        <f>IF(X2819="","",X2819-A2819)</f>
        <v/>
      </c>
      <c r="Z2819" s="5" t="n">
        <v>46202</v>
      </c>
      <c r="AA2819" s="3" t="n"/>
      <c r="AB2819" s="3" t="n"/>
      <c r="AE2819" s="146">
        <f>IF(AND(F2819="Closed",X2819&gt;=DATE(2026,6,1),X2819&lt;=DATE(2026,6,30)),"Closed in June","other")</f>
        <v/>
      </c>
    </row>
    <row r="2820" hidden="1">
      <c r="A2820" s="9" t="n">
        <v>46134</v>
      </c>
      <c r="B2820" s="1" t="n">
        <v>2026</v>
      </c>
      <c r="C2820" s="8" t="inlineStr">
        <is>
          <t>First Energy</t>
        </is>
      </c>
      <c r="D2820" s="11" t="inlineStr">
        <is>
          <t>Utility and C&amp;I</t>
        </is>
      </c>
      <c r="E2820" s="1" t="n"/>
      <c r="F2820" s="1" t="inlineStr">
        <is>
          <t>Closed</t>
        </is>
      </c>
      <c r="G2820" s="8" t="inlineStr">
        <is>
          <t>Saravanakumar</t>
        </is>
      </c>
      <c r="H2820" s="8" t="n">
        <v>8248438488</v>
      </c>
      <c r="I2820" s="10" t="inlineStr">
        <is>
          <t>PE22042601</t>
        </is>
      </c>
      <c r="J2820" s="8" t="inlineStr">
        <is>
          <t>Anomalies/defects in the modules</t>
        </is>
      </c>
      <c r="K2820" s="8" t="inlineStr">
        <is>
          <t>Tirunelveli</t>
        </is>
      </c>
      <c r="L2820" s="8" t="inlineStr">
        <is>
          <t>Tamil Nadu</t>
        </is>
      </c>
      <c r="M2820" s="62" t="inlineStr">
        <is>
          <t>OK</t>
        </is>
      </c>
      <c r="N2820" s="2" t="inlineStr">
        <is>
          <t>No Issue Found</t>
        </is>
      </c>
      <c r="O2820" s="51" t="n">
        <v>550</v>
      </c>
      <c r="P2820" s="60" t="inlineStr">
        <is>
          <t>NSMP2307381833</t>
        </is>
      </c>
      <c r="Q2820" s="29">
        <f>MID(P2820,5,2)</f>
        <v/>
      </c>
      <c r="R2820" s="14">
        <f>MID(P2820,7,2)</f>
        <v/>
      </c>
      <c r="S2820" s="6" t="inlineStr">
        <is>
          <t>G2B</t>
        </is>
      </c>
      <c r="T2820" s="1" t="inlineStr">
        <is>
          <t>P2 - PEPPL</t>
        </is>
      </c>
      <c r="U2820" s="6" t="inlineStr">
        <is>
          <t>No Issue Found</t>
        </is>
      </c>
      <c r="V2820" s="6" t="inlineStr">
        <is>
          <t>Inspection</t>
        </is>
      </c>
      <c r="W2820" s="1" t="inlineStr">
        <is>
          <t>Rejected</t>
        </is>
      </c>
      <c r="X2820" s="5" t="n">
        <v>46202</v>
      </c>
      <c r="Y2820" s="1">
        <f>IF(X2820="","",X2820-A2820)</f>
        <v/>
      </c>
      <c r="Z2820" s="5" t="n">
        <v>46202</v>
      </c>
      <c r="AA2820" s="3" t="n"/>
      <c r="AB2820" s="3" t="n"/>
      <c r="AE2820" s="146">
        <f>IF(AND(F2820="Closed",X2820&gt;=DATE(2026,6,1),X2820&lt;=DATE(2026,6,30)),"Closed in June","other")</f>
        <v/>
      </c>
    </row>
    <row r="2821" hidden="1">
      <c r="A2821" s="9" t="n">
        <v>46134</v>
      </c>
      <c r="B2821" s="1" t="n">
        <v>2026</v>
      </c>
      <c r="C2821" s="8" t="inlineStr">
        <is>
          <t>First Energy</t>
        </is>
      </c>
      <c r="D2821" s="11" t="inlineStr">
        <is>
          <t>Utility and C&amp;I</t>
        </is>
      </c>
      <c r="E2821" s="1" t="n"/>
      <c r="F2821" s="1" t="inlineStr">
        <is>
          <t>Closed</t>
        </is>
      </c>
      <c r="G2821" s="8" t="inlineStr">
        <is>
          <t>Saravanakumar</t>
        </is>
      </c>
      <c r="H2821" s="8" t="n">
        <v>8248438488</v>
      </c>
      <c r="I2821" s="10" t="inlineStr">
        <is>
          <t>PE22042601</t>
        </is>
      </c>
      <c r="J2821" s="8" t="inlineStr">
        <is>
          <t>Anomalies/defects in the modules</t>
        </is>
      </c>
      <c r="K2821" s="8" t="inlineStr">
        <is>
          <t>Tirunelveli</t>
        </is>
      </c>
      <c r="L2821" s="8" t="inlineStr">
        <is>
          <t>Tamil Nadu</t>
        </is>
      </c>
      <c r="M2821" s="62" t="inlineStr">
        <is>
          <t>PS</t>
        </is>
      </c>
      <c r="N2821" s="6" t="inlineStr">
        <is>
          <t>Cold Soldering</t>
        </is>
      </c>
      <c r="O2821" s="51" t="n">
        <v>550</v>
      </c>
      <c r="P2821" s="60" t="inlineStr">
        <is>
          <t>NSMP2306216895</t>
        </is>
      </c>
      <c r="Q2821" s="29">
        <f>MID(P2821,5,2)</f>
        <v/>
      </c>
      <c r="R2821" s="14">
        <f>MID(P2821,7,2)</f>
        <v/>
      </c>
      <c r="S2821" s="6" t="inlineStr">
        <is>
          <t>G2B</t>
        </is>
      </c>
      <c r="T2821" s="1" t="inlineStr">
        <is>
          <t>P2 - PEPPL</t>
        </is>
      </c>
      <c r="U2821" s="6" t="inlineStr">
        <is>
          <t>P JB Cold Soldering</t>
        </is>
      </c>
      <c r="V2821" s="1" t="inlineStr">
        <is>
          <t>Soldering</t>
        </is>
      </c>
      <c r="W2821" s="1" t="inlineStr">
        <is>
          <t>Repair</t>
        </is>
      </c>
      <c r="X2821" s="5" t="n">
        <v>46202</v>
      </c>
      <c r="Y2821" s="1">
        <f>IF(X2821="","",X2821-A2821)</f>
        <v/>
      </c>
      <c r="Z2821" s="5" t="n">
        <v>46202</v>
      </c>
      <c r="AA2821" s="3" t="n"/>
      <c r="AB2821" s="3" t="n"/>
      <c r="AE2821" s="146">
        <f>IF(AND(F2821="Closed",X2821&gt;=DATE(2026,6,1),X2821&lt;=DATE(2026,6,30)),"Closed in June","other")</f>
        <v/>
      </c>
    </row>
    <row r="2822" hidden="1">
      <c r="A2822" s="9" t="n">
        <v>46134</v>
      </c>
      <c r="B2822" s="1" t="n">
        <v>2026</v>
      </c>
      <c r="C2822" s="8" t="inlineStr">
        <is>
          <t>First Energy</t>
        </is>
      </c>
      <c r="D2822" s="11" t="inlineStr">
        <is>
          <t>Utility and C&amp;I</t>
        </is>
      </c>
      <c r="E2822" s="1" t="n"/>
      <c r="F2822" s="1" t="inlineStr">
        <is>
          <t>Closed</t>
        </is>
      </c>
      <c r="G2822" s="8" t="inlineStr">
        <is>
          <t>Saravanakumar</t>
        </is>
      </c>
      <c r="H2822" s="8" t="n">
        <v>8248438488</v>
      </c>
      <c r="I2822" s="10" t="inlineStr">
        <is>
          <t>PE22042601</t>
        </is>
      </c>
      <c r="J2822" s="8" t="inlineStr">
        <is>
          <t>Anomalies/defects in the modules</t>
        </is>
      </c>
      <c r="K2822" s="8" t="inlineStr">
        <is>
          <t>Tirunelveli</t>
        </is>
      </c>
      <c r="L2822" s="8" t="inlineStr">
        <is>
          <t>Tamil Nadu</t>
        </is>
      </c>
      <c r="M2822" s="62" t="inlineStr">
        <is>
          <t>NS</t>
        </is>
      </c>
      <c r="N2822" s="6" t="inlineStr">
        <is>
          <t>Cold Soldering</t>
        </is>
      </c>
      <c r="O2822" s="51" t="n">
        <v>550</v>
      </c>
      <c r="P2822" s="60" t="inlineStr">
        <is>
          <t>NSMP2307391182</t>
        </is>
      </c>
      <c r="Q2822" s="29">
        <f>MID(P2822,5,2)</f>
        <v/>
      </c>
      <c r="R2822" s="14">
        <f>MID(P2822,7,2)</f>
        <v/>
      </c>
      <c r="S2822" s="6" t="inlineStr">
        <is>
          <t>G2B</t>
        </is>
      </c>
      <c r="T2822" s="1" t="inlineStr">
        <is>
          <t>P2 - PEPPL</t>
        </is>
      </c>
      <c r="U2822" s="6" t="inlineStr">
        <is>
          <t>N JB Cold Soldering</t>
        </is>
      </c>
      <c r="V2822" s="1" t="inlineStr">
        <is>
          <t>Soldering</t>
        </is>
      </c>
      <c r="W2822" s="1" t="inlineStr">
        <is>
          <t>Repair</t>
        </is>
      </c>
      <c r="X2822" s="5" t="n">
        <v>46202</v>
      </c>
      <c r="Y2822" s="1">
        <f>IF(X2822="","",X2822-A2822)</f>
        <v/>
      </c>
      <c r="Z2822" s="5" t="n">
        <v>46202</v>
      </c>
      <c r="AA2822" s="3" t="n"/>
      <c r="AB2822" s="3" t="n"/>
      <c r="AE2822" s="146">
        <f>IF(AND(F2822="Closed",X2822&gt;=DATE(2026,6,1),X2822&lt;=DATE(2026,6,30)),"Closed in June","other")</f>
        <v/>
      </c>
    </row>
    <row r="2823" hidden="1">
      <c r="A2823" s="9" t="n">
        <v>46134</v>
      </c>
      <c r="B2823" s="1" t="n">
        <v>2026</v>
      </c>
      <c r="C2823" s="8" t="inlineStr">
        <is>
          <t>First Energy</t>
        </is>
      </c>
      <c r="D2823" s="11" t="inlineStr">
        <is>
          <t>Utility and C&amp;I</t>
        </is>
      </c>
      <c r="E2823" s="1" t="n"/>
      <c r="F2823" s="1" t="inlineStr">
        <is>
          <t>Closed</t>
        </is>
      </c>
      <c r="G2823" s="8" t="inlineStr">
        <is>
          <t>Saravanakumar</t>
        </is>
      </c>
      <c r="H2823" s="8" t="n">
        <v>8248438488</v>
      </c>
      <c r="I2823" s="10" t="inlineStr">
        <is>
          <t>PE22042601</t>
        </is>
      </c>
      <c r="J2823" s="8" t="inlineStr">
        <is>
          <t>Anomalies/defects in the modules</t>
        </is>
      </c>
      <c r="K2823" s="8" t="inlineStr">
        <is>
          <t>Tirunelveli</t>
        </is>
      </c>
      <c r="L2823" s="8" t="inlineStr">
        <is>
          <t>Tamil Nadu</t>
        </is>
      </c>
      <c r="M2823" s="62" t="inlineStr">
        <is>
          <t>PNS</t>
        </is>
      </c>
      <c r="N2823" s="6" t="inlineStr">
        <is>
          <t>Cold Soldering</t>
        </is>
      </c>
      <c r="O2823" s="51" t="n">
        <v>550</v>
      </c>
      <c r="P2823" s="60" t="inlineStr">
        <is>
          <t>NSMP2305141229</t>
        </is>
      </c>
      <c r="Q2823" s="29">
        <f>MID(P2823,5,2)</f>
        <v/>
      </c>
      <c r="R2823" s="14">
        <f>MID(P2823,7,2)</f>
        <v/>
      </c>
      <c r="S2823" s="6" t="inlineStr">
        <is>
          <t>G2B</t>
        </is>
      </c>
      <c r="T2823" s="1" t="inlineStr">
        <is>
          <t>P2 - PEPPL</t>
        </is>
      </c>
      <c r="U2823" s="6" t="inlineStr">
        <is>
          <t>P &amp; N JB Cold Soldering</t>
        </is>
      </c>
      <c r="V2823" s="1" t="inlineStr">
        <is>
          <t>Soldering</t>
        </is>
      </c>
      <c r="W2823" s="1" t="inlineStr">
        <is>
          <t>Repair</t>
        </is>
      </c>
      <c r="X2823" s="5" t="n">
        <v>46202</v>
      </c>
      <c r="Y2823" s="1">
        <f>IF(X2823="","",X2823-A2823)</f>
        <v/>
      </c>
      <c r="Z2823" s="5" t="n">
        <v>46202</v>
      </c>
      <c r="AA2823" s="3" t="n"/>
      <c r="AB2823" s="3" t="n"/>
      <c r="AE2823" s="146">
        <f>IF(AND(F2823="Closed",X2823&gt;=DATE(2026,6,1),X2823&lt;=DATE(2026,6,30)),"Closed in June","other")</f>
        <v/>
      </c>
    </row>
    <row r="2824" hidden="1">
      <c r="A2824" s="9" t="n">
        <v>46134</v>
      </c>
      <c r="B2824" s="1" t="n">
        <v>2026</v>
      </c>
      <c r="C2824" s="8" t="inlineStr">
        <is>
          <t>First Energy</t>
        </is>
      </c>
      <c r="D2824" s="11" t="inlineStr">
        <is>
          <t>Utility and C&amp;I</t>
        </is>
      </c>
      <c r="E2824" s="1" t="n"/>
      <c r="F2824" s="1" t="inlineStr">
        <is>
          <t>Closed</t>
        </is>
      </c>
      <c r="G2824" s="8" t="inlineStr">
        <is>
          <t>Saravanakumar</t>
        </is>
      </c>
      <c r="H2824" s="8" t="n">
        <v>8248438488</v>
      </c>
      <c r="I2824" s="10" t="inlineStr">
        <is>
          <t>PE22042601</t>
        </is>
      </c>
      <c r="J2824" s="8" t="inlineStr">
        <is>
          <t>Anomalies/defects in the modules</t>
        </is>
      </c>
      <c r="K2824" s="8" t="inlineStr">
        <is>
          <t>Tirunelveli</t>
        </is>
      </c>
      <c r="L2824" s="8" t="inlineStr">
        <is>
          <t>Tamil Nadu</t>
        </is>
      </c>
      <c r="M2824" s="62" t="inlineStr">
        <is>
          <t>OK</t>
        </is>
      </c>
      <c r="N2824" s="2" t="inlineStr">
        <is>
          <t>No Issue Found</t>
        </is>
      </c>
      <c r="O2824" s="51" t="n">
        <v>550</v>
      </c>
      <c r="P2824" s="60" t="inlineStr">
        <is>
          <t>NSMP2306213586</t>
        </is>
      </c>
      <c r="Q2824" s="29">
        <f>MID(P2824,5,2)</f>
        <v/>
      </c>
      <c r="R2824" s="14">
        <f>MID(P2824,7,2)</f>
        <v/>
      </c>
      <c r="S2824" s="6" t="inlineStr">
        <is>
          <t>G2B</t>
        </is>
      </c>
      <c r="T2824" s="1" t="inlineStr">
        <is>
          <t>P2 - PEPPL</t>
        </is>
      </c>
      <c r="U2824" s="6" t="inlineStr">
        <is>
          <t>No Issue Found</t>
        </is>
      </c>
      <c r="V2824" s="6" t="inlineStr">
        <is>
          <t>Inspection</t>
        </is>
      </c>
      <c r="W2824" s="1" t="inlineStr">
        <is>
          <t>Rejected</t>
        </is>
      </c>
      <c r="X2824" s="5" t="n">
        <v>46202</v>
      </c>
      <c r="Y2824" s="1">
        <f>IF(X2824="","",X2824-A2824)</f>
        <v/>
      </c>
      <c r="Z2824" s="5" t="n">
        <v>46202</v>
      </c>
      <c r="AA2824" s="3" t="n"/>
      <c r="AB2824" s="3" t="n"/>
      <c r="AE2824" s="146">
        <f>IF(AND(F2824="Closed",X2824&gt;=DATE(2026,6,1),X2824&lt;=DATE(2026,6,30)),"Closed in June","other")</f>
        <v/>
      </c>
    </row>
    <row r="2825" hidden="1">
      <c r="A2825" s="9" t="n">
        <v>46134</v>
      </c>
      <c r="B2825" s="1" t="n">
        <v>2026</v>
      </c>
      <c r="C2825" s="8" t="inlineStr">
        <is>
          <t>First Energy</t>
        </is>
      </c>
      <c r="D2825" s="11" t="inlineStr">
        <is>
          <t>Utility and C&amp;I</t>
        </is>
      </c>
      <c r="E2825" s="1" t="n"/>
      <c r="F2825" s="1" t="inlineStr">
        <is>
          <t>Closed</t>
        </is>
      </c>
      <c r="G2825" s="8" t="inlineStr">
        <is>
          <t>Saravanakumar</t>
        </is>
      </c>
      <c r="H2825" s="8" t="n">
        <v>8248438488</v>
      </c>
      <c r="I2825" s="10" t="inlineStr">
        <is>
          <t>PE22042601</t>
        </is>
      </c>
      <c r="J2825" s="8" t="inlineStr">
        <is>
          <t>Anomalies/defects in the modules</t>
        </is>
      </c>
      <c r="K2825" s="8" t="inlineStr">
        <is>
          <t>Tirunelveli</t>
        </is>
      </c>
      <c r="L2825" s="8" t="inlineStr">
        <is>
          <t>Tamil Nadu</t>
        </is>
      </c>
      <c r="M2825" s="62" t="inlineStr">
        <is>
          <t>OK</t>
        </is>
      </c>
      <c r="N2825" s="2" t="inlineStr">
        <is>
          <t>No Issue Found</t>
        </is>
      </c>
      <c r="O2825" s="51" t="n">
        <v>550</v>
      </c>
      <c r="P2825" s="60" t="inlineStr">
        <is>
          <t>NSMP2306275459</t>
        </is>
      </c>
      <c r="Q2825" s="29">
        <f>MID(P2825,5,2)</f>
        <v/>
      </c>
      <c r="R2825" s="14">
        <f>MID(P2825,7,2)</f>
        <v/>
      </c>
      <c r="S2825" s="6" t="inlineStr">
        <is>
          <t>G2B</t>
        </is>
      </c>
      <c r="T2825" s="1" t="inlineStr">
        <is>
          <t>P2 - PEPPL</t>
        </is>
      </c>
      <c r="U2825" s="6" t="inlineStr">
        <is>
          <t>No Issue Found</t>
        </is>
      </c>
      <c r="V2825" s="6" t="inlineStr">
        <is>
          <t>Inspection</t>
        </is>
      </c>
      <c r="W2825" s="1" t="inlineStr">
        <is>
          <t>Rejected</t>
        </is>
      </c>
      <c r="X2825" s="5" t="n">
        <v>46202</v>
      </c>
      <c r="Y2825" s="1">
        <f>IF(X2825="","",X2825-A2825)</f>
        <v/>
      </c>
      <c r="Z2825" s="5" t="n">
        <v>46202</v>
      </c>
      <c r="AA2825" s="3" t="n"/>
      <c r="AB2825" s="3" t="n"/>
      <c r="AE2825" s="146">
        <f>IF(AND(F2825="Closed",X2825&gt;=DATE(2026,6,1),X2825&lt;=DATE(2026,6,30)),"Closed in June","other")</f>
        <v/>
      </c>
    </row>
    <row r="2826" hidden="1">
      <c r="A2826" s="9" t="n">
        <v>46134</v>
      </c>
      <c r="B2826" s="1" t="n">
        <v>2026</v>
      </c>
      <c r="C2826" s="8" t="inlineStr">
        <is>
          <t>First Energy</t>
        </is>
      </c>
      <c r="D2826" s="11" t="inlineStr">
        <is>
          <t>Utility and C&amp;I</t>
        </is>
      </c>
      <c r="E2826" s="1" t="n"/>
      <c r="F2826" s="1" t="inlineStr">
        <is>
          <t>Closed</t>
        </is>
      </c>
      <c r="G2826" s="8" t="inlineStr">
        <is>
          <t>Saravanakumar</t>
        </is>
      </c>
      <c r="H2826" s="8" t="n">
        <v>8248438488</v>
      </c>
      <c r="I2826" s="10" t="inlineStr">
        <is>
          <t>PE22042601</t>
        </is>
      </c>
      <c r="J2826" s="8" t="inlineStr">
        <is>
          <t>Anomalies/defects in the modules</t>
        </is>
      </c>
      <c r="K2826" s="8" t="inlineStr">
        <is>
          <t>Tirunelveli</t>
        </is>
      </c>
      <c r="L2826" s="8" t="inlineStr">
        <is>
          <t>Tamil Nadu</t>
        </is>
      </c>
      <c r="M2826" s="62" t="inlineStr">
        <is>
          <t>OK</t>
        </is>
      </c>
      <c r="N2826" s="2" t="inlineStr">
        <is>
          <t>No Issue Found</t>
        </is>
      </c>
      <c r="O2826" s="51" t="n">
        <v>550</v>
      </c>
      <c r="P2826" s="60" t="inlineStr">
        <is>
          <t>NSMP2306214454</t>
        </is>
      </c>
      <c r="Q2826" s="29">
        <f>MID(P2826,5,2)</f>
        <v/>
      </c>
      <c r="R2826" s="14">
        <f>MID(P2826,7,2)</f>
        <v/>
      </c>
      <c r="S2826" s="6" t="inlineStr">
        <is>
          <t>G2B</t>
        </is>
      </c>
      <c r="T2826" s="1" t="inlineStr">
        <is>
          <t>P2 - PEPPL</t>
        </is>
      </c>
      <c r="U2826" s="6" t="inlineStr">
        <is>
          <t>No Issue Found</t>
        </is>
      </c>
      <c r="V2826" s="6" t="inlineStr">
        <is>
          <t>Inspection</t>
        </is>
      </c>
      <c r="W2826" s="1" t="inlineStr">
        <is>
          <t>Rejected</t>
        </is>
      </c>
      <c r="X2826" s="5" t="n">
        <v>46202</v>
      </c>
      <c r="Y2826" s="1">
        <f>IF(X2826="","",X2826-A2826)</f>
        <v/>
      </c>
      <c r="Z2826" s="5" t="n">
        <v>46202</v>
      </c>
      <c r="AA2826" s="3" t="n"/>
      <c r="AB2826" s="3" t="n"/>
      <c r="AE2826" s="146">
        <f>IF(AND(F2826="Closed",X2826&gt;=DATE(2026,6,1),X2826&lt;=DATE(2026,6,30)),"Closed in June","other")</f>
        <v/>
      </c>
    </row>
    <row r="2827" hidden="1">
      <c r="A2827" s="9" t="n">
        <v>46134</v>
      </c>
      <c r="B2827" s="1" t="n">
        <v>2026</v>
      </c>
      <c r="C2827" s="8" t="inlineStr">
        <is>
          <t>First Energy</t>
        </is>
      </c>
      <c r="D2827" s="11" t="inlineStr">
        <is>
          <t>Utility and C&amp;I</t>
        </is>
      </c>
      <c r="E2827" s="1" t="n"/>
      <c r="F2827" s="1" t="inlineStr">
        <is>
          <t>Closed</t>
        </is>
      </c>
      <c r="G2827" s="8" t="inlineStr">
        <is>
          <t>Saravanakumar</t>
        </is>
      </c>
      <c r="H2827" s="8" t="n">
        <v>8248438488</v>
      </c>
      <c r="I2827" s="10" t="inlineStr">
        <is>
          <t>PE22042601</t>
        </is>
      </c>
      <c r="J2827" s="8" t="inlineStr">
        <is>
          <t>Anomalies/defects in the modules</t>
        </is>
      </c>
      <c r="K2827" s="8" t="inlineStr">
        <is>
          <t>Tirunelveli</t>
        </is>
      </c>
      <c r="L2827" s="8" t="inlineStr">
        <is>
          <t>Tamil Nadu</t>
        </is>
      </c>
      <c r="M2827" s="62" t="inlineStr">
        <is>
          <t>PS</t>
        </is>
      </c>
      <c r="N2827" s="6" t="inlineStr">
        <is>
          <t>Cold Soldering</t>
        </is>
      </c>
      <c r="O2827" s="51" t="n">
        <v>550</v>
      </c>
      <c r="P2827" s="60" t="inlineStr">
        <is>
          <t>NSMP2306215011</t>
        </is>
      </c>
      <c r="Q2827" s="29">
        <f>MID(P2827,5,2)</f>
        <v/>
      </c>
      <c r="R2827" s="14">
        <f>MID(P2827,7,2)</f>
        <v/>
      </c>
      <c r="S2827" s="6" t="inlineStr">
        <is>
          <t>G2B</t>
        </is>
      </c>
      <c r="T2827" s="1" t="inlineStr">
        <is>
          <t>P2 - PEPPL</t>
        </is>
      </c>
      <c r="U2827" s="6" t="inlineStr">
        <is>
          <t>P JB Cold Soldering</t>
        </is>
      </c>
      <c r="V2827" s="1" t="inlineStr">
        <is>
          <t>Soldering</t>
        </is>
      </c>
      <c r="W2827" s="1" t="inlineStr">
        <is>
          <t>Repair</t>
        </is>
      </c>
      <c r="X2827" s="5" t="n">
        <v>46202</v>
      </c>
      <c r="Y2827" s="1">
        <f>IF(X2827="","",X2827-A2827)</f>
        <v/>
      </c>
      <c r="Z2827" s="5" t="n">
        <v>46202</v>
      </c>
      <c r="AA2827" s="3" t="n"/>
      <c r="AB2827" s="3" t="n"/>
      <c r="AE2827" s="146">
        <f>IF(AND(F2827="Closed",X2827&gt;=DATE(2026,6,1),X2827&lt;=DATE(2026,6,30)),"Closed in June","other")</f>
        <v/>
      </c>
    </row>
    <row r="2828" hidden="1">
      <c r="A2828" s="9" t="n">
        <v>46134</v>
      </c>
      <c r="B2828" s="1" t="n">
        <v>2026</v>
      </c>
      <c r="C2828" s="8" t="inlineStr">
        <is>
          <t>First Energy</t>
        </is>
      </c>
      <c r="D2828" s="11" t="inlineStr">
        <is>
          <t>Utility and C&amp;I</t>
        </is>
      </c>
      <c r="E2828" s="1" t="n"/>
      <c r="F2828" s="1" t="inlineStr">
        <is>
          <t>Closed</t>
        </is>
      </c>
      <c r="G2828" s="8" t="inlineStr">
        <is>
          <t>Saravanakumar</t>
        </is>
      </c>
      <c r="H2828" s="8" t="n">
        <v>8248438488</v>
      </c>
      <c r="I2828" s="10" t="inlineStr">
        <is>
          <t>PE22042601</t>
        </is>
      </c>
      <c r="J2828" s="8" t="inlineStr">
        <is>
          <t>Anomalies/defects in the modules</t>
        </is>
      </c>
      <c r="K2828" s="8" t="inlineStr">
        <is>
          <t>Tirunelveli</t>
        </is>
      </c>
      <c r="L2828" s="8" t="inlineStr">
        <is>
          <t>Tamil Nadu</t>
        </is>
      </c>
      <c r="M2828" s="62" t="inlineStr">
        <is>
          <t>PMS</t>
        </is>
      </c>
      <c r="N2828" s="6" t="inlineStr">
        <is>
          <t>Cold Soldering</t>
        </is>
      </c>
      <c r="O2828" s="51" t="n">
        <v>550</v>
      </c>
      <c r="P2828" s="60" t="inlineStr">
        <is>
          <t>NSMP2306301238</t>
        </is>
      </c>
      <c r="Q2828" s="29">
        <f>MID(P2828,5,2)</f>
        <v/>
      </c>
      <c r="R2828" s="14">
        <f>MID(P2828,7,2)</f>
        <v/>
      </c>
      <c r="S2828" s="6" t="inlineStr">
        <is>
          <t>G2B</t>
        </is>
      </c>
      <c r="T2828" s="1" t="inlineStr">
        <is>
          <t>P2 - PEPPL</t>
        </is>
      </c>
      <c r="U2828" s="6" t="inlineStr">
        <is>
          <t>P &amp; M JB Cold Soldering</t>
        </is>
      </c>
      <c r="V2828" s="1" t="inlineStr">
        <is>
          <t>Soldering</t>
        </is>
      </c>
      <c r="W2828" s="1" t="inlineStr">
        <is>
          <t>Repair</t>
        </is>
      </c>
      <c r="X2828" s="5" t="n">
        <v>46202</v>
      </c>
      <c r="Y2828" s="1">
        <f>IF(X2828="","",X2828-A2828)</f>
        <v/>
      </c>
      <c r="Z2828" s="5" t="n">
        <v>46202</v>
      </c>
      <c r="AA2828" s="3" t="n"/>
      <c r="AB2828" s="3" t="n"/>
      <c r="AE2828" s="146">
        <f>IF(AND(F2828="Closed",X2828&gt;=DATE(2026,6,1),X2828&lt;=DATE(2026,6,30)),"Closed in June","other")</f>
        <v/>
      </c>
    </row>
    <row r="2829" hidden="1">
      <c r="A2829" s="9" t="n">
        <v>46134</v>
      </c>
      <c r="B2829" s="1" t="n">
        <v>2026</v>
      </c>
      <c r="C2829" s="8" t="inlineStr">
        <is>
          <t>First Energy</t>
        </is>
      </c>
      <c r="D2829" s="11" t="inlineStr">
        <is>
          <t>Utility and C&amp;I</t>
        </is>
      </c>
      <c r="E2829" s="1" t="n"/>
      <c r="F2829" s="1" t="inlineStr">
        <is>
          <t>Closed</t>
        </is>
      </c>
      <c r="G2829" s="8" t="inlineStr">
        <is>
          <t>Saravanakumar</t>
        </is>
      </c>
      <c r="H2829" s="8" t="n">
        <v>8248438488</v>
      </c>
      <c r="I2829" s="10" t="inlineStr">
        <is>
          <t>PE22042601</t>
        </is>
      </c>
      <c r="J2829" s="8" t="inlineStr">
        <is>
          <t>Anomalies/defects in the modules</t>
        </is>
      </c>
      <c r="K2829" s="8" t="inlineStr">
        <is>
          <t>Tirunelveli</t>
        </is>
      </c>
      <c r="L2829" s="8" t="inlineStr">
        <is>
          <t>Tamil Nadu</t>
        </is>
      </c>
      <c r="M2829" s="62" t="inlineStr">
        <is>
          <t>OK</t>
        </is>
      </c>
      <c r="N2829" s="2" t="inlineStr">
        <is>
          <t>No Issue Found</t>
        </is>
      </c>
      <c r="O2829" s="51" t="n">
        <v>550</v>
      </c>
      <c r="P2829" s="60" t="inlineStr">
        <is>
          <t>NSMP2307384391</t>
        </is>
      </c>
      <c r="Q2829" s="29">
        <f>MID(P2829,5,2)</f>
        <v/>
      </c>
      <c r="R2829" s="14">
        <f>MID(P2829,7,2)</f>
        <v/>
      </c>
      <c r="S2829" s="6" t="inlineStr">
        <is>
          <t>G2B</t>
        </is>
      </c>
      <c r="T2829" s="1" t="inlineStr">
        <is>
          <t>P2 - PEPPL</t>
        </is>
      </c>
      <c r="U2829" s="6" t="inlineStr">
        <is>
          <t>No Issue Found</t>
        </is>
      </c>
      <c r="V2829" s="6" t="inlineStr">
        <is>
          <t>Inspection</t>
        </is>
      </c>
      <c r="W2829" s="1" t="inlineStr">
        <is>
          <t>Rejected</t>
        </is>
      </c>
      <c r="X2829" s="5" t="n">
        <v>46202</v>
      </c>
      <c r="Y2829" s="1">
        <f>IF(X2829="","",X2829-A2829)</f>
        <v/>
      </c>
      <c r="Z2829" s="5" t="n">
        <v>46202</v>
      </c>
      <c r="AA2829" s="3" t="n"/>
      <c r="AB2829" s="3" t="n"/>
      <c r="AE2829" s="146">
        <f>IF(AND(F2829="Closed",X2829&gt;=DATE(2026,6,1),X2829&lt;=DATE(2026,6,30)),"Closed in June","other")</f>
        <v/>
      </c>
    </row>
    <row r="2830" hidden="1">
      <c r="A2830" s="9" t="n">
        <v>46134</v>
      </c>
      <c r="B2830" s="1" t="n">
        <v>2026</v>
      </c>
      <c r="C2830" s="8" t="inlineStr">
        <is>
          <t>First Energy</t>
        </is>
      </c>
      <c r="D2830" s="11" t="inlineStr">
        <is>
          <t>Utility and C&amp;I</t>
        </is>
      </c>
      <c r="E2830" s="1" t="n"/>
      <c r="F2830" s="1" t="inlineStr">
        <is>
          <t>Closed</t>
        </is>
      </c>
      <c r="G2830" s="8" t="inlineStr">
        <is>
          <t>Saravanakumar</t>
        </is>
      </c>
      <c r="H2830" s="8" t="n">
        <v>8248438488</v>
      </c>
      <c r="I2830" s="10" t="inlineStr">
        <is>
          <t>PE22042601</t>
        </is>
      </c>
      <c r="J2830" s="8" t="inlineStr">
        <is>
          <t>Anomalies/defects in the modules</t>
        </is>
      </c>
      <c r="K2830" s="8" t="inlineStr">
        <is>
          <t>Tirunelveli</t>
        </is>
      </c>
      <c r="L2830" s="8" t="inlineStr">
        <is>
          <t>Tamil Nadu</t>
        </is>
      </c>
      <c r="M2830" s="62" t="inlineStr">
        <is>
          <t>PS</t>
        </is>
      </c>
      <c r="N2830" s="6" t="inlineStr">
        <is>
          <t>Cold Soldering</t>
        </is>
      </c>
      <c r="O2830" s="51" t="n">
        <v>550</v>
      </c>
      <c r="P2830" s="60" t="inlineStr">
        <is>
          <t>NSMP2305159485</t>
        </is>
      </c>
      <c r="Q2830" s="29">
        <f>MID(P2830,5,2)</f>
        <v/>
      </c>
      <c r="R2830" s="14">
        <f>MID(P2830,7,2)</f>
        <v/>
      </c>
      <c r="S2830" s="6" t="inlineStr">
        <is>
          <t>G2B</t>
        </is>
      </c>
      <c r="T2830" s="1" t="inlineStr">
        <is>
          <t>P2 - PEPPL</t>
        </is>
      </c>
      <c r="U2830" s="6" t="inlineStr">
        <is>
          <t>P JB Cold Soldering</t>
        </is>
      </c>
      <c r="V2830" s="1" t="inlineStr">
        <is>
          <t>Soldering</t>
        </is>
      </c>
      <c r="W2830" s="1" t="inlineStr">
        <is>
          <t>Repair</t>
        </is>
      </c>
      <c r="X2830" s="5" t="n">
        <v>46202</v>
      </c>
      <c r="Y2830" s="1">
        <f>IF(X2830="","",X2830-A2830)</f>
        <v/>
      </c>
      <c r="Z2830" s="5" t="n">
        <v>46202</v>
      </c>
      <c r="AA2830" s="3" t="n"/>
      <c r="AB2830" s="3" t="n"/>
      <c r="AE2830" s="146">
        <f>IF(AND(F2830="Closed",X2830&gt;=DATE(2026,6,1),X2830&lt;=DATE(2026,6,30)),"Closed in June","other")</f>
        <v/>
      </c>
    </row>
    <row r="2831" hidden="1">
      <c r="A2831" s="9" t="n">
        <v>46134</v>
      </c>
      <c r="B2831" s="1" t="n">
        <v>2026</v>
      </c>
      <c r="C2831" s="8" t="inlineStr">
        <is>
          <t>First Energy</t>
        </is>
      </c>
      <c r="D2831" s="11" t="inlineStr">
        <is>
          <t>Utility and C&amp;I</t>
        </is>
      </c>
      <c r="E2831" s="1" t="n"/>
      <c r="F2831" s="1" t="inlineStr">
        <is>
          <t>Closed</t>
        </is>
      </c>
      <c r="G2831" s="8" t="inlineStr">
        <is>
          <t>Saravanakumar</t>
        </is>
      </c>
      <c r="H2831" s="8" t="n">
        <v>8248438488</v>
      </c>
      <c r="I2831" s="10" t="inlineStr">
        <is>
          <t>PE22042601</t>
        </is>
      </c>
      <c r="J2831" s="8" t="inlineStr">
        <is>
          <t>Anomalies/defects in the modules</t>
        </is>
      </c>
      <c r="K2831" s="8" t="inlineStr">
        <is>
          <t>Tirunelveli</t>
        </is>
      </c>
      <c r="L2831" s="8" t="inlineStr">
        <is>
          <t>Tamil Nadu</t>
        </is>
      </c>
      <c r="M2831" s="62" t="inlineStr">
        <is>
          <t>PS</t>
        </is>
      </c>
      <c r="N2831" s="6" t="inlineStr">
        <is>
          <t>Cold Soldering</t>
        </is>
      </c>
      <c r="O2831" s="51" t="n">
        <v>550</v>
      </c>
      <c r="P2831" s="60" t="inlineStr">
        <is>
          <t>NSMP2305159428</t>
        </is>
      </c>
      <c r="Q2831" s="29">
        <f>MID(P2831,5,2)</f>
        <v/>
      </c>
      <c r="R2831" s="14">
        <f>MID(P2831,7,2)</f>
        <v/>
      </c>
      <c r="S2831" s="6" t="inlineStr">
        <is>
          <t>G2B</t>
        </is>
      </c>
      <c r="T2831" s="1" t="inlineStr">
        <is>
          <t>P2 - PEPPL</t>
        </is>
      </c>
      <c r="U2831" s="6" t="inlineStr">
        <is>
          <t>P JB Cold Soldering</t>
        </is>
      </c>
      <c r="V2831" s="1" t="inlineStr">
        <is>
          <t>Soldering</t>
        </is>
      </c>
      <c r="W2831" s="1" t="inlineStr">
        <is>
          <t>Repair</t>
        </is>
      </c>
      <c r="X2831" s="5" t="n">
        <v>46202</v>
      </c>
      <c r="Y2831" s="1">
        <f>IF(X2831="","",X2831-A2831)</f>
        <v/>
      </c>
      <c r="Z2831" s="5" t="n">
        <v>46202</v>
      </c>
      <c r="AA2831" s="3" t="n"/>
      <c r="AB2831" s="3" t="n"/>
      <c r="AE2831" s="146">
        <f>IF(AND(F2831="Closed",X2831&gt;=DATE(2026,6,1),X2831&lt;=DATE(2026,6,30)),"Closed in June","other")</f>
        <v/>
      </c>
    </row>
    <row r="2832" hidden="1">
      <c r="A2832" s="9" t="n">
        <v>46134</v>
      </c>
      <c r="B2832" s="1" t="n">
        <v>2026</v>
      </c>
      <c r="C2832" s="8" t="inlineStr">
        <is>
          <t>First Energy</t>
        </is>
      </c>
      <c r="D2832" s="11" t="inlineStr">
        <is>
          <t>Utility and C&amp;I</t>
        </is>
      </c>
      <c r="E2832" s="1" t="n"/>
      <c r="F2832" s="1" t="inlineStr">
        <is>
          <t>Closed</t>
        </is>
      </c>
      <c r="G2832" s="8" t="inlineStr">
        <is>
          <t>Saravanakumar</t>
        </is>
      </c>
      <c r="H2832" s="8" t="n">
        <v>8248438488</v>
      </c>
      <c r="I2832" s="10" t="inlineStr">
        <is>
          <t>PE22042601</t>
        </is>
      </c>
      <c r="J2832" s="8" t="inlineStr">
        <is>
          <t>Anomalies/defects in the modules</t>
        </is>
      </c>
      <c r="K2832" s="8" t="inlineStr">
        <is>
          <t>Tirunelveli</t>
        </is>
      </c>
      <c r="L2832" s="8" t="inlineStr">
        <is>
          <t>Tamil Nadu</t>
        </is>
      </c>
      <c r="M2832" s="62" t="inlineStr">
        <is>
          <t>OK</t>
        </is>
      </c>
      <c r="N2832" s="2" t="inlineStr">
        <is>
          <t>No Issue Found</t>
        </is>
      </c>
      <c r="O2832" s="51" t="n">
        <v>550</v>
      </c>
      <c r="P2832" s="60" t="inlineStr">
        <is>
          <t>NSMP2307345146</t>
        </is>
      </c>
      <c r="Q2832" s="29">
        <f>MID(P2832,5,2)</f>
        <v/>
      </c>
      <c r="R2832" s="14">
        <f>MID(P2832,7,2)</f>
        <v/>
      </c>
      <c r="S2832" s="6" t="inlineStr">
        <is>
          <t>G2B</t>
        </is>
      </c>
      <c r="T2832" s="1" t="inlineStr">
        <is>
          <t>P2 - PEPPL</t>
        </is>
      </c>
      <c r="U2832" s="6" t="inlineStr">
        <is>
          <t>No Issue Found</t>
        </is>
      </c>
      <c r="V2832" s="6" t="inlineStr">
        <is>
          <t>Inspection</t>
        </is>
      </c>
      <c r="W2832" s="1" t="inlineStr">
        <is>
          <t>Rejected</t>
        </is>
      </c>
      <c r="X2832" s="5" t="n">
        <v>46202</v>
      </c>
      <c r="Y2832" s="1">
        <f>IF(X2832="","",X2832-A2832)</f>
        <v/>
      </c>
      <c r="Z2832" s="5" t="n">
        <v>46202</v>
      </c>
      <c r="AA2832" s="3" t="n"/>
      <c r="AB2832" s="3" t="n"/>
      <c r="AE2832" s="146">
        <f>IF(AND(F2832="Closed",X2832&gt;=DATE(2026,6,1),X2832&lt;=DATE(2026,6,30)),"Closed in June","other")</f>
        <v/>
      </c>
    </row>
    <row r="2833" hidden="1">
      <c r="A2833" s="9" t="n">
        <v>46134</v>
      </c>
      <c r="B2833" s="1" t="n">
        <v>2026</v>
      </c>
      <c r="C2833" s="8" t="inlineStr">
        <is>
          <t>First Energy</t>
        </is>
      </c>
      <c r="D2833" s="11" t="inlineStr">
        <is>
          <t>Utility and C&amp;I</t>
        </is>
      </c>
      <c r="E2833" s="1" t="n"/>
      <c r="F2833" s="1" t="inlineStr">
        <is>
          <t>Closed</t>
        </is>
      </c>
      <c r="G2833" s="8" t="inlineStr">
        <is>
          <t>Saravanakumar</t>
        </is>
      </c>
      <c r="H2833" s="8" t="n">
        <v>8248438488</v>
      </c>
      <c r="I2833" s="10" t="inlineStr">
        <is>
          <t>PE22042601</t>
        </is>
      </c>
      <c r="J2833" s="8" t="inlineStr">
        <is>
          <t>Anomalies/defects in the modules</t>
        </is>
      </c>
      <c r="K2833" s="8" t="inlineStr">
        <is>
          <t>Tirunelveli</t>
        </is>
      </c>
      <c r="L2833" s="8" t="inlineStr">
        <is>
          <t>Tamil Nadu</t>
        </is>
      </c>
      <c r="M2833" s="62" t="inlineStr">
        <is>
          <t>PS</t>
        </is>
      </c>
      <c r="N2833" s="6" t="inlineStr">
        <is>
          <t>Cold Soldering</t>
        </is>
      </c>
      <c r="O2833" s="51" t="n">
        <v>550</v>
      </c>
      <c r="P2833" s="60" t="inlineStr">
        <is>
          <t>NSMP2306325655</t>
        </is>
      </c>
      <c r="Q2833" s="29">
        <f>MID(P2833,5,2)</f>
        <v/>
      </c>
      <c r="R2833" s="14">
        <f>MID(P2833,7,2)</f>
        <v/>
      </c>
      <c r="S2833" s="6" t="inlineStr">
        <is>
          <t>G2B</t>
        </is>
      </c>
      <c r="T2833" s="1" t="inlineStr">
        <is>
          <t>P2 - PEPPL</t>
        </is>
      </c>
      <c r="U2833" s="6" t="inlineStr">
        <is>
          <t>P JB Cold Soldering</t>
        </is>
      </c>
      <c r="V2833" s="1" t="inlineStr">
        <is>
          <t>Soldering</t>
        </is>
      </c>
      <c r="W2833" s="1" t="inlineStr">
        <is>
          <t>Repair</t>
        </is>
      </c>
      <c r="X2833" s="5" t="n">
        <v>46202</v>
      </c>
      <c r="Y2833" s="1">
        <f>IF(X2833="","",X2833-A2833)</f>
        <v/>
      </c>
      <c r="Z2833" s="5" t="n">
        <v>46202</v>
      </c>
      <c r="AA2833" s="3" t="n"/>
      <c r="AB2833" s="3" t="n"/>
      <c r="AE2833" s="146">
        <f>IF(AND(F2833="Closed",X2833&gt;=DATE(2026,6,1),X2833&lt;=DATE(2026,6,30)),"Closed in June","other")</f>
        <v/>
      </c>
    </row>
    <row r="2834" hidden="1">
      <c r="A2834" s="9" t="n">
        <v>46134</v>
      </c>
      <c r="B2834" s="1" t="n">
        <v>2026</v>
      </c>
      <c r="C2834" s="8" t="inlineStr">
        <is>
          <t>First Energy</t>
        </is>
      </c>
      <c r="D2834" s="11" t="inlineStr">
        <is>
          <t>Utility and C&amp;I</t>
        </is>
      </c>
      <c r="E2834" s="1" t="n"/>
      <c r="F2834" s="1" t="inlineStr">
        <is>
          <t>Closed</t>
        </is>
      </c>
      <c r="G2834" s="8" t="inlineStr">
        <is>
          <t>Saravanakumar</t>
        </is>
      </c>
      <c r="H2834" s="8" t="n">
        <v>8248438488</v>
      </c>
      <c r="I2834" s="10" t="inlineStr">
        <is>
          <t>PE22042601</t>
        </is>
      </c>
      <c r="J2834" s="8" t="inlineStr">
        <is>
          <t>Anomalies/defects in the modules</t>
        </is>
      </c>
      <c r="K2834" s="8" t="inlineStr">
        <is>
          <t>Tirunelveli</t>
        </is>
      </c>
      <c r="L2834" s="8" t="inlineStr">
        <is>
          <t>Tamil Nadu</t>
        </is>
      </c>
      <c r="M2834" s="62" t="inlineStr">
        <is>
          <t>OK</t>
        </is>
      </c>
      <c r="N2834" s="2" t="inlineStr">
        <is>
          <t>No Issue Found</t>
        </is>
      </c>
      <c r="O2834" s="51" t="n">
        <v>550</v>
      </c>
      <c r="P2834" s="60" t="inlineStr">
        <is>
          <t>NSMP2306326263</t>
        </is>
      </c>
      <c r="Q2834" s="29">
        <f>MID(P2834,5,2)</f>
        <v/>
      </c>
      <c r="R2834" s="14">
        <f>MID(P2834,7,2)</f>
        <v/>
      </c>
      <c r="S2834" s="6" t="inlineStr">
        <is>
          <t>G2B</t>
        </is>
      </c>
      <c r="T2834" s="1" t="inlineStr">
        <is>
          <t>P2 - PEPPL</t>
        </is>
      </c>
      <c r="U2834" s="6" t="inlineStr">
        <is>
          <t>No Issue Found</t>
        </is>
      </c>
      <c r="V2834" s="6" t="inlineStr">
        <is>
          <t>Inspection</t>
        </is>
      </c>
      <c r="W2834" s="1" t="inlineStr">
        <is>
          <t>Rejected</t>
        </is>
      </c>
      <c r="X2834" s="5" t="n">
        <v>46202</v>
      </c>
      <c r="Y2834" s="1">
        <f>IF(X2834="","",X2834-A2834)</f>
        <v/>
      </c>
      <c r="Z2834" s="5" t="n">
        <v>46202</v>
      </c>
      <c r="AA2834" s="3" t="n"/>
      <c r="AB2834" s="3" t="n"/>
      <c r="AE2834" s="146">
        <f>IF(AND(F2834="Closed",X2834&gt;=DATE(2026,6,1),X2834&lt;=DATE(2026,6,30)),"Closed in June","other")</f>
        <v/>
      </c>
    </row>
    <row r="2835" hidden="1">
      <c r="A2835" s="9" t="n">
        <v>46134</v>
      </c>
      <c r="B2835" s="1" t="n">
        <v>2026</v>
      </c>
      <c r="C2835" s="8" t="inlineStr">
        <is>
          <t>First Energy</t>
        </is>
      </c>
      <c r="D2835" s="11" t="inlineStr">
        <is>
          <t>Utility and C&amp;I</t>
        </is>
      </c>
      <c r="E2835" s="1" t="n"/>
      <c r="F2835" s="1" t="inlineStr">
        <is>
          <t>Closed</t>
        </is>
      </c>
      <c r="G2835" s="8" t="inlineStr">
        <is>
          <t>Saravanakumar</t>
        </is>
      </c>
      <c r="H2835" s="8" t="n">
        <v>8248438488</v>
      </c>
      <c r="I2835" s="10" t="inlineStr">
        <is>
          <t>PE22042601</t>
        </is>
      </c>
      <c r="J2835" s="8" t="inlineStr">
        <is>
          <t>Anomalies/defects in the modules</t>
        </is>
      </c>
      <c r="K2835" s="8" t="inlineStr">
        <is>
          <t>Tirunelveli</t>
        </is>
      </c>
      <c r="L2835" s="8" t="inlineStr">
        <is>
          <t>Tamil Nadu</t>
        </is>
      </c>
      <c r="M2835" s="62" t="inlineStr">
        <is>
          <t>OK</t>
        </is>
      </c>
      <c r="N2835" s="2" t="inlineStr">
        <is>
          <t>No Issue Found</t>
        </is>
      </c>
      <c r="O2835" s="51" t="n">
        <v>550</v>
      </c>
      <c r="P2835" s="60" t="inlineStr">
        <is>
          <t>NSMP2307418021</t>
        </is>
      </c>
      <c r="Q2835" s="29">
        <f>MID(P2835,5,2)</f>
        <v/>
      </c>
      <c r="R2835" s="14">
        <f>MID(P2835,7,2)</f>
        <v/>
      </c>
      <c r="S2835" s="6" t="inlineStr">
        <is>
          <t>G2B</t>
        </is>
      </c>
      <c r="T2835" s="1" t="inlineStr">
        <is>
          <t>P2 - PEPPL</t>
        </is>
      </c>
      <c r="U2835" s="6" t="inlineStr">
        <is>
          <t>No Issue Found</t>
        </is>
      </c>
      <c r="V2835" s="6" t="inlineStr">
        <is>
          <t>Inspection</t>
        </is>
      </c>
      <c r="W2835" s="1" t="inlineStr">
        <is>
          <t>Rejected</t>
        </is>
      </c>
      <c r="X2835" s="5" t="n">
        <v>46202</v>
      </c>
      <c r="Y2835" s="1">
        <f>IF(X2835="","",X2835-A2835)</f>
        <v/>
      </c>
      <c r="Z2835" s="5" t="n">
        <v>46202</v>
      </c>
      <c r="AA2835" s="3" t="n"/>
      <c r="AB2835" s="3" t="n"/>
      <c r="AE2835" s="146">
        <f>IF(AND(F2835="Closed",X2835&gt;=DATE(2026,6,1),X2835&lt;=DATE(2026,6,30)),"Closed in June","other")</f>
        <v/>
      </c>
    </row>
    <row r="2836" hidden="1">
      <c r="A2836" s="9" t="n">
        <v>46134</v>
      </c>
      <c r="B2836" s="1" t="n">
        <v>2026</v>
      </c>
      <c r="C2836" s="8" t="inlineStr">
        <is>
          <t>First Energy</t>
        </is>
      </c>
      <c r="D2836" s="11" t="inlineStr">
        <is>
          <t>Utility and C&amp;I</t>
        </is>
      </c>
      <c r="E2836" s="1" t="n"/>
      <c r="F2836" s="1" t="inlineStr">
        <is>
          <t>Closed</t>
        </is>
      </c>
      <c r="G2836" s="8" t="inlineStr">
        <is>
          <t>Saravanakumar</t>
        </is>
      </c>
      <c r="H2836" s="8" t="n">
        <v>8248438488</v>
      </c>
      <c r="I2836" s="10" t="inlineStr">
        <is>
          <t>PE22042601</t>
        </is>
      </c>
      <c r="J2836" s="8" t="inlineStr">
        <is>
          <t>Anomalies/defects in the modules</t>
        </is>
      </c>
      <c r="K2836" s="8" t="inlineStr">
        <is>
          <t>Tirunelveli</t>
        </is>
      </c>
      <c r="L2836" s="8" t="inlineStr">
        <is>
          <t>Tamil Nadu</t>
        </is>
      </c>
      <c r="M2836" s="62" t="inlineStr">
        <is>
          <t>OK</t>
        </is>
      </c>
      <c r="N2836" s="2" t="inlineStr">
        <is>
          <t>No Issue Found</t>
        </is>
      </c>
      <c r="O2836" s="51" t="n">
        <v>550</v>
      </c>
      <c r="P2836" s="60" t="inlineStr">
        <is>
          <t>NSMP2307392969</t>
        </is>
      </c>
      <c r="Q2836" s="29">
        <f>MID(P2836,5,2)</f>
        <v/>
      </c>
      <c r="R2836" s="14">
        <f>MID(P2836,7,2)</f>
        <v/>
      </c>
      <c r="S2836" s="6" t="inlineStr">
        <is>
          <t>G2B</t>
        </is>
      </c>
      <c r="T2836" s="1" t="inlineStr">
        <is>
          <t>P2 - PEPPL</t>
        </is>
      </c>
      <c r="U2836" s="6" t="inlineStr">
        <is>
          <t>No Issue Found</t>
        </is>
      </c>
      <c r="V2836" s="6" t="inlineStr">
        <is>
          <t>Inspection</t>
        </is>
      </c>
      <c r="W2836" s="1" t="inlineStr">
        <is>
          <t>Rejected</t>
        </is>
      </c>
      <c r="X2836" s="5" t="n">
        <v>46202</v>
      </c>
      <c r="Y2836" s="1">
        <f>IF(X2836="","",X2836-A2836)</f>
        <v/>
      </c>
      <c r="Z2836" s="5" t="n">
        <v>46202</v>
      </c>
      <c r="AA2836" s="3" t="n"/>
      <c r="AB2836" s="3" t="n"/>
      <c r="AE2836" s="146">
        <f>IF(AND(F2836="Closed",X2836&gt;=DATE(2026,6,1),X2836&lt;=DATE(2026,6,30)),"Closed in June","other")</f>
        <v/>
      </c>
    </row>
    <row r="2837" hidden="1">
      <c r="A2837" s="9" t="n">
        <v>46134</v>
      </c>
      <c r="B2837" s="1" t="n">
        <v>2026</v>
      </c>
      <c r="C2837" s="8" t="inlineStr">
        <is>
          <t>First Energy</t>
        </is>
      </c>
      <c r="D2837" s="11" t="inlineStr">
        <is>
          <t>Utility and C&amp;I</t>
        </is>
      </c>
      <c r="E2837" s="1" t="n"/>
      <c r="F2837" s="1" t="inlineStr">
        <is>
          <t>Closed</t>
        </is>
      </c>
      <c r="G2837" s="8" t="inlineStr">
        <is>
          <t>Saravanakumar</t>
        </is>
      </c>
      <c r="H2837" s="8" t="n">
        <v>8248438488</v>
      </c>
      <c r="I2837" s="10" t="inlineStr">
        <is>
          <t>PE22042601</t>
        </is>
      </c>
      <c r="J2837" s="8" t="inlineStr">
        <is>
          <t>Anomalies/defects in the modules</t>
        </is>
      </c>
      <c r="K2837" s="8" t="inlineStr">
        <is>
          <t>Tirunelveli</t>
        </is>
      </c>
      <c r="L2837" s="8" t="inlineStr">
        <is>
          <t>Tamil Nadu</t>
        </is>
      </c>
      <c r="M2837" s="62" t="inlineStr">
        <is>
          <t>NS</t>
        </is>
      </c>
      <c r="N2837" s="6" t="inlineStr">
        <is>
          <t>Cold Soldering</t>
        </is>
      </c>
      <c r="O2837" s="51" t="n">
        <v>550</v>
      </c>
      <c r="P2837" s="60" t="inlineStr">
        <is>
          <t>NSMP2307432148</t>
        </is>
      </c>
      <c r="Q2837" s="29">
        <f>MID(P2837,5,2)</f>
        <v/>
      </c>
      <c r="R2837" s="14">
        <f>MID(P2837,7,2)</f>
        <v/>
      </c>
      <c r="S2837" s="6" t="inlineStr">
        <is>
          <t>G2B</t>
        </is>
      </c>
      <c r="T2837" s="1" t="inlineStr">
        <is>
          <t>P2 - PEPPL</t>
        </is>
      </c>
      <c r="U2837" s="6" t="inlineStr">
        <is>
          <t>N JB Cold Soldering</t>
        </is>
      </c>
      <c r="V2837" s="1" t="inlineStr">
        <is>
          <t>Soldering</t>
        </is>
      </c>
      <c r="W2837" s="1" t="inlineStr">
        <is>
          <t>Repair</t>
        </is>
      </c>
      <c r="X2837" s="5" t="n">
        <v>46202</v>
      </c>
      <c r="Y2837" s="1">
        <f>IF(X2837="","",X2837-A2837)</f>
        <v/>
      </c>
      <c r="Z2837" s="5" t="n">
        <v>46202</v>
      </c>
      <c r="AA2837" s="3" t="n"/>
      <c r="AB2837" s="3" t="n"/>
      <c r="AE2837" s="146">
        <f>IF(AND(F2837="Closed",X2837&gt;=DATE(2026,6,1),X2837&lt;=DATE(2026,6,30)),"Closed in June","other")</f>
        <v/>
      </c>
    </row>
    <row r="2838" hidden="1">
      <c r="A2838" s="9" t="n">
        <v>46134</v>
      </c>
      <c r="B2838" s="1" t="n">
        <v>2026</v>
      </c>
      <c r="C2838" s="8" t="inlineStr">
        <is>
          <t>First Energy</t>
        </is>
      </c>
      <c r="D2838" s="11" t="inlineStr">
        <is>
          <t>Utility and C&amp;I</t>
        </is>
      </c>
      <c r="E2838" s="1" t="n"/>
      <c r="F2838" s="1" t="inlineStr">
        <is>
          <t>Closed</t>
        </is>
      </c>
      <c r="G2838" s="8" t="inlineStr">
        <is>
          <t>Saravanakumar</t>
        </is>
      </c>
      <c r="H2838" s="8" t="n">
        <v>8248438488</v>
      </c>
      <c r="I2838" s="10" t="inlineStr">
        <is>
          <t>PE22042601</t>
        </is>
      </c>
      <c r="J2838" s="8" t="inlineStr">
        <is>
          <t>Anomalies/defects in the modules</t>
        </is>
      </c>
      <c r="K2838" s="8" t="inlineStr">
        <is>
          <t>Tirunelveli</t>
        </is>
      </c>
      <c r="L2838" s="8" t="inlineStr">
        <is>
          <t>Tamil Nadu</t>
        </is>
      </c>
      <c r="M2838" s="62" t="inlineStr">
        <is>
          <t>OK</t>
        </is>
      </c>
      <c r="N2838" s="2" t="inlineStr">
        <is>
          <t>No Issue Found</t>
        </is>
      </c>
      <c r="O2838" s="51" t="n">
        <v>550</v>
      </c>
      <c r="P2838" s="60" t="inlineStr">
        <is>
          <t>NSMP2306255471</t>
        </is>
      </c>
      <c r="Q2838" s="29">
        <f>MID(P2838,5,2)</f>
        <v/>
      </c>
      <c r="R2838" s="14">
        <f>MID(P2838,7,2)</f>
        <v/>
      </c>
      <c r="S2838" s="6" t="inlineStr">
        <is>
          <t>G2B</t>
        </is>
      </c>
      <c r="T2838" s="1" t="inlineStr">
        <is>
          <t>P2 - PEPPL</t>
        </is>
      </c>
      <c r="U2838" s="6" t="inlineStr">
        <is>
          <t>No Issue Found</t>
        </is>
      </c>
      <c r="V2838" s="6" t="inlineStr">
        <is>
          <t>Inspection</t>
        </is>
      </c>
      <c r="W2838" s="1" t="inlineStr">
        <is>
          <t>Rejected</t>
        </is>
      </c>
      <c r="X2838" s="5" t="n">
        <v>46202</v>
      </c>
      <c r="Y2838" s="1">
        <f>IF(X2838="","",X2838-A2838)</f>
        <v/>
      </c>
      <c r="Z2838" s="5" t="n">
        <v>46202</v>
      </c>
      <c r="AA2838" s="3" t="n"/>
      <c r="AB2838" s="3" t="n"/>
      <c r="AE2838" s="146">
        <f>IF(AND(F2838="Closed",X2838&gt;=DATE(2026,6,1),X2838&lt;=DATE(2026,6,30)),"Closed in June","other")</f>
        <v/>
      </c>
    </row>
    <row r="2839" hidden="1">
      <c r="A2839" s="9" t="n">
        <v>46134</v>
      </c>
      <c r="B2839" s="1" t="n">
        <v>2026</v>
      </c>
      <c r="C2839" s="8" t="inlineStr">
        <is>
          <t>First Energy</t>
        </is>
      </c>
      <c r="D2839" s="11" t="inlineStr">
        <is>
          <t>Utility and C&amp;I</t>
        </is>
      </c>
      <c r="E2839" s="1" t="n"/>
      <c r="F2839" s="1" t="inlineStr">
        <is>
          <t>Closed</t>
        </is>
      </c>
      <c r="G2839" s="8" t="inlineStr">
        <is>
          <t>Saravanakumar</t>
        </is>
      </c>
      <c r="H2839" s="8" t="n">
        <v>8248438488</v>
      </c>
      <c r="I2839" s="10" t="inlineStr">
        <is>
          <t>PE22042601</t>
        </is>
      </c>
      <c r="J2839" s="8" t="inlineStr">
        <is>
          <t>Anomalies/defects in the modules</t>
        </is>
      </c>
      <c r="K2839" s="8" t="inlineStr">
        <is>
          <t>Tirunelveli</t>
        </is>
      </c>
      <c r="L2839" s="8" t="inlineStr">
        <is>
          <t>Tamil Nadu</t>
        </is>
      </c>
      <c r="M2839" s="62" t="inlineStr">
        <is>
          <t>OK</t>
        </is>
      </c>
      <c r="N2839" s="2" t="inlineStr">
        <is>
          <t>No Issue Found</t>
        </is>
      </c>
      <c r="O2839" s="51" t="n">
        <v>550</v>
      </c>
      <c r="P2839" s="60" t="inlineStr">
        <is>
          <t>NSMP2306321262</t>
        </is>
      </c>
      <c r="Q2839" s="29">
        <f>MID(P2839,5,2)</f>
        <v/>
      </c>
      <c r="R2839" s="14">
        <f>MID(P2839,7,2)</f>
        <v/>
      </c>
      <c r="S2839" s="6" t="inlineStr">
        <is>
          <t>G2B</t>
        </is>
      </c>
      <c r="T2839" s="1" t="inlineStr">
        <is>
          <t>P2 - PEPPL</t>
        </is>
      </c>
      <c r="U2839" s="6" t="inlineStr">
        <is>
          <t>No Issue Found</t>
        </is>
      </c>
      <c r="V2839" s="6" t="inlineStr">
        <is>
          <t>Inspection</t>
        </is>
      </c>
      <c r="W2839" s="1" t="inlineStr">
        <is>
          <t>Rejected</t>
        </is>
      </c>
      <c r="X2839" s="5" t="n">
        <v>46202</v>
      </c>
      <c r="Y2839" s="1">
        <f>IF(X2839="","",X2839-A2839)</f>
        <v/>
      </c>
      <c r="Z2839" s="5" t="n">
        <v>46202</v>
      </c>
      <c r="AA2839" s="3" t="n"/>
      <c r="AB2839" s="3" t="n"/>
      <c r="AE2839" s="146">
        <f>IF(AND(F2839="Closed",X2839&gt;=DATE(2026,6,1),X2839&lt;=DATE(2026,6,30)),"Closed in June","other")</f>
        <v/>
      </c>
    </row>
    <row r="2840" hidden="1">
      <c r="A2840" s="9" t="n">
        <v>46134</v>
      </c>
      <c r="B2840" s="1" t="n">
        <v>2026</v>
      </c>
      <c r="C2840" s="8" t="inlineStr">
        <is>
          <t>First Energy</t>
        </is>
      </c>
      <c r="D2840" s="11" t="inlineStr">
        <is>
          <t>Utility and C&amp;I</t>
        </is>
      </c>
      <c r="E2840" s="1" t="n"/>
      <c r="F2840" s="1" t="inlineStr">
        <is>
          <t>Closed</t>
        </is>
      </c>
      <c r="G2840" s="8" t="inlineStr">
        <is>
          <t>Saravanakumar</t>
        </is>
      </c>
      <c r="H2840" s="8" t="n">
        <v>8248438488</v>
      </c>
      <c r="I2840" s="10" t="inlineStr">
        <is>
          <t>PE22042601</t>
        </is>
      </c>
      <c r="J2840" s="8" t="inlineStr">
        <is>
          <t>Anomalies/defects in the modules</t>
        </is>
      </c>
      <c r="K2840" s="8" t="inlineStr">
        <is>
          <t>Tirunelveli</t>
        </is>
      </c>
      <c r="L2840" s="8" t="inlineStr">
        <is>
          <t>Tamil Nadu</t>
        </is>
      </c>
      <c r="M2840" s="62" t="inlineStr">
        <is>
          <t>OK</t>
        </is>
      </c>
      <c r="N2840" s="2" t="inlineStr">
        <is>
          <t>No Issue Found</t>
        </is>
      </c>
      <c r="O2840" s="51" t="n">
        <v>550</v>
      </c>
      <c r="P2840" s="60" t="inlineStr">
        <is>
          <t>NSMP2306321289</t>
        </is>
      </c>
      <c r="Q2840" s="29">
        <f>MID(P2840,5,2)</f>
        <v/>
      </c>
      <c r="R2840" s="14">
        <f>MID(P2840,7,2)</f>
        <v/>
      </c>
      <c r="S2840" s="6" t="inlineStr">
        <is>
          <t>G2B</t>
        </is>
      </c>
      <c r="T2840" s="1" t="inlineStr">
        <is>
          <t>P2 - PEPPL</t>
        </is>
      </c>
      <c r="U2840" s="6" t="inlineStr">
        <is>
          <t>No Issue Found</t>
        </is>
      </c>
      <c r="V2840" s="6" t="inlineStr">
        <is>
          <t>Inspection</t>
        </is>
      </c>
      <c r="W2840" s="1" t="inlineStr">
        <is>
          <t>Rejected</t>
        </is>
      </c>
      <c r="X2840" s="5" t="n">
        <v>46202</v>
      </c>
      <c r="Y2840" s="1">
        <f>IF(X2840="","",X2840-A2840)</f>
        <v/>
      </c>
      <c r="Z2840" s="5" t="n">
        <v>46202</v>
      </c>
      <c r="AA2840" s="3" t="n"/>
      <c r="AB2840" s="3" t="n"/>
      <c r="AE2840" s="146">
        <f>IF(AND(F2840="Closed",X2840&gt;=DATE(2026,6,1),X2840&lt;=DATE(2026,6,30)),"Closed in June","other")</f>
        <v/>
      </c>
    </row>
    <row r="2841" hidden="1">
      <c r="A2841" s="9" t="n">
        <v>46134</v>
      </c>
      <c r="B2841" s="1" t="n">
        <v>2026</v>
      </c>
      <c r="C2841" s="8" t="inlineStr">
        <is>
          <t>First Energy</t>
        </is>
      </c>
      <c r="D2841" s="11" t="inlineStr">
        <is>
          <t>Utility and C&amp;I</t>
        </is>
      </c>
      <c r="E2841" s="1" t="n"/>
      <c r="F2841" s="1" t="inlineStr">
        <is>
          <t>Closed</t>
        </is>
      </c>
      <c r="G2841" s="8" t="inlineStr">
        <is>
          <t>Saravanakumar</t>
        </is>
      </c>
      <c r="H2841" s="8" t="n">
        <v>8248438488</v>
      </c>
      <c r="I2841" s="10" t="inlineStr">
        <is>
          <t>PE22042601</t>
        </is>
      </c>
      <c r="J2841" s="8" t="inlineStr">
        <is>
          <t>Anomalies/defects in the modules</t>
        </is>
      </c>
      <c r="K2841" s="8" t="inlineStr">
        <is>
          <t>Tirunelveli</t>
        </is>
      </c>
      <c r="L2841" s="8" t="inlineStr">
        <is>
          <t>Tamil Nadu</t>
        </is>
      </c>
      <c r="M2841" s="62" t="inlineStr">
        <is>
          <t>OK</t>
        </is>
      </c>
      <c r="N2841" s="2" t="inlineStr">
        <is>
          <t>No Issue Found</t>
        </is>
      </c>
      <c r="O2841" s="51" t="n">
        <v>550</v>
      </c>
      <c r="P2841" s="60" t="inlineStr">
        <is>
          <t>NSMP2306321226</t>
        </is>
      </c>
      <c r="Q2841" s="29">
        <f>MID(P2841,5,2)</f>
        <v/>
      </c>
      <c r="R2841" s="14">
        <f>MID(P2841,7,2)</f>
        <v/>
      </c>
      <c r="S2841" s="6" t="inlineStr">
        <is>
          <t>G2B</t>
        </is>
      </c>
      <c r="T2841" s="1" t="inlineStr">
        <is>
          <t>P2 - PEPPL</t>
        </is>
      </c>
      <c r="U2841" s="6" t="inlineStr">
        <is>
          <t>No Issue Found</t>
        </is>
      </c>
      <c r="V2841" s="6" t="inlineStr">
        <is>
          <t>Inspection</t>
        </is>
      </c>
      <c r="W2841" s="1" t="inlineStr">
        <is>
          <t>Rejected</t>
        </is>
      </c>
      <c r="X2841" s="5" t="n">
        <v>46202</v>
      </c>
      <c r="Y2841" s="1">
        <f>IF(X2841="","",X2841-A2841)</f>
        <v/>
      </c>
      <c r="Z2841" s="5" t="n">
        <v>46202</v>
      </c>
      <c r="AA2841" s="3" t="n"/>
      <c r="AB2841" s="3" t="n"/>
      <c r="AE2841" s="146">
        <f>IF(AND(F2841="Closed",X2841&gt;=DATE(2026,6,1),X2841&lt;=DATE(2026,6,30)),"Closed in June","other")</f>
        <v/>
      </c>
    </row>
    <row r="2842" hidden="1">
      <c r="A2842" s="9" t="n">
        <v>46134</v>
      </c>
      <c r="B2842" s="1" t="n">
        <v>2026</v>
      </c>
      <c r="C2842" s="8" t="inlineStr">
        <is>
          <t>First Energy</t>
        </is>
      </c>
      <c r="D2842" s="11" t="inlineStr">
        <is>
          <t>Utility and C&amp;I</t>
        </is>
      </c>
      <c r="E2842" s="1" t="n"/>
      <c r="F2842" s="1" t="inlineStr">
        <is>
          <t>Closed</t>
        </is>
      </c>
      <c r="G2842" s="8" t="inlineStr">
        <is>
          <t>Saravanakumar</t>
        </is>
      </c>
      <c r="H2842" s="8" t="n">
        <v>8248438488</v>
      </c>
      <c r="I2842" s="10" t="inlineStr">
        <is>
          <t>PE22042601</t>
        </is>
      </c>
      <c r="J2842" s="8" t="inlineStr">
        <is>
          <t>Anomalies/defects in the modules</t>
        </is>
      </c>
      <c r="K2842" s="8" t="inlineStr">
        <is>
          <t>Tirunelveli</t>
        </is>
      </c>
      <c r="L2842" s="8" t="inlineStr">
        <is>
          <t>Tamil Nadu</t>
        </is>
      </c>
      <c r="M2842" s="62" t="inlineStr">
        <is>
          <t>OK</t>
        </is>
      </c>
      <c r="N2842" s="2" t="inlineStr">
        <is>
          <t>No Issue Found</t>
        </is>
      </c>
      <c r="O2842" s="51" t="n">
        <v>550</v>
      </c>
      <c r="P2842" s="60" t="inlineStr">
        <is>
          <t>NSMP2306321285</t>
        </is>
      </c>
      <c r="Q2842" s="29">
        <f>MID(P2842,5,2)</f>
        <v/>
      </c>
      <c r="R2842" s="14">
        <f>MID(P2842,7,2)</f>
        <v/>
      </c>
      <c r="S2842" s="6" t="inlineStr">
        <is>
          <t>G2B</t>
        </is>
      </c>
      <c r="T2842" s="1" t="inlineStr">
        <is>
          <t>P2 - PEPPL</t>
        </is>
      </c>
      <c r="U2842" s="6" t="inlineStr">
        <is>
          <t>No Issue Found</t>
        </is>
      </c>
      <c r="V2842" s="6" t="inlineStr">
        <is>
          <t>Inspection</t>
        </is>
      </c>
      <c r="W2842" s="1" t="inlineStr">
        <is>
          <t>Rejected</t>
        </is>
      </c>
      <c r="X2842" s="5" t="n">
        <v>46202</v>
      </c>
      <c r="Y2842" s="1">
        <f>IF(X2842="","",X2842-A2842)</f>
        <v/>
      </c>
      <c r="Z2842" s="5" t="n">
        <v>46202</v>
      </c>
      <c r="AA2842" s="3" t="n"/>
      <c r="AB2842" s="3" t="n"/>
      <c r="AE2842" s="146">
        <f>IF(AND(F2842="Closed",X2842&gt;=DATE(2026,6,1),X2842&lt;=DATE(2026,6,30)),"Closed in June","other")</f>
        <v/>
      </c>
    </row>
    <row r="2843" hidden="1">
      <c r="A2843" s="9" t="n">
        <v>46134</v>
      </c>
      <c r="B2843" s="1" t="n">
        <v>2026</v>
      </c>
      <c r="C2843" s="8" t="inlineStr">
        <is>
          <t>First Energy</t>
        </is>
      </c>
      <c r="D2843" s="11" t="inlineStr">
        <is>
          <t>Utility and C&amp;I</t>
        </is>
      </c>
      <c r="E2843" s="1" t="n"/>
      <c r="F2843" s="1" t="inlineStr">
        <is>
          <t>Closed</t>
        </is>
      </c>
      <c r="G2843" s="8" t="inlineStr">
        <is>
          <t>Saravanakumar</t>
        </is>
      </c>
      <c r="H2843" s="8" t="n">
        <v>8248438488</v>
      </c>
      <c r="I2843" s="10" t="inlineStr">
        <is>
          <t>PE22042601</t>
        </is>
      </c>
      <c r="J2843" s="8" t="inlineStr">
        <is>
          <t>Anomalies/defects in the modules</t>
        </is>
      </c>
      <c r="K2843" s="8" t="inlineStr">
        <is>
          <t>Tirunelveli</t>
        </is>
      </c>
      <c r="L2843" s="8" t="inlineStr">
        <is>
          <t>Tamil Nadu</t>
        </is>
      </c>
      <c r="M2843" s="62" t="inlineStr">
        <is>
          <t>OK</t>
        </is>
      </c>
      <c r="N2843" s="2" t="inlineStr">
        <is>
          <t>No Issue Found</t>
        </is>
      </c>
      <c r="O2843" s="51" t="n">
        <v>550</v>
      </c>
      <c r="P2843" s="60" t="inlineStr">
        <is>
          <t>NSMP2306224966</t>
        </is>
      </c>
      <c r="Q2843" s="29">
        <f>MID(P2843,5,2)</f>
        <v/>
      </c>
      <c r="R2843" s="14">
        <f>MID(P2843,7,2)</f>
        <v/>
      </c>
      <c r="S2843" s="6" t="inlineStr">
        <is>
          <t>G2B</t>
        </is>
      </c>
      <c r="T2843" s="1" t="inlineStr">
        <is>
          <t>P2 - PEPPL</t>
        </is>
      </c>
      <c r="U2843" s="6" t="inlineStr">
        <is>
          <t>No Issue Found</t>
        </is>
      </c>
      <c r="V2843" s="6" t="inlineStr">
        <is>
          <t>Inspection</t>
        </is>
      </c>
      <c r="W2843" s="1" t="inlineStr">
        <is>
          <t>Rejected</t>
        </is>
      </c>
      <c r="X2843" s="5" t="n">
        <v>46202</v>
      </c>
      <c r="Y2843" s="1">
        <f>IF(X2843="","",X2843-A2843)</f>
        <v/>
      </c>
      <c r="Z2843" s="5" t="n">
        <v>46202</v>
      </c>
      <c r="AA2843" s="3" t="n"/>
      <c r="AB2843" s="3" t="n"/>
      <c r="AE2843" s="146">
        <f>IF(AND(F2843="Closed",X2843&gt;=DATE(2026,6,1),X2843&lt;=DATE(2026,6,30)),"Closed in June","other")</f>
        <v/>
      </c>
    </row>
    <row r="2844" hidden="1">
      <c r="A2844" s="9" t="n">
        <v>46134</v>
      </c>
      <c r="B2844" s="1" t="n">
        <v>2026</v>
      </c>
      <c r="C2844" s="8" t="inlineStr">
        <is>
          <t>First Energy</t>
        </is>
      </c>
      <c r="D2844" s="11" t="inlineStr">
        <is>
          <t>Utility and C&amp;I</t>
        </is>
      </c>
      <c r="E2844" s="1" t="n"/>
      <c r="F2844" s="1" t="inlineStr">
        <is>
          <t>Closed</t>
        </is>
      </c>
      <c r="G2844" s="8" t="inlineStr">
        <is>
          <t>Saravanakumar</t>
        </is>
      </c>
      <c r="H2844" s="8" t="n">
        <v>8248438488</v>
      </c>
      <c r="I2844" s="10" t="inlineStr">
        <is>
          <t>PE22042601</t>
        </is>
      </c>
      <c r="J2844" s="8" t="inlineStr">
        <is>
          <t>Anomalies/defects in the modules</t>
        </is>
      </c>
      <c r="K2844" s="8" t="inlineStr">
        <is>
          <t>Tirunelveli</t>
        </is>
      </c>
      <c r="L2844" s="8" t="inlineStr">
        <is>
          <t>Tamil Nadu</t>
        </is>
      </c>
      <c r="M2844" s="62" t="inlineStr">
        <is>
          <t>OK</t>
        </is>
      </c>
      <c r="N2844" s="2" t="inlineStr">
        <is>
          <t>No Issue Found</t>
        </is>
      </c>
      <c r="O2844" s="51" t="n">
        <v>550</v>
      </c>
      <c r="P2844" s="60" t="inlineStr">
        <is>
          <t>NSMP2306321287</t>
        </is>
      </c>
      <c r="Q2844" s="29">
        <f>MID(P2844,5,2)</f>
        <v/>
      </c>
      <c r="R2844" s="14">
        <f>MID(P2844,7,2)</f>
        <v/>
      </c>
      <c r="S2844" s="6" t="inlineStr">
        <is>
          <t>G2B</t>
        </is>
      </c>
      <c r="T2844" s="1" t="inlineStr">
        <is>
          <t>P2 - PEPPL</t>
        </is>
      </c>
      <c r="U2844" s="6" t="inlineStr">
        <is>
          <t>No Issue Found</t>
        </is>
      </c>
      <c r="V2844" s="6" t="inlineStr">
        <is>
          <t>Inspection</t>
        </is>
      </c>
      <c r="W2844" s="1" t="inlineStr">
        <is>
          <t>Rejected</t>
        </is>
      </c>
      <c r="X2844" s="5" t="n">
        <v>46202</v>
      </c>
      <c r="Y2844" s="1">
        <f>IF(X2844="","",X2844-A2844)</f>
        <v/>
      </c>
      <c r="Z2844" s="5" t="n">
        <v>46202</v>
      </c>
      <c r="AA2844" s="3" t="n"/>
      <c r="AB2844" s="3" t="n"/>
      <c r="AE2844" s="146">
        <f>IF(AND(F2844="Closed",X2844&gt;=DATE(2026,6,1),X2844&lt;=DATE(2026,6,30)),"Closed in June","other")</f>
        <v/>
      </c>
    </row>
    <row r="2845" hidden="1">
      <c r="A2845" s="9" t="n">
        <v>46134</v>
      </c>
      <c r="B2845" s="1" t="n">
        <v>2026</v>
      </c>
      <c r="C2845" s="8" t="inlineStr">
        <is>
          <t>First Energy</t>
        </is>
      </c>
      <c r="D2845" s="11" t="inlineStr">
        <is>
          <t>Utility and C&amp;I</t>
        </is>
      </c>
      <c r="E2845" s="1" t="n"/>
      <c r="F2845" s="1" t="inlineStr">
        <is>
          <t>Closed</t>
        </is>
      </c>
      <c r="G2845" s="8" t="inlineStr">
        <is>
          <t>Saravanakumar</t>
        </is>
      </c>
      <c r="H2845" s="8" t="n">
        <v>8248438488</v>
      </c>
      <c r="I2845" s="10" t="inlineStr">
        <is>
          <t>PE22042601</t>
        </is>
      </c>
      <c r="J2845" s="8" t="inlineStr">
        <is>
          <t>Anomalies/defects in the modules</t>
        </is>
      </c>
      <c r="K2845" s="8" t="inlineStr">
        <is>
          <t>Tirunelveli</t>
        </is>
      </c>
      <c r="L2845" s="8" t="inlineStr">
        <is>
          <t>Tamil Nadu</t>
        </is>
      </c>
      <c r="M2845" s="62" t="inlineStr">
        <is>
          <t>OK</t>
        </is>
      </c>
      <c r="N2845" s="2" t="inlineStr">
        <is>
          <t>No Issue Found</t>
        </is>
      </c>
      <c r="O2845" s="51" t="n">
        <v>550</v>
      </c>
      <c r="P2845" s="60" t="inlineStr">
        <is>
          <t>NSMP2306321261</t>
        </is>
      </c>
      <c r="Q2845" s="29">
        <f>MID(P2845,5,2)</f>
        <v/>
      </c>
      <c r="R2845" s="14">
        <f>MID(P2845,7,2)</f>
        <v/>
      </c>
      <c r="S2845" s="6" t="inlineStr">
        <is>
          <t>G2B</t>
        </is>
      </c>
      <c r="T2845" s="1" t="inlineStr">
        <is>
          <t>P2 - PEPPL</t>
        </is>
      </c>
      <c r="U2845" s="6" t="inlineStr">
        <is>
          <t>No Issue Found</t>
        </is>
      </c>
      <c r="V2845" s="6" t="inlineStr">
        <is>
          <t>Inspection</t>
        </is>
      </c>
      <c r="W2845" s="1" t="inlineStr">
        <is>
          <t>Rejected</t>
        </is>
      </c>
      <c r="X2845" s="5" t="n">
        <v>46202</v>
      </c>
      <c r="Y2845" s="1">
        <f>IF(X2845="","",X2845-A2845)</f>
        <v/>
      </c>
      <c r="Z2845" s="5" t="n">
        <v>46202</v>
      </c>
      <c r="AA2845" s="3" t="n"/>
      <c r="AB2845" s="3" t="n"/>
      <c r="AE2845" s="146">
        <f>IF(AND(F2845="Closed",X2845&gt;=DATE(2026,6,1),X2845&lt;=DATE(2026,6,30)),"Closed in June","other")</f>
        <v/>
      </c>
    </row>
    <row r="2846" hidden="1">
      <c r="A2846" s="9" t="n">
        <v>46134</v>
      </c>
      <c r="B2846" s="1" t="n">
        <v>2026</v>
      </c>
      <c r="C2846" s="8" t="inlineStr">
        <is>
          <t>First Energy</t>
        </is>
      </c>
      <c r="D2846" s="11" t="inlineStr">
        <is>
          <t>Utility and C&amp;I</t>
        </is>
      </c>
      <c r="E2846" s="1" t="n"/>
      <c r="F2846" s="1" t="inlineStr">
        <is>
          <t>Closed</t>
        </is>
      </c>
      <c r="G2846" s="8" t="inlineStr">
        <is>
          <t>Saravanakumar</t>
        </is>
      </c>
      <c r="H2846" s="8" t="n">
        <v>8248438488</v>
      </c>
      <c r="I2846" s="10" t="inlineStr">
        <is>
          <t>PE22042601</t>
        </is>
      </c>
      <c r="J2846" s="8" t="inlineStr">
        <is>
          <t>Anomalies/defects in the modules</t>
        </is>
      </c>
      <c r="K2846" s="8" t="inlineStr">
        <is>
          <t>Tirunelveli</t>
        </is>
      </c>
      <c r="L2846" s="8" t="inlineStr">
        <is>
          <t>Tamil Nadu</t>
        </is>
      </c>
      <c r="M2846" s="62" t="inlineStr">
        <is>
          <t>OK</t>
        </is>
      </c>
      <c r="N2846" s="2" t="inlineStr">
        <is>
          <t>No Issue Found</t>
        </is>
      </c>
      <c r="O2846" s="51" t="n">
        <v>550</v>
      </c>
      <c r="P2846" s="60" t="inlineStr">
        <is>
          <t>NSMP2306321292</t>
        </is>
      </c>
      <c r="Q2846" s="29">
        <f>MID(P2846,5,2)</f>
        <v/>
      </c>
      <c r="R2846" s="14">
        <f>MID(P2846,7,2)</f>
        <v/>
      </c>
      <c r="S2846" s="6" t="inlineStr">
        <is>
          <t>G2B</t>
        </is>
      </c>
      <c r="T2846" s="1" t="inlineStr">
        <is>
          <t>P2 - PEPPL</t>
        </is>
      </c>
      <c r="U2846" s="6" t="inlineStr">
        <is>
          <t>No Issue Found</t>
        </is>
      </c>
      <c r="V2846" s="6" t="inlineStr">
        <is>
          <t>Inspection</t>
        </is>
      </c>
      <c r="W2846" s="1" t="inlineStr">
        <is>
          <t>Rejected</t>
        </is>
      </c>
      <c r="X2846" s="5" t="n">
        <v>46202</v>
      </c>
      <c r="Y2846" s="1">
        <f>IF(X2846="","",X2846-A2846)</f>
        <v/>
      </c>
      <c r="Z2846" s="5" t="n">
        <v>46202</v>
      </c>
      <c r="AA2846" s="3" t="n"/>
      <c r="AB2846" s="3" t="n"/>
      <c r="AE2846" s="146">
        <f>IF(AND(F2846="Closed",X2846&gt;=DATE(2026,6,1),X2846&lt;=DATE(2026,6,30)),"Closed in June","other")</f>
        <v/>
      </c>
    </row>
    <row r="2847" hidden="1">
      <c r="A2847" s="9" t="n">
        <v>46134</v>
      </c>
      <c r="B2847" s="1" t="n">
        <v>2026</v>
      </c>
      <c r="C2847" s="8" t="inlineStr">
        <is>
          <t>First Energy</t>
        </is>
      </c>
      <c r="D2847" s="11" t="inlineStr">
        <is>
          <t>Utility and C&amp;I</t>
        </is>
      </c>
      <c r="E2847" s="1" t="n"/>
      <c r="F2847" s="1" t="inlineStr">
        <is>
          <t>Closed</t>
        </is>
      </c>
      <c r="G2847" s="8" t="inlineStr">
        <is>
          <t>Saravanakumar</t>
        </is>
      </c>
      <c r="H2847" s="8" t="n">
        <v>8248438488</v>
      </c>
      <c r="I2847" s="10" t="inlineStr">
        <is>
          <t>PE22042601</t>
        </is>
      </c>
      <c r="J2847" s="8" t="inlineStr">
        <is>
          <t>Anomalies/defects in the modules</t>
        </is>
      </c>
      <c r="K2847" s="8" t="inlineStr">
        <is>
          <t>Tirunelveli</t>
        </is>
      </c>
      <c r="L2847" s="8" t="inlineStr">
        <is>
          <t>Tamil Nadu</t>
        </is>
      </c>
      <c r="M2847" s="62" t="inlineStr">
        <is>
          <t>OK</t>
        </is>
      </c>
      <c r="N2847" s="2" t="inlineStr">
        <is>
          <t>No Issue Found</t>
        </is>
      </c>
      <c r="O2847" s="51" t="n">
        <v>550</v>
      </c>
      <c r="P2847" s="60" t="inlineStr">
        <is>
          <t>NSMP2307369393</t>
        </is>
      </c>
      <c r="Q2847" s="29">
        <f>MID(P2847,5,2)</f>
        <v/>
      </c>
      <c r="R2847" s="14">
        <f>MID(P2847,7,2)</f>
        <v/>
      </c>
      <c r="S2847" s="6" t="inlineStr">
        <is>
          <t>G2B</t>
        </is>
      </c>
      <c r="T2847" s="1" t="inlineStr">
        <is>
          <t>P2 - PEPPL</t>
        </is>
      </c>
      <c r="U2847" s="6" t="inlineStr">
        <is>
          <t>No Issue Found</t>
        </is>
      </c>
      <c r="V2847" s="6" t="inlineStr">
        <is>
          <t>Inspection</t>
        </is>
      </c>
      <c r="W2847" s="1" t="inlineStr">
        <is>
          <t>Rejected</t>
        </is>
      </c>
      <c r="X2847" s="5" t="n">
        <v>46202</v>
      </c>
      <c r="Y2847" s="1">
        <f>IF(X2847="","",X2847-A2847)</f>
        <v/>
      </c>
      <c r="Z2847" s="5" t="n">
        <v>46202</v>
      </c>
      <c r="AA2847" s="3" t="n"/>
      <c r="AB2847" s="3" t="n"/>
      <c r="AE2847" s="146">
        <f>IF(AND(F2847="Closed",X2847&gt;=DATE(2026,6,1),X2847&lt;=DATE(2026,6,30)),"Closed in June","other")</f>
        <v/>
      </c>
    </row>
    <row r="2848" hidden="1">
      <c r="A2848" s="9" t="n">
        <v>46134</v>
      </c>
      <c r="B2848" s="1" t="n">
        <v>2026</v>
      </c>
      <c r="C2848" s="8" t="inlineStr">
        <is>
          <t>First Energy</t>
        </is>
      </c>
      <c r="D2848" s="11" t="inlineStr">
        <is>
          <t>Utility and C&amp;I</t>
        </is>
      </c>
      <c r="E2848" s="1" t="n"/>
      <c r="F2848" s="1" t="inlineStr">
        <is>
          <t>Closed</t>
        </is>
      </c>
      <c r="G2848" s="8" t="inlineStr">
        <is>
          <t>Saravanakumar</t>
        </is>
      </c>
      <c r="H2848" s="8" t="n">
        <v>8248438488</v>
      </c>
      <c r="I2848" s="10" t="inlineStr">
        <is>
          <t>PE22042601</t>
        </is>
      </c>
      <c r="J2848" s="8" t="inlineStr">
        <is>
          <t>Anomalies/defects in the modules</t>
        </is>
      </c>
      <c r="K2848" s="8" t="inlineStr">
        <is>
          <t>Tirunelveli</t>
        </is>
      </c>
      <c r="L2848" s="8" t="inlineStr">
        <is>
          <t>Tamil Nadu</t>
        </is>
      </c>
      <c r="M2848" s="62" t="inlineStr">
        <is>
          <t>OK</t>
        </is>
      </c>
      <c r="N2848" s="2" t="inlineStr">
        <is>
          <t>No Issue Found</t>
        </is>
      </c>
      <c r="O2848" s="51" t="n">
        <v>550</v>
      </c>
      <c r="P2848" s="60" t="inlineStr">
        <is>
          <t>NSMP2306290654</t>
        </is>
      </c>
      <c r="Q2848" s="29">
        <f>MID(P2848,5,2)</f>
        <v/>
      </c>
      <c r="R2848" s="14">
        <f>MID(P2848,7,2)</f>
        <v/>
      </c>
      <c r="S2848" s="6" t="inlineStr">
        <is>
          <t>G2B</t>
        </is>
      </c>
      <c r="T2848" s="1" t="inlineStr">
        <is>
          <t>P2 - PEPPL</t>
        </is>
      </c>
      <c r="U2848" s="6" t="inlineStr">
        <is>
          <t>No Issue Found</t>
        </is>
      </c>
      <c r="V2848" s="6" t="inlineStr">
        <is>
          <t>Inspection</t>
        </is>
      </c>
      <c r="W2848" s="1" t="inlineStr">
        <is>
          <t>Rejected</t>
        </is>
      </c>
      <c r="X2848" s="5" t="n">
        <v>46202</v>
      </c>
      <c r="Y2848" s="1">
        <f>IF(X2848="","",X2848-A2848)</f>
        <v/>
      </c>
      <c r="Z2848" s="5" t="n">
        <v>46202</v>
      </c>
      <c r="AA2848" s="3" t="n"/>
      <c r="AB2848" s="3" t="n"/>
      <c r="AE2848" s="146">
        <f>IF(AND(F2848="Closed",X2848&gt;=DATE(2026,6,1),X2848&lt;=DATE(2026,6,30)),"Closed in June","other")</f>
        <v/>
      </c>
    </row>
    <row r="2849" hidden="1">
      <c r="A2849" s="9" t="n">
        <v>46134</v>
      </c>
      <c r="B2849" s="1" t="n">
        <v>2026</v>
      </c>
      <c r="C2849" s="8" t="inlineStr">
        <is>
          <t>First Energy</t>
        </is>
      </c>
      <c r="D2849" s="11" t="inlineStr">
        <is>
          <t>Utility and C&amp;I</t>
        </is>
      </c>
      <c r="E2849" s="1" t="n"/>
      <c r="F2849" s="1" t="inlineStr">
        <is>
          <t>Closed</t>
        </is>
      </c>
      <c r="G2849" s="8" t="inlineStr">
        <is>
          <t>Saravanakumar</t>
        </is>
      </c>
      <c r="H2849" s="8" t="n">
        <v>8248438488</v>
      </c>
      <c r="I2849" s="10" t="inlineStr">
        <is>
          <t>PE22042601</t>
        </is>
      </c>
      <c r="J2849" s="8" t="inlineStr">
        <is>
          <t>Anomalies/defects in the modules</t>
        </is>
      </c>
      <c r="K2849" s="8" t="inlineStr">
        <is>
          <t>Tirunelveli</t>
        </is>
      </c>
      <c r="L2849" s="8" t="inlineStr">
        <is>
          <t>Tamil Nadu</t>
        </is>
      </c>
      <c r="M2849" s="62" t="inlineStr">
        <is>
          <t>OK</t>
        </is>
      </c>
      <c r="N2849" s="2" t="inlineStr">
        <is>
          <t>No Issue Found</t>
        </is>
      </c>
      <c r="O2849" s="51" t="n">
        <v>550</v>
      </c>
      <c r="P2849" s="60" t="inlineStr">
        <is>
          <t>NSMP2306288383</t>
        </is>
      </c>
      <c r="Q2849" s="29">
        <f>MID(P2849,5,2)</f>
        <v/>
      </c>
      <c r="R2849" s="14">
        <f>MID(P2849,7,2)</f>
        <v/>
      </c>
      <c r="S2849" s="6" t="inlineStr">
        <is>
          <t>G2B</t>
        </is>
      </c>
      <c r="T2849" s="1" t="inlineStr">
        <is>
          <t>P2 - PEPPL</t>
        </is>
      </c>
      <c r="U2849" s="6" t="inlineStr">
        <is>
          <t>No Issue Found</t>
        </is>
      </c>
      <c r="V2849" s="6" t="inlineStr">
        <is>
          <t>Inspection</t>
        </is>
      </c>
      <c r="W2849" s="1" t="inlineStr">
        <is>
          <t>Rejected</t>
        </is>
      </c>
      <c r="X2849" s="5" t="n">
        <v>46202</v>
      </c>
      <c r="Y2849" s="1">
        <f>IF(X2849="","",X2849-A2849)</f>
        <v/>
      </c>
      <c r="Z2849" s="5" t="n">
        <v>46202</v>
      </c>
      <c r="AA2849" s="3" t="n"/>
      <c r="AB2849" s="3" t="n"/>
      <c r="AE2849" s="146">
        <f>IF(AND(F2849="Closed",X2849&gt;=DATE(2026,6,1),X2849&lt;=DATE(2026,6,30)),"Closed in June","other")</f>
        <v/>
      </c>
    </row>
    <row r="2850" hidden="1">
      <c r="A2850" s="9" t="n">
        <v>46134</v>
      </c>
      <c r="B2850" s="1" t="n">
        <v>2026</v>
      </c>
      <c r="C2850" s="8" t="inlineStr">
        <is>
          <t>First Energy</t>
        </is>
      </c>
      <c r="D2850" s="11" t="inlineStr">
        <is>
          <t>Utility and C&amp;I</t>
        </is>
      </c>
      <c r="E2850" s="1" t="n"/>
      <c r="F2850" s="1" t="inlineStr">
        <is>
          <t>Closed</t>
        </is>
      </c>
      <c r="G2850" s="8" t="inlineStr">
        <is>
          <t>Saravanakumar</t>
        </is>
      </c>
      <c r="H2850" s="8" t="n">
        <v>8248438488</v>
      </c>
      <c r="I2850" s="10" t="inlineStr">
        <is>
          <t>PE22042601</t>
        </is>
      </c>
      <c r="J2850" s="8" t="inlineStr">
        <is>
          <t>Anomalies/defects in the modules</t>
        </is>
      </c>
      <c r="K2850" s="8" t="inlineStr">
        <is>
          <t>Tirunelveli</t>
        </is>
      </c>
      <c r="L2850" s="8" t="inlineStr">
        <is>
          <t>Tamil Nadu</t>
        </is>
      </c>
      <c r="M2850" s="62" t="inlineStr">
        <is>
          <t>OK</t>
        </is>
      </c>
      <c r="N2850" s="2" t="inlineStr">
        <is>
          <t>No Issue Found</t>
        </is>
      </c>
      <c r="O2850" s="51" t="n">
        <v>550</v>
      </c>
      <c r="P2850" s="60" t="inlineStr">
        <is>
          <t>NSMP2307335538</t>
        </is>
      </c>
      <c r="Q2850" s="29">
        <f>MID(P2850,5,2)</f>
        <v/>
      </c>
      <c r="R2850" s="14">
        <f>MID(P2850,7,2)</f>
        <v/>
      </c>
      <c r="S2850" s="6" t="inlineStr">
        <is>
          <t>G2B</t>
        </is>
      </c>
      <c r="T2850" s="1" t="inlineStr">
        <is>
          <t>P2 - PEPPL</t>
        </is>
      </c>
      <c r="U2850" s="6" t="inlineStr">
        <is>
          <t>No Issue Found</t>
        </is>
      </c>
      <c r="V2850" s="6" t="inlineStr">
        <is>
          <t>Inspection</t>
        </is>
      </c>
      <c r="W2850" s="1" t="inlineStr">
        <is>
          <t>Rejected</t>
        </is>
      </c>
      <c r="X2850" s="5" t="n">
        <v>46202</v>
      </c>
      <c r="Y2850" s="1">
        <f>IF(X2850="","",X2850-A2850)</f>
        <v/>
      </c>
      <c r="Z2850" s="5" t="n">
        <v>46202</v>
      </c>
      <c r="AA2850" s="3" t="n"/>
      <c r="AB2850" s="3" t="n"/>
      <c r="AE2850" s="146">
        <f>IF(AND(F2850="Closed",X2850&gt;=DATE(2026,6,1),X2850&lt;=DATE(2026,6,30)),"Closed in June","other")</f>
        <v/>
      </c>
    </row>
    <row r="2851" hidden="1">
      <c r="A2851" s="9" t="n">
        <v>46134</v>
      </c>
      <c r="B2851" s="1" t="n">
        <v>2026</v>
      </c>
      <c r="C2851" s="8" t="inlineStr">
        <is>
          <t>First Energy</t>
        </is>
      </c>
      <c r="D2851" s="11" t="inlineStr">
        <is>
          <t>Utility and C&amp;I</t>
        </is>
      </c>
      <c r="E2851" s="1" t="n"/>
      <c r="F2851" s="1" t="inlineStr">
        <is>
          <t>Closed</t>
        </is>
      </c>
      <c r="G2851" s="8" t="inlineStr">
        <is>
          <t>Saravanakumar</t>
        </is>
      </c>
      <c r="H2851" s="8" t="n">
        <v>8248438488</v>
      </c>
      <c r="I2851" s="10" t="inlineStr">
        <is>
          <t>PE22042601</t>
        </is>
      </c>
      <c r="J2851" s="8" t="inlineStr">
        <is>
          <t>Anomalies/defects in the modules</t>
        </is>
      </c>
      <c r="K2851" s="8" t="inlineStr">
        <is>
          <t>Tirunelveli</t>
        </is>
      </c>
      <c r="L2851" s="8" t="inlineStr">
        <is>
          <t>Tamil Nadu</t>
        </is>
      </c>
      <c r="M2851" s="62" t="inlineStr">
        <is>
          <t>OK</t>
        </is>
      </c>
      <c r="N2851" s="2" t="inlineStr">
        <is>
          <t>No Issue Found</t>
        </is>
      </c>
      <c r="O2851" s="51" t="n">
        <v>550</v>
      </c>
      <c r="P2851" s="60" t="inlineStr">
        <is>
          <t>NSMP2307369510</t>
        </is>
      </c>
      <c r="Q2851" s="29">
        <f>MID(P2851,5,2)</f>
        <v/>
      </c>
      <c r="R2851" s="14">
        <f>MID(P2851,7,2)</f>
        <v/>
      </c>
      <c r="S2851" s="6" t="inlineStr">
        <is>
          <t>G2B</t>
        </is>
      </c>
      <c r="T2851" s="1" t="inlineStr">
        <is>
          <t>P2 - PEPPL</t>
        </is>
      </c>
      <c r="U2851" s="6" t="inlineStr">
        <is>
          <t>No Issue Found</t>
        </is>
      </c>
      <c r="V2851" s="6" t="inlineStr">
        <is>
          <t>Inspection</t>
        </is>
      </c>
      <c r="W2851" s="1" t="inlineStr">
        <is>
          <t>Rejected</t>
        </is>
      </c>
      <c r="X2851" s="5" t="n">
        <v>46202</v>
      </c>
      <c r="Y2851" s="1">
        <f>IF(X2851="","",X2851-A2851)</f>
        <v/>
      </c>
      <c r="Z2851" s="5" t="n">
        <v>46202</v>
      </c>
      <c r="AA2851" s="3" t="n"/>
      <c r="AB2851" s="3" t="n"/>
      <c r="AE2851" s="146">
        <f>IF(AND(F2851="Closed",X2851&gt;=DATE(2026,6,1),X2851&lt;=DATE(2026,6,30)),"Closed in June","other")</f>
        <v/>
      </c>
    </row>
    <row r="2852" hidden="1">
      <c r="A2852" s="9" t="n">
        <v>46134</v>
      </c>
      <c r="B2852" s="1" t="n">
        <v>2026</v>
      </c>
      <c r="C2852" s="8" t="inlineStr">
        <is>
          <t>First Energy</t>
        </is>
      </c>
      <c r="D2852" s="11" t="inlineStr">
        <is>
          <t>Utility and C&amp;I</t>
        </is>
      </c>
      <c r="E2852" s="1" t="n"/>
      <c r="F2852" s="1" t="inlineStr">
        <is>
          <t>Closed</t>
        </is>
      </c>
      <c r="G2852" s="8" t="inlineStr">
        <is>
          <t>Saravanakumar</t>
        </is>
      </c>
      <c r="H2852" s="8" t="n">
        <v>8248438488</v>
      </c>
      <c r="I2852" s="10" t="inlineStr">
        <is>
          <t>PE22042601</t>
        </is>
      </c>
      <c r="J2852" s="8" t="inlineStr">
        <is>
          <t>Anomalies/defects in the modules</t>
        </is>
      </c>
      <c r="K2852" s="8" t="inlineStr">
        <is>
          <t>Tirunelveli</t>
        </is>
      </c>
      <c r="L2852" s="8" t="inlineStr">
        <is>
          <t>Tamil Nadu</t>
        </is>
      </c>
      <c r="M2852" s="62" t="inlineStr">
        <is>
          <t>OK</t>
        </is>
      </c>
      <c r="N2852" s="2" t="inlineStr">
        <is>
          <t>No Issue Found</t>
        </is>
      </c>
      <c r="O2852" s="51" t="n">
        <v>550</v>
      </c>
      <c r="P2852" s="60" t="inlineStr">
        <is>
          <t>NSMP2306284166</t>
        </is>
      </c>
      <c r="Q2852" s="29">
        <f>MID(P2852,5,2)</f>
        <v/>
      </c>
      <c r="R2852" s="14">
        <f>MID(P2852,7,2)</f>
        <v/>
      </c>
      <c r="S2852" s="6" t="inlineStr">
        <is>
          <t>G2B</t>
        </is>
      </c>
      <c r="T2852" s="1" t="inlineStr">
        <is>
          <t>P2 - PEPPL</t>
        </is>
      </c>
      <c r="U2852" s="6" t="inlineStr">
        <is>
          <t>No Issue Found</t>
        </is>
      </c>
      <c r="V2852" s="6" t="inlineStr">
        <is>
          <t>Inspection</t>
        </is>
      </c>
      <c r="W2852" s="1" t="inlineStr">
        <is>
          <t>Rejected</t>
        </is>
      </c>
      <c r="X2852" s="5" t="n">
        <v>46202</v>
      </c>
      <c r="Y2852" s="1">
        <f>IF(X2852="","",X2852-A2852)</f>
        <v/>
      </c>
      <c r="Z2852" s="5" t="n">
        <v>46202</v>
      </c>
      <c r="AA2852" s="3" t="n"/>
      <c r="AB2852" s="3" t="n"/>
      <c r="AE2852" s="146">
        <f>IF(AND(F2852="Closed",X2852&gt;=DATE(2026,6,1),X2852&lt;=DATE(2026,6,30)),"Closed in June","other")</f>
        <v/>
      </c>
    </row>
    <row r="2853" hidden="1">
      <c r="A2853" s="9" t="n">
        <v>46134</v>
      </c>
      <c r="B2853" s="1" t="n">
        <v>2026</v>
      </c>
      <c r="C2853" s="8" t="inlineStr">
        <is>
          <t>First Energy</t>
        </is>
      </c>
      <c r="D2853" s="11" t="inlineStr">
        <is>
          <t>Utility and C&amp;I</t>
        </is>
      </c>
      <c r="E2853" s="1" t="n"/>
      <c r="F2853" s="1" t="inlineStr">
        <is>
          <t>Closed</t>
        </is>
      </c>
      <c r="G2853" s="8" t="inlineStr">
        <is>
          <t>Saravanakumar</t>
        </is>
      </c>
      <c r="H2853" s="8" t="n">
        <v>8248438488</v>
      </c>
      <c r="I2853" s="10" t="inlineStr">
        <is>
          <t>PE22042601</t>
        </is>
      </c>
      <c r="J2853" s="8" t="inlineStr">
        <is>
          <t>Anomalies/defects in the modules</t>
        </is>
      </c>
      <c r="K2853" s="8" t="inlineStr">
        <is>
          <t>Tirunelveli</t>
        </is>
      </c>
      <c r="L2853" s="8" t="inlineStr">
        <is>
          <t>Tamil Nadu</t>
        </is>
      </c>
      <c r="M2853" s="62" t="inlineStr">
        <is>
          <t>OK</t>
        </is>
      </c>
      <c r="N2853" s="2" t="inlineStr">
        <is>
          <t>No Issue Found</t>
        </is>
      </c>
      <c r="O2853" s="51" t="n">
        <v>550</v>
      </c>
      <c r="P2853" s="60" t="inlineStr">
        <is>
          <t>NSMP2307356322</t>
        </is>
      </c>
      <c r="Q2853" s="29">
        <f>MID(P2853,5,2)</f>
        <v/>
      </c>
      <c r="R2853" s="14">
        <f>MID(P2853,7,2)</f>
        <v/>
      </c>
      <c r="S2853" s="6" t="inlineStr">
        <is>
          <t>G2B</t>
        </is>
      </c>
      <c r="T2853" s="1" t="inlineStr">
        <is>
          <t>P2 - PEPPL</t>
        </is>
      </c>
      <c r="U2853" s="6" t="inlineStr">
        <is>
          <t>No Issue Found</t>
        </is>
      </c>
      <c r="V2853" s="6" t="inlineStr">
        <is>
          <t>Inspection</t>
        </is>
      </c>
      <c r="W2853" s="1" t="inlineStr">
        <is>
          <t>Rejected</t>
        </is>
      </c>
      <c r="X2853" s="5" t="n">
        <v>46202</v>
      </c>
      <c r="Y2853" s="1">
        <f>IF(X2853="","",X2853-A2853)</f>
        <v/>
      </c>
      <c r="Z2853" s="5" t="n">
        <v>46202</v>
      </c>
      <c r="AA2853" s="3" t="n"/>
      <c r="AB2853" s="3" t="n"/>
      <c r="AE2853" s="146">
        <f>IF(AND(F2853="Closed",X2853&gt;=DATE(2026,6,1),X2853&lt;=DATE(2026,6,30)),"Closed in June","other")</f>
        <v/>
      </c>
    </row>
    <row r="2854" hidden="1">
      <c r="A2854" s="9" t="n">
        <v>46134</v>
      </c>
      <c r="B2854" s="1" t="n">
        <v>2026</v>
      </c>
      <c r="C2854" s="8" t="inlineStr">
        <is>
          <t>First Energy</t>
        </is>
      </c>
      <c r="D2854" s="11" t="inlineStr">
        <is>
          <t>Utility and C&amp;I</t>
        </is>
      </c>
      <c r="E2854" s="1" t="n"/>
      <c r="F2854" s="1" t="inlineStr">
        <is>
          <t>Closed</t>
        </is>
      </c>
      <c r="G2854" s="8" t="inlineStr">
        <is>
          <t>Saravanakumar</t>
        </is>
      </c>
      <c r="H2854" s="8" t="n">
        <v>8248438488</v>
      </c>
      <c r="I2854" s="10" t="inlineStr">
        <is>
          <t>PE22042601</t>
        </is>
      </c>
      <c r="J2854" s="8" t="inlineStr">
        <is>
          <t>Anomalies/defects in the modules</t>
        </is>
      </c>
      <c r="K2854" s="8" t="inlineStr">
        <is>
          <t>Tirunelveli</t>
        </is>
      </c>
      <c r="L2854" s="8" t="inlineStr">
        <is>
          <t>Tamil Nadu</t>
        </is>
      </c>
      <c r="M2854" s="62" t="inlineStr">
        <is>
          <t>OK</t>
        </is>
      </c>
      <c r="N2854" s="2" t="inlineStr">
        <is>
          <t>No Issue Found</t>
        </is>
      </c>
      <c r="O2854" s="51" t="n">
        <v>550</v>
      </c>
      <c r="P2854" s="60" t="inlineStr">
        <is>
          <t>NSMP2307381425</t>
        </is>
      </c>
      <c r="Q2854" s="29">
        <f>MID(P2854,5,2)</f>
        <v/>
      </c>
      <c r="R2854" s="14">
        <f>MID(P2854,7,2)</f>
        <v/>
      </c>
      <c r="S2854" s="6" t="inlineStr">
        <is>
          <t>G2B</t>
        </is>
      </c>
      <c r="T2854" s="1" t="inlineStr">
        <is>
          <t>P2 - PEPPL</t>
        </is>
      </c>
      <c r="U2854" s="6" t="inlineStr">
        <is>
          <t>No Issue Found</t>
        </is>
      </c>
      <c r="V2854" s="6" t="inlineStr">
        <is>
          <t>Inspection</t>
        </is>
      </c>
      <c r="W2854" s="1" t="inlineStr">
        <is>
          <t>Rejected</t>
        </is>
      </c>
      <c r="X2854" s="5" t="n">
        <v>46202</v>
      </c>
      <c r="Y2854" s="1">
        <f>IF(X2854="","",X2854-A2854)</f>
        <v/>
      </c>
      <c r="Z2854" s="5" t="n">
        <v>46202</v>
      </c>
      <c r="AA2854" s="3" t="n"/>
      <c r="AB2854" s="3" t="n"/>
      <c r="AE2854" s="146">
        <f>IF(AND(F2854="Closed",X2854&gt;=DATE(2026,6,1),X2854&lt;=DATE(2026,6,30)),"Closed in June","other")</f>
        <v/>
      </c>
    </row>
    <row r="2855" hidden="1">
      <c r="A2855" s="9" t="n">
        <v>46134</v>
      </c>
      <c r="B2855" s="1" t="n">
        <v>2026</v>
      </c>
      <c r="C2855" s="8" t="inlineStr">
        <is>
          <t>First Energy</t>
        </is>
      </c>
      <c r="D2855" s="11" t="inlineStr">
        <is>
          <t>Utility and C&amp;I</t>
        </is>
      </c>
      <c r="E2855" s="1" t="n"/>
      <c r="F2855" s="1" t="inlineStr">
        <is>
          <t>Closed</t>
        </is>
      </c>
      <c r="G2855" s="8" t="inlineStr">
        <is>
          <t>Saravanakumar</t>
        </is>
      </c>
      <c r="H2855" s="8" t="n">
        <v>8248438488</v>
      </c>
      <c r="I2855" s="10" t="inlineStr">
        <is>
          <t>PE22042601</t>
        </is>
      </c>
      <c r="J2855" s="8" t="inlineStr">
        <is>
          <t>Anomalies/defects in the modules</t>
        </is>
      </c>
      <c r="K2855" s="8" t="inlineStr">
        <is>
          <t>Tirunelveli</t>
        </is>
      </c>
      <c r="L2855" s="8" t="inlineStr">
        <is>
          <t>Tamil Nadu</t>
        </is>
      </c>
      <c r="M2855" s="62" t="inlineStr">
        <is>
          <t>OK</t>
        </is>
      </c>
      <c r="N2855" s="2" t="inlineStr">
        <is>
          <t>No Issue Found</t>
        </is>
      </c>
      <c r="O2855" s="51" t="n">
        <v>550</v>
      </c>
      <c r="P2855" s="60" t="inlineStr">
        <is>
          <t>NSMP2306284347</t>
        </is>
      </c>
      <c r="Q2855" s="29">
        <f>MID(P2855,5,2)</f>
        <v/>
      </c>
      <c r="R2855" s="14">
        <f>MID(P2855,7,2)</f>
        <v/>
      </c>
      <c r="S2855" s="6" t="inlineStr">
        <is>
          <t>G2B</t>
        </is>
      </c>
      <c r="T2855" s="1" t="inlineStr">
        <is>
          <t>P2 - PEPPL</t>
        </is>
      </c>
      <c r="U2855" s="6" t="inlineStr">
        <is>
          <t>No Issue Found</t>
        </is>
      </c>
      <c r="V2855" s="6" t="inlineStr">
        <is>
          <t>Inspection</t>
        </is>
      </c>
      <c r="W2855" s="1" t="inlineStr">
        <is>
          <t>Rejected</t>
        </is>
      </c>
      <c r="X2855" s="5" t="n">
        <v>46202</v>
      </c>
      <c r="Y2855" s="1">
        <f>IF(X2855="","",X2855-A2855)</f>
        <v/>
      </c>
      <c r="Z2855" s="5" t="n">
        <v>46202</v>
      </c>
      <c r="AA2855" s="3" t="n"/>
      <c r="AB2855" s="3" t="n"/>
      <c r="AE2855" s="146">
        <f>IF(AND(F2855="Closed",X2855&gt;=DATE(2026,6,1),X2855&lt;=DATE(2026,6,30)),"Closed in June","other")</f>
        <v/>
      </c>
    </row>
    <row r="2856" hidden="1">
      <c r="A2856" s="9" t="n">
        <v>46134</v>
      </c>
      <c r="B2856" s="1" t="n">
        <v>2026</v>
      </c>
      <c r="C2856" s="8" t="inlineStr">
        <is>
          <t>First Energy</t>
        </is>
      </c>
      <c r="D2856" s="11" t="inlineStr">
        <is>
          <t>Utility and C&amp;I</t>
        </is>
      </c>
      <c r="E2856" s="1" t="n"/>
      <c r="F2856" s="1" t="inlineStr">
        <is>
          <t>Closed</t>
        </is>
      </c>
      <c r="G2856" s="8" t="inlineStr">
        <is>
          <t>Saravanakumar</t>
        </is>
      </c>
      <c r="H2856" s="8" t="n">
        <v>8248438488</v>
      </c>
      <c r="I2856" s="10" t="inlineStr">
        <is>
          <t>PE22042601</t>
        </is>
      </c>
      <c r="J2856" s="8" t="inlineStr">
        <is>
          <t>Anomalies/defects in the modules</t>
        </is>
      </c>
      <c r="K2856" s="8" t="inlineStr">
        <is>
          <t>Tirunelveli</t>
        </is>
      </c>
      <c r="L2856" s="8" t="inlineStr">
        <is>
          <t>Tamil Nadu</t>
        </is>
      </c>
      <c r="M2856" s="62" t="inlineStr">
        <is>
          <t>OK</t>
        </is>
      </c>
      <c r="N2856" s="2" t="inlineStr">
        <is>
          <t>No Issue Found</t>
        </is>
      </c>
      <c r="O2856" s="51" t="n">
        <v>550</v>
      </c>
      <c r="P2856" s="60" t="inlineStr">
        <is>
          <t>NSMP2306284385</t>
        </is>
      </c>
      <c r="Q2856" s="29">
        <f>MID(P2856,5,2)</f>
        <v/>
      </c>
      <c r="R2856" s="14">
        <f>MID(P2856,7,2)</f>
        <v/>
      </c>
      <c r="S2856" s="6" t="inlineStr">
        <is>
          <t>G2B</t>
        </is>
      </c>
      <c r="T2856" s="1" t="inlineStr">
        <is>
          <t>P2 - PEPPL</t>
        </is>
      </c>
      <c r="U2856" s="6" t="inlineStr">
        <is>
          <t>No Issue Found</t>
        </is>
      </c>
      <c r="V2856" s="6" t="inlineStr">
        <is>
          <t>Inspection</t>
        </is>
      </c>
      <c r="W2856" s="1" t="inlineStr">
        <is>
          <t>Rejected</t>
        </is>
      </c>
      <c r="X2856" s="5" t="n">
        <v>46202</v>
      </c>
      <c r="Y2856" s="1">
        <f>IF(X2856="","",X2856-A2856)</f>
        <v/>
      </c>
      <c r="Z2856" s="5" t="n">
        <v>46202</v>
      </c>
      <c r="AA2856" s="3" t="n"/>
      <c r="AB2856" s="3" t="n"/>
      <c r="AE2856" s="146">
        <f>IF(AND(F2856="Closed",X2856&gt;=DATE(2026,6,1),X2856&lt;=DATE(2026,6,30)),"Closed in June","other")</f>
        <v/>
      </c>
    </row>
    <row r="2857" hidden="1">
      <c r="A2857" s="9" t="n">
        <v>46134</v>
      </c>
      <c r="B2857" s="1" t="n">
        <v>2026</v>
      </c>
      <c r="C2857" s="8" t="inlineStr">
        <is>
          <t>First Energy</t>
        </is>
      </c>
      <c r="D2857" s="11" t="inlineStr">
        <is>
          <t>Utility and C&amp;I</t>
        </is>
      </c>
      <c r="E2857" s="1" t="n"/>
      <c r="F2857" s="1" t="inlineStr">
        <is>
          <t>Closed</t>
        </is>
      </c>
      <c r="G2857" s="8" t="inlineStr">
        <is>
          <t>Saravanakumar</t>
        </is>
      </c>
      <c r="H2857" s="8" t="n">
        <v>8248438488</v>
      </c>
      <c r="I2857" s="10" t="inlineStr">
        <is>
          <t>PE22042601</t>
        </is>
      </c>
      <c r="J2857" s="8" t="inlineStr">
        <is>
          <t>Anomalies/defects in the modules</t>
        </is>
      </c>
      <c r="K2857" s="8" t="inlineStr">
        <is>
          <t>Tirunelveli</t>
        </is>
      </c>
      <c r="L2857" s="8" t="inlineStr">
        <is>
          <t>Tamil Nadu</t>
        </is>
      </c>
      <c r="M2857" s="62" t="inlineStr">
        <is>
          <t>OK</t>
        </is>
      </c>
      <c r="N2857" s="2" t="inlineStr">
        <is>
          <t>No Issue Found</t>
        </is>
      </c>
      <c r="O2857" s="51" t="n">
        <v>550</v>
      </c>
      <c r="P2857" s="60" t="inlineStr">
        <is>
          <t>NSMP2307339588</t>
        </is>
      </c>
      <c r="Q2857" s="29">
        <f>MID(P2857,5,2)</f>
        <v/>
      </c>
      <c r="R2857" s="14">
        <f>MID(P2857,7,2)</f>
        <v/>
      </c>
      <c r="S2857" s="6" t="inlineStr">
        <is>
          <t>G2B</t>
        </is>
      </c>
      <c r="T2857" s="1" t="inlineStr">
        <is>
          <t>P2 - PEPPL</t>
        </is>
      </c>
      <c r="U2857" s="6" t="inlineStr">
        <is>
          <t>No Issue Found</t>
        </is>
      </c>
      <c r="V2857" s="6" t="inlineStr">
        <is>
          <t>Inspection</t>
        </is>
      </c>
      <c r="W2857" s="1" t="inlineStr">
        <is>
          <t>Rejected</t>
        </is>
      </c>
      <c r="X2857" s="5" t="n">
        <v>46202</v>
      </c>
      <c r="Y2857" s="1">
        <f>IF(X2857="","",X2857-A2857)</f>
        <v/>
      </c>
      <c r="Z2857" s="5" t="n">
        <v>46202</v>
      </c>
      <c r="AA2857" s="3" t="n"/>
      <c r="AB2857" s="3" t="n"/>
      <c r="AE2857" s="146">
        <f>IF(AND(F2857="Closed",X2857&gt;=DATE(2026,6,1),X2857&lt;=DATE(2026,6,30)),"Closed in June","other")</f>
        <v/>
      </c>
    </row>
    <row r="2858" hidden="1">
      <c r="A2858" s="9" t="n">
        <v>46134</v>
      </c>
      <c r="B2858" s="1" t="n">
        <v>2026</v>
      </c>
      <c r="C2858" s="8" t="inlineStr">
        <is>
          <t>First Energy</t>
        </is>
      </c>
      <c r="D2858" s="11" t="inlineStr">
        <is>
          <t>Utility and C&amp;I</t>
        </is>
      </c>
      <c r="E2858" s="1" t="n"/>
      <c r="F2858" s="1" t="inlineStr">
        <is>
          <t>Closed</t>
        </is>
      </c>
      <c r="G2858" s="8" t="inlineStr">
        <is>
          <t>Saravanakumar</t>
        </is>
      </c>
      <c r="H2858" s="8" t="n">
        <v>8248438488</v>
      </c>
      <c r="I2858" s="10" t="inlineStr">
        <is>
          <t>PE22042601</t>
        </is>
      </c>
      <c r="J2858" s="8" t="inlineStr">
        <is>
          <t>Anomalies/defects in the modules</t>
        </is>
      </c>
      <c r="K2858" s="8" t="inlineStr">
        <is>
          <t>Tirunelveli</t>
        </is>
      </c>
      <c r="L2858" s="8" t="inlineStr">
        <is>
          <t>Tamil Nadu</t>
        </is>
      </c>
      <c r="M2858" s="62" t="inlineStr">
        <is>
          <t>OK</t>
        </is>
      </c>
      <c r="N2858" s="2" t="inlineStr">
        <is>
          <t>No Issue Found</t>
        </is>
      </c>
      <c r="O2858" s="51" t="n">
        <v>550</v>
      </c>
      <c r="P2858" s="60" t="inlineStr">
        <is>
          <t>NSMP2307328589</t>
        </is>
      </c>
      <c r="Q2858" s="29">
        <f>MID(P2858,5,2)</f>
        <v/>
      </c>
      <c r="R2858" s="14">
        <f>MID(P2858,7,2)</f>
        <v/>
      </c>
      <c r="S2858" s="6" t="inlineStr">
        <is>
          <t>G2B</t>
        </is>
      </c>
      <c r="T2858" s="1" t="inlineStr">
        <is>
          <t>P2 - PEPPL</t>
        </is>
      </c>
      <c r="U2858" s="6" t="inlineStr">
        <is>
          <t>No Issue Found</t>
        </is>
      </c>
      <c r="V2858" s="6" t="inlineStr">
        <is>
          <t>Inspection</t>
        </is>
      </c>
      <c r="W2858" s="1" t="inlineStr">
        <is>
          <t>Rejected</t>
        </is>
      </c>
      <c r="X2858" s="5" t="n">
        <v>46202</v>
      </c>
      <c r="Y2858" s="1">
        <f>IF(X2858="","",X2858-A2858)</f>
        <v/>
      </c>
      <c r="Z2858" s="5" t="n">
        <v>46202</v>
      </c>
      <c r="AA2858" s="3" t="n"/>
      <c r="AB2858" s="3" t="n"/>
      <c r="AE2858" s="146">
        <f>IF(AND(F2858="Closed",X2858&gt;=DATE(2026,6,1),X2858&lt;=DATE(2026,6,30)),"Closed in June","other")</f>
        <v/>
      </c>
    </row>
    <row r="2859" hidden="1">
      <c r="A2859" s="9" t="n">
        <v>46134</v>
      </c>
      <c r="B2859" s="1" t="n">
        <v>2026</v>
      </c>
      <c r="C2859" s="8" t="inlineStr">
        <is>
          <t>First Energy</t>
        </is>
      </c>
      <c r="D2859" s="11" t="inlineStr">
        <is>
          <t>Utility and C&amp;I</t>
        </is>
      </c>
      <c r="E2859" s="1" t="n"/>
      <c r="F2859" s="1" t="inlineStr">
        <is>
          <t>Closed</t>
        </is>
      </c>
      <c r="G2859" s="8" t="inlineStr">
        <is>
          <t>Saravanakumar</t>
        </is>
      </c>
      <c r="H2859" s="8" t="n">
        <v>8248438488</v>
      </c>
      <c r="I2859" s="10" t="inlineStr">
        <is>
          <t>PE22042601</t>
        </is>
      </c>
      <c r="J2859" s="8" t="inlineStr">
        <is>
          <t>Anomalies/defects in the modules</t>
        </is>
      </c>
      <c r="K2859" s="8" t="inlineStr">
        <is>
          <t>Tirunelveli</t>
        </is>
      </c>
      <c r="L2859" s="8" t="inlineStr">
        <is>
          <t>Tamil Nadu</t>
        </is>
      </c>
      <c r="M2859" s="62" t="inlineStr">
        <is>
          <t>PR</t>
        </is>
      </c>
      <c r="N2859" s="1" t="inlineStr">
        <is>
          <t>JB Issue</t>
        </is>
      </c>
      <c r="O2859" s="51" t="n">
        <v>550</v>
      </c>
      <c r="P2859" s="60" t="inlineStr">
        <is>
          <t>NSMP2306283933</t>
        </is>
      </c>
      <c r="Q2859" s="29">
        <f>MID(P2859,5,2)</f>
        <v/>
      </c>
      <c r="R2859" s="14">
        <f>MID(P2859,7,2)</f>
        <v/>
      </c>
      <c r="S2859" s="6" t="inlineStr">
        <is>
          <t>G2B</t>
        </is>
      </c>
      <c r="T2859" s="1" t="inlineStr">
        <is>
          <t>P2 - PEPPL</t>
        </is>
      </c>
      <c r="U2859" s="6" t="inlineStr">
        <is>
          <t>P JB MC4 Connector Issue</t>
        </is>
      </c>
      <c r="V2859" s="6" t="inlineStr">
        <is>
          <t>JB Changed</t>
        </is>
      </c>
      <c r="W2859" s="1" t="inlineStr">
        <is>
          <t>Repair</t>
        </is>
      </c>
      <c r="X2859" s="5" t="n">
        <v>46202</v>
      </c>
      <c r="Y2859" s="1">
        <f>IF(X2859="","",X2859-A2859)</f>
        <v/>
      </c>
      <c r="Z2859" s="5" t="n">
        <v>46202</v>
      </c>
      <c r="AA2859" s="3" t="n"/>
      <c r="AB2859" s="3" t="n"/>
      <c r="AE2859" s="146">
        <f>IF(AND(F2859="Closed",X2859&gt;=DATE(2026,6,1),X2859&lt;=DATE(2026,6,30)),"Closed in June","other")</f>
        <v/>
      </c>
    </row>
    <row r="2860" hidden="1">
      <c r="A2860" s="9" t="n">
        <v>46134</v>
      </c>
      <c r="B2860" s="1" t="n">
        <v>2026</v>
      </c>
      <c r="C2860" s="8" t="inlineStr">
        <is>
          <t>First Energy</t>
        </is>
      </c>
      <c r="D2860" s="11" t="inlineStr">
        <is>
          <t>Utility and C&amp;I</t>
        </is>
      </c>
      <c r="E2860" s="1" t="n"/>
      <c r="F2860" s="1" t="inlineStr">
        <is>
          <t>Closed</t>
        </is>
      </c>
      <c r="G2860" s="8" t="inlineStr">
        <is>
          <t>Saravanakumar</t>
        </is>
      </c>
      <c r="H2860" s="8" t="n">
        <v>8248438488</v>
      </c>
      <c r="I2860" s="10" t="inlineStr">
        <is>
          <t>PE22042601</t>
        </is>
      </c>
      <c r="J2860" s="8" t="inlineStr">
        <is>
          <t>Anomalies/defects in the modules</t>
        </is>
      </c>
      <c r="K2860" s="8" t="inlineStr">
        <is>
          <t>Tirunelveli</t>
        </is>
      </c>
      <c r="L2860" s="8" t="inlineStr">
        <is>
          <t>Tamil Nadu</t>
        </is>
      </c>
      <c r="M2860" s="62" t="inlineStr">
        <is>
          <t>OK</t>
        </is>
      </c>
      <c r="N2860" s="2" t="inlineStr">
        <is>
          <t>No Issue Found</t>
        </is>
      </c>
      <c r="O2860" s="51" t="n">
        <v>550</v>
      </c>
      <c r="P2860" s="60" t="inlineStr">
        <is>
          <t>NSMP2307342620</t>
        </is>
      </c>
      <c r="Q2860" s="29">
        <f>MID(P2860,5,2)</f>
        <v/>
      </c>
      <c r="R2860" s="14">
        <f>MID(P2860,7,2)</f>
        <v/>
      </c>
      <c r="S2860" s="6" t="inlineStr">
        <is>
          <t>G2B</t>
        </is>
      </c>
      <c r="T2860" s="1" t="inlineStr">
        <is>
          <t>P2 - PEPPL</t>
        </is>
      </c>
      <c r="U2860" s="6" t="inlineStr">
        <is>
          <t>No Issue Found</t>
        </is>
      </c>
      <c r="V2860" s="6" t="inlineStr">
        <is>
          <t>Inspection</t>
        </is>
      </c>
      <c r="W2860" s="1" t="inlineStr">
        <is>
          <t>Rejected</t>
        </is>
      </c>
      <c r="X2860" s="5" t="n">
        <v>46202</v>
      </c>
      <c r="Y2860" s="1">
        <f>IF(X2860="","",X2860-A2860)</f>
        <v/>
      </c>
      <c r="Z2860" s="5" t="n">
        <v>46202</v>
      </c>
      <c r="AA2860" s="3" t="n"/>
      <c r="AB2860" s="3" t="n"/>
      <c r="AE2860" s="146">
        <f>IF(AND(F2860="Closed",X2860&gt;=DATE(2026,6,1),X2860&lt;=DATE(2026,6,30)),"Closed in June","other")</f>
        <v/>
      </c>
    </row>
    <row r="2861" hidden="1">
      <c r="A2861" s="9" t="n">
        <v>46134</v>
      </c>
      <c r="B2861" s="1" t="n">
        <v>2026</v>
      </c>
      <c r="C2861" s="8" t="inlineStr">
        <is>
          <t>First Energy</t>
        </is>
      </c>
      <c r="D2861" s="11" t="inlineStr">
        <is>
          <t>Utility and C&amp;I</t>
        </is>
      </c>
      <c r="E2861" s="1" t="n"/>
      <c r="F2861" s="1" t="inlineStr">
        <is>
          <t>Closed</t>
        </is>
      </c>
      <c r="G2861" s="8" t="inlineStr">
        <is>
          <t>Saravanakumar</t>
        </is>
      </c>
      <c r="H2861" s="8" t="n">
        <v>8248438488</v>
      </c>
      <c r="I2861" s="10" t="inlineStr">
        <is>
          <t>PE22042601</t>
        </is>
      </c>
      <c r="J2861" s="8" t="inlineStr">
        <is>
          <t>Anomalies/defects in the modules</t>
        </is>
      </c>
      <c r="K2861" s="8" t="inlineStr">
        <is>
          <t>Tirunelveli</t>
        </is>
      </c>
      <c r="L2861" s="8" t="inlineStr">
        <is>
          <t>Tamil Nadu</t>
        </is>
      </c>
      <c r="M2861" s="62" t="inlineStr">
        <is>
          <t>OK</t>
        </is>
      </c>
      <c r="N2861" s="2" t="inlineStr">
        <is>
          <t>No Issue Found</t>
        </is>
      </c>
      <c r="O2861" s="51" t="n">
        <v>550</v>
      </c>
      <c r="P2861" s="60" t="inlineStr">
        <is>
          <t>NSMP2306317251</t>
        </is>
      </c>
      <c r="Q2861" s="29">
        <f>MID(P2861,5,2)</f>
        <v/>
      </c>
      <c r="R2861" s="14">
        <f>MID(P2861,7,2)</f>
        <v/>
      </c>
      <c r="S2861" s="6" t="inlineStr">
        <is>
          <t>G2B</t>
        </is>
      </c>
      <c r="T2861" s="1" t="inlineStr">
        <is>
          <t>P2 - PEPPL</t>
        </is>
      </c>
      <c r="U2861" s="6" t="inlineStr">
        <is>
          <t>No Issue Found</t>
        </is>
      </c>
      <c r="V2861" s="6" t="inlineStr">
        <is>
          <t>Inspection</t>
        </is>
      </c>
      <c r="W2861" s="1" t="inlineStr">
        <is>
          <t>Rejected</t>
        </is>
      </c>
      <c r="X2861" s="5" t="n">
        <v>46202</v>
      </c>
      <c r="Y2861" s="1">
        <f>IF(X2861="","",X2861-A2861)</f>
        <v/>
      </c>
      <c r="Z2861" s="5" t="n">
        <v>46202</v>
      </c>
      <c r="AA2861" s="3" t="n"/>
      <c r="AB2861" s="3" t="n"/>
      <c r="AE2861" s="146">
        <f>IF(AND(F2861="Closed",X2861&gt;=DATE(2026,6,1),X2861&lt;=DATE(2026,6,30)),"Closed in June","other")</f>
        <v/>
      </c>
    </row>
    <row r="2862" hidden="1">
      <c r="A2862" s="9" t="n">
        <v>46134</v>
      </c>
      <c r="B2862" s="1" t="n">
        <v>2026</v>
      </c>
      <c r="C2862" s="8" t="inlineStr">
        <is>
          <t>First Energy</t>
        </is>
      </c>
      <c r="D2862" s="11" t="inlineStr">
        <is>
          <t>Utility and C&amp;I</t>
        </is>
      </c>
      <c r="E2862" s="1" t="n"/>
      <c r="F2862" s="1" t="inlineStr">
        <is>
          <t>Closed</t>
        </is>
      </c>
      <c r="G2862" s="8" t="inlineStr">
        <is>
          <t>Saravanakumar</t>
        </is>
      </c>
      <c r="H2862" s="8" t="n">
        <v>8248438488</v>
      </c>
      <c r="I2862" s="10" t="inlineStr">
        <is>
          <t>PE22042601</t>
        </is>
      </c>
      <c r="J2862" s="8" t="inlineStr">
        <is>
          <t>Anomalies/defects in the modules</t>
        </is>
      </c>
      <c r="K2862" s="8" t="inlineStr">
        <is>
          <t>Tirunelveli</t>
        </is>
      </c>
      <c r="L2862" s="8" t="inlineStr">
        <is>
          <t>Tamil Nadu</t>
        </is>
      </c>
      <c r="M2862" s="62" t="inlineStr">
        <is>
          <t>PR</t>
        </is>
      </c>
      <c r="N2862" s="1" t="inlineStr">
        <is>
          <t>JB Issue</t>
        </is>
      </c>
      <c r="O2862" s="51" t="n">
        <v>550</v>
      </c>
      <c r="P2862" s="60" t="inlineStr">
        <is>
          <t>NSMP2306226083</t>
        </is>
      </c>
      <c r="Q2862" s="29">
        <f>MID(P2862,5,2)</f>
        <v/>
      </c>
      <c r="R2862" s="14">
        <f>MID(P2862,7,2)</f>
        <v/>
      </c>
      <c r="S2862" s="6" t="inlineStr">
        <is>
          <t>G2B</t>
        </is>
      </c>
      <c r="T2862" s="1" t="inlineStr">
        <is>
          <t>P2 - PEPPL</t>
        </is>
      </c>
      <c r="U2862" s="6" t="inlineStr">
        <is>
          <t>P JB Cable Issue</t>
        </is>
      </c>
      <c r="V2862" s="6" t="inlineStr">
        <is>
          <t>JB Changed</t>
        </is>
      </c>
      <c r="W2862" s="1" t="inlineStr">
        <is>
          <t>Repair</t>
        </is>
      </c>
      <c r="X2862" s="5" t="n">
        <v>46202</v>
      </c>
      <c r="Y2862" s="1">
        <f>IF(X2862="","",X2862-A2862)</f>
        <v/>
      </c>
      <c r="Z2862" s="5" t="n">
        <v>46202</v>
      </c>
      <c r="AA2862" s="3" t="n"/>
      <c r="AB2862" s="3" t="n"/>
      <c r="AE2862" s="146">
        <f>IF(AND(F2862="Closed",X2862&gt;=DATE(2026,6,1),X2862&lt;=DATE(2026,6,30)),"Closed in June","other")</f>
        <v/>
      </c>
    </row>
    <row r="2863" hidden="1">
      <c r="A2863" s="9" t="n">
        <v>46134</v>
      </c>
      <c r="B2863" s="1" t="n">
        <v>2026</v>
      </c>
      <c r="C2863" s="8" t="inlineStr">
        <is>
          <t>First Energy</t>
        </is>
      </c>
      <c r="D2863" s="11" t="inlineStr">
        <is>
          <t>Utility and C&amp;I</t>
        </is>
      </c>
      <c r="E2863" s="1" t="n"/>
      <c r="F2863" s="1" t="inlineStr">
        <is>
          <t>Closed</t>
        </is>
      </c>
      <c r="G2863" s="8" t="inlineStr">
        <is>
          <t>Saravanakumar</t>
        </is>
      </c>
      <c r="H2863" s="8" t="n">
        <v>8248438488</v>
      </c>
      <c r="I2863" s="10" t="inlineStr">
        <is>
          <t>PE22042601</t>
        </is>
      </c>
      <c r="J2863" s="8" t="inlineStr">
        <is>
          <t>Anomalies/defects in the modules</t>
        </is>
      </c>
      <c r="K2863" s="8" t="inlineStr">
        <is>
          <t>Tirunelveli</t>
        </is>
      </c>
      <c r="L2863" s="8" t="inlineStr">
        <is>
          <t>Tamil Nadu</t>
        </is>
      </c>
      <c r="M2863" s="62" t="inlineStr">
        <is>
          <t>OK</t>
        </is>
      </c>
      <c r="N2863" s="2" t="inlineStr">
        <is>
          <t>No Issue Found</t>
        </is>
      </c>
      <c r="O2863" s="51" t="n">
        <v>550</v>
      </c>
      <c r="P2863" s="60" t="inlineStr">
        <is>
          <t>NSMP2305149821</t>
        </is>
      </c>
      <c r="Q2863" s="29">
        <f>MID(P2863,5,2)</f>
        <v/>
      </c>
      <c r="R2863" s="14">
        <f>MID(P2863,7,2)</f>
        <v/>
      </c>
      <c r="S2863" s="6" t="inlineStr">
        <is>
          <t>G2B</t>
        </is>
      </c>
      <c r="T2863" s="1" t="inlineStr">
        <is>
          <t>P2 - PEPPL</t>
        </is>
      </c>
      <c r="U2863" s="6" t="inlineStr">
        <is>
          <t>No Issue Found</t>
        </is>
      </c>
      <c r="V2863" s="6" t="inlineStr">
        <is>
          <t>Inspection</t>
        </is>
      </c>
      <c r="W2863" s="1" t="inlineStr">
        <is>
          <t>Rejected</t>
        </is>
      </c>
      <c r="X2863" s="5" t="n">
        <v>46202</v>
      </c>
      <c r="Y2863" s="1">
        <f>IF(X2863="","",X2863-A2863)</f>
        <v/>
      </c>
      <c r="Z2863" s="5" t="n">
        <v>46202</v>
      </c>
      <c r="AA2863" s="3" t="n"/>
      <c r="AB2863" s="3" t="n"/>
      <c r="AE2863" s="146">
        <f>IF(AND(F2863="Closed",X2863&gt;=DATE(2026,6,1),X2863&lt;=DATE(2026,6,30)),"Closed in June","other")</f>
        <v/>
      </c>
    </row>
    <row r="2864" hidden="1">
      <c r="A2864" s="9" t="n">
        <v>46134</v>
      </c>
      <c r="B2864" s="1" t="n">
        <v>2026</v>
      </c>
      <c r="C2864" s="8" t="inlineStr">
        <is>
          <t>First Energy</t>
        </is>
      </c>
      <c r="D2864" s="11" t="inlineStr">
        <is>
          <t>Utility and C&amp;I</t>
        </is>
      </c>
      <c r="E2864" s="1" t="n"/>
      <c r="F2864" s="1" t="inlineStr">
        <is>
          <t>Closed</t>
        </is>
      </c>
      <c r="G2864" s="8" t="inlineStr">
        <is>
          <t>Saravanakumar</t>
        </is>
      </c>
      <c r="H2864" s="8" t="n">
        <v>8248438488</v>
      </c>
      <c r="I2864" s="10" t="inlineStr">
        <is>
          <t>PE22042601</t>
        </is>
      </c>
      <c r="J2864" s="8" t="inlineStr">
        <is>
          <t>Anomalies/defects in the modules</t>
        </is>
      </c>
      <c r="K2864" s="8" t="inlineStr">
        <is>
          <t>Tirunelveli</t>
        </is>
      </c>
      <c r="L2864" s="8" t="inlineStr">
        <is>
          <t>Tamil Nadu</t>
        </is>
      </c>
      <c r="M2864" s="62" t="inlineStr">
        <is>
          <t>OK</t>
        </is>
      </c>
      <c r="N2864" s="2" t="inlineStr">
        <is>
          <t>No Issue Found</t>
        </is>
      </c>
      <c r="O2864" s="51" t="n">
        <v>550</v>
      </c>
      <c r="P2864" s="60" t="inlineStr">
        <is>
          <t>NSMP2307391121</t>
        </is>
      </c>
      <c r="Q2864" s="29">
        <f>MID(P2864,5,2)</f>
        <v/>
      </c>
      <c r="R2864" s="14">
        <f>MID(P2864,7,2)</f>
        <v/>
      </c>
      <c r="S2864" s="6" t="inlineStr">
        <is>
          <t>G2B</t>
        </is>
      </c>
      <c r="T2864" s="1" t="inlineStr">
        <is>
          <t>P2 - PEPPL</t>
        </is>
      </c>
      <c r="U2864" s="6" t="inlineStr">
        <is>
          <t>No Issue Found</t>
        </is>
      </c>
      <c r="V2864" s="6" t="inlineStr">
        <is>
          <t>Inspection</t>
        </is>
      </c>
      <c r="W2864" s="1" t="inlineStr">
        <is>
          <t>Rejected</t>
        </is>
      </c>
      <c r="X2864" s="5" t="n">
        <v>46202</v>
      </c>
      <c r="Y2864" s="1">
        <f>IF(X2864="","",X2864-A2864)</f>
        <v/>
      </c>
      <c r="Z2864" s="5" t="n">
        <v>46202</v>
      </c>
      <c r="AA2864" s="3" t="n"/>
      <c r="AB2864" s="3" t="n"/>
      <c r="AE2864" s="146">
        <f>IF(AND(F2864="Closed",X2864&gt;=DATE(2026,6,1),X2864&lt;=DATE(2026,6,30)),"Closed in June","other")</f>
        <v/>
      </c>
    </row>
    <row r="2865" hidden="1">
      <c r="A2865" s="9" t="n">
        <v>46134</v>
      </c>
      <c r="B2865" s="1" t="n">
        <v>2026</v>
      </c>
      <c r="C2865" s="8" t="inlineStr">
        <is>
          <t>First Energy</t>
        </is>
      </c>
      <c r="D2865" s="11" t="inlineStr">
        <is>
          <t>Utility and C&amp;I</t>
        </is>
      </c>
      <c r="E2865" s="1" t="n"/>
      <c r="F2865" s="1" t="inlineStr">
        <is>
          <t>Closed</t>
        </is>
      </c>
      <c r="G2865" s="8" t="inlineStr">
        <is>
          <t>Saravanakumar</t>
        </is>
      </c>
      <c r="H2865" s="8" t="n">
        <v>8248438488</v>
      </c>
      <c r="I2865" s="10" t="inlineStr">
        <is>
          <t>PE22042601</t>
        </is>
      </c>
      <c r="J2865" s="8" t="inlineStr">
        <is>
          <t>Anomalies/defects in the modules</t>
        </is>
      </c>
      <c r="K2865" s="8" t="inlineStr">
        <is>
          <t>Tirunelveli</t>
        </is>
      </c>
      <c r="L2865" s="8" t="inlineStr">
        <is>
          <t>Tamil Nadu</t>
        </is>
      </c>
      <c r="M2865" s="62" t="inlineStr">
        <is>
          <t>OK</t>
        </is>
      </c>
      <c r="N2865" s="2" t="inlineStr">
        <is>
          <t>No Issue Found</t>
        </is>
      </c>
      <c r="O2865" s="51" t="n">
        <v>550</v>
      </c>
      <c r="P2865" s="60" t="inlineStr">
        <is>
          <t>NSMP2307357800</t>
        </is>
      </c>
      <c r="Q2865" s="29">
        <f>MID(P2865,5,2)</f>
        <v/>
      </c>
      <c r="R2865" s="14">
        <f>MID(P2865,7,2)</f>
        <v/>
      </c>
      <c r="S2865" s="6" t="inlineStr">
        <is>
          <t>G2B</t>
        </is>
      </c>
      <c r="T2865" s="1" t="inlineStr">
        <is>
          <t>P2 - PEPPL</t>
        </is>
      </c>
      <c r="U2865" s="6" t="inlineStr">
        <is>
          <t>No Issue Found</t>
        </is>
      </c>
      <c r="V2865" s="6" t="inlineStr">
        <is>
          <t>Inspection</t>
        </is>
      </c>
      <c r="W2865" s="1" t="inlineStr">
        <is>
          <t>Rejected</t>
        </is>
      </c>
      <c r="X2865" s="5" t="n">
        <v>46202</v>
      </c>
      <c r="Y2865" s="1">
        <f>IF(X2865="","",X2865-A2865)</f>
        <v/>
      </c>
      <c r="Z2865" s="5" t="n">
        <v>46202</v>
      </c>
      <c r="AA2865" s="3" t="n"/>
      <c r="AB2865" s="3" t="n"/>
      <c r="AE2865" s="146">
        <f>IF(AND(F2865="Closed",X2865&gt;=DATE(2026,6,1),X2865&lt;=DATE(2026,6,30)),"Closed in June","other")</f>
        <v/>
      </c>
    </row>
    <row r="2866" hidden="1">
      <c r="A2866" s="9" t="n">
        <v>46134</v>
      </c>
      <c r="B2866" s="1" t="n">
        <v>2026</v>
      </c>
      <c r="C2866" s="8" t="inlineStr">
        <is>
          <t>First Energy</t>
        </is>
      </c>
      <c r="D2866" s="11" t="inlineStr">
        <is>
          <t>Utility and C&amp;I</t>
        </is>
      </c>
      <c r="E2866" s="1" t="n"/>
      <c r="F2866" s="1" t="inlineStr">
        <is>
          <t>Closed</t>
        </is>
      </c>
      <c r="G2866" s="8" t="inlineStr">
        <is>
          <t>Saravanakumar</t>
        </is>
      </c>
      <c r="H2866" s="8" t="n">
        <v>8248438488</v>
      </c>
      <c r="I2866" s="10" t="inlineStr">
        <is>
          <t>PE22042601</t>
        </is>
      </c>
      <c r="J2866" s="8" t="inlineStr">
        <is>
          <t>Anomalies/defects in the modules</t>
        </is>
      </c>
      <c r="K2866" s="8" t="inlineStr">
        <is>
          <t>Tirunelveli</t>
        </is>
      </c>
      <c r="L2866" s="8" t="inlineStr">
        <is>
          <t>Tamil Nadu</t>
        </is>
      </c>
      <c r="M2866" s="62" t="inlineStr">
        <is>
          <t>OK</t>
        </is>
      </c>
      <c r="N2866" s="2" t="inlineStr">
        <is>
          <t>No Issue Found</t>
        </is>
      </c>
      <c r="O2866" s="51" t="n">
        <v>550</v>
      </c>
      <c r="P2866" s="60" t="inlineStr">
        <is>
          <t>NSMP2307341066</t>
        </is>
      </c>
      <c r="Q2866" s="29">
        <f>MID(P2866,5,2)</f>
        <v/>
      </c>
      <c r="R2866" s="14">
        <f>MID(P2866,7,2)</f>
        <v/>
      </c>
      <c r="S2866" s="6" t="inlineStr">
        <is>
          <t>G2B</t>
        </is>
      </c>
      <c r="T2866" s="1" t="inlineStr">
        <is>
          <t>P2 - PEPPL</t>
        </is>
      </c>
      <c r="U2866" s="6" t="inlineStr">
        <is>
          <t>No Issue Found</t>
        </is>
      </c>
      <c r="V2866" s="6" t="inlineStr">
        <is>
          <t>Inspection</t>
        </is>
      </c>
      <c r="W2866" s="1" t="inlineStr">
        <is>
          <t>Rejected</t>
        </is>
      </c>
      <c r="X2866" s="5" t="n">
        <v>46202</v>
      </c>
      <c r="Y2866" s="1">
        <f>IF(X2866="","",X2866-A2866)</f>
        <v/>
      </c>
      <c r="Z2866" s="5" t="n">
        <v>46202</v>
      </c>
      <c r="AA2866" s="3" t="n"/>
      <c r="AB2866" s="3" t="n"/>
      <c r="AE2866" s="146">
        <f>IF(AND(F2866="Closed",X2866&gt;=DATE(2026,6,1),X2866&lt;=DATE(2026,6,30)),"Closed in June","other")</f>
        <v/>
      </c>
    </row>
    <row r="2867" hidden="1">
      <c r="A2867" s="9" t="n">
        <v>46134</v>
      </c>
      <c r="B2867" s="1" t="n">
        <v>2026</v>
      </c>
      <c r="C2867" s="8" t="inlineStr">
        <is>
          <t>First Energy</t>
        </is>
      </c>
      <c r="D2867" s="11" t="inlineStr">
        <is>
          <t>Utility and C&amp;I</t>
        </is>
      </c>
      <c r="E2867" s="1" t="n"/>
      <c r="F2867" s="1" t="inlineStr">
        <is>
          <t>Closed</t>
        </is>
      </c>
      <c r="G2867" s="8" t="inlineStr">
        <is>
          <t>Saravanakumar</t>
        </is>
      </c>
      <c r="H2867" s="8" t="n">
        <v>8248438488</v>
      </c>
      <c r="I2867" s="10" t="inlineStr">
        <is>
          <t>PE22042601</t>
        </is>
      </c>
      <c r="J2867" s="8" t="inlineStr">
        <is>
          <t>Anomalies/defects in the modules</t>
        </is>
      </c>
      <c r="K2867" s="8" t="inlineStr">
        <is>
          <t>Tirunelveli</t>
        </is>
      </c>
      <c r="L2867" s="8" t="inlineStr">
        <is>
          <t>Tamil Nadu</t>
        </is>
      </c>
      <c r="M2867" s="62" t="inlineStr">
        <is>
          <t>OK</t>
        </is>
      </c>
      <c r="N2867" s="2" t="inlineStr">
        <is>
          <t>No Issue Found</t>
        </is>
      </c>
      <c r="O2867" s="51" t="n">
        <v>550</v>
      </c>
      <c r="P2867" s="60" t="inlineStr">
        <is>
          <t>NSMP2307393351</t>
        </is>
      </c>
      <c r="Q2867" s="29">
        <f>MID(P2867,5,2)</f>
        <v/>
      </c>
      <c r="R2867" s="14">
        <f>MID(P2867,7,2)</f>
        <v/>
      </c>
      <c r="S2867" s="6" t="inlineStr">
        <is>
          <t>G2B</t>
        </is>
      </c>
      <c r="T2867" s="1" t="inlineStr">
        <is>
          <t>P2 - PEPPL</t>
        </is>
      </c>
      <c r="U2867" s="6" t="inlineStr">
        <is>
          <t>No Issue Found</t>
        </is>
      </c>
      <c r="V2867" s="6" t="inlineStr">
        <is>
          <t>Inspection</t>
        </is>
      </c>
      <c r="W2867" s="1" t="inlineStr">
        <is>
          <t>Rejected</t>
        </is>
      </c>
      <c r="X2867" s="5" t="n">
        <v>46202</v>
      </c>
      <c r="Y2867" s="1">
        <f>IF(X2867="","",X2867-A2867)</f>
        <v/>
      </c>
      <c r="Z2867" s="5" t="n">
        <v>46202</v>
      </c>
      <c r="AA2867" s="3" t="n"/>
      <c r="AB2867" s="3" t="n"/>
      <c r="AE2867" s="146">
        <f>IF(AND(F2867="Closed",X2867&gt;=DATE(2026,6,1),X2867&lt;=DATE(2026,6,30)),"Closed in June","other")</f>
        <v/>
      </c>
    </row>
    <row r="2868" hidden="1">
      <c r="A2868" s="9" t="n">
        <v>46134</v>
      </c>
      <c r="B2868" s="1" t="n">
        <v>2026</v>
      </c>
      <c r="C2868" s="8" t="inlineStr">
        <is>
          <t>First Energy</t>
        </is>
      </c>
      <c r="D2868" s="11" t="inlineStr">
        <is>
          <t>Utility and C&amp;I</t>
        </is>
      </c>
      <c r="E2868" s="1" t="n"/>
      <c r="F2868" s="1" t="inlineStr">
        <is>
          <t>Closed</t>
        </is>
      </c>
      <c r="G2868" s="8" t="inlineStr">
        <is>
          <t>Saravanakumar</t>
        </is>
      </c>
      <c r="H2868" s="8" t="n">
        <v>8248438488</v>
      </c>
      <c r="I2868" s="10" t="inlineStr">
        <is>
          <t>PE22042601</t>
        </is>
      </c>
      <c r="J2868" s="8" t="inlineStr">
        <is>
          <t>Anomalies/defects in the modules</t>
        </is>
      </c>
      <c r="K2868" s="8" t="inlineStr">
        <is>
          <t>Tirunelveli</t>
        </is>
      </c>
      <c r="L2868" s="8" t="inlineStr">
        <is>
          <t>Tamil Nadu</t>
        </is>
      </c>
      <c r="M2868" s="62" t="inlineStr">
        <is>
          <t>OK</t>
        </is>
      </c>
      <c r="N2868" s="2" t="inlineStr">
        <is>
          <t>No Issue Found</t>
        </is>
      </c>
      <c r="O2868" s="51" t="n">
        <v>550</v>
      </c>
      <c r="P2868" s="60" t="inlineStr">
        <is>
          <t>NSMP2307346051</t>
        </is>
      </c>
      <c r="Q2868" s="29">
        <f>MID(P2868,5,2)</f>
        <v/>
      </c>
      <c r="R2868" s="14">
        <f>MID(P2868,7,2)</f>
        <v/>
      </c>
      <c r="S2868" s="6" t="inlineStr">
        <is>
          <t>G2B</t>
        </is>
      </c>
      <c r="T2868" s="1" t="inlineStr">
        <is>
          <t>P2 - PEPPL</t>
        </is>
      </c>
      <c r="U2868" s="6" t="inlineStr">
        <is>
          <t>No Issue Found</t>
        </is>
      </c>
      <c r="V2868" s="6" t="inlineStr">
        <is>
          <t>Inspection</t>
        </is>
      </c>
      <c r="W2868" s="1" t="inlineStr">
        <is>
          <t>Rejected</t>
        </is>
      </c>
      <c r="X2868" s="5" t="n">
        <v>46202</v>
      </c>
      <c r="Y2868" s="1">
        <f>IF(X2868="","",X2868-A2868)</f>
        <v/>
      </c>
      <c r="Z2868" s="5" t="n">
        <v>46202</v>
      </c>
      <c r="AA2868" s="3" t="n"/>
      <c r="AB2868" s="3" t="n"/>
      <c r="AE2868" s="146">
        <f>IF(AND(F2868="Closed",X2868&gt;=DATE(2026,6,1),X2868&lt;=DATE(2026,6,30)),"Closed in June","other")</f>
        <v/>
      </c>
    </row>
    <row r="2869" hidden="1">
      <c r="A2869" s="9" t="n">
        <v>46134</v>
      </c>
      <c r="B2869" s="1" t="n">
        <v>2026</v>
      </c>
      <c r="C2869" s="8" t="inlineStr">
        <is>
          <t>First Energy</t>
        </is>
      </c>
      <c r="D2869" s="11" t="inlineStr">
        <is>
          <t>Utility and C&amp;I</t>
        </is>
      </c>
      <c r="E2869" s="1" t="n"/>
      <c r="F2869" s="1" t="inlineStr">
        <is>
          <t>Closed</t>
        </is>
      </c>
      <c r="G2869" s="8" t="inlineStr">
        <is>
          <t>Saravanakumar</t>
        </is>
      </c>
      <c r="H2869" s="8" t="n">
        <v>8248438488</v>
      </c>
      <c r="I2869" s="10" t="inlineStr">
        <is>
          <t>PE22042601</t>
        </is>
      </c>
      <c r="J2869" s="8" t="inlineStr">
        <is>
          <t>Anomalies/defects in the modules</t>
        </is>
      </c>
      <c r="K2869" s="8" t="inlineStr">
        <is>
          <t>Tirunelveli</t>
        </is>
      </c>
      <c r="L2869" s="8" t="inlineStr">
        <is>
          <t>Tamil Nadu</t>
        </is>
      </c>
      <c r="M2869" s="62" t="inlineStr">
        <is>
          <t>OK</t>
        </is>
      </c>
      <c r="N2869" s="2" t="inlineStr">
        <is>
          <t>No Issue Found</t>
        </is>
      </c>
      <c r="O2869" s="51" t="n">
        <v>550</v>
      </c>
      <c r="P2869" s="60" t="inlineStr">
        <is>
          <t>NSMP2306270799</t>
        </is>
      </c>
      <c r="Q2869" s="29">
        <f>MID(P2869,5,2)</f>
        <v/>
      </c>
      <c r="R2869" s="14">
        <f>MID(P2869,7,2)</f>
        <v/>
      </c>
      <c r="S2869" s="6" t="inlineStr">
        <is>
          <t>G2B</t>
        </is>
      </c>
      <c r="T2869" s="1" t="inlineStr">
        <is>
          <t>P2 - PEPPL</t>
        </is>
      </c>
      <c r="U2869" s="6" t="inlineStr">
        <is>
          <t>No Issue Found</t>
        </is>
      </c>
      <c r="V2869" s="6" t="inlineStr">
        <is>
          <t>Inspection</t>
        </is>
      </c>
      <c r="W2869" s="1" t="inlineStr">
        <is>
          <t>Rejected</t>
        </is>
      </c>
      <c r="X2869" s="5" t="n">
        <v>46202</v>
      </c>
      <c r="Y2869" s="1">
        <f>IF(X2869="","",X2869-A2869)</f>
        <v/>
      </c>
      <c r="Z2869" s="5" t="n">
        <v>46202</v>
      </c>
      <c r="AA2869" s="3" t="n"/>
      <c r="AB2869" s="3" t="n"/>
      <c r="AE2869" s="146">
        <f>IF(AND(F2869="Closed",X2869&gt;=DATE(2026,6,1),X2869&lt;=DATE(2026,6,30)),"Closed in June","other")</f>
        <v/>
      </c>
    </row>
    <row r="2870" hidden="1">
      <c r="A2870" s="9" t="n">
        <v>46134</v>
      </c>
      <c r="B2870" s="1" t="n">
        <v>2026</v>
      </c>
      <c r="C2870" s="8" t="inlineStr">
        <is>
          <t>First Energy</t>
        </is>
      </c>
      <c r="D2870" s="11" t="inlineStr">
        <is>
          <t>Utility and C&amp;I</t>
        </is>
      </c>
      <c r="E2870" s="1" t="n"/>
      <c r="F2870" s="1" t="inlineStr">
        <is>
          <t>Closed</t>
        </is>
      </c>
      <c r="G2870" s="8" t="inlineStr">
        <is>
          <t>Saravanakumar</t>
        </is>
      </c>
      <c r="H2870" s="8" t="n">
        <v>8248438488</v>
      </c>
      <c r="I2870" s="10" t="inlineStr">
        <is>
          <t>PE22042601</t>
        </is>
      </c>
      <c r="J2870" s="8" t="inlineStr">
        <is>
          <t>Anomalies/defects in the modules</t>
        </is>
      </c>
      <c r="K2870" s="8" t="inlineStr">
        <is>
          <t>Tirunelveli</t>
        </is>
      </c>
      <c r="L2870" s="8" t="inlineStr">
        <is>
          <t>Tamil Nadu</t>
        </is>
      </c>
      <c r="M2870" s="62" t="inlineStr">
        <is>
          <t>OK</t>
        </is>
      </c>
      <c r="N2870" s="2" t="inlineStr">
        <is>
          <t>No Issue Found</t>
        </is>
      </c>
      <c r="O2870" s="51" t="n">
        <v>550</v>
      </c>
      <c r="P2870" s="60" t="inlineStr">
        <is>
          <t>NSMP24122106225</t>
        </is>
      </c>
      <c r="Q2870" s="29">
        <f>MID(P2870,5,2)</f>
        <v/>
      </c>
      <c r="R2870" s="14">
        <f>MID(P2870,7,2)</f>
        <v/>
      </c>
      <c r="S2870" s="6" t="inlineStr">
        <is>
          <t>G2B</t>
        </is>
      </c>
      <c r="T2870" s="1" t="inlineStr">
        <is>
          <t>P2 - PEPPL</t>
        </is>
      </c>
      <c r="U2870" s="6" t="inlineStr">
        <is>
          <t>No Issue Found</t>
        </is>
      </c>
      <c r="V2870" s="6" t="inlineStr">
        <is>
          <t>Inspection</t>
        </is>
      </c>
      <c r="W2870" s="1" t="inlineStr">
        <is>
          <t>Rejected</t>
        </is>
      </c>
      <c r="X2870" s="5" t="n">
        <v>46202</v>
      </c>
      <c r="Y2870" s="1">
        <f>IF(X2870="","",X2870-A2870)</f>
        <v/>
      </c>
      <c r="Z2870" s="5" t="n">
        <v>46202</v>
      </c>
      <c r="AA2870" s="3" t="n"/>
      <c r="AB2870" s="3" t="n"/>
      <c r="AE2870" s="146">
        <f>IF(AND(F2870="Closed",X2870&gt;=DATE(2026,6,1),X2870&lt;=DATE(2026,6,30)),"Closed in June","other")</f>
        <v/>
      </c>
    </row>
    <row r="2871" hidden="1">
      <c r="A2871" s="9" t="n">
        <v>46134</v>
      </c>
      <c r="B2871" s="1" t="n">
        <v>2026</v>
      </c>
      <c r="C2871" s="8" t="inlineStr">
        <is>
          <t>First Energy</t>
        </is>
      </c>
      <c r="D2871" s="11" t="inlineStr">
        <is>
          <t>Utility and C&amp;I</t>
        </is>
      </c>
      <c r="E2871" s="1" t="n"/>
      <c r="F2871" s="1" t="inlineStr">
        <is>
          <t>Closed</t>
        </is>
      </c>
      <c r="G2871" s="8" t="inlineStr">
        <is>
          <t>Saravanakumar</t>
        </is>
      </c>
      <c r="H2871" s="8" t="n">
        <v>8248438488</v>
      </c>
      <c r="I2871" s="10" t="inlineStr">
        <is>
          <t>PE22042601</t>
        </is>
      </c>
      <c r="J2871" s="8" t="inlineStr">
        <is>
          <t>Anomalies/defects in the modules</t>
        </is>
      </c>
      <c r="K2871" s="8" t="inlineStr">
        <is>
          <t>Tirunelveli</t>
        </is>
      </c>
      <c r="L2871" s="8" t="inlineStr">
        <is>
          <t>Tamil Nadu</t>
        </is>
      </c>
      <c r="M2871" s="62" t="inlineStr">
        <is>
          <t>NR</t>
        </is>
      </c>
      <c r="N2871" s="8" t="inlineStr">
        <is>
          <t>JB Issue</t>
        </is>
      </c>
      <c r="O2871" s="51" t="n">
        <v>550</v>
      </c>
      <c r="P2871" s="60" t="inlineStr">
        <is>
          <t>NSMP2307330644</t>
        </is>
      </c>
      <c r="Q2871" s="29">
        <f>MID(P2871,5,2)</f>
        <v/>
      </c>
      <c r="R2871" s="14">
        <f>MID(P2871,7,2)</f>
        <v/>
      </c>
      <c r="S2871" s="6" t="inlineStr">
        <is>
          <t>G2B</t>
        </is>
      </c>
      <c r="T2871" s="1" t="inlineStr">
        <is>
          <t>P2 - PEPPL</t>
        </is>
      </c>
      <c r="U2871" s="6" t="inlineStr">
        <is>
          <t>N JB Cable damaged</t>
        </is>
      </c>
      <c r="V2871" s="6" t="inlineStr">
        <is>
          <t>JB Changed</t>
        </is>
      </c>
      <c r="W2871" s="1" t="inlineStr">
        <is>
          <t>Repair</t>
        </is>
      </c>
      <c r="X2871" s="5" t="n">
        <v>46202</v>
      </c>
      <c r="Y2871" s="1">
        <f>IF(X2871="","",X2871-A2871)</f>
        <v/>
      </c>
      <c r="Z2871" s="5" t="n">
        <v>46202</v>
      </c>
      <c r="AA2871" s="3" t="n"/>
      <c r="AB2871" s="3" t="n"/>
      <c r="AE2871" s="146">
        <f>IF(AND(F2871="Closed",X2871&gt;=DATE(2026,6,1),X2871&lt;=DATE(2026,6,30)),"Closed in June","other")</f>
        <v/>
      </c>
    </row>
    <row r="2872" hidden="1">
      <c r="A2872" s="9" t="n">
        <v>46134</v>
      </c>
      <c r="B2872" s="1" t="n">
        <v>2026</v>
      </c>
      <c r="C2872" s="8" t="inlineStr">
        <is>
          <t>First Energy</t>
        </is>
      </c>
      <c r="D2872" s="11" t="inlineStr">
        <is>
          <t>Utility and C&amp;I</t>
        </is>
      </c>
      <c r="E2872" s="1" t="n"/>
      <c r="F2872" s="1" t="inlineStr">
        <is>
          <t>Closed</t>
        </is>
      </c>
      <c r="G2872" s="8" t="inlineStr">
        <is>
          <t>Saravanakumar</t>
        </is>
      </c>
      <c r="H2872" s="8" t="n">
        <v>8248438488</v>
      </c>
      <c r="I2872" s="10" t="inlineStr">
        <is>
          <t>PE22042601</t>
        </is>
      </c>
      <c r="J2872" s="8" t="inlineStr">
        <is>
          <t>Anomalies/defects in the modules</t>
        </is>
      </c>
      <c r="K2872" s="8" t="inlineStr">
        <is>
          <t>Tirunelveli</t>
        </is>
      </c>
      <c r="L2872" s="8" t="inlineStr">
        <is>
          <t>Tamil Nadu</t>
        </is>
      </c>
      <c r="M2872" s="62" t="inlineStr">
        <is>
          <t>OK</t>
        </is>
      </c>
      <c r="N2872" s="2" t="inlineStr">
        <is>
          <t>No Issue Found</t>
        </is>
      </c>
      <c r="O2872" s="51" t="n">
        <v>550</v>
      </c>
      <c r="P2872" s="60" t="inlineStr">
        <is>
          <t>NSMP2305137809</t>
        </is>
      </c>
      <c r="Q2872" s="29">
        <f>MID(P2872,5,2)</f>
        <v/>
      </c>
      <c r="R2872" s="14">
        <f>MID(P2872,7,2)</f>
        <v/>
      </c>
      <c r="S2872" s="6" t="inlineStr">
        <is>
          <t>G2B</t>
        </is>
      </c>
      <c r="T2872" s="1" t="inlineStr">
        <is>
          <t>P2 - PEPPL</t>
        </is>
      </c>
      <c r="U2872" s="6" t="inlineStr">
        <is>
          <t>No Issue Found</t>
        </is>
      </c>
      <c r="V2872" s="6" t="inlineStr">
        <is>
          <t>Inspection</t>
        </is>
      </c>
      <c r="W2872" s="1" t="inlineStr">
        <is>
          <t>Rejected</t>
        </is>
      </c>
      <c r="X2872" s="5" t="n">
        <v>46202</v>
      </c>
      <c r="Y2872" s="1">
        <f>IF(X2872="","",X2872-A2872)</f>
        <v/>
      </c>
      <c r="Z2872" s="5" t="n">
        <v>46202</v>
      </c>
      <c r="AA2872" s="3" t="n"/>
      <c r="AB2872" s="3" t="n"/>
      <c r="AE2872" s="146">
        <f>IF(AND(F2872="Closed",X2872&gt;=DATE(2026,6,1),X2872&lt;=DATE(2026,6,30)),"Closed in June","other")</f>
        <v/>
      </c>
    </row>
    <row r="2873" hidden="1">
      <c r="A2873" s="9" t="n">
        <v>46134</v>
      </c>
      <c r="B2873" s="1" t="n">
        <v>2026</v>
      </c>
      <c r="C2873" s="8" t="inlineStr">
        <is>
          <t>First Energy</t>
        </is>
      </c>
      <c r="D2873" s="11" t="inlineStr">
        <is>
          <t>Utility and C&amp;I</t>
        </is>
      </c>
      <c r="E2873" s="1" t="n"/>
      <c r="F2873" s="1" t="inlineStr">
        <is>
          <t>Closed</t>
        </is>
      </c>
      <c r="G2873" s="8" t="inlineStr">
        <is>
          <t>Saravanakumar</t>
        </is>
      </c>
      <c r="H2873" s="8" t="n">
        <v>8248438488</v>
      </c>
      <c r="I2873" s="10" t="inlineStr">
        <is>
          <t>PE22042601</t>
        </is>
      </c>
      <c r="J2873" s="8" t="inlineStr">
        <is>
          <t>Anomalies/defects in the modules</t>
        </is>
      </c>
      <c r="K2873" s="8" t="inlineStr">
        <is>
          <t>Tirunelveli</t>
        </is>
      </c>
      <c r="L2873" s="8" t="inlineStr">
        <is>
          <t>Tamil Nadu</t>
        </is>
      </c>
      <c r="M2873" s="62" t="inlineStr">
        <is>
          <t>OK</t>
        </is>
      </c>
      <c r="N2873" s="2" t="inlineStr">
        <is>
          <t>No Issue Found</t>
        </is>
      </c>
      <c r="O2873" s="51" t="n">
        <v>550</v>
      </c>
      <c r="P2873" s="60" t="inlineStr">
        <is>
          <t>NSMP2307332579</t>
        </is>
      </c>
      <c r="Q2873" s="29">
        <f>MID(P2873,5,2)</f>
        <v/>
      </c>
      <c r="R2873" s="14">
        <f>MID(P2873,7,2)</f>
        <v/>
      </c>
      <c r="S2873" s="6" t="inlineStr">
        <is>
          <t>G2B</t>
        </is>
      </c>
      <c r="T2873" s="1" t="inlineStr">
        <is>
          <t>P2 - PEPPL</t>
        </is>
      </c>
      <c r="U2873" s="6" t="inlineStr">
        <is>
          <t>No Issue Found</t>
        </is>
      </c>
      <c r="V2873" s="6" t="inlineStr">
        <is>
          <t>Inspection</t>
        </is>
      </c>
      <c r="W2873" s="1" t="inlineStr">
        <is>
          <t>Rejected</t>
        </is>
      </c>
      <c r="X2873" s="5" t="n">
        <v>46202</v>
      </c>
      <c r="Y2873" s="1">
        <f>IF(X2873="","",X2873-A2873)</f>
        <v/>
      </c>
      <c r="Z2873" s="5" t="n">
        <v>46202</v>
      </c>
      <c r="AA2873" s="3" t="n"/>
      <c r="AB2873" s="3" t="n"/>
      <c r="AE2873" s="146">
        <f>IF(AND(F2873="Closed",X2873&gt;=DATE(2026,6,1),X2873&lt;=DATE(2026,6,30)),"Closed in June","other")</f>
        <v/>
      </c>
    </row>
    <row r="2874" hidden="1">
      <c r="A2874" s="9" t="n">
        <v>46134</v>
      </c>
      <c r="B2874" s="1" t="n">
        <v>2026</v>
      </c>
      <c r="C2874" s="8" t="inlineStr">
        <is>
          <t>First Energy</t>
        </is>
      </c>
      <c r="D2874" s="11" t="inlineStr">
        <is>
          <t>Utility and C&amp;I</t>
        </is>
      </c>
      <c r="E2874" s="1" t="n"/>
      <c r="F2874" s="1" t="inlineStr">
        <is>
          <t>Closed</t>
        </is>
      </c>
      <c r="G2874" s="8" t="inlineStr">
        <is>
          <t>Saravanakumar</t>
        </is>
      </c>
      <c r="H2874" s="8" t="n">
        <v>8248438488</v>
      </c>
      <c r="I2874" s="10" t="inlineStr">
        <is>
          <t>PE22042601</t>
        </is>
      </c>
      <c r="J2874" s="8" t="inlineStr">
        <is>
          <t>Anomalies/defects in the modules</t>
        </is>
      </c>
      <c r="K2874" s="8" t="inlineStr">
        <is>
          <t>Tirunelveli</t>
        </is>
      </c>
      <c r="L2874" s="8" t="inlineStr">
        <is>
          <t>Tamil Nadu</t>
        </is>
      </c>
      <c r="M2874" s="62" t="inlineStr">
        <is>
          <t>OK</t>
        </is>
      </c>
      <c r="N2874" s="2" t="inlineStr">
        <is>
          <t>No Issue Found</t>
        </is>
      </c>
      <c r="O2874" s="51" t="n">
        <v>550</v>
      </c>
      <c r="P2874" s="60" t="inlineStr">
        <is>
          <t>NSMP2308499151</t>
        </is>
      </c>
      <c r="Q2874" s="29">
        <f>MID(P2874,5,2)</f>
        <v/>
      </c>
      <c r="R2874" s="14">
        <f>MID(P2874,7,2)</f>
        <v/>
      </c>
      <c r="S2874" s="6" t="inlineStr">
        <is>
          <t>G2B</t>
        </is>
      </c>
      <c r="T2874" s="1" t="inlineStr">
        <is>
          <t>P2 - PEPPL</t>
        </is>
      </c>
      <c r="U2874" s="6" t="inlineStr">
        <is>
          <t>No Issue Found</t>
        </is>
      </c>
      <c r="V2874" s="6" t="inlineStr">
        <is>
          <t>Inspection</t>
        </is>
      </c>
      <c r="W2874" s="1" t="inlineStr">
        <is>
          <t>Rejected</t>
        </is>
      </c>
      <c r="X2874" s="5" t="n">
        <v>46202</v>
      </c>
      <c r="Y2874" s="1">
        <f>IF(X2874="","",X2874-A2874)</f>
        <v/>
      </c>
      <c r="Z2874" s="5" t="n">
        <v>46202</v>
      </c>
      <c r="AA2874" s="3" t="n"/>
      <c r="AB2874" s="3" t="n"/>
      <c r="AE2874" s="146">
        <f>IF(AND(F2874="Closed",X2874&gt;=DATE(2026,6,1),X2874&lt;=DATE(2026,6,30)),"Closed in June","other")</f>
        <v/>
      </c>
    </row>
    <row r="2875" hidden="1">
      <c r="A2875" s="9" t="n">
        <v>46134</v>
      </c>
      <c r="B2875" s="1" t="n">
        <v>2026</v>
      </c>
      <c r="C2875" s="8" t="inlineStr">
        <is>
          <t>First Energy</t>
        </is>
      </c>
      <c r="D2875" s="11" t="inlineStr">
        <is>
          <t>Utility and C&amp;I</t>
        </is>
      </c>
      <c r="E2875" s="1" t="n"/>
      <c r="F2875" s="1" t="inlineStr">
        <is>
          <t>Closed</t>
        </is>
      </c>
      <c r="G2875" s="8" t="inlineStr">
        <is>
          <t>Saravanakumar</t>
        </is>
      </c>
      <c r="H2875" s="8" t="n">
        <v>8248438488</v>
      </c>
      <c r="I2875" s="10" t="inlineStr">
        <is>
          <t>PE22042601</t>
        </is>
      </c>
      <c r="J2875" s="8" t="inlineStr">
        <is>
          <t>Anomalies/defects in the modules</t>
        </is>
      </c>
      <c r="K2875" s="8" t="inlineStr">
        <is>
          <t>Tirunelveli</t>
        </is>
      </c>
      <c r="L2875" s="8" t="inlineStr">
        <is>
          <t>Tamil Nadu</t>
        </is>
      </c>
      <c r="M2875" s="62" t="inlineStr">
        <is>
          <t>OK</t>
        </is>
      </c>
      <c r="N2875" s="2" t="inlineStr">
        <is>
          <t>No Issue Found</t>
        </is>
      </c>
      <c r="O2875" s="51" t="n">
        <v>550</v>
      </c>
      <c r="P2875" s="60" t="inlineStr">
        <is>
          <t>NSMP2307396512</t>
        </is>
      </c>
      <c r="Q2875" s="29">
        <f>MID(P2875,5,2)</f>
        <v/>
      </c>
      <c r="R2875" s="14">
        <f>MID(P2875,7,2)</f>
        <v/>
      </c>
      <c r="S2875" s="6" t="inlineStr">
        <is>
          <t>G2B</t>
        </is>
      </c>
      <c r="T2875" s="1" t="inlineStr">
        <is>
          <t>P2 - PEPPL</t>
        </is>
      </c>
      <c r="U2875" s="6" t="inlineStr">
        <is>
          <t>No Issue Found</t>
        </is>
      </c>
      <c r="V2875" s="6" t="inlineStr">
        <is>
          <t>Inspection</t>
        </is>
      </c>
      <c r="W2875" s="1" t="inlineStr">
        <is>
          <t>Rejected</t>
        </is>
      </c>
      <c r="X2875" s="5" t="n">
        <v>46202</v>
      </c>
      <c r="Y2875" s="1">
        <f>IF(X2875="","",X2875-A2875)</f>
        <v/>
      </c>
      <c r="Z2875" s="5" t="n">
        <v>46202</v>
      </c>
      <c r="AA2875" s="3" t="n"/>
      <c r="AB2875" s="3" t="n"/>
      <c r="AE2875" s="146">
        <f>IF(AND(F2875="Closed",X2875&gt;=DATE(2026,6,1),X2875&lt;=DATE(2026,6,30)),"Closed in June","other")</f>
        <v/>
      </c>
    </row>
    <row r="2876" hidden="1">
      <c r="A2876" s="9" t="n">
        <v>46134</v>
      </c>
      <c r="B2876" s="1" t="n">
        <v>2026</v>
      </c>
      <c r="C2876" s="8" t="inlineStr">
        <is>
          <t>First Energy</t>
        </is>
      </c>
      <c r="D2876" s="11" t="inlineStr">
        <is>
          <t>Utility and C&amp;I</t>
        </is>
      </c>
      <c r="E2876" s="1" t="n"/>
      <c r="F2876" s="1" t="inlineStr">
        <is>
          <t>Closed</t>
        </is>
      </c>
      <c r="G2876" s="8" t="inlineStr">
        <is>
          <t>Saravanakumar</t>
        </is>
      </c>
      <c r="H2876" s="8" t="n">
        <v>8248438488</v>
      </c>
      <c r="I2876" s="10" t="inlineStr">
        <is>
          <t>PE22042601</t>
        </is>
      </c>
      <c r="J2876" s="8" t="inlineStr">
        <is>
          <t>Anomalies/defects in the modules</t>
        </is>
      </c>
      <c r="K2876" s="8" t="inlineStr">
        <is>
          <t>Tirunelveli</t>
        </is>
      </c>
      <c r="L2876" s="8" t="inlineStr">
        <is>
          <t>Tamil Nadu</t>
        </is>
      </c>
      <c r="M2876" s="62" t="inlineStr">
        <is>
          <t>OK</t>
        </is>
      </c>
      <c r="N2876" s="2" t="inlineStr">
        <is>
          <t>No Issue Found</t>
        </is>
      </c>
      <c r="O2876" s="51" t="n">
        <v>550</v>
      </c>
      <c r="P2876" s="60" t="inlineStr">
        <is>
          <t>NSMP2307368039</t>
        </is>
      </c>
      <c r="Q2876" s="29">
        <f>MID(P2876,5,2)</f>
        <v/>
      </c>
      <c r="R2876" s="14">
        <f>MID(P2876,7,2)</f>
        <v/>
      </c>
      <c r="S2876" s="6" t="inlineStr">
        <is>
          <t>G2B</t>
        </is>
      </c>
      <c r="T2876" s="1" t="inlineStr">
        <is>
          <t>P2 - PEPPL</t>
        </is>
      </c>
      <c r="U2876" s="6" t="inlineStr">
        <is>
          <t>No Issue Found</t>
        </is>
      </c>
      <c r="V2876" s="6" t="inlineStr">
        <is>
          <t>Inspection</t>
        </is>
      </c>
      <c r="W2876" s="1" t="inlineStr">
        <is>
          <t>Rejected</t>
        </is>
      </c>
      <c r="X2876" s="5" t="n">
        <v>46202</v>
      </c>
      <c r="Y2876" s="1">
        <f>IF(X2876="","",X2876-A2876)</f>
        <v/>
      </c>
      <c r="Z2876" s="5" t="n">
        <v>46202</v>
      </c>
      <c r="AA2876" s="3" t="n"/>
      <c r="AB2876" s="3" t="n"/>
      <c r="AE2876" s="146">
        <f>IF(AND(F2876="Closed",X2876&gt;=DATE(2026,6,1),X2876&lt;=DATE(2026,6,30)),"Closed in June","other")</f>
        <v/>
      </c>
    </row>
    <row r="2877" hidden="1">
      <c r="A2877" s="9" t="n">
        <v>46134</v>
      </c>
      <c r="B2877" s="1" t="n">
        <v>2026</v>
      </c>
      <c r="C2877" s="8" t="inlineStr">
        <is>
          <t>First Energy</t>
        </is>
      </c>
      <c r="D2877" s="11" t="inlineStr">
        <is>
          <t>Utility and C&amp;I</t>
        </is>
      </c>
      <c r="E2877" s="1" t="n"/>
      <c r="F2877" s="1" t="inlineStr">
        <is>
          <t>Closed</t>
        </is>
      </c>
      <c r="G2877" s="8" t="inlineStr">
        <is>
          <t>Saravanakumar</t>
        </is>
      </c>
      <c r="H2877" s="8" t="n">
        <v>8248438488</v>
      </c>
      <c r="I2877" s="10" t="inlineStr">
        <is>
          <t>PE22042601</t>
        </is>
      </c>
      <c r="J2877" s="8" t="inlineStr">
        <is>
          <t>Anomalies/defects in the modules</t>
        </is>
      </c>
      <c r="K2877" s="8" t="inlineStr">
        <is>
          <t>Tirunelveli</t>
        </is>
      </c>
      <c r="L2877" s="8" t="inlineStr">
        <is>
          <t>Tamil Nadu</t>
        </is>
      </c>
      <c r="M2877" s="62" t="inlineStr">
        <is>
          <t>OK</t>
        </is>
      </c>
      <c r="N2877" s="2" t="inlineStr">
        <is>
          <t>No Issue Found</t>
        </is>
      </c>
      <c r="O2877" s="51" t="n">
        <v>550</v>
      </c>
      <c r="P2877" s="60" t="inlineStr">
        <is>
          <t>NSMP2306321294</t>
        </is>
      </c>
      <c r="Q2877" s="29">
        <f>MID(P2877,5,2)</f>
        <v/>
      </c>
      <c r="R2877" s="14">
        <f>MID(P2877,7,2)</f>
        <v/>
      </c>
      <c r="S2877" s="6" t="inlineStr">
        <is>
          <t>G2B</t>
        </is>
      </c>
      <c r="T2877" s="1" t="inlineStr">
        <is>
          <t>P2 - PEPPL</t>
        </is>
      </c>
      <c r="U2877" s="6" t="inlineStr">
        <is>
          <t>No Issue Found</t>
        </is>
      </c>
      <c r="V2877" s="6" t="inlineStr">
        <is>
          <t>Inspection</t>
        </is>
      </c>
      <c r="W2877" s="1" t="inlineStr">
        <is>
          <t>Rejected</t>
        </is>
      </c>
      <c r="X2877" s="5" t="n">
        <v>46202</v>
      </c>
      <c r="Y2877" s="1">
        <f>IF(X2877="","",X2877-A2877)</f>
        <v/>
      </c>
      <c r="Z2877" s="5" t="n">
        <v>46202</v>
      </c>
      <c r="AA2877" s="3" t="n"/>
      <c r="AB2877" s="3" t="n"/>
      <c r="AE2877" s="146">
        <f>IF(AND(F2877="Closed",X2877&gt;=DATE(2026,6,1),X2877&lt;=DATE(2026,6,30)),"Closed in June","other")</f>
        <v/>
      </c>
    </row>
    <row r="2878" hidden="1">
      <c r="A2878" s="9" t="n">
        <v>46134</v>
      </c>
      <c r="B2878" s="1" t="n">
        <v>2026</v>
      </c>
      <c r="C2878" s="8" t="inlineStr">
        <is>
          <t>First Energy</t>
        </is>
      </c>
      <c r="D2878" s="11" t="inlineStr">
        <is>
          <t>Utility and C&amp;I</t>
        </is>
      </c>
      <c r="E2878" s="1" t="n"/>
      <c r="F2878" s="1" t="inlineStr">
        <is>
          <t>Closed</t>
        </is>
      </c>
      <c r="G2878" s="8" t="inlineStr">
        <is>
          <t>Saravanakumar</t>
        </is>
      </c>
      <c r="H2878" s="8" t="n">
        <v>8248438488</v>
      </c>
      <c r="I2878" s="10" t="inlineStr">
        <is>
          <t>PE22042601</t>
        </is>
      </c>
      <c r="J2878" s="8" t="inlineStr">
        <is>
          <t>Anomalies/defects in the modules</t>
        </is>
      </c>
      <c r="K2878" s="8" t="inlineStr">
        <is>
          <t>Tirunelveli</t>
        </is>
      </c>
      <c r="L2878" s="8" t="inlineStr">
        <is>
          <t>Tamil Nadu</t>
        </is>
      </c>
      <c r="M2878" s="62" t="inlineStr">
        <is>
          <t>OK</t>
        </is>
      </c>
      <c r="N2878" s="2" t="inlineStr">
        <is>
          <t>No Issue Found</t>
        </is>
      </c>
      <c r="O2878" s="51" t="n">
        <v>550</v>
      </c>
      <c r="P2878" s="60" t="inlineStr">
        <is>
          <t>NSMP2306321264</t>
        </is>
      </c>
      <c r="Q2878" s="29">
        <f>MID(P2878,5,2)</f>
        <v/>
      </c>
      <c r="R2878" s="14">
        <f>MID(P2878,7,2)</f>
        <v/>
      </c>
      <c r="S2878" s="6" t="inlineStr">
        <is>
          <t>G2B</t>
        </is>
      </c>
      <c r="T2878" s="1" t="inlineStr">
        <is>
          <t>P2 - PEPPL</t>
        </is>
      </c>
      <c r="U2878" s="6" t="inlineStr">
        <is>
          <t>No Issue Found</t>
        </is>
      </c>
      <c r="V2878" s="6" t="inlineStr">
        <is>
          <t>Inspection</t>
        </is>
      </c>
      <c r="W2878" s="1" t="inlineStr">
        <is>
          <t>Rejected</t>
        </is>
      </c>
      <c r="X2878" s="5" t="n">
        <v>46202</v>
      </c>
      <c r="Y2878" s="1">
        <f>IF(X2878="","",X2878-A2878)</f>
        <v/>
      </c>
      <c r="Z2878" s="5" t="n">
        <v>46202</v>
      </c>
      <c r="AA2878" s="3" t="n"/>
      <c r="AB2878" s="3" t="n"/>
      <c r="AE2878" s="146">
        <f>IF(AND(F2878="Closed",X2878&gt;=DATE(2026,6,1),X2878&lt;=DATE(2026,6,30)),"Closed in June","other")</f>
        <v/>
      </c>
    </row>
    <row r="2879" hidden="1">
      <c r="A2879" s="9" t="n">
        <v>46134</v>
      </c>
      <c r="B2879" s="1" t="n">
        <v>2026</v>
      </c>
      <c r="C2879" s="8" t="inlineStr">
        <is>
          <t>First Energy</t>
        </is>
      </c>
      <c r="D2879" s="11" t="inlineStr">
        <is>
          <t>Utility and C&amp;I</t>
        </is>
      </c>
      <c r="E2879" s="1" t="n"/>
      <c r="F2879" s="1" t="inlineStr">
        <is>
          <t>Closed</t>
        </is>
      </c>
      <c r="G2879" s="8" t="inlineStr">
        <is>
          <t>Saravanakumar</t>
        </is>
      </c>
      <c r="H2879" s="8" t="n">
        <v>8248438488</v>
      </c>
      <c r="I2879" s="10" t="inlineStr">
        <is>
          <t>PE22042601</t>
        </is>
      </c>
      <c r="J2879" s="8" t="inlineStr">
        <is>
          <t>Anomalies/defects in the modules</t>
        </is>
      </c>
      <c r="K2879" s="8" t="inlineStr">
        <is>
          <t>Tirunelveli</t>
        </is>
      </c>
      <c r="L2879" s="8" t="inlineStr">
        <is>
          <t>Tamil Nadu</t>
        </is>
      </c>
      <c r="M2879" s="62" t="inlineStr">
        <is>
          <t>OK</t>
        </is>
      </c>
      <c r="N2879" s="2" t="inlineStr">
        <is>
          <t>No Issue Found</t>
        </is>
      </c>
      <c r="O2879" s="51" t="n">
        <v>550</v>
      </c>
      <c r="P2879" s="60" t="inlineStr">
        <is>
          <t>NSMP2307356332</t>
        </is>
      </c>
      <c r="Q2879" s="29">
        <f>MID(P2879,5,2)</f>
        <v/>
      </c>
      <c r="R2879" s="14">
        <f>MID(P2879,7,2)</f>
        <v/>
      </c>
      <c r="S2879" s="6" t="inlineStr">
        <is>
          <t>G2B</t>
        </is>
      </c>
      <c r="T2879" s="1" t="inlineStr">
        <is>
          <t>P2 - PEPPL</t>
        </is>
      </c>
      <c r="U2879" s="6" t="inlineStr">
        <is>
          <t>No Issue Found</t>
        </is>
      </c>
      <c r="V2879" s="6" t="inlineStr">
        <is>
          <t>Inspection</t>
        </is>
      </c>
      <c r="W2879" s="1" t="inlineStr">
        <is>
          <t>Rejected</t>
        </is>
      </c>
      <c r="X2879" s="5" t="n">
        <v>46202</v>
      </c>
      <c r="Y2879" s="1">
        <f>IF(X2879="","",X2879-A2879)</f>
        <v/>
      </c>
      <c r="Z2879" s="5" t="n">
        <v>46202</v>
      </c>
      <c r="AA2879" s="3" t="n"/>
      <c r="AB2879" s="3" t="n"/>
      <c r="AE2879" s="146">
        <f>IF(AND(F2879="Closed",X2879&gt;=DATE(2026,6,1),X2879&lt;=DATE(2026,6,30)),"Closed in June","other")</f>
        <v/>
      </c>
    </row>
    <row r="2880" hidden="1">
      <c r="A2880" s="9" t="n">
        <v>46134</v>
      </c>
      <c r="B2880" s="1" t="n">
        <v>2026</v>
      </c>
      <c r="C2880" s="8" t="inlineStr">
        <is>
          <t>First Energy</t>
        </is>
      </c>
      <c r="D2880" s="11" t="inlineStr">
        <is>
          <t>Utility and C&amp;I</t>
        </is>
      </c>
      <c r="E2880" s="1" t="n"/>
      <c r="F2880" s="1" t="inlineStr">
        <is>
          <t>Closed</t>
        </is>
      </c>
      <c r="G2880" s="8" t="inlineStr">
        <is>
          <t>Saravanakumar</t>
        </is>
      </c>
      <c r="H2880" s="8" t="n">
        <v>8248438488</v>
      </c>
      <c r="I2880" s="10" t="inlineStr">
        <is>
          <t>PE22042601</t>
        </is>
      </c>
      <c r="J2880" s="8" t="inlineStr">
        <is>
          <t>Anomalies/defects in the modules</t>
        </is>
      </c>
      <c r="K2880" s="8" t="inlineStr">
        <is>
          <t>Tirunelveli</t>
        </is>
      </c>
      <c r="L2880" s="8" t="inlineStr">
        <is>
          <t>Tamil Nadu</t>
        </is>
      </c>
      <c r="M2880" s="62" t="inlineStr">
        <is>
          <t>NR</t>
        </is>
      </c>
      <c r="N2880" s="8" t="inlineStr">
        <is>
          <t>JB Issue</t>
        </is>
      </c>
      <c r="O2880" s="51" t="n">
        <v>550</v>
      </c>
      <c r="P2880" s="60" t="inlineStr">
        <is>
          <t>NSMP2306326183</t>
        </is>
      </c>
      <c r="Q2880" s="29">
        <f>MID(P2880,5,2)</f>
        <v/>
      </c>
      <c r="R2880" s="14">
        <f>MID(P2880,7,2)</f>
        <v/>
      </c>
      <c r="S2880" s="6" t="inlineStr">
        <is>
          <t>G2B</t>
        </is>
      </c>
      <c r="T2880" s="1" t="inlineStr">
        <is>
          <t>P2 - PEPPL</t>
        </is>
      </c>
      <c r="U2880" s="6" t="inlineStr">
        <is>
          <t>N JB Diode Issue</t>
        </is>
      </c>
      <c r="V2880" s="6" t="inlineStr">
        <is>
          <t>JB Changed</t>
        </is>
      </c>
      <c r="W2880" s="1" t="inlineStr">
        <is>
          <t>Repair</t>
        </is>
      </c>
      <c r="X2880" s="5" t="n">
        <v>46202</v>
      </c>
      <c r="Y2880" s="1">
        <f>IF(X2880="","",X2880-A2880)</f>
        <v/>
      </c>
      <c r="Z2880" s="5" t="n">
        <v>46202</v>
      </c>
      <c r="AA2880" s="3" t="n"/>
      <c r="AB2880" s="3" t="n"/>
      <c r="AE2880" s="146">
        <f>IF(AND(F2880="Closed",X2880&gt;=DATE(2026,6,1),X2880&lt;=DATE(2026,6,30)),"Closed in June","other")</f>
        <v/>
      </c>
    </row>
    <row r="2881" hidden="1">
      <c r="A2881" s="9" t="n">
        <v>46134</v>
      </c>
      <c r="B2881" s="1" t="n">
        <v>2026</v>
      </c>
      <c r="C2881" s="8" t="inlineStr">
        <is>
          <t>First Energy</t>
        </is>
      </c>
      <c r="D2881" s="11" t="inlineStr">
        <is>
          <t>Utility and C&amp;I</t>
        </is>
      </c>
      <c r="E2881" s="1" t="n"/>
      <c r="F2881" s="1" t="inlineStr">
        <is>
          <t>Closed</t>
        </is>
      </c>
      <c r="G2881" s="8" t="inlineStr">
        <is>
          <t>Saravanakumar</t>
        </is>
      </c>
      <c r="H2881" s="8" t="n">
        <v>8248438488</v>
      </c>
      <c r="I2881" s="10" t="inlineStr">
        <is>
          <t>PE22042601</t>
        </is>
      </c>
      <c r="J2881" s="8" t="inlineStr">
        <is>
          <t>Anomalies/defects in the modules</t>
        </is>
      </c>
      <c r="K2881" s="8" t="inlineStr">
        <is>
          <t>Tirunelveli</t>
        </is>
      </c>
      <c r="L2881" s="8" t="inlineStr">
        <is>
          <t>Tamil Nadu</t>
        </is>
      </c>
      <c r="M2881" s="62" t="inlineStr">
        <is>
          <t>OK</t>
        </is>
      </c>
      <c r="N2881" s="2" t="inlineStr">
        <is>
          <t>No Issue Found</t>
        </is>
      </c>
      <c r="O2881" s="51" t="n">
        <v>550</v>
      </c>
      <c r="P2881" s="60" t="inlineStr">
        <is>
          <t>NSMP2306312654</t>
        </is>
      </c>
      <c r="Q2881" s="29">
        <f>MID(P2881,5,2)</f>
        <v/>
      </c>
      <c r="R2881" s="14">
        <f>MID(P2881,7,2)</f>
        <v/>
      </c>
      <c r="S2881" s="6" t="inlineStr">
        <is>
          <t>G2B</t>
        </is>
      </c>
      <c r="T2881" s="1" t="inlineStr">
        <is>
          <t>P2 - PEPPL</t>
        </is>
      </c>
      <c r="U2881" s="6" t="inlineStr">
        <is>
          <t>No Issue Found</t>
        </is>
      </c>
      <c r="V2881" s="6" t="inlineStr">
        <is>
          <t>Inspection</t>
        </is>
      </c>
      <c r="W2881" s="1" t="inlineStr">
        <is>
          <t>Rejected</t>
        </is>
      </c>
      <c r="X2881" s="5" t="n">
        <v>46202</v>
      </c>
      <c r="Y2881" s="1">
        <f>IF(X2881="","",X2881-A2881)</f>
        <v/>
      </c>
      <c r="Z2881" s="5" t="n">
        <v>46202</v>
      </c>
      <c r="AA2881" s="3" t="n"/>
      <c r="AB2881" s="3" t="n"/>
      <c r="AE2881" s="146">
        <f>IF(AND(F2881="Closed",X2881&gt;=DATE(2026,6,1),X2881&lt;=DATE(2026,6,30)),"Closed in June","other")</f>
        <v/>
      </c>
    </row>
    <row r="2882" hidden="1">
      <c r="A2882" s="9" t="n">
        <v>46134</v>
      </c>
      <c r="B2882" s="1" t="n">
        <v>2026</v>
      </c>
      <c r="C2882" s="8" t="inlineStr">
        <is>
          <t>First Energy</t>
        </is>
      </c>
      <c r="D2882" s="11" t="inlineStr">
        <is>
          <t>Utility and C&amp;I</t>
        </is>
      </c>
      <c r="E2882" s="1" t="n"/>
      <c r="F2882" s="1" t="inlineStr">
        <is>
          <t>Closed</t>
        </is>
      </c>
      <c r="G2882" s="8" t="inlineStr">
        <is>
          <t>Saravanakumar</t>
        </is>
      </c>
      <c r="H2882" s="8" t="n">
        <v>8248438488</v>
      </c>
      <c r="I2882" s="10" t="inlineStr">
        <is>
          <t>PE22042601</t>
        </is>
      </c>
      <c r="J2882" s="8" t="inlineStr">
        <is>
          <t>Anomalies/defects in the modules</t>
        </is>
      </c>
      <c r="K2882" s="8" t="inlineStr">
        <is>
          <t>Tirunelveli</t>
        </is>
      </c>
      <c r="L2882" s="8" t="inlineStr">
        <is>
          <t>Tamil Nadu</t>
        </is>
      </c>
      <c r="M2882" s="62" t="inlineStr">
        <is>
          <t>OK</t>
        </is>
      </c>
      <c r="N2882" s="2" t="inlineStr">
        <is>
          <t>No Issue Found</t>
        </is>
      </c>
      <c r="O2882" s="51" t="n">
        <v>550</v>
      </c>
      <c r="P2882" s="60" t="inlineStr">
        <is>
          <t>NSMP2307339871</t>
        </is>
      </c>
      <c r="Q2882" s="29">
        <f>MID(P2882,5,2)</f>
        <v/>
      </c>
      <c r="R2882" s="14">
        <f>MID(P2882,7,2)</f>
        <v/>
      </c>
      <c r="S2882" s="6" t="inlineStr">
        <is>
          <t>G2B</t>
        </is>
      </c>
      <c r="T2882" s="1" t="inlineStr">
        <is>
          <t>P2 - PEPPL</t>
        </is>
      </c>
      <c r="U2882" s="6" t="inlineStr">
        <is>
          <t>No Issue Found</t>
        </is>
      </c>
      <c r="V2882" s="6" t="inlineStr">
        <is>
          <t>Inspection</t>
        </is>
      </c>
      <c r="W2882" s="1" t="inlineStr">
        <is>
          <t>Rejected</t>
        </is>
      </c>
      <c r="X2882" s="5" t="n">
        <v>46202</v>
      </c>
      <c r="Y2882" s="1">
        <f>IF(X2882="","",X2882-A2882)</f>
        <v/>
      </c>
      <c r="Z2882" s="5" t="n">
        <v>46202</v>
      </c>
      <c r="AA2882" s="3" t="n"/>
      <c r="AB2882" s="3" t="n"/>
      <c r="AE2882" s="146">
        <f>IF(AND(F2882="Closed",X2882&gt;=DATE(2026,6,1),X2882&lt;=DATE(2026,6,30)),"Closed in June","other")</f>
        <v/>
      </c>
    </row>
    <row r="2883" hidden="1">
      <c r="A2883" s="9" t="n">
        <v>46134</v>
      </c>
      <c r="B2883" s="1" t="n">
        <v>2026</v>
      </c>
      <c r="C2883" s="8" t="inlineStr">
        <is>
          <t>First Energy</t>
        </is>
      </c>
      <c r="D2883" s="11" t="inlineStr">
        <is>
          <t>Utility and C&amp;I</t>
        </is>
      </c>
      <c r="E2883" s="1" t="n"/>
      <c r="F2883" s="1" t="inlineStr">
        <is>
          <t>Closed</t>
        </is>
      </c>
      <c r="G2883" s="8" t="inlineStr">
        <is>
          <t>Saravanakumar</t>
        </is>
      </c>
      <c r="H2883" s="8" t="n">
        <v>8248438488</v>
      </c>
      <c r="I2883" s="10" t="inlineStr">
        <is>
          <t>PE22042601</t>
        </is>
      </c>
      <c r="J2883" s="8" t="inlineStr">
        <is>
          <t>Anomalies/defects in the modules</t>
        </is>
      </c>
      <c r="K2883" s="8" t="inlineStr">
        <is>
          <t>Tirunelveli</t>
        </is>
      </c>
      <c r="L2883" s="8" t="inlineStr">
        <is>
          <t>Tamil Nadu</t>
        </is>
      </c>
      <c r="M2883" s="62" t="inlineStr">
        <is>
          <t>OK</t>
        </is>
      </c>
      <c r="N2883" s="2" t="inlineStr">
        <is>
          <t>No Issue Found</t>
        </is>
      </c>
      <c r="O2883" s="51" t="n">
        <v>550</v>
      </c>
      <c r="P2883" s="60" t="inlineStr">
        <is>
          <t>NSMP2307334744</t>
        </is>
      </c>
      <c r="Q2883" s="29">
        <f>MID(P2883,5,2)</f>
        <v/>
      </c>
      <c r="R2883" s="14">
        <f>MID(P2883,7,2)</f>
        <v/>
      </c>
      <c r="S2883" s="6" t="inlineStr">
        <is>
          <t>G2B</t>
        </is>
      </c>
      <c r="T2883" s="1" t="inlineStr">
        <is>
          <t>P2 - PEPPL</t>
        </is>
      </c>
      <c r="U2883" s="6" t="inlineStr">
        <is>
          <t>No Issue Found</t>
        </is>
      </c>
      <c r="V2883" s="6" t="inlineStr">
        <is>
          <t>Inspection</t>
        </is>
      </c>
      <c r="W2883" s="1" t="inlineStr">
        <is>
          <t>Rejected</t>
        </is>
      </c>
      <c r="X2883" s="5" t="n">
        <v>46202</v>
      </c>
      <c r="Y2883" s="1">
        <f>IF(X2883="","",X2883-A2883)</f>
        <v/>
      </c>
      <c r="Z2883" s="5" t="n">
        <v>46202</v>
      </c>
      <c r="AA2883" s="3" t="n"/>
      <c r="AB2883" s="3" t="n"/>
      <c r="AE2883" s="146">
        <f>IF(AND(F2883="Closed",X2883&gt;=DATE(2026,6,1),X2883&lt;=DATE(2026,6,30)),"Closed in June","other")</f>
        <v/>
      </c>
    </row>
    <row r="2884" hidden="1">
      <c r="A2884" s="9" t="n">
        <v>46134</v>
      </c>
      <c r="B2884" s="1" t="n">
        <v>2026</v>
      </c>
      <c r="C2884" s="8" t="inlineStr">
        <is>
          <t>First Energy</t>
        </is>
      </c>
      <c r="D2884" s="11" t="inlineStr">
        <is>
          <t>Utility and C&amp;I</t>
        </is>
      </c>
      <c r="E2884" s="1" t="n"/>
      <c r="F2884" s="1" t="inlineStr">
        <is>
          <t>Closed</t>
        </is>
      </c>
      <c r="G2884" s="8" t="inlineStr">
        <is>
          <t>Saravanakumar</t>
        </is>
      </c>
      <c r="H2884" s="8" t="n">
        <v>8248438488</v>
      </c>
      <c r="I2884" s="10" t="inlineStr">
        <is>
          <t>PE22042601</t>
        </is>
      </c>
      <c r="J2884" s="8" t="inlineStr">
        <is>
          <t>Anomalies/defects in the modules</t>
        </is>
      </c>
      <c r="K2884" s="8" t="inlineStr">
        <is>
          <t>Tirunelveli</t>
        </is>
      </c>
      <c r="L2884" s="8" t="inlineStr">
        <is>
          <t>Tamil Nadu</t>
        </is>
      </c>
      <c r="M2884" s="62" t="inlineStr">
        <is>
          <t>OK</t>
        </is>
      </c>
      <c r="N2884" s="2" t="inlineStr">
        <is>
          <t>No Issue Found</t>
        </is>
      </c>
      <c r="O2884" s="51" t="n">
        <v>550</v>
      </c>
      <c r="P2884" s="60" t="inlineStr">
        <is>
          <t>NSMP2306312282</t>
        </is>
      </c>
      <c r="Q2884" s="29">
        <f>MID(P2884,5,2)</f>
        <v/>
      </c>
      <c r="R2884" s="14">
        <f>MID(P2884,7,2)</f>
        <v/>
      </c>
      <c r="S2884" s="6" t="inlineStr">
        <is>
          <t>G2B</t>
        </is>
      </c>
      <c r="T2884" s="1" t="inlineStr">
        <is>
          <t>P2 - PEPPL</t>
        </is>
      </c>
      <c r="U2884" s="6" t="inlineStr">
        <is>
          <t>No Issue Found</t>
        </is>
      </c>
      <c r="V2884" s="6" t="inlineStr">
        <is>
          <t>Inspection</t>
        </is>
      </c>
      <c r="W2884" s="1" t="inlineStr">
        <is>
          <t>Rejected</t>
        </is>
      </c>
      <c r="X2884" s="5" t="n">
        <v>46202</v>
      </c>
      <c r="Y2884" s="1">
        <f>IF(X2884="","",X2884-A2884)</f>
        <v/>
      </c>
      <c r="Z2884" s="5" t="n">
        <v>46202</v>
      </c>
      <c r="AA2884" s="3" t="n"/>
      <c r="AB2884" s="3" t="n"/>
      <c r="AE2884" s="146">
        <f>IF(AND(F2884="Closed",X2884&gt;=DATE(2026,6,1),X2884&lt;=DATE(2026,6,30)),"Closed in June","other")</f>
        <v/>
      </c>
    </row>
    <row r="2885" hidden="1">
      <c r="A2885" s="9" t="n">
        <v>46134</v>
      </c>
      <c r="B2885" s="1" t="n">
        <v>2026</v>
      </c>
      <c r="C2885" s="8" t="inlineStr">
        <is>
          <t>First Energy</t>
        </is>
      </c>
      <c r="D2885" s="11" t="inlineStr">
        <is>
          <t>Utility and C&amp;I</t>
        </is>
      </c>
      <c r="E2885" s="1" t="n"/>
      <c r="F2885" s="1" t="inlineStr">
        <is>
          <t>Closed</t>
        </is>
      </c>
      <c r="G2885" s="8" t="inlineStr">
        <is>
          <t>Saravanakumar</t>
        </is>
      </c>
      <c r="H2885" s="8" t="n">
        <v>8248438488</v>
      </c>
      <c r="I2885" s="10" t="inlineStr">
        <is>
          <t>PE22042601</t>
        </is>
      </c>
      <c r="J2885" s="8" t="inlineStr">
        <is>
          <t>Anomalies/defects in the modules</t>
        </is>
      </c>
      <c r="K2885" s="8" t="inlineStr">
        <is>
          <t>Tirunelveli</t>
        </is>
      </c>
      <c r="L2885" s="8" t="inlineStr">
        <is>
          <t>Tamil Nadu</t>
        </is>
      </c>
      <c r="M2885" s="62" t="inlineStr">
        <is>
          <t>OK</t>
        </is>
      </c>
      <c r="N2885" s="2" t="inlineStr">
        <is>
          <t>No Issue Found</t>
        </is>
      </c>
      <c r="O2885" s="51" t="n">
        <v>550</v>
      </c>
      <c r="P2885" s="60" t="inlineStr">
        <is>
          <t>NSMP2306312288</t>
        </is>
      </c>
      <c r="Q2885" s="29">
        <f>MID(P2885,5,2)</f>
        <v/>
      </c>
      <c r="R2885" s="14">
        <f>MID(P2885,7,2)</f>
        <v/>
      </c>
      <c r="S2885" s="6" t="inlineStr">
        <is>
          <t>G2B</t>
        </is>
      </c>
      <c r="T2885" s="1" t="inlineStr">
        <is>
          <t>P2 - PEPPL</t>
        </is>
      </c>
      <c r="U2885" s="6" t="inlineStr">
        <is>
          <t>No Issue Found</t>
        </is>
      </c>
      <c r="V2885" s="6" t="inlineStr">
        <is>
          <t>Inspection</t>
        </is>
      </c>
      <c r="W2885" s="1" t="inlineStr">
        <is>
          <t>Rejected</t>
        </is>
      </c>
      <c r="X2885" s="5" t="n">
        <v>46202</v>
      </c>
      <c r="Y2885" s="1">
        <f>IF(X2885="","",X2885-A2885)</f>
        <v/>
      </c>
      <c r="Z2885" s="5" t="n">
        <v>46202</v>
      </c>
      <c r="AA2885" s="3" t="n"/>
      <c r="AB2885" s="3" t="n"/>
      <c r="AE2885" s="146">
        <f>IF(AND(F2885="Closed",X2885&gt;=DATE(2026,6,1),X2885&lt;=DATE(2026,6,30)),"Closed in June","other")</f>
        <v/>
      </c>
    </row>
    <row r="2886" hidden="1">
      <c r="A2886" s="9" t="n">
        <v>46134</v>
      </c>
      <c r="B2886" s="1" t="n">
        <v>2026</v>
      </c>
      <c r="C2886" s="8" t="inlineStr">
        <is>
          <t>First Energy</t>
        </is>
      </c>
      <c r="D2886" s="11" t="inlineStr">
        <is>
          <t>Utility and C&amp;I</t>
        </is>
      </c>
      <c r="E2886" s="1" t="n"/>
      <c r="F2886" s="1" t="inlineStr">
        <is>
          <t>Closed</t>
        </is>
      </c>
      <c r="G2886" s="8" t="inlineStr">
        <is>
          <t>Saravanakumar</t>
        </is>
      </c>
      <c r="H2886" s="8" t="n">
        <v>8248438488</v>
      </c>
      <c r="I2886" s="10" t="inlineStr">
        <is>
          <t>PE22042601</t>
        </is>
      </c>
      <c r="J2886" s="8" t="inlineStr">
        <is>
          <t>Anomalies/defects in the modules</t>
        </is>
      </c>
      <c r="K2886" s="8" t="inlineStr">
        <is>
          <t>Tirunelveli</t>
        </is>
      </c>
      <c r="L2886" s="8" t="inlineStr">
        <is>
          <t>Tamil Nadu</t>
        </is>
      </c>
      <c r="M2886" s="62" t="inlineStr">
        <is>
          <t>OK</t>
        </is>
      </c>
      <c r="N2886" s="2" t="inlineStr">
        <is>
          <t>No Issue Found</t>
        </is>
      </c>
      <c r="O2886" s="51" t="n">
        <v>550</v>
      </c>
      <c r="P2886" s="60" t="inlineStr">
        <is>
          <t>NSMP2307330400</t>
        </is>
      </c>
      <c r="Q2886" s="29">
        <f>MID(P2886,5,2)</f>
        <v/>
      </c>
      <c r="R2886" s="14">
        <f>MID(P2886,7,2)</f>
        <v/>
      </c>
      <c r="S2886" s="6" t="inlineStr">
        <is>
          <t>G2B</t>
        </is>
      </c>
      <c r="T2886" s="1" t="inlineStr">
        <is>
          <t>P2 - PEPPL</t>
        </is>
      </c>
      <c r="U2886" s="6" t="inlineStr">
        <is>
          <t>No Issue Found</t>
        </is>
      </c>
      <c r="V2886" s="6" t="inlineStr">
        <is>
          <t>Inspection</t>
        </is>
      </c>
      <c r="W2886" s="1" t="inlineStr">
        <is>
          <t>Rejected</t>
        </is>
      </c>
      <c r="X2886" s="5" t="n">
        <v>46202</v>
      </c>
      <c r="Y2886" s="1">
        <f>IF(X2886="","",X2886-A2886)</f>
        <v/>
      </c>
      <c r="Z2886" s="5" t="n">
        <v>46202</v>
      </c>
      <c r="AA2886" s="3" t="n"/>
      <c r="AB2886" s="3" t="n"/>
      <c r="AE2886" s="146">
        <f>IF(AND(F2886="Closed",X2886&gt;=DATE(2026,6,1),X2886&lt;=DATE(2026,6,30)),"Closed in June","other")</f>
        <v/>
      </c>
    </row>
    <row r="2887" hidden="1">
      <c r="A2887" s="9" t="n">
        <v>46134</v>
      </c>
      <c r="B2887" s="1" t="n">
        <v>2026</v>
      </c>
      <c r="C2887" s="8" t="inlineStr">
        <is>
          <t>First Energy</t>
        </is>
      </c>
      <c r="D2887" s="11" t="inlineStr">
        <is>
          <t>Utility and C&amp;I</t>
        </is>
      </c>
      <c r="E2887" s="1" t="n"/>
      <c r="F2887" s="1" t="inlineStr">
        <is>
          <t>Closed</t>
        </is>
      </c>
      <c r="G2887" s="8" t="inlineStr">
        <is>
          <t>Saravanakumar</t>
        </is>
      </c>
      <c r="H2887" s="8" t="n">
        <v>8248438488</v>
      </c>
      <c r="I2887" s="10" t="inlineStr">
        <is>
          <t>PE22042601</t>
        </is>
      </c>
      <c r="J2887" s="8" t="inlineStr">
        <is>
          <t>Anomalies/defects in the modules</t>
        </is>
      </c>
      <c r="K2887" s="8" t="inlineStr">
        <is>
          <t>Tirunelveli</t>
        </is>
      </c>
      <c r="L2887" s="8" t="inlineStr">
        <is>
          <t>Tamil Nadu</t>
        </is>
      </c>
      <c r="M2887" s="62" t="inlineStr">
        <is>
          <t>PS</t>
        </is>
      </c>
      <c r="N2887" s="6" t="inlineStr">
        <is>
          <t>Cold Soldering</t>
        </is>
      </c>
      <c r="O2887" s="51" t="n">
        <v>550</v>
      </c>
      <c r="P2887" s="60" t="inlineStr">
        <is>
          <t>NSMP2306321744</t>
        </is>
      </c>
      <c r="Q2887" s="29">
        <f>MID(P2887,5,2)</f>
        <v/>
      </c>
      <c r="R2887" s="14">
        <f>MID(P2887,7,2)</f>
        <v/>
      </c>
      <c r="S2887" s="6" t="inlineStr">
        <is>
          <t>G2B</t>
        </is>
      </c>
      <c r="T2887" s="1" t="inlineStr">
        <is>
          <t>P2 - PEPPL</t>
        </is>
      </c>
      <c r="U2887" s="6" t="inlineStr">
        <is>
          <t>P JB Cold Soldering</t>
        </is>
      </c>
      <c r="V2887" s="1" t="inlineStr">
        <is>
          <t>Soldering</t>
        </is>
      </c>
      <c r="W2887" s="1" t="inlineStr">
        <is>
          <t>Repair</t>
        </is>
      </c>
      <c r="X2887" s="5" t="n">
        <v>46202</v>
      </c>
      <c r="Y2887" s="1">
        <f>IF(X2887="","",X2887-A2887)</f>
        <v/>
      </c>
      <c r="Z2887" s="5" t="n">
        <v>46202</v>
      </c>
      <c r="AA2887" s="3" t="n"/>
      <c r="AB2887" s="3" t="n"/>
      <c r="AE2887" s="146">
        <f>IF(AND(F2887="Closed",X2887&gt;=DATE(2026,6,1),X2887&lt;=DATE(2026,6,30)),"Closed in June","other")</f>
        <v/>
      </c>
    </row>
    <row r="2888" hidden="1">
      <c r="A2888" s="9" t="n">
        <v>46134</v>
      </c>
      <c r="B2888" s="1" t="n">
        <v>2026</v>
      </c>
      <c r="C2888" s="8" t="inlineStr">
        <is>
          <t>First Energy</t>
        </is>
      </c>
      <c r="D2888" s="11" t="inlineStr">
        <is>
          <t>Utility and C&amp;I</t>
        </is>
      </c>
      <c r="E2888" s="1" t="n"/>
      <c r="F2888" s="1" t="inlineStr">
        <is>
          <t>Closed</t>
        </is>
      </c>
      <c r="G2888" s="8" t="inlineStr">
        <is>
          <t>Saravanakumar</t>
        </is>
      </c>
      <c r="H2888" s="8" t="n">
        <v>8248438488</v>
      </c>
      <c r="I2888" s="10" t="inlineStr">
        <is>
          <t>PE22042601</t>
        </is>
      </c>
      <c r="J2888" s="8" t="inlineStr">
        <is>
          <t>Anomalies/defects in the modules</t>
        </is>
      </c>
      <c r="K2888" s="8" t="inlineStr">
        <is>
          <t>Tirunelveli</t>
        </is>
      </c>
      <c r="L2888" s="8" t="inlineStr">
        <is>
          <t>Tamil Nadu</t>
        </is>
      </c>
      <c r="M2888" s="62" t="inlineStr">
        <is>
          <t>OK</t>
        </is>
      </c>
      <c r="N2888" s="2" t="inlineStr">
        <is>
          <t>No Issue Found</t>
        </is>
      </c>
      <c r="O2888" s="51" t="n">
        <v>550</v>
      </c>
      <c r="P2888" s="60" t="inlineStr">
        <is>
          <t>NSMP2307330418</t>
        </is>
      </c>
      <c r="Q2888" s="29">
        <f>MID(P2888,5,2)</f>
        <v/>
      </c>
      <c r="R2888" s="14">
        <f>MID(P2888,7,2)</f>
        <v/>
      </c>
      <c r="S2888" s="6" t="inlineStr">
        <is>
          <t>G2B</t>
        </is>
      </c>
      <c r="T2888" s="1" t="inlineStr">
        <is>
          <t>P2 - PEPPL</t>
        </is>
      </c>
      <c r="U2888" s="6" t="inlineStr">
        <is>
          <t>No Issue Found</t>
        </is>
      </c>
      <c r="V2888" s="6" t="inlineStr">
        <is>
          <t>Inspection</t>
        </is>
      </c>
      <c r="W2888" s="1" t="inlineStr">
        <is>
          <t>Rejected</t>
        </is>
      </c>
      <c r="X2888" s="5" t="n">
        <v>46202</v>
      </c>
      <c r="Y2888" s="1">
        <f>IF(X2888="","",X2888-A2888)</f>
        <v/>
      </c>
      <c r="Z2888" s="5" t="n">
        <v>46202</v>
      </c>
      <c r="AA2888" s="3" t="n"/>
      <c r="AB2888" s="3" t="n"/>
      <c r="AE2888" s="146">
        <f>IF(AND(F2888="Closed",X2888&gt;=DATE(2026,6,1),X2888&lt;=DATE(2026,6,30)),"Closed in June","other")</f>
        <v/>
      </c>
    </row>
    <row r="2889" hidden="1">
      <c r="A2889" s="9" t="n">
        <v>46134</v>
      </c>
      <c r="B2889" s="1" t="n">
        <v>2026</v>
      </c>
      <c r="C2889" s="8" t="inlineStr">
        <is>
          <t>First Energy</t>
        </is>
      </c>
      <c r="D2889" s="11" t="inlineStr">
        <is>
          <t>Utility and C&amp;I</t>
        </is>
      </c>
      <c r="E2889" s="1" t="n"/>
      <c r="F2889" s="1" t="inlineStr">
        <is>
          <t>Closed</t>
        </is>
      </c>
      <c r="G2889" s="8" t="inlineStr">
        <is>
          <t>Saravanakumar</t>
        </is>
      </c>
      <c r="H2889" s="8" t="n">
        <v>8248438488</v>
      </c>
      <c r="I2889" s="10" t="inlineStr">
        <is>
          <t>PE22042601</t>
        </is>
      </c>
      <c r="J2889" s="8" t="inlineStr">
        <is>
          <t>Anomalies/defects in the modules</t>
        </is>
      </c>
      <c r="K2889" s="8" t="inlineStr">
        <is>
          <t>Tirunelveli</t>
        </is>
      </c>
      <c r="L2889" s="8" t="inlineStr">
        <is>
          <t>Tamil Nadu</t>
        </is>
      </c>
      <c r="M2889" s="62" t="inlineStr">
        <is>
          <t>OK</t>
        </is>
      </c>
      <c r="N2889" s="2" t="inlineStr">
        <is>
          <t>No Issue Found</t>
        </is>
      </c>
      <c r="O2889" s="51" t="n">
        <v>550</v>
      </c>
      <c r="P2889" s="60" t="inlineStr">
        <is>
          <t>NSMP2306312433</t>
        </is>
      </c>
      <c r="Q2889" s="29">
        <f>MID(P2889,5,2)</f>
        <v/>
      </c>
      <c r="R2889" s="14">
        <f>MID(P2889,7,2)</f>
        <v/>
      </c>
      <c r="S2889" s="6" t="inlineStr">
        <is>
          <t>G2B</t>
        </is>
      </c>
      <c r="T2889" s="1" t="inlineStr">
        <is>
          <t>P2 - PEPPL</t>
        </is>
      </c>
      <c r="U2889" s="6" t="inlineStr">
        <is>
          <t>No Issue Found</t>
        </is>
      </c>
      <c r="V2889" s="6" t="inlineStr">
        <is>
          <t>Inspection</t>
        </is>
      </c>
      <c r="W2889" s="1" t="inlineStr">
        <is>
          <t>Rejected</t>
        </is>
      </c>
      <c r="X2889" s="5" t="n">
        <v>46202</v>
      </c>
      <c r="Y2889" s="1">
        <f>IF(X2889="","",X2889-A2889)</f>
        <v/>
      </c>
      <c r="Z2889" s="5" t="n">
        <v>46202</v>
      </c>
      <c r="AA2889" s="3" t="n"/>
      <c r="AB2889" s="3" t="n"/>
      <c r="AE2889" s="146">
        <f>IF(AND(F2889="Closed",X2889&gt;=DATE(2026,6,1),X2889&lt;=DATE(2026,6,30)),"Closed in June","other")</f>
        <v/>
      </c>
    </row>
    <row r="2890" hidden="1">
      <c r="A2890" s="9" t="n">
        <v>46134</v>
      </c>
      <c r="B2890" s="1" t="n">
        <v>2026</v>
      </c>
      <c r="C2890" s="8" t="inlineStr">
        <is>
          <t>First Energy</t>
        </is>
      </c>
      <c r="D2890" s="11" t="inlineStr">
        <is>
          <t>Utility and C&amp;I</t>
        </is>
      </c>
      <c r="E2890" s="1" t="n"/>
      <c r="F2890" s="1" t="inlineStr">
        <is>
          <t>Closed</t>
        </is>
      </c>
      <c r="G2890" s="8" t="inlineStr">
        <is>
          <t>Saravanakumar</t>
        </is>
      </c>
      <c r="H2890" s="8" t="n">
        <v>8248438488</v>
      </c>
      <c r="I2890" s="10" t="inlineStr">
        <is>
          <t>PE22042601</t>
        </is>
      </c>
      <c r="J2890" s="8" t="inlineStr">
        <is>
          <t>Anomalies/defects in the modules</t>
        </is>
      </c>
      <c r="K2890" s="8" t="inlineStr">
        <is>
          <t>Tirunelveli</t>
        </is>
      </c>
      <c r="L2890" s="8" t="inlineStr">
        <is>
          <t>Tamil Nadu</t>
        </is>
      </c>
      <c r="M2890" s="62" t="inlineStr">
        <is>
          <t>OK</t>
        </is>
      </c>
      <c r="N2890" s="2" t="inlineStr">
        <is>
          <t>No Issue Found</t>
        </is>
      </c>
      <c r="O2890" s="51" t="n">
        <v>550</v>
      </c>
      <c r="P2890" s="60" t="inlineStr">
        <is>
          <t>NSMP2307334777</t>
        </is>
      </c>
      <c r="Q2890" s="29">
        <f>MID(P2890,5,2)</f>
        <v/>
      </c>
      <c r="R2890" s="14">
        <f>MID(P2890,7,2)</f>
        <v/>
      </c>
      <c r="S2890" s="6" t="inlineStr">
        <is>
          <t>G2B</t>
        </is>
      </c>
      <c r="T2890" s="1" t="inlineStr">
        <is>
          <t>P2 - PEPPL</t>
        </is>
      </c>
      <c r="U2890" s="6" t="inlineStr">
        <is>
          <t>No Issue Found</t>
        </is>
      </c>
      <c r="V2890" s="6" t="inlineStr">
        <is>
          <t>Inspection</t>
        </is>
      </c>
      <c r="W2890" s="1" t="inlineStr">
        <is>
          <t>Rejected</t>
        </is>
      </c>
      <c r="X2890" s="5" t="n">
        <v>46202</v>
      </c>
      <c r="Y2890" s="1">
        <f>IF(X2890="","",X2890-A2890)</f>
        <v/>
      </c>
      <c r="Z2890" s="5" t="n">
        <v>46202</v>
      </c>
      <c r="AA2890" s="3" t="n"/>
      <c r="AB2890" s="3" t="n"/>
      <c r="AE2890" s="146">
        <f>IF(AND(F2890="Closed",X2890&gt;=DATE(2026,6,1),X2890&lt;=DATE(2026,6,30)),"Closed in June","other")</f>
        <v/>
      </c>
    </row>
    <row r="2891" hidden="1">
      <c r="A2891" s="9" t="n">
        <v>46134</v>
      </c>
      <c r="B2891" s="1" t="n">
        <v>2026</v>
      </c>
      <c r="C2891" s="8" t="inlineStr">
        <is>
          <t>First Energy</t>
        </is>
      </c>
      <c r="D2891" s="11" t="inlineStr">
        <is>
          <t>Utility and C&amp;I</t>
        </is>
      </c>
      <c r="E2891" s="1" t="n"/>
      <c r="F2891" s="1" t="inlineStr">
        <is>
          <t>Closed</t>
        </is>
      </c>
      <c r="G2891" s="8" t="inlineStr">
        <is>
          <t>Saravanakumar</t>
        </is>
      </c>
      <c r="H2891" s="8" t="n">
        <v>8248438488</v>
      </c>
      <c r="I2891" s="10" t="inlineStr">
        <is>
          <t>PE22042601</t>
        </is>
      </c>
      <c r="J2891" s="8" t="inlineStr">
        <is>
          <t>Anomalies/defects in the modules</t>
        </is>
      </c>
      <c r="K2891" s="8" t="inlineStr">
        <is>
          <t>Tirunelveli</t>
        </is>
      </c>
      <c r="L2891" s="8" t="inlineStr">
        <is>
          <t>Tamil Nadu</t>
        </is>
      </c>
      <c r="M2891" s="62" t="inlineStr">
        <is>
          <t>OK</t>
        </is>
      </c>
      <c r="N2891" s="2" t="inlineStr">
        <is>
          <t>No Issue Found</t>
        </is>
      </c>
      <c r="O2891" s="51" t="n">
        <v>550</v>
      </c>
      <c r="P2891" s="60" t="inlineStr">
        <is>
          <t>NSMP2307337346</t>
        </is>
      </c>
      <c r="Q2891" s="29">
        <f>MID(P2891,5,2)</f>
        <v/>
      </c>
      <c r="R2891" s="14">
        <f>MID(P2891,7,2)</f>
        <v/>
      </c>
      <c r="S2891" s="6" t="inlineStr">
        <is>
          <t>G2B</t>
        </is>
      </c>
      <c r="T2891" s="1" t="inlineStr">
        <is>
          <t>P2 - PEPPL</t>
        </is>
      </c>
      <c r="U2891" s="6" t="inlineStr">
        <is>
          <t>No Issue Found</t>
        </is>
      </c>
      <c r="V2891" s="6" t="inlineStr">
        <is>
          <t>Inspection</t>
        </is>
      </c>
      <c r="W2891" s="1" t="inlineStr">
        <is>
          <t>Rejected</t>
        </is>
      </c>
      <c r="X2891" s="5" t="n">
        <v>46202</v>
      </c>
      <c r="Y2891" s="1">
        <f>IF(X2891="","",X2891-A2891)</f>
        <v/>
      </c>
      <c r="Z2891" s="5" t="n">
        <v>46202</v>
      </c>
      <c r="AA2891" s="3" t="n"/>
      <c r="AB2891" s="3" t="n"/>
      <c r="AE2891" s="146">
        <f>IF(AND(F2891="Closed",X2891&gt;=DATE(2026,6,1),X2891&lt;=DATE(2026,6,30)),"Closed in June","other")</f>
        <v/>
      </c>
    </row>
    <row r="2892" hidden="1">
      <c r="A2892" s="9" t="n">
        <v>46134</v>
      </c>
      <c r="B2892" s="1" t="n">
        <v>2026</v>
      </c>
      <c r="C2892" s="8" t="inlineStr">
        <is>
          <t>First Energy</t>
        </is>
      </c>
      <c r="D2892" s="11" t="inlineStr">
        <is>
          <t>Utility and C&amp;I</t>
        </is>
      </c>
      <c r="E2892" s="1" t="n"/>
      <c r="F2892" s="1" t="inlineStr">
        <is>
          <t>Closed</t>
        </is>
      </c>
      <c r="G2892" s="8" t="inlineStr">
        <is>
          <t>Saravanakumar</t>
        </is>
      </c>
      <c r="H2892" s="8" t="n">
        <v>8248438488</v>
      </c>
      <c r="I2892" s="10" t="inlineStr">
        <is>
          <t>PE22042601</t>
        </is>
      </c>
      <c r="J2892" s="8" t="inlineStr">
        <is>
          <t>Anomalies/defects in the modules</t>
        </is>
      </c>
      <c r="K2892" s="8" t="inlineStr">
        <is>
          <t>Tirunelveli</t>
        </is>
      </c>
      <c r="L2892" s="8" t="inlineStr">
        <is>
          <t>Tamil Nadu</t>
        </is>
      </c>
      <c r="M2892" s="62" t="inlineStr">
        <is>
          <t>OK</t>
        </is>
      </c>
      <c r="N2892" s="2" t="inlineStr">
        <is>
          <t>No Issue Found</t>
        </is>
      </c>
      <c r="O2892" s="51" t="n">
        <v>550</v>
      </c>
      <c r="P2892" s="60" t="inlineStr">
        <is>
          <t>NSMP2307329996</t>
        </is>
      </c>
      <c r="Q2892" s="29">
        <f>MID(P2892,5,2)</f>
        <v/>
      </c>
      <c r="R2892" s="14">
        <f>MID(P2892,7,2)</f>
        <v/>
      </c>
      <c r="S2892" s="6" t="inlineStr">
        <is>
          <t>G2B</t>
        </is>
      </c>
      <c r="T2892" s="1" t="inlineStr">
        <is>
          <t>P2 - PEPPL</t>
        </is>
      </c>
      <c r="U2892" s="6" t="inlineStr">
        <is>
          <t>No Issue Found</t>
        </is>
      </c>
      <c r="V2892" s="6" t="inlineStr">
        <is>
          <t>Inspection</t>
        </is>
      </c>
      <c r="W2892" s="1" t="inlineStr">
        <is>
          <t>Rejected</t>
        </is>
      </c>
      <c r="X2892" s="5" t="n">
        <v>46202</v>
      </c>
      <c r="Y2892" s="1">
        <f>IF(X2892="","",X2892-A2892)</f>
        <v/>
      </c>
      <c r="Z2892" s="5" t="n">
        <v>46202</v>
      </c>
      <c r="AA2892" s="3" t="n"/>
      <c r="AB2892" s="3" t="n"/>
      <c r="AE2892" s="146">
        <f>IF(AND(F2892="Closed",X2892&gt;=DATE(2026,6,1),X2892&lt;=DATE(2026,6,30)),"Closed in June","other")</f>
        <v/>
      </c>
    </row>
    <row r="2893" hidden="1">
      <c r="A2893" s="9" t="n">
        <v>46134</v>
      </c>
      <c r="B2893" s="1" t="n">
        <v>2026</v>
      </c>
      <c r="C2893" s="8" t="inlineStr">
        <is>
          <t>First Energy</t>
        </is>
      </c>
      <c r="D2893" s="11" t="inlineStr">
        <is>
          <t>Utility and C&amp;I</t>
        </is>
      </c>
      <c r="E2893" s="1" t="n"/>
      <c r="F2893" s="1" t="inlineStr">
        <is>
          <t>Closed</t>
        </is>
      </c>
      <c r="G2893" s="8" t="inlineStr">
        <is>
          <t>Saravanakumar</t>
        </is>
      </c>
      <c r="H2893" s="8" t="n">
        <v>8248438488</v>
      </c>
      <c r="I2893" s="10" t="inlineStr">
        <is>
          <t>PE22042601</t>
        </is>
      </c>
      <c r="J2893" s="8" t="inlineStr">
        <is>
          <t>Anomalies/defects in the modules</t>
        </is>
      </c>
      <c r="K2893" s="8" t="inlineStr">
        <is>
          <t>Tirunelveli</t>
        </is>
      </c>
      <c r="L2893" s="8" t="inlineStr">
        <is>
          <t>Tamil Nadu</t>
        </is>
      </c>
      <c r="M2893" s="62" t="inlineStr">
        <is>
          <t>OK</t>
        </is>
      </c>
      <c r="N2893" s="2" t="inlineStr">
        <is>
          <t>No Issue Found</t>
        </is>
      </c>
      <c r="O2893" s="51" t="n">
        <v>550</v>
      </c>
      <c r="P2893" s="60" t="inlineStr">
        <is>
          <t>NSMP2307356226</t>
        </is>
      </c>
      <c r="Q2893" s="29">
        <f>MID(P2893,5,2)</f>
        <v/>
      </c>
      <c r="R2893" s="14">
        <f>MID(P2893,7,2)</f>
        <v/>
      </c>
      <c r="S2893" s="6" t="inlineStr">
        <is>
          <t>G2B</t>
        </is>
      </c>
      <c r="T2893" s="1" t="inlineStr">
        <is>
          <t>P2 - PEPPL</t>
        </is>
      </c>
      <c r="U2893" s="6" t="inlineStr">
        <is>
          <t>No Issue Found</t>
        </is>
      </c>
      <c r="V2893" s="6" t="inlineStr">
        <is>
          <t>Inspection</t>
        </is>
      </c>
      <c r="W2893" s="1" t="inlineStr">
        <is>
          <t>Rejected</t>
        </is>
      </c>
      <c r="X2893" s="5" t="n">
        <v>46202</v>
      </c>
      <c r="Y2893" s="1">
        <f>IF(X2893="","",X2893-A2893)</f>
        <v/>
      </c>
      <c r="Z2893" s="5" t="n">
        <v>46202</v>
      </c>
      <c r="AA2893" s="3" t="n"/>
      <c r="AB2893" s="3" t="n"/>
      <c r="AE2893" s="146">
        <f>IF(AND(F2893="Closed",X2893&gt;=DATE(2026,6,1),X2893&lt;=DATE(2026,6,30)),"Closed in June","other")</f>
        <v/>
      </c>
    </row>
    <row r="2894" hidden="1">
      <c r="A2894" s="9" t="n">
        <v>46134</v>
      </c>
      <c r="B2894" s="1" t="n">
        <v>2026</v>
      </c>
      <c r="C2894" s="8" t="inlineStr">
        <is>
          <t>First Energy</t>
        </is>
      </c>
      <c r="D2894" s="11" t="inlineStr">
        <is>
          <t>Utility and C&amp;I</t>
        </is>
      </c>
      <c r="E2894" s="1" t="n"/>
      <c r="F2894" s="1" t="inlineStr">
        <is>
          <t>Closed</t>
        </is>
      </c>
      <c r="G2894" s="8" t="inlineStr">
        <is>
          <t>Saravanakumar</t>
        </is>
      </c>
      <c r="H2894" s="8" t="n">
        <v>8248438488</v>
      </c>
      <c r="I2894" s="10" t="inlineStr">
        <is>
          <t>PE22042601</t>
        </is>
      </c>
      <c r="J2894" s="8" t="inlineStr">
        <is>
          <t>Anomalies/defects in the modules</t>
        </is>
      </c>
      <c r="K2894" s="8" t="inlineStr">
        <is>
          <t>Tirunelveli</t>
        </is>
      </c>
      <c r="L2894" s="8" t="inlineStr">
        <is>
          <t>Tamil Nadu</t>
        </is>
      </c>
      <c r="M2894" s="62" t="inlineStr">
        <is>
          <t>NR</t>
        </is>
      </c>
      <c r="N2894" s="8" t="inlineStr">
        <is>
          <t>JB Issue</t>
        </is>
      </c>
      <c r="O2894" s="51" t="n">
        <v>550</v>
      </c>
      <c r="P2894" s="60" t="inlineStr">
        <is>
          <t>NSMP2307335637</t>
        </is>
      </c>
      <c r="Q2894" s="29">
        <f>MID(P2894,5,2)</f>
        <v/>
      </c>
      <c r="R2894" s="14">
        <f>MID(P2894,7,2)</f>
        <v/>
      </c>
      <c r="S2894" s="6" t="inlineStr">
        <is>
          <t>G2B</t>
        </is>
      </c>
      <c r="T2894" s="1" t="inlineStr">
        <is>
          <t>P2 - PEPPL</t>
        </is>
      </c>
      <c r="U2894" s="6" t="inlineStr">
        <is>
          <t>N JB Diode Issue</t>
        </is>
      </c>
      <c r="V2894" s="6" t="inlineStr">
        <is>
          <t>JB Changed</t>
        </is>
      </c>
      <c r="W2894" s="1" t="inlineStr">
        <is>
          <t>Repair</t>
        </is>
      </c>
      <c r="X2894" s="5" t="n">
        <v>46202</v>
      </c>
      <c r="Y2894" s="1">
        <f>IF(X2894="","",X2894-A2894)</f>
        <v/>
      </c>
      <c r="Z2894" s="5" t="n">
        <v>46202</v>
      </c>
      <c r="AA2894" s="3" t="n"/>
      <c r="AB2894" s="3" t="n"/>
      <c r="AE2894" s="146">
        <f>IF(AND(F2894="Closed",X2894&gt;=DATE(2026,6,1),X2894&lt;=DATE(2026,6,30)),"Closed in June","other")</f>
        <v/>
      </c>
    </row>
    <row r="2895" hidden="1">
      <c r="A2895" s="9" t="n">
        <v>46176</v>
      </c>
      <c r="B2895" s="1" t="n">
        <v>2026</v>
      </c>
      <c r="C2895" s="2" t="inlineStr">
        <is>
          <t>Maharudra Agencies</t>
        </is>
      </c>
      <c r="D2895" s="8" t="inlineStr">
        <is>
          <t>Channel Sales</t>
        </is>
      </c>
      <c r="E2895" s="1" t="n"/>
      <c r="F2895" s="1" t="inlineStr">
        <is>
          <t>Closed</t>
        </is>
      </c>
      <c r="G2895" s="8" t="inlineStr">
        <is>
          <t>Sabino Barreto</t>
        </is>
      </c>
      <c r="H2895" s="8" t="n">
        <v>8261892367</v>
      </c>
      <c r="I2895" s="10" t="inlineStr">
        <is>
          <t>PE03062602</t>
        </is>
      </c>
      <c r="J2895" s="28" t="inlineStr">
        <is>
          <t>Module burnt</t>
        </is>
      </c>
      <c r="K2895" s="8" t="inlineStr">
        <is>
          <t>North Goa</t>
        </is>
      </c>
      <c r="L2895" s="8" t="inlineStr">
        <is>
          <t>Goa</t>
        </is>
      </c>
      <c r="M2895" s="2" t="inlineStr">
        <is>
          <t>By Mail</t>
        </is>
      </c>
      <c r="N2895" s="8" t="inlineStr">
        <is>
          <t>Module Burn</t>
        </is>
      </c>
      <c r="O2895" s="51" t="n">
        <v>610</v>
      </c>
      <c r="P2895" s="31" t="inlineStr">
        <is>
          <t>NSMG25040000266</t>
        </is>
      </c>
      <c r="Q2895" s="29">
        <f>MID(P2895,5,2)</f>
        <v/>
      </c>
      <c r="R2895" s="14">
        <f>MID(P2895,7,2)</f>
        <v/>
      </c>
      <c r="S2895" s="6" t="inlineStr">
        <is>
          <t>G2G</t>
        </is>
      </c>
      <c r="T2895" s="1" t="inlineStr">
        <is>
          <t>P5 - PEGPL</t>
        </is>
      </c>
      <c r="U2895" s="8" t="inlineStr">
        <is>
          <t>Module Burn</t>
        </is>
      </c>
      <c r="V2895" s="1" t="inlineStr">
        <is>
          <t>Virtually Verified</t>
        </is>
      </c>
      <c r="W2895" s="1" t="inlineStr">
        <is>
          <t>Replacement</t>
        </is>
      </c>
      <c r="X2895" s="9" t="n">
        <v>46203</v>
      </c>
      <c r="Y2895" s="1">
        <f>IF(X2895="","",X2895-A2895)</f>
        <v/>
      </c>
      <c r="Z2895" s="9" t="n">
        <v>46203</v>
      </c>
      <c r="AA2895" s="3" t="n"/>
      <c r="AB2895" s="3" t="n"/>
      <c r="AE2895" s="146">
        <f>IF(AND(F2895="Closed",X2895&gt;=DATE(2026,6,1),X2895&lt;=DATE(2026,6,30)),"Closed in June","other")</f>
        <v/>
      </c>
    </row>
    <row r="2896" hidden="1">
      <c r="A2896" s="49" t="n">
        <v>46190</v>
      </c>
      <c r="B2896" s="1" t="n">
        <v>2026</v>
      </c>
      <c r="C2896" s="8" t="inlineStr">
        <is>
          <t>Axitec Energy</t>
        </is>
      </c>
      <c r="D2896" s="8" t="inlineStr">
        <is>
          <t>OEM</t>
        </is>
      </c>
      <c r="E2896" s="1" t="n"/>
      <c r="F2896" s="1" t="inlineStr">
        <is>
          <t>WIP</t>
        </is>
      </c>
      <c r="G2896" s="8" t="inlineStr">
        <is>
          <t>Dushyant</t>
        </is>
      </c>
      <c r="H2896" s="8" t="n">
        <v>8826633540</v>
      </c>
      <c r="I2896" s="26" t="inlineStr">
        <is>
          <t>PE17062601</t>
        </is>
      </c>
      <c r="J2896" s="8" t="inlineStr">
        <is>
          <t>Poor Production</t>
        </is>
      </c>
      <c r="K2896" s="8" t="inlineStr">
        <is>
          <t>Trivandrum</t>
        </is>
      </c>
      <c r="L2896" s="8" t="inlineStr">
        <is>
          <t>Kerala</t>
        </is>
      </c>
      <c r="M2896" s="60" t="inlineStr">
        <is>
          <t>Ribbon Burn</t>
        </is>
      </c>
      <c r="N2896" s="1" t="inlineStr">
        <is>
          <t>Tab lead Burn</t>
        </is>
      </c>
      <c r="O2896" s="51" t="n">
        <v>445</v>
      </c>
      <c r="P2896" s="63" t="n">
        <v>26211031006684</v>
      </c>
      <c r="Q2896" s="29">
        <f>MID(P2896,3,2)</f>
        <v/>
      </c>
      <c r="R2896" s="14">
        <f>MID(P2896,5,2)</f>
        <v/>
      </c>
      <c r="S2896" s="6" t="inlineStr">
        <is>
          <t>G2B</t>
        </is>
      </c>
      <c r="T2896" s="1" t="inlineStr">
        <is>
          <t>P2 - PEPPL</t>
        </is>
      </c>
      <c r="U2896" s="6" t="inlineStr">
        <is>
          <t>Tab lead Burn</t>
        </is>
      </c>
      <c r="V2896" s="6" t="inlineStr">
        <is>
          <t>Inspection</t>
        </is>
      </c>
      <c r="W2896" s="1" t="inlineStr">
        <is>
          <t>Inspection</t>
        </is>
      </c>
      <c r="X2896" s="12" t="n"/>
      <c r="Y2896" s="1">
        <f>IF(X2896="","",X2896-A2896)</f>
        <v/>
      </c>
      <c r="Z2896" s="9" t="n">
        <v>46203</v>
      </c>
      <c r="AA2896" s="3" t="n"/>
      <c r="AB2896" s="3" t="n"/>
      <c r="AE2896" s="146">
        <f>IF(AND(F2896="Closed",X2896&gt;=DATE(2026,6,1),X2896&lt;=DATE(2026,6,30)),"Closed in June","other")</f>
        <v/>
      </c>
    </row>
    <row r="2897" hidden="1">
      <c r="A2897" s="49" t="n">
        <v>46190</v>
      </c>
      <c r="B2897" s="1" t="n">
        <v>2026</v>
      </c>
      <c r="C2897" s="8" t="inlineStr">
        <is>
          <t>Axitec Energy</t>
        </is>
      </c>
      <c r="D2897" s="8" t="inlineStr">
        <is>
          <t>OEM</t>
        </is>
      </c>
      <c r="E2897" s="1" t="n"/>
      <c r="F2897" s="1" t="inlineStr">
        <is>
          <t>WIP</t>
        </is>
      </c>
      <c r="G2897" s="8" t="inlineStr">
        <is>
          <t>Dushyant</t>
        </is>
      </c>
      <c r="H2897" s="8" t="n">
        <v>8826633540</v>
      </c>
      <c r="I2897" s="26" t="inlineStr">
        <is>
          <t>PE17062601</t>
        </is>
      </c>
      <c r="J2897" s="8" t="inlineStr">
        <is>
          <t>Poor Production</t>
        </is>
      </c>
      <c r="K2897" s="8" t="inlineStr">
        <is>
          <t>Trivandrum</t>
        </is>
      </c>
      <c r="L2897" s="8" t="inlineStr">
        <is>
          <t>Kerala</t>
        </is>
      </c>
      <c r="M2897" s="60" t="inlineStr">
        <is>
          <t>Ribbon Burn</t>
        </is>
      </c>
      <c r="N2897" s="1" t="inlineStr">
        <is>
          <t>Tab lead Burn</t>
        </is>
      </c>
      <c r="O2897" s="51" t="n">
        <v>445</v>
      </c>
      <c r="P2897" s="63" t="n">
        <v>26211031005568</v>
      </c>
      <c r="Q2897" s="29">
        <f>MID(P2897,3,2)</f>
        <v/>
      </c>
      <c r="R2897" s="14">
        <f>MID(P2897,5,2)</f>
        <v/>
      </c>
      <c r="S2897" s="6" t="inlineStr">
        <is>
          <t>G2B</t>
        </is>
      </c>
      <c r="T2897" s="1" t="inlineStr">
        <is>
          <t>P2 - PEPPL</t>
        </is>
      </c>
      <c r="U2897" s="6" t="inlineStr">
        <is>
          <t>Tab lead Burn</t>
        </is>
      </c>
      <c r="V2897" s="6" t="inlineStr">
        <is>
          <t>Inspection</t>
        </is>
      </c>
      <c r="W2897" s="1" t="inlineStr">
        <is>
          <t>Inspection</t>
        </is>
      </c>
      <c r="X2897" s="12" t="n"/>
      <c r="Y2897" s="1">
        <f>IF(X2897="","",X2897-A2897)</f>
        <v/>
      </c>
      <c r="Z2897" s="9" t="n">
        <v>46203</v>
      </c>
      <c r="AA2897" s="3" t="n"/>
      <c r="AB2897" s="3" t="n"/>
      <c r="AE2897" s="146">
        <f>IF(AND(F2897="Closed",X2897&gt;=DATE(2026,6,1),X2897&lt;=DATE(2026,6,30)),"Closed in June","other")</f>
        <v/>
      </c>
    </row>
    <row r="2898" hidden="1">
      <c r="A2898" s="49" t="n">
        <v>46177</v>
      </c>
      <c r="B2898" s="1" t="n">
        <v>2026</v>
      </c>
      <c r="C2898" s="8" t="inlineStr">
        <is>
          <t>Ayana</t>
        </is>
      </c>
      <c r="D2898" s="11" t="inlineStr">
        <is>
          <t>Utility and C&amp;I</t>
        </is>
      </c>
      <c r="E2898" s="1" t="n"/>
      <c r="F2898" s="1" t="inlineStr">
        <is>
          <t>Closed</t>
        </is>
      </c>
      <c r="G2898" s="11" t="inlineStr">
        <is>
          <t>Vasu.N</t>
        </is>
      </c>
      <c r="H2898" s="8" t="n">
        <v>9578099893</v>
      </c>
      <c r="I2898" s="10" t="inlineStr">
        <is>
          <t>PE04062601</t>
        </is>
      </c>
      <c r="J2898" s="28" t="inlineStr">
        <is>
          <t>Module burnt</t>
        </is>
      </c>
      <c r="K2898" s="8" t="inlineStr">
        <is>
          <t>Zura</t>
        </is>
      </c>
      <c r="L2898" s="8" t="inlineStr">
        <is>
          <t>Gujarat</t>
        </is>
      </c>
      <c r="M2898" s="2" t="inlineStr">
        <is>
          <t>NS</t>
        </is>
      </c>
      <c r="N2898" s="1" t="inlineStr">
        <is>
          <t>Cold Soldering</t>
        </is>
      </c>
      <c r="O2898" s="51" t="n">
        <v>590</v>
      </c>
      <c r="P2898" s="2" t="inlineStr">
        <is>
          <t>NSMI24110795190</t>
        </is>
      </c>
      <c r="Q2898" s="29">
        <f>MID(P2898,5,2)</f>
        <v/>
      </c>
      <c r="R2898" s="14">
        <f>MID(P2898,7,2)</f>
        <v/>
      </c>
      <c r="S2898" s="6" t="inlineStr">
        <is>
          <t>G2G</t>
        </is>
      </c>
      <c r="T2898" s="1" t="inlineStr">
        <is>
          <t>P4 - PEIPL</t>
        </is>
      </c>
      <c r="U2898" s="6" t="inlineStr">
        <is>
          <t>N JB Cold Soldering</t>
        </is>
      </c>
      <c r="V2898" s="6" t="inlineStr">
        <is>
          <t>Soldering</t>
        </is>
      </c>
      <c r="W2898" s="1" t="inlineStr">
        <is>
          <t>Repair</t>
        </is>
      </c>
      <c r="X2898" s="5" t="n">
        <v>46203</v>
      </c>
      <c r="Y2898" s="1">
        <f>IF(X2898="","",X2898-A2898)</f>
        <v/>
      </c>
      <c r="Z2898" s="5" t="n">
        <v>46203</v>
      </c>
      <c r="AA2898" s="3" t="n"/>
      <c r="AB2898" s="3" t="n"/>
      <c r="AE2898" s="146">
        <f>IF(AND(F2898="Closed",X2898&gt;=DATE(2026,6,1),X2898&lt;=DATE(2026,6,30)),"Closed in June","other")</f>
        <v/>
      </c>
    </row>
    <row r="2899" hidden="1">
      <c r="A2899" s="49" t="n">
        <v>46177</v>
      </c>
      <c r="B2899" s="1" t="n">
        <v>2026</v>
      </c>
      <c r="C2899" s="8" t="inlineStr">
        <is>
          <t>Ayana</t>
        </is>
      </c>
      <c r="D2899" s="11" t="inlineStr">
        <is>
          <t>Utility and C&amp;I</t>
        </is>
      </c>
      <c r="E2899" s="1" t="n"/>
      <c r="F2899" s="1" t="inlineStr">
        <is>
          <t>Closed</t>
        </is>
      </c>
      <c r="G2899" s="11" t="inlineStr">
        <is>
          <t>Vasu.N</t>
        </is>
      </c>
      <c r="H2899" s="8" t="n">
        <v>9578099893</v>
      </c>
      <c r="I2899" s="10" t="inlineStr">
        <is>
          <t>PE04062601</t>
        </is>
      </c>
      <c r="J2899" s="28" t="inlineStr">
        <is>
          <t>Module burnt</t>
        </is>
      </c>
      <c r="K2899" s="8" t="inlineStr">
        <is>
          <t>Zura</t>
        </is>
      </c>
      <c r="L2899" s="8" t="inlineStr">
        <is>
          <t>Gujarat</t>
        </is>
      </c>
      <c r="M2899" s="2" t="inlineStr">
        <is>
          <t>NS</t>
        </is>
      </c>
      <c r="N2899" s="1" t="inlineStr">
        <is>
          <t>Cold Soldering</t>
        </is>
      </c>
      <c r="O2899" s="51" t="n">
        <v>590</v>
      </c>
      <c r="P2899" s="2" t="inlineStr">
        <is>
          <t>NSMI24110795350</t>
        </is>
      </c>
      <c r="Q2899" s="29">
        <f>MID(P2899,5,2)</f>
        <v/>
      </c>
      <c r="R2899" s="14">
        <f>MID(P2899,7,2)</f>
        <v/>
      </c>
      <c r="S2899" s="6" t="inlineStr">
        <is>
          <t>G2G</t>
        </is>
      </c>
      <c r="T2899" s="1" t="inlineStr">
        <is>
          <t>P4 - PEIPL</t>
        </is>
      </c>
      <c r="U2899" s="6" t="inlineStr">
        <is>
          <t>N JB Cold Soldering</t>
        </is>
      </c>
      <c r="V2899" s="6" t="inlineStr">
        <is>
          <t>Soldering</t>
        </is>
      </c>
      <c r="W2899" s="1" t="inlineStr">
        <is>
          <t>Repair</t>
        </is>
      </c>
      <c r="X2899" s="5" t="n">
        <v>46203</v>
      </c>
      <c r="Y2899" s="1">
        <f>IF(X2899="","",X2899-A2899)</f>
        <v/>
      </c>
      <c r="Z2899" s="5" t="n">
        <v>46203</v>
      </c>
      <c r="AA2899" s="3" t="n"/>
      <c r="AB2899" s="3" t="n"/>
      <c r="AE2899" s="146">
        <f>IF(AND(F2899="Closed",X2899&gt;=DATE(2026,6,1),X2899&lt;=DATE(2026,6,30)),"Closed in June","other")</f>
        <v/>
      </c>
    </row>
    <row r="2900" hidden="1">
      <c r="A2900" s="49" t="n">
        <v>46177</v>
      </c>
      <c r="B2900" s="1" t="n">
        <v>2026</v>
      </c>
      <c r="C2900" s="8" t="inlineStr">
        <is>
          <t>Ayana</t>
        </is>
      </c>
      <c r="D2900" s="11" t="inlineStr">
        <is>
          <t>Utility and C&amp;I</t>
        </is>
      </c>
      <c r="E2900" s="1" t="n"/>
      <c r="F2900" s="1" t="inlineStr">
        <is>
          <t>Closed</t>
        </is>
      </c>
      <c r="G2900" s="11" t="inlineStr">
        <is>
          <t>Vasu.N</t>
        </is>
      </c>
      <c r="H2900" s="8" t="n">
        <v>9578099893</v>
      </c>
      <c r="I2900" s="10" t="inlineStr">
        <is>
          <t>PE04062601</t>
        </is>
      </c>
      <c r="J2900" s="28" t="inlineStr">
        <is>
          <t>Module burnt</t>
        </is>
      </c>
      <c r="K2900" s="8" t="inlineStr">
        <is>
          <t>Zura</t>
        </is>
      </c>
      <c r="L2900" s="8" t="inlineStr">
        <is>
          <t>Gujarat</t>
        </is>
      </c>
      <c r="M2900" s="2" t="inlineStr">
        <is>
          <t>NS</t>
        </is>
      </c>
      <c r="N2900" s="1" t="inlineStr">
        <is>
          <t>Cold Soldering</t>
        </is>
      </c>
      <c r="O2900" s="51" t="n">
        <v>590</v>
      </c>
      <c r="P2900" s="2" t="inlineStr">
        <is>
          <t>NSMI24110796378</t>
        </is>
      </c>
      <c r="Q2900" s="29">
        <f>MID(P2900,5,2)</f>
        <v/>
      </c>
      <c r="R2900" s="14">
        <f>MID(P2900,7,2)</f>
        <v/>
      </c>
      <c r="S2900" s="6" t="inlineStr">
        <is>
          <t>G2G</t>
        </is>
      </c>
      <c r="T2900" s="1" t="inlineStr">
        <is>
          <t>P4 - PEIPL</t>
        </is>
      </c>
      <c r="U2900" s="6" t="inlineStr">
        <is>
          <t>N JB Cold Soldering</t>
        </is>
      </c>
      <c r="V2900" s="6" t="inlineStr">
        <is>
          <t>Soldering</t>
        </is>
      </c>
      <c r="W2900" s="1" t="inlineStr">
        <is>
          <t>Repair</t>
        </is>
      </c>
      <c r="X2900" s="5" t="n">
        <v>46203</v>
      </c>
      <c r="Y2900" s="1">
        <f>IF(X2900="","",X2900-A2900)</f>
        <v/>
      </c>
      <c r="Z2900" s="5" t="n">
        <v>46203</v>
      </c>
      <c r="AA2900" s="3" t="n"/>
      <c r="AB2900" s="3" t="n"/>
      <c r="AE2900" s="146">
        <f>IF(AND(F2900="Closed",X2900&gt;=DATE(2026,6,1),X2900&lt;=DATE(2026,6,30)),"Closed in June","other")</f>
        <v/>
      </c>
    </row>
    <row r="2901" hidden="1">
      <c r="A2901" s="49" t="n">
        <v>46177</v>
      </c>
      <c r="B2901" s="1" t="n">
        <v>2026</v>
      </c>
      <c r="C2901" s="8" t="inlineStr">
        <is>
          <t>Ayana</t>
        </is>
      </c>
      <c r="D2901" s="11" t="inlineStr">
        <is>
          <t>Utility and C&amp;I</t>
        </is>
      </c>
      <c r="E2901" s="1" t="n"/>
      <c r="F2901" s="1" t="inlineStr">
        <is>
          <t>Closed</t>
        </is>
      </c>
      <c r="G2901" s="11" t="inlineStr">
        <is>
          <t>Vasu.N</t>
        </is>
      </c>
      <c r="H2901" s="8" t="n">
        <v>9578099893</v>
      </c>
      <c r="I2901" s="10" t="inlineStr">
        <is>
          <t>PE04062601</t>
        </is>
      </c>
      <c r="J2901" s="28" t="inlineStr">
        <is>
          <t>Module burnt</t>
        </is>
      </c>
      <c r="K2901" s="8" t="inlineStr">
        <is>
          <t>Zura</t>
        </is>
      </c>
      <c r="L2901" s="8" t="inlineStr">
        <is>
          <t>Gujarat</t>
        </is>
      </c>
      <c r="M2901" s="2" t="inlineStr">
        <is>
          <t>NS</t>
        </is>
      </c>
      <c r="N2901" s="1" t="inlineStr">
        <is>
          <t>Cold Soldering</t>
        </is>
      </c>
      <c r="O2901" s="51" t="n">
        <v>590</v>
      </c>
      <c r="P2901" s="2" t="inlineStr">
        <is>
          <t>NSMI24110799187</t>
        </is>
      </c>
      <c r="Q2901" s="29">
        <f>MID(P2901,5,2)</f>
        <v/>
      </c>
      <c r="R2901" s="14">
        <f>MID(P2901,7,2)</f>
        <v/>
      </c>
      <c r="S2901" s="6" t="inlineStr">
        <is>
          <t>G2G</t>
        </is>
      </c>
      <c r="T2901" s="1" t="inlineStr">
        <is>
          <t>P4 - PEIPL</t>
        </is>
      </c>
      <c r="U2901" s="6" t="inlineStr">
        <is>
          <t>N JB Cold Soldering</t>
        </is>
      </c>
      <c r="V2901" s="6" t="inlineStr">
        <is>
          <t>Soldering</t>
        </is>
      </c>
      <c r="W2901" s="1" t="inlineStr">
        <is>
          <t>Repair</t>
        </is>
      </c>
      <c r="X2901" s="5" t="n">
        <v>46203</v>
      </c>
      <c r="Y2901" s="1">
        <f>IF(X2901="","",X2901-A2901)</f>
        <v/>
      </c>
      <c r="Z2901" s="5" t="n">
        <v>46203</v>
      </c>
      <c r="AA2901" s="3" t="n"/>
      <c r="AB2901" s="3" t="n"/>
      <c r="AE2901" s="146">
        <f>IF(AND(F2901="Closed",X2901&gt;=DATE(2026,6,1),X2901&lt;=DATE(2026,6,30)),"Closed in June","other")</f>
        <v/>
      </c>
    </row>
    <row r="2902" hidden="1">
      <c r="A2902" s="49" t="n">
        <v>46177</v>
      </c>
      <c r="B2902" s="1" t="n">
        <v>2026</v>
      </c>
      <c r="C2902" s="8" t="inlineStr">
        <is>
          <t>Ayana</t>
        </is>
      </c>
      <c r="D2902" s="11" t="inlineStr">
        <is>
          <t>Utility and C&amp;I</t>
        </is>
      </c>
      <c r="E2902" s="1" t="n"/>
      <c r="F2902" s="1" t="inlineStr">
        <is>
          <t>Closed</t>
        </is>
      </c>
      <c r="G2902" s="11" t="inlineStr">
        <is>
          <t>Vasu.N</t>
        </is>
      </c>
      <c r="H2902" s="8" t="n">
        <v>9578099893</v>
      </c>
      <c r="I2902" s="10" t="inlineStr">
        <is>
          <t>PE04062601</t>
        </is>
      </c>
      <c r="J2902" s="28" t="inlineStr">
        <is>
          <t>Module burnt</t>
        </is>
      </c>
      <c r="K2902" s="8" t="inlineStr">
        <is>
          <t>Zura</t>
        </is>
      </c>
      <c r="L2902" s="8" t="inlineStr">
        <is>
          <t>Gujarat</t>
        </is>
      </c>
      <c r="M2902" s="2" t="inlineStr">
        <is>
          <t>PR</t>
        </is>
      </c>
      <c r="N2902" s="1" t="inlineStr">
        <is>
          <t>JB Issue</t>
        </is>
      </c>
      <c r="O2902" s="51" t="n">
        <v>590</v>
      </c>
      <c r="P2902" s="2" t="inlineStr">
        <is>
          <t>NSMI24100645143</t>
        </is>
      </c>
      <c r="Q2902" s="29">
        <f>MID(P2902,5,2)</f>
        <v/>
      </c>
      <c r="R2902" s="14">
        <f>MID(P2902,7,2)</f>
        <v/>
      </c>
      <c r="S2902" s="6" t="inlineStr">
        <is>
          <t>G2G</t>
        </is>
      </c>
      <c r="T2902" s="1" t="inlineStr">
        <is>
          <t>P4 - PEIPL</t>
        </is>
      </c>
      <c r="U2902" s="6" t="inlineStr">
        <is>
          <t>P JB Diode Issue</t>
        </is>
      </c>
      <c r="V2902" s="6" t="inlineStr">
        <is>
          <t>JB Changed</t>
        </is>
      </c>
      <c r="W2902" s="1" t="inlineStr">
        <is>
          <t>Repair</t>
        </is>
      </c>
      <c r="X2902" s="5" t="n">
        <v>46203</v>
      </c>
      <c r="Y2902" s="1">
        <f>IF(X2902="","",X2902-A2902)</f>
        <v/>
      </c>
      <c r="Z2902" s="5" t="n">
        <v>46203</v>
      </c>
      <c r="AA2902" s="3" t="n"/>
      <c r="AB2902" s="3" t="n"/>
      <c r="AE2902" s="146">
        <f>IF(AND(F2902="Closed",X2902&gt;=DATE(2026,6,1),X2902&lt;=DATE(2026,6,30)),"Closed in June","other")</f>
        <v/>
      </c>
    </row>
    <row r="2903" hidden="1">
      <c r="A2903" s="49" t="n">
        <v>46177</v>
      </c>
      <c r="B2903" s="1" t="n">
        <v>2026</v>
      </c>
      <c r="C2903" s="8" t="inlineStr">
        <is>
          <t>Ayana</t>
        </is>
      </c>
      <c r="D2903" s="11" t="inlineStr">
        <is>
          <t>Utility and C&amp;I</t>
        </is>
      </c>
      <c r="E2903" s="1" t="n"/>
      <c r="F2903" s="1" t="inlineStr">
        <is>
          <t>Closed</t>
        </is>
      </c>
      <c r="G2903" s="11" t="inlineStr">
        <is>
          <t>Vasu.N</t>
        </is>
      </c>
      <c r="H2903" s="8" t="n">
        <v>9578099893</v>
      </c>
      <c r="I2903" s="10" t="inlineStr">
        <is>
          <t>PE04062601</t>
        </is>
      </c>
      <c r="J2903" s="28" t="inlineStr">
        <is>
          <t>Module burnt</t>
        </is>
      </c>
      <c r="K2903" s="8" t="inlineStr">
        <is>
          <t>Zura</t>
        </is>
      </c>
      <c r="L2903" s="8" t="inlineStr">
        <is>
          <t>Gujarat</t>
        </is>
      </c>
      <c r="M2903" s="2" t="inlineStr">
        <is>
          <t>NS</t>
        </is>
      </c>
      <c r="N2903" s="1" t="inlineStr">
        <is>
          <t>Cold Soldering</t>
        </is>
      </c>
      <c r="O2903" s="51" t="n">
        <v>590</v>
      </c>
      <c r="P2903" s="2" t="inlineStr">
        <is>
          <t>NSMI24100643640</t>
        </is>
      </c>
      <c r="Q2903" s="29">
        <f>MID(P2903,5,2)</f>
        <v/>
      </c>
      <c r="R2903" s="14">
        <f>MID(P2903,7,2)</f>
        <v/>
      </c>
      <c r="S2903" s="6" t="inlineStr">
        <is>
          <t>G2G</t>
        </is>
      </c>
      <c r="T2903" s="1" t="inlineStr">
        <is>
          <t>P4 - PEIPL</t>
        </is>
      </c>
      <c r="U2903" s="6" t="inlineStr">
        <is>
          <t>N JB Cold Soldering</t>
        </is>
      </c>
      <c r="V2903" s="6" t="inlineStr">
        <is>
          <t>Soldering</t>
        </is>
      </c>
      <c r="W2903" s="1" t="inlineStr">
        <is>
          <t>Repair</t>
        </is>
      </c>
      <c r="X2903" s="5" t="n">
        <v>46203</v>
      </c>
      <c r="Y2903" s="1">
        <f>IF(X2903="","",X2903-A2903)</f>
        <v/>
      </c>
      <c r="Z2903" s="5" t="n">
        <v>46203</v>
      </c>
      <c r="AA2903" s="3" t="n"/>
      <c r="AB2903" s="3" t="n"/>
      <c r="AE2903" s="146">
        <f>IF(AND(F2903="Closed",X2903&gt;=DATE(2026,6,1),X2903&lt;=DATE(2026,6,30)),"Closed in June","other")</f>
        <v/>
      </c>
    </row>
    <row r="2904" hidden="1">
      <c r="A2904" s="49" t="n">
        <v>46177</v>
      </c>
      <c r="B2904" s="1" t="n">
        <v>2026</v>
      </c>
      <c r="C2904" s="8" t="inlineStr">
        <is>
          <t>Ayana</t>
        </is>
      </c>
      <c r="D2904" s="11" t="inlineStr">
        <is>
          <t>Utility and C&amp;I</t>
        </is>
      </c>
      <c r="E2904" s="1" t="n"/>
      <c r="F2904" s="1" t="inlineStr">
        <is>
          <t>Closed</t>
        </is>
      </c>
      <c r="G2904" s="11" t="inlineStr">
        <is>
          <t>Vasu.N</t>
        </is>
      </c>
      <c r="H2904" s="8" t="n">
        <v>9578099893</v>
      </c>
      <c r="I2904" s="10" t="inlineStr">
        <is>
          <t>PE04062601</t>
        </is>
      </c>
      <c r="J2904" s="28" t="inlineStr">
        <is>
          <t>Module burnt</t>
        </is>
      </c>
      <c r="K2904" s="8" t="inlineStr">
        <is>
          <t>Zura</t>
        </is>
      </c>
      <c r="L2904" s="8" t="inlineStr">
        <is>
          <t>Gujarat</t>
        </is>
      </c>
      <c r="M2904" s="2" t="inlineStr">
        <is>
          <t>NS</t>
        </is>
      </c>
      <c r="N2904" s="1" t="inlineStr">
        <is>
          <t>Cold Soldering</t>
        </is>
      </c>
      <c r="O2904" s="51" t="n">
        <v>590</v>
      </c>
      <c r="P2904" s="2" t="inlineStr">
        <is>
          <t>NSMI24110799746</t>
        </is>
      </c>
      <c r="Q2904" s="29">
        <f>MID(P2904,5,2)</f>
        <v/>
      </c>
      <c r="R2904" s="14">
        <f>MID(P2904,7,2)</f>
        <v/>
      </c>
      <c r="S2904" s="6" t="inlineStr">
        <is>
          <t>G2G</t>
        </is>
      </c>
      <c r="T2904" s="1" t="inlineStr">
        <is>
          <t>P4 - PEIPL</t>
        </is>
      </c>
      <c r="U2904" s="6" t="inlineStr">
        <is>
          <t>N JB Cold Soldering</t>
        </is>
      </c>
      <c r="V2904" s="6" t="inlineStr">
        <is>
          <t>Soldering</t>
        </is>
      </c>
      <c r="W2904" s="1" t="inlineStr">
        <is>
          <t>Repair</t>
        </is>
      </c>
      <c r="X2904" s="5" t="n">
        <v>46203</v>
      </c>
      <c r="Y2904" s="1">
        <f>IF(X2904="","",X2904-A2904)</f>
        <v/>
      </c>
      <c r="Z2904" s="5" t="n">
        <v>46203</v>
      </c>
      <c r="AA2904" s="3" t="n"/>
      <c r="AB2904" s="3" t="n"/>
      <c r="AE2904" s="146">
        <f>IF(AND(F2904="Closed",X2904&gt;=DATE(2026,6,1),X2904&lt;=DATE(2026,6,30)),"Closed in June","other")</f>
        <v/>
      </c>
    </row>
    <row r="2905" hidden="1">
      <c r="A2905" s="49" t="n">
        <v>46177</v>
      </c>
      <c r="B2905" s="1" t="n">
        <v>2026</v>
      </c>
      <c r="C2905" s="8" t="inlineStr">
        <is>
          <t>Ayana</t>
        </is>
      </c>
      <c r="D2905" s="11" t="inlineStr">
        <is>
          <t>Utility and C&amp;I</t>
        </is>
      </c>
      <c r="E2905" s="1" t="n"/>
      <c r="F2905" s="1" t="inlineStr">
        <is>
          <t>Closed</t>
        </is>
      </c>
      <c r="G2905" s="11" t="inlineStr">
        <is>
          <t>Vasu.N</t>
        </is>
      </c>
      <c r="H2905" s="8" t="n">
        <v>9578099893</v>
      </c>
      <c r="I2905" s="10" t="inlineStr">
        <is>
          <t>PE04062601</t>
        </is>
      </c>
      <c r="J2905" s="28" t="inlineStr">
        <is>
          <t>Module burnt</t>
        </is>
      </c>
      <c r="K2905" s="8" t="inlineStr">
        <is>
          <t>Zura</t>
        </is>
      </c>
      <c r="L2905" s="8" t="inlineStr">
        <is>
          <t>Gujarat</t>
        </is>
      </c>
      <c r="M2905" s="2" t="inlineStr">
        <is>
          <t>PNS</t>
        </is>
      </c>
      <c r="N2905" s="1" t="inlineStr">
        <is>
          <t>Cold Soldering</t>
        </is>
      </c>
      <c r="O2905" s="51" t="n">
        <v>590</v>
      </c>
      <c r="P2905" s="2" t="inlineStr">
        <is>
          <t>NSMI24100647724</t>
        </is>
      </c>
      <c r="Q2905" s="29">
        <f>MID(P2905,5,2)</f>
        <v/>
      </c>
      <c r="R2905" s="14">
        <f>MID(P2905,7,2)</f>
        <v/>
      </c>
      <c r="S2905" s="6" t="inlineStr">
        <is>
          <t>G2G</t>
        </is>
      </c>
      <c r="T2905" s="1" t="inlineStr">
        <is>
          <t>P4 - PEIPL</t>
        </is>
      </c>
      <c r="U2905" s="1" t="inlineStr">
        <is>
          <t>P &amp; N JB Cold Soldering</t>
        </is>
      </c>
      <c r="V2905" s="1" t="inlineStr">
        <is>
          <t>Soldering</t>
        </is>
      </c>
      <c r="W2905" s="1" t="inlineStr">
        <is>
          <t>Repair</t>
        </is>
      </c>
      <c r="X2905" s="5" t="n">
        <v>46203</v>
      </c>
      <c r="Y2905" s="1">
        <f>IF(X2905="","",X2905-A2905)</f>
        <v/>
      </c>
      <c r="Z2905" s="5" t="n">
        <v>46203</v>
      </c>
      <c r="AA2905" s="3" t="n"/>
      <c r="AB2905" s="3" t="n"/>
      <c r="AE2905" s="146">
        <f>IF(AND(F2905="Closed",X2905&gt;=DATE(2026,6,1),X2905&lt;=DATE(2026,6,30)),"Closed in June","other")</f>
        <v/>
      </c>
    </row>
    <row r="2906" hidden="1">
      <c r="A2906" s="49" t="n">
        <v>46177</v>
      </c>
      <c r="B2906" s="1" t="n">
        <v>2026</v>
      </c>
      <c r="C2906" s="8" t="inlineStr">
        <is>
          <t>Ayana</t>
        </is>
      </c>
      <c r="D2906" s="11" t="inlineStr">
        <is>
          <t>Utility and C&amp;I</t>
        </is>
      </c>
      <c r="E2906" s="1" t="n"/>
      <c r="F2906" s="1" t="inlineStr">
        <is>
          <t>Closed</t>
        </is>
      </c>
      <c r="G2906" s="11" t="inlineStr">
        <is>
          <t>Vasu.N</t>
        </is>
      </c>
      <c r="H2906" s="8" t="n">
        <v>9578099893</v>
      </c>
      <c r="I2906" s="10" t="inlineStr">
        <is>
          <t>PE04062601</t>
        </is>
      </c>
      <c r="J2906" s="28" t="inlineStr">
        <is>
          <t>Module burnt</t>
        </is>
      </c>
      <c r="K2906" s="8" t="inlineStr">
        <is>
          <t>Zura</t>
        </is>
      </c>
      <c r="L2906" s="8" t="inlineStr">
        <is>
          <t>Gujarat</t>
        </is>
      </c>
      <c r="M2906" s="2" t="inlineStr">
        <is>
          <t>PS</t>
        </is>
      </c>
      <c r="N2906" s="1" t="inlineStr">
        <is>
          <t>Cold Soldering</t>
        </is>
      </c>
      <c r="O2906" s="51" t="n">
        <v>590</v>
      </c>
      <c r="P2906" s="2" t="inlineStr">
        <is>
          <t>NSMI24100661432</t>
        </is>
      </c>
      <c r="Q2906" s="29">
        <f>MID(P2906,5,2)</f>
        <v/>
      </c>
      <c r="R2906" s="14">
        <f>MID(P2906,7,2)</f>
        <v/>
      </c>
      <c r="S2906" s="6" t="inlineStr">
        <is>
          <t>G2G</t>
        </is>
      </c>
      <c r="T2906" s="1" t="inlineStr">
        <is>
          <t>P4 - PEIPL</t>
        </is>
      </c>
      <c r="U2906" s="1" t="inlineStr">
        <is>
          <t>P JB Cold Soldering</t>
        </is>
      </c>
      <c r="V2906" s="1" t="inlineStr">
        <is>
          <t>Soldering</t>
        </is>
      </c>
      <c r="W2906" s="1" t="inlineStr">
        <is>
          <t>Repair</t>
        </is>
      </c>
      <c r="X2906" s="5" t="n">
        <v>46203</v>
      </c>
      <c r="Y2906" s="1">
        <f>IF(X2906="","",X2906-A2906)</f>
        <v/>
      </c>
      <c r="Z2906" s="5" t="n">
        <v>46203</v>
      </c>
      <c r="AA2906" s="3" t="n"/>
      <c r="AB2906" s="3" t="n"/>
      <c r="AE2906" s="146">
        <f>IF(AND(F2906="Closed",X2906&gt;=DATE(2026,6,1),X2906&lt;=DATE(2026,6,30)),"Closed in June","other")</f>
        <v/>
      </c>
    </row>
    <row r="2907" hidden="1">
      <c r="A2907" s="49" t="n">
        <v>46177</v>
      </c>
      <c r="B2907" s="1" t="n">
        <v>2026</v>
      </c>
      <c r="C2907" s="8" t="inlineStr">
        <is>
          <t>Ayana</t>
        </is>
      </c>
      <c r="D2907" s="11" t="inlineStr">
        <is>
          <t>Utility and C&amp;I</t>
        </is>
      </c>
      <c r="E2907" s="1" t="n"/>
      <c r="F2907" s="1" t="inlineStr">
        <is>
          <t>Closed</t>
        </is>
      </c>
      <c r="G2907" s="11" t="inlineStr">
        <is>
          <t>Vasu.N</t>
        </is>
      </c>
      <c r="H2907" s="8" t="n">
        <v>9578099893</v>
      </c>
      <c r="I2907" s="10" t="inlineStr">
        <is>
          <t>PE04062601</t>
        </is>
      </c>
      <c r="J2907" s="28" t="inlineStr">
        <is>
          <t>Module burnt</t>
        </is>
      </c>
      <c r="K2907" s="8" t="inlineStr">
        <is>
          <t>Zura</t>
        </is>
      </c>
      <c r="L2907" s="8" t="inlineStr">
        <is>
          <t>Gujarat</t>
        </is>
      </c>
      <c r="M2907" s="2" t="inlineStr">
        <is>
          <t>PS</t>
        </is>
      </c>
      <c r="N2907" s="1" t="inlineStr">
        <is>
          <t>Cold Soldering</t>
        </is>
      </c>
      <c r="O2907" s="51" t="n">
        <v>590</v>
      </c>
      <c r="P2907" s="2" t="inlineStr">
        <is>
          <t>NSMI24100661174</t>
        </is>
      </c>
      <c r="Q2907" s="29">
        <f>MID(P2907,5,2)</f>
        <v/>
      </c>
      <c r="R2907" s="14">
        <f>MID(P2907,7,2)</f>
        <v/>
      </c>
      <c r="S2907" s="6" t="inlineStr">
        <is>
          <t>G2G</t>
        </is>
      </c>
      <c r="T2907" s="1" t="inlineStr">
        <is>
          <t>P4 - PEIPL</t>
        </is>
      </c>
      <c r="U2907" s="1" t="inlineStr">
        <is>
          <t>P JB Cold Soldering</t>
        </is>
      </c>
      <c r="V2907" s="1" t="inlineStr">
        <is>
          <t>Soldering</t>
        </is>
      </c>
      <c r="W2907" s="1" t="inlineStr">
        <is>
          <t>Repair</t>
        </is>
      </c>
      <c r="X2907" s="5" t="n">
        <v>46203</v>
      </c>
      <c r="Y2907" s="1">
        <f>IF(X2907="","",X2907-A2907)</f>
        <v/>
      </c>
      <c r="Z2907" s="5" t="n">
        <v>46203</v>
      </c>
      <c r="AA2907" s="3" t="n"/>
      <c r="AB2907" s="3" t="n"/>
      <c r="AE2907" s="146">
        <f>IF(AND(F2907="Closed",X2907&gt;=DATE(2026,6,1),X2907&lt;=DATE(2026,6,30)),"Closed in June","other")</f>
        <v/>
      </c>
    </row>
    <row r="2908" hidden="1">
      <c r="A2908" s="49" t="n">
        <v>46177</v>
      </c>
      <c r="B2908" s="1" t="n">
        <v>2026</v>
      </c>
      <c r="C2908" s="8" t="inlineStr">
        <is>
          <t>Ayana</t>
        </is>
      </c>
      <c r="D2908" s="11" t="inlineStr">
        <is>
          <t>Utility and C&amp;I</t>
        </is>
      </c>
      <c r="E2908" s="1" t="n"/>
      <c r="F2908" s="1" t="inlineStr">
        <is>
          <t>Closed</t>
        </is>
      </c>
      <c r="G2908" s="11" t="inlineStr">
        <is>
          <t>Vasu.N</t>
        </is>
      </c>
      <c r="H2908" s="8" t="n">
        <v>9578099893</v>
      </c>
      <c r="I2908" s="10" t="inlineStr">
        <is>
          <t>PE04062601</t>
        </is>
      </c>
      <c r="J2908" s="28" t="inlineStr">
        <is>
          <t>Module burnt</t>
        </is>
      </c>
      <c r="K2908" s="8" t="inlineStr">
        <is>
          <t>Zura</t>
        </is>
      </c>
      <c r="L2908" s="8" t="inlineStr">
        <is>
          <t>Gujarat</t>
        </is>
      </c>
      <c r="M2908" s="2" t="inlineStr">
        <is>
          <t>PS</t>
        </is>
      </c>
      <c r="N2908" s="1" t="inlineStr">
        <is>
          <t>Cold Soldering</t>
        </is>
      </c>
      <c r="O2908" s="51" t="n">
        <v>590</v>
      </c>
      <c r="P2908" s="2" t="inlineStr">
        <is>
          <t>NSMI24110792998</t>
        </is>
      </c>
      <c r="Q2908" s="29">
        <f>MID(P2908,5,2)</f>
        <v/>
      </c>
      <c r="R2908" s="14">
        <f>MID(P2908,7,2)</f>
        <v/>
      </c>
      <c r="S2908" s="6" t="inlineStr">
        <is>
          <t>G2G</t>
        </is>
      </c>
      <c r="T2908" s="1" t="inlineStr">
        <is>
          <t>P4 - PEIPL</t>
        </is>
      </c>
      <c r="U2908" s="1" t="inlineStr">
        <is>
          <t>P JB Cold Soldering</t>
        </is>
      </c>
      <c r="V2908" s="1" t="inlineStr">
        <is>
          <t>Soldering</t>
        </is>
      </c>
      <c r="W2908" s="1" t="inlineStr">
        <is>
          <t>Repair</t>
        </is>
      </c>
      <c r="X2908" s="5" t="n">
        <v>46203</v>
      </c>
      <c r="Y2908" s="1">
        <f>IF(X2908="","",X2908-A2908)</f>
        <v/>
      </c>
      <c r="Z2908" s="5" t="n">
        <v>46203</v>
      </c>
      <c r="AA2908" s="3" t="n"/>
      <c r="AB2908" s="3" t="n"/>
      <c r="AE2908" s="146">
        <f>IF(AND(F2908="Closed",X2908&gt;=DATE(2026,6,1),X2908&lt;=DATE(2026,6,30)),"Closed in June","other")</f>
        <v/>
      </c>
    </row>
    <row r="2909" hidden="1">
      <c r="A2909" s="49" t="n">
        <v>46177</v>
      </c>
      <c r="B2909" s="1" t="n">
        <v>2026</v>
      </c>
      <c r="C2909" s="8" t="inlineStr">
        <is>
          <t>Ayana</t>
        </is>
      </c>
      <c r="D2909" s="11" t="inlineStr">
        <is>
          <t>Utility and C&amp;I</t>
        </is>
      </c>
      <c r="E2909" s="1" t="n"/>
      <c r="F2909" s="1" t="inlineStr">
        <is>
          <t>Closed</t>
        </is>
      </c>
      <c r="G2909" s="11" t="inlineStr">
        <is>
          <t>Vasu.N</t>
        </is>
      </c>
      <c r="H2909" s="8" t="n">
        <v>9578099893</v>
      </c>
      <c r="I2909" s="10" t="inlineStr">
        <is>
          <t>PE04062601</t>
        </is>
      </c>
      <c r="J2909" s="28" t="inlineStr">
        <is>
          <t>Module burnt</t>
        </is>
      </c>
      <c r="K2909" s="8" t="inlineStr">
        <is>
          <t>Zura</t>
        </is>
      </c>
      <c r="L2909" s="8" t="inlineStr">
        <is>
          <t>Gujarat</t>
        </is>
      </c>
      <c r="M2909" s="2" t="inlineStr">
        <is>
          <t>PS</t>
        </is>
      </c>
      <c r="N2909" s="1" t="inlineStr">
        <is>
          <t>Cold Soldering</t>
        </is>
      </c>
      <c r="O2909" s="51" t="n">
        <v>590</v>
      </c>
      <c r="P2909" s="2" t="inlineStr">
        <is>
          <t>NSMI24100658062</t>
        </is>
      </c>
      <c r="Q2909" s="29">
        <f>MID(P2909,5,2)</f>
        <v/>
      </c>
      <c r="R2909" s="14">
        <f>MID(P2909,7,2)</f>
        <v/>
      </c>
      <c r="S2909" s="6" t="inlineStr">
        <is>
          <t>G2G</t>
        </is>
      </c>
      <c r="T2909" s="1" t="inlineStr">
        <is>
          <t>P4 - PEIPL</t>
        </is>
      </c>
      <c r="U2909" s="1" t="inlineStr">
        <is>
          <t>P JB Cold Soldering</t>
        </is>
      </c>
      <c r="V2909" s="1" t="inlineStr">
        <is>
          <t>Soldering</t>
        </is>
      </c>
      <c r="W2909" s="1" t="inlineStr">
        <is>
          <t>Repair</t>
        </is>
      </c>
      <c r="X2909" s="5" t="n">
        <v>46203</v>
      </c>
      <c r="Y2909" s="1">
        <f>IF(X2909="","",X2909-A2909)</f>
        <v/>
      </c>
      <c r="Z2909" s="5" t="n">
        <v>46203</v>
      </c>
      <c r="AA2909" s="3" t="n"/>
      <c r="AB2909" s="3" t="n"/>
      <c r="AE2909" s="146">
        <f>IF(AND(F2909="Closed",X2909&gt;=DATE(2026,6,1),X2909&lt;=DATE(2026,6,30)),"Closed in June","other")</f>
        <v/>
      </c>
    </row>
    <row r="2910" hidden="1">
      <c r="A2910" s="49" t="n">
        <v>46177</v>
      </c>
      <c r="B2910" s="1" t="n">
        <v>2026</v>
      </c>
      <c r="C2910" s="8" t="inlineStr">
        <is>
          <t>Ayana</t>
        </is>
      </c>
      <c r="D2910" s="11" t="inlineStr">
        <is>
          <t>Utility and C&amp;I</t>
        </is>
      </c>
      <c r="E2910" s="1" t="n"/>
      <c r="F2910" s="1" t="inlineStr">
        <is>
          <t>Closed</t>
        </is>
      </c>
      <c r="G2910" s="11" t="inlineStr">
        <is>
          <t>Vasu.N</t>
        </is>
      </c>
      <c r="H2910" s="8" t="n">
        <v>9578099893</v>
      </c>
      <c r="I2910" s="10" t="inlineStr">
        <is>
          <t>PE04062601</t>
        </is>
      </c>
      <c r="J2910" s="28" t="inlineStr">
        <is>
          <t>Module burnt</t>
        </is>
      </c>
      <c r="K2910" s="8" t="inlineStr">
        <is>
          <t>Zura</t>
        </is>
      </c>
      <c r="L2910" s="8" t="inlineStr">
        <is>
          <t>Gujarat</t>
        </is>
      </c>
      <c r="M2910" s="2" t="inlineStr">
        <is>
          <t>NS</t>
        </is>
      </c>
      <c r="N2910" s="1" t="inlineStr">
        <is>
          <t>Cold Soldering</t>
        </is>
      </c>
      <c r="O2910" s="51" t="n">
        <v>590</v>
      </c>
      <c r="P2910" s="2" t="inlineStr">
        <is>
          <t>NSMI24110816853</t>
        </is>
      </c>
      <c r="Q2910" s="29">
        <f>MID(P2910,5,2)</f>
        <v/>
      </c>
      <c r="R2910" s="14">
        <f>MID(P2910,7,2)</f>
        <v/>
      </c>
      <c r="S2910" s="6" t="inlineStr">
        <is>
          <t>G2G</t>
        </is>
      </c>
      <c r="T2910" s="1" t="inlineStr">
        <is>
          <t>P4 - PEIPL</t>
        </is>
      </c>
      <c r="U2910" s="6" t="inlineStr">
        <is>
          <t>N JB Cold Soldering</t>
        </is>
      </c>
      <c r="V2910" s="6" t="inlineStr">
        <is>
          <t>Soldering</t>
        </is>
      </c>
      <c r="W2910" s="1" t="inlineStr">
        <is>
          <t>Repair</t>
        </is>
      </c>
      <c r="X2910" s="5" t="n">
        <v>46203</v>
      </c>
      <c r="Y2910" s="1">
        <f>IF(X2910="","",X2910-A2910)</f>
        <v/>
      </c>
      <c r="Z2910" s="5" t="n">
        <v>46203</v>
      </c>
      <c r="AA2910" s="3" t="n"/>
      <c r="AB2910" s="3" t="n"/>
      <c r="AE2910" s="146">
        <f>IF(AND(F2910="Closed",X2910&gt;=DATE(2026,6,1),X2910&lt;=DATE(2026,6,30)),"Closed in June","other")</f>
        <v/>
      </c>
    </row>
    <row r="2911" hidden="1">
      <c r="A2911" s="49" t="n">
        <v>46177</v>
      </c>
      <c r="B2911" s="1" t="n">
        <v>2026</v>
      </c>
      <c r="C2911" s="8" t="inlineStr">
        <is>
          <t>Ayana</t>
        </is>
      </c>
      <c r="D2911" s="11" t="inlineStr">
        <is>
          <t>Utility and C&amp;I</t>
        </is>
      </c>
      <c r="E2911" s="1" t="n"/>
      <c r="F2911" s="1" t="inlineStr">
        <is>
          <t>Closed</t>
        </is>
      </c>
      <c r="G2911" s="11" t="inlineStr">
        <is>
          <t>Vasu.N</t>
        </is>
      </c>
      <c r="H2911" s="8" t="n">
        <v>9578099893</v>
      </c>
      <c r="I2911" s="10" t="inlineStr">
        <is>
          <t>PE04062601</t>
        </is>
      </c>
      <c r="J2911" s="28" t="inlineStr">
        <is>
          <t>Module burnt</t>
        </is>
      </c>
      <c r="K2911" s="8" t="inlineStr">
        <is>
          <t>Zura</t>
        </is>
      </c>
      <c r="L2911" s="8" t="inlineStr">
        <is>
          <t>Gujarat</t>
        </is>
      </c>
      <c r="M2911" s="2" t="inlineStr">
        <is>
          <t>PR</t>
        </is>
      </c>
      <c r="N2911" s="1" t="inlineStr">
        <is>
          <t>JB Issue</t>
        </is>
      </c>
      <c r="O2911" s="51" t="n">
        <v>590</v>
      </c>
      <c r="P2911" s="2" t="inlineStr">
        <is>
          <t>NSMI24090502547</t>
        </is>
      </c>
      <c r="Q2911" s="29">
        <f>MID(P2911,5,2)</f>
        <v/>
      </c>
      <c r="R2911" s="14">
        <f>MID(P2911,7,2)</f>
        <v/>
      </c>
      <c r="S2911" s="6" t="inlineStr">
        <is>
          <t>G2G</t>
        </is>
      </c>
      <c r="T2911" s="1" t="inlineStr">
        <is>
          <t>P4 - PEIPL</t>
        </is>
      </c>
      <c r="U2911" s="6" t="inlineStr">
        <is>
          <t>P JB Diode Issue</t>
        </is>
      </c>
      <c r="V2911" s="6" t="inlineStr">
        <is>
          <t>JB Changed</t>
        </is>
      </c>
      <c r="W2911" s="1" t="inlineStr">
        <is>
          <t>Repair</t>
        </is>
      </c>
      <c r="X2911" s="5" t="n">
        <v>46203</v>
      </c>
      <c r="Y2911" s="1">
        <f>IF(X2911="","",X2911-A2911)</f>
        <v/>
      </c>
      <c r="Z2911" s="5" t="n">
        <v>46203</v>
      </c>
      <c r="AA2911" s="3" t="n"/>
      <c r="AB2911" s="3" t="n"/>
      <c r="AE2911" s="146">
        <f>IF(AND(F2911="Closed",X2911&gt;=DATE(2026,6,1),X2911&lt;=DATE(2026,6,30)),"Closed in June","other")</f>
        <v/>
      </c>
    </row>
    <row r="2912" hidden="1">
      <c r="A2912" s="49" t="n">
        <v>46177</v>
      </c>
      <c r="B2912" s="1" t="n">
        <v>2026</v>
      </c>
      <c r="C2912" s="8" t="inlineStr">
        <is>
          <t>Ayana</t>
        </is>
      </c>
      <c r="D2912" s="11" t="inlineStr">
        <is>
          <t>Utility and C&amp;I</t>
        </is>
      </c>
      <c r="E2912" s="1" t="n"/>
      <c r="F2912" s="1" t="inlineStr">
        <is>
          <t>Closed</t>
        </is>
      </c>
      <c r="G2912" s="11" t="inlineStr">
        <is>
          <t>Vasu.N</t>
        </is>
      </c>
      <c r="H2912" s="8" t="n">
        <v>9578099893</v>
      </c>
      <c r="I2912" s="10" t="inlineStr">
        <is>
          <t>PE04062601</t>
        </is>
      </c>
      <c r="J2912" s="28" t="inlineStr">
        <is>
          <t>Module burnt</t>
        </is>
      </c>
      <c r="K2912" s="8" t="inlineStr">
        <is>
          <t>Zura</t>
        </is>
      </c>
      <c r="L2912" s="8" t="inlineStr">
        <is>
          <t>Gujarat</t>
        </is>
      </c>
      <c r="M2912" s="2" t="inlineStr">
        <is>
          <t>NS</t>
        </is>
      </c>
      <c r="N2912" s="1" t="inlineStr">
        <is>
          <t>Cold Soldering</t>
        </is>
      </c>
      <c r="O2912" s="51" t="n">
        <v>590</v>
      </c>
      <c r="P2912" s="2" t="inlineStr">
        <is>
          <t>NSMI24090429262</t>
        </is>
      </c>
      <c r="Q2912" s="29">
        <f>MID(P2912,5,2)</f>
        <v/>
      </c>
      <c r="R2912" s="14">
        <f>MID(P2912,7,2)</f>
        <v/>
      </c>
      <c r="S2912" s="6" t="inlineStr">
        <is>
          <t>G2G</t>
        </is>
      </c>
      <c r="T2912" s="1" t="inlineStr">
        <is>
          <t>P4 - PEIPL</t>
        </is>
      </c>
      <c r="U2912" s="6" t="inlineStr">
        <is>
          <t>N JB Cold Soldering</t>
        </is>
      </c>
      <c r="V2912" s="6" t="inlineStr">
        <is>
          <t>Soldering</t>
        </is>
      </c>
      <c r="W2912" s="1" t="inlineStr">
        <is>
          <t>Repair</t>
        </is>
      </c>
      <c r="X2912" s="5" t="n">
        <v>46203</v>
      </c>
      <c r="Y2912" s="1">
        <f>IF(X2912="","",X2912-A2912)</f>
        <v/>
      </c>
      <c r="Z2912" s="5" t="n">
        <v>46203</v>
      </c>
      <c r="AA2912" s="3" t="n"/>
      <c r="AB2912" s="3" t="n"/>
      <c r="AE2912" s="146">
        <f>IF(AND(F2912="Closed",X2912&gt;=DATE(2026,6,1),X2912&lt;=DATE(2026,6,30)),"Closed in June","other")</f>
        <v/>
      </c>
    </row>
    <row r="2913" hidden="1">
      <c r="A2913" s="49" t="n">
        <v>46177</v>
      </c>
      <c r="B2913" s="1" t="n">
        <v>2026</v>
      </c>
      <c r="C2913" s="8" t="inlineStr">
        <is>
          <t>Ayana</t>
        </is>
      </c>
      <c r="D2913" s="11" t="inlineStr">
        <is>
          <t>Utility and C&amp;I</t>
        </is>
      </c>
      <c r="E2913" s="1" t="n"/>
      <c r="F2913" s="1" t="inlineStr">
        <is>
          <t>Closed</t>
        </is>
      </c>
      <c r="G2913" s="11" t="inlineStr">
        <is>
          <t>Vasu.N</t>
        </is>
      </c>
      <c r="H2913" s="8" t="n">
        <v>9578099893</v>
      </c>
      <c r="I2913" s="10" t="inlineStr">
        <is>
          <t>PE04062601</t>
        </is>
      </c>
      <c r="J2913" s="28" t="inlineStr">
        <is>
          <t>Module burnt</t>
        </is>
      </c>
      <c r="K2913" s="8" t="inlineStr">
        <is>
          <t>Zura</t>
        </is>
      </c>
      <c r="L2913" s="8" t="inlineStr">
        <is>
          <t>Gujarat</t>
        </is>
      </c>
      <c r="M2913" s="2" t="inlineStr">
        <is>
          <t>NR</t>
        </is>
      </c>
      <c r="N2913" s="1" t="inlineStr">
        <is>
          <t>JB Issue</t>
        </is>
      </c>
      <c r="O2913" s="51" t="n">
        <v>590</v>
      </c>
      <c r="P2913" s="2" t="inlineStr">
        <is>
          <t>NSMI24110820568</t>
        </is>
      </c>
      <c r="Q2913" s="29">
        <f>MID(P2913,5,2)</f>
        <v/>
      </c>
      <c r="R2913" s="14">
        <f>MID(P2913,7,2)</f>
        <v/>
      </c>
      <c r="S2913" s="6" t="inlineStr">
        <is>
          <t>G2G</t>
        </is>
      </c>
      <c r="T2913" s="1" t="inlineStr">
        <is>
          <t>P4 - PEIPL</t>
        </is>
      </c>
      <c r="U2913" s="6" t="inlineStr">
        <is>
          <t>N JB Diode Issue</t>
        </is>
      </c>
      <c r="V2913" s="6" t="inlineStr">
        <is>
          <t>JB Changed</t>
        </is>
      </c>
      <c r="W2913" s="1" t="inlineStr">
        <is>
          <t>Repair</t>
        </is>
      </c>
      <c r="X2913" s="5" t="n">
        <v>46203</v>
      </c>
      <c r="Y2913" s="1">
        <f>IF(X2913="","",X2913-A2913)</f>
        <v/>
      </c>
      <c r="Z2913" s="5" t="n">
        <v>46203</v>
      </c>
      <c r="AA2913" s="3" t="n"/>
      <c r="AB2913" s="3" t="n"/>
      <c r="AE2913" s="146">
        <f>IF(AND(F2913="Closed",X2913&gt;=DATE(2026,6,1),X2913&lt;=DATE(2026,6,30)),"Closed in June","other")</f>
        <v/>
      </c>
    </row>
    <row r="2914" hidden="1">
      <c r="A2914" s="49" t="n">
        <v>46177</v>
      </c>
      <c r="B2914" s="1" t="n">
        <v>2026</v>
      </c>
      <c r="C2914" s="8" t="inlineStr">
        <is>
          <t>Ayana</t>
        </is>
      </c>
      <c r="D2914" s="11" t="inlineStr">
        <is>
          <t>Utility and C&amp;I</t>
        </is>
      </c>
      <c r="E2914" s="1" t="n"/>
      <c r="F2914" s="1" t="inlineStr">
        <is>
          <t>Closed</t>
        </is>
      </c>
      <c r="G2914" s="11" t="inlineStr">
        <is>
          <t>Vasu.N</t>
        </is>
      </c>
      <c r="H2914" s="8" t="n">
        <v>9578099893</v>
      </c>
      <c r="I2914" s="10" t="inlineStr">
        <is>
          <t>PE04062601</t>
        </is>
      </c>
      <c r="J2914" s="28" t="inlineStr">
        <is>
          <t>Module burnt</t>
        </is>
      </c>
      <c r="K2914" s="8" t="inlineStr">
        <is>
          <t>Zura</t>
        </is>
      </c>
      <c r="L2914" s="8" t="inlineStr">
        <is>
          <t>Gujarat</t>
        </is>
      </c>
      <c r="M2914" s="2" t="inlineStr">
        <is>
          <t>PS</t>
        </is>
      </c>
      <c r="N2914" s="1" t="inlineStr">
        <is>
          <t>Cold Soldering</t>
        </is>
      </c>
      <c r="O2914" s="51" t="n">
        <v>590</v>
      </c>
      <c r="P2914" s="2" t="inlineStr">
        <is>
          <t>NSMI24100610787</t>
        </is>
      </c>
      <c r="Q2914" s="29">
        <f>MID(P2914,5,2)</f>
        <v/>
      </c>
      <c r="R2914" s="14">
        <f>MID(P2914,7,2)</f>
        <v/>
      </c>
      <c r="S2914" s="6" t="inlineStr">
        <is>
          <t>G2G</t>
        </is>
      </c>
      <c r="T2914" s="1" t="inlineStr">
        <is>
          <t>P4 - PEIPL</t>
        </is>
      </c>
      <c r="U2914" s="1" t="inlineStr">
        <is>
          <t>P JB Cold Soldering</t>
        </is>
      </c>
      <c r="V2914" s="1" t="inlineStr">
        <is>
          <t>Soldering</t>
        </is>
      </c>
      <c r="W2914" s="1" t="inlineStr">
        <is>
          <t>Repair</t>
        </is>
      </c>
      <c r="X2914" s="5" t="n">
        <v>46203</v>
      </c>
      <c r="Y2914" s="1">
        <f>IF(X2914="","",X2914-A2914)</f>
        <v/>
      </c>
      <c r="Z2914" s="5" t="n">
        <v>46203</v>
      </c>
      <c r="AA2914" s="3" t="n"/>
      <c r="AB2914" s="3" t="n"/>
      <c r="AE2914" s="146">
        <f>IF(AND(F2914="Closed",X2914&gt;=DATE(2026,6,1),X2914&lt;=DATE(2026,6,30)),"Closed in June","other")</f>
        <v/>
      </c>
    </row>
    <row r="2915" hidden="1">
      <c r="A2915" s="49" t="n">
        <v>46177</v>
      </c>
      <c r="B2915" s="1" t="n">
        <v>2026</v>
      </c>
      <c r="C2915" s="8" t="inlineStr">
        <is>
          <t>Ayana</t>
        </is>
      </c>
      <c r="D2915" s="11" t="inlineStr">
        <is>
          <t>Utility and C&amp;I</t>
        </is>
      </c>
      <c r="E2915" s="1" t="n"/>
      <c r="F2915" s="1" t="inlineStr">
        <is>
          <t>Closed</t>
        </is>
      </c>
      <c r="G2915" s="11" t="inlineStr">
        <is>
          <t>Vasu.N</t>
        </is>
      </c>
      <c r="H2915" s="8" t="n">
        <v>9578099893</v>
      </c>
      <c r="I2915" s="10" t="inlineStr">
        <is>
          <t>PE04062601</t>
        </is>
      </c>
      <c r="J2915" s="28" t="inlineStr">
        <is>
          <t>Module burnt</t>
        </is>
      </c>
      <c r="K2915" s="8" t="inlineStr">
        <is>
          <t>Zura</t>
        </is>
      </c>
      <c r="L2915" s="8" t="inlineStr">
        <is>
          <t>Gujarat</t>
        </is>
      </c>
      <c r="M2915" s="2" t="inlineStr">
        <is>
          <t>PNS</t>
        </is>
      </c>
      <c r="N2915" s="1" t="inlineStr">
        <is>
          <t>Cold Soldering</t>
        </is>
      </c>
      <c r="O2915" s="51" t="n">
        <v>590</v>
      </c>
      <c r="P2915" s="2" t="inlineStr">
        <is>
          <t>NSMI24090543608</t>
        </is>
      </c>
      <c r="Q2915" s="29">
        <f>MID(P2915,5,2)</f>
        <v/>
      </c>
      <c r="R2915" s="14">
        <f>MID(P2915,7,2)</f>
        <v/>
      </c>
      <c r="S2915" s="6" t="inlineStr">
        <is>
          <t>G2G</t>
        </is>
      </c>
      <c r="T2915" s="1" t="inlineStr">
        <is>
          <t>P4 - PEIPL</t>
        </is>
      </c>
      <c r="U2915" s="1" t="inlineStr">
        <is>
          <t>P &amp; N JB Cold Soldering</t>
        </is>
      </c>
      <c r="V2915" s="1" t="inlineStr">
        <is>
          <t>Soldering</t>
        </is>
      </c>
      <c r="W2915" s="1" t="inlineStr">
        <is>
          <t>Repair</t>
        </is>
      </c>
      <c r="X2915" s="5" t="n">
        <v>46203</v>
      </c>
      <c r="Y2915" s="1">
        <f>IF(X2915="","",X2915-A2915)</f>
        <v/>
      </c>
      <c r="Z2915" s="5" t="n">
        <v>46203</v>
      </c>
      <c r="AA2915" s="3" t="n"/>
      <c r="AB2915" s="3" t="n"/>
      <c r="AE2915" s="146">
        <f>IF(AND(F2915="Closed",X2915&gt;=DATE(2026,6,1),X2915&lt;=DATE(2026,6,30)),"Closed in June","other")</f>
        <v/>
      </c>
    </row>
    <row r="2916" hidden="1">
      <c r="A2916" s="49" t="n">
        <v>46177</v>
      </c>
      <c r="B2916" s="1" t="n">
        <v>2026</v>
      </c>
      <c r="C2916" s="8" t="inlineStr">
        <is>
          <t>Ayana</t>
        </is>
      </c>
      <c r="D2916" s="11" t="inlineStr">
        <is>
          <t>Utility and C&amp;I</t>
        </is>
      </c>
      <c r="E2916" s="1" t="n"/>
      <c r="F2916" s="1" t="inlineStr">
        <is>
          <t>Closed</t>
        </is>
      </c>
      <c r="G2916" s="11" t="inlineStr">
        <is>
          <t>Vasu.N</t>
        </is>
      </c>
      <c r="H2916" s="8" t="n">
        <v>9578099893</v>
      </c>
      <c r="I2916" s="10" t="inlineStr">
        <is>
          <t>PE04062601</t>
        </is>
      </c>
      <c r="J2916" s="28" t="inlineStr">
        <is>
          <t>Module burnt</t>
        </is>
      </c>
      <c r="K2916" s="8" t="inlineStr">
        <is>
          <t>Zura</t>
        </is>
      </c>
      <c r="L2916" s="8" t="inlineStr">
        <is>
          <t>Gujarat</t>
        </is>
      </c>
      <c r="M2916" s="2" t="inlineStr">
        <is>
          <t>NS</t>
        </is>
      </c>
      <c r="N2916" s="1" t="inlineStr">
        <is>
          <t>Cold Soldering</t>
        </is>
      </c>
      <c r="O2916" s="51" t="n">
        <v>590</v>
      </c>
      <c r="P2916" s="2" t="inlineStr">
        <is>
          <t>NSMI24110825509</t>
        </is>
      </c>
      <c r="Q2916" s="29">
        <f>MID(P2916,5,2)</f>
        <v/>
      </c>
      <c r="R2916" s="14">
        <f>MID(P2916,7,2)</f>
        <v/>
      </c>
      <c r="S2916" s="6" t="inlineStr">
        <is>
          <t>G2G</t>
        </is>
      </c>
      <c r="T2916" s="1" t="inlineStr">
        <is>
          <t>P4 - PEIPL</t>
        </is>
      </c>
      <c r="U2916" s="6" t="inlineStr">
        <is>
          <t>N JB Cold Soldering</t>
        </is>
      </c>
      <c r="V2916" s="6" t="inlineStr">
        <is>
          <t>Soldering</t>
        </is>
      </c>
      <c r="W2916" s="1" t="inlineStr">
        <is>
          <t>Repair</t>
        </is>
      </c>
      <c r="X2916" s="5" t="n">
        <v>46203</v>
      </c>
      <c r="Y2916" s="1">
        <f>IF(X2916="","",X2916-A2916)</f>
        <v/>
      </c>
      <c r="Z2916" s="5" t="n">
        <v>46203</v>
      </c>
      <c r="AA2916" s="3" t="n"/>
      <c r="AB2916" s="3" t="n"/>
      <c r="AE2916" s="146">
        <f>IF(AND(F2916="Closed",X2916&gt;=DATE(2026,6,1),X2916&lt;=DATE(2026,6,30)),"Closed in June","other")</f>
        <v/>
      </c>
    </row>
    <row r="2917" hidden="1">
      <c r="A2917" s="49" t="n">
        <v>46177</v>
      </c>
      <c r="B2917" s="1" t="n">
        <v>2026</v>
      </c>
      <c r="C2917" s="8" t="inlineStr">
        <is>
          <t>Ayana</t>
        </is>
      </c>
      <c r="D2917" s="11" t="inlineStr">
        <is>
          <t>Utility and C&amp;I</t>
        </is>
      </c>
      <c r="E2917" s="1" t="n"/>
      <c r="F2917" s="1" t="inlineStr">
        <is>
          <t>Closed</t>
        </is>
      </c>
      <c r="G2917" s="11" t="inlineStr">
        <is>
          <t>Vasu.N</t>
        </is>
      </c>
      <c r="H2917" s="8" t="n">
        <v>9578099893</v>
      </c>
      <c r="I2917" s="10" t="inlineStr">
        <is>
          <t>PE04062601</t>
        </is>
      </c>
      <c r="J2917" s="28" t="inlineStr">
        <is>
          <t>Module burnt</t>
        </is>
      </c>
      <c r="K2917" s="8" t="inlineStr">
        <is>
          <t>Zura</t>
        </is>
      </c>
      <c r="L2917" s="8" t="inlineStr">
        <is>
          <t>Gujarat</t>
        </is>
      </c>
      <c r="M2917" s="2" t="inlineStr">
        <is>
          <t>NS</t>
        </is>
      </c>
      <c r="N2917" s="1" t="inlineStr">
        <is>
          <t>Cold Soldering</t>
        </is>
      </c>
      <c r="O2917" s="51" t="n">
        <v>590</v>
      </c>
      <c r="P2917" s="2" t="inlineStr">
        <is>
          <t>NSMI24110806452</t>
        </is>
      </c>
      <c r="Q2917" s="29">
        <f>MID(P2917,5,2)</f>
        <v/>
      </c>
      <c r="R2917" s="14">
        <f>MID(P2917,7,2)</f>
        <v/>
      </c>
      <c r="S2917" s="6" t="inlineStr">
        <is>
          <t>G2G</t>
        </is>
      </c>
      <c r="T2917" s="1" t="inlineStr">
        <is>
          <t>P4 - PEIPL</t>
        </is>
      </c>
      <c r="U2917" s="6" t="inlineStr">
        <is>
          <t>N JB Cold Soldering</t>
        </is>
      </c>
      <c r="V2917" s="6" t="inlineStr">
        <is>
          <t>Soldering</t>
        </is>
      </c>
      <c r="W2917" s="1" t="inlineStr">
        <is>
          <t>Repair</t>
        </is>
      </c>
      <c r="X2917" s="5" t="n">
        <v>46203</v>
      </c>
      <c r="Y2917" s="1">
        <f>IF(X2917="","",X2917-A2917)</f>
        <v/>
      </c>
      <c r="Z2917" s="5" t="n">
        <v>46203</v>
      </c>
      <c r="AA2917" s="3" t="n"/>
      <c r="AB2917" s="3" t="n"/>
      <c r="AE2917" s="146">
        <f>IF(AND(F2917="Closed",X2917&gt;=DATE(2026,6,1),X2917&lt;=DATE(2026,6,30)),"Closed in June","other")</f>
        <v/>
      </c>
    </row>
    <row r="2918" hidden="1">
      <c r="A2918" s="49" t="n">
        <v>46177</v>
      </c>
      <c r="B2918" s="1" t="n">
        <v>2026</v>
      </c>
      <c r="C2918" s="8" t="inlineStr">
        <is>
          <t>Ayana</t>
        </is>
      </c>
      <c r="D2918" s="11" t="inlineStr">
        <is>
          <t>Utility and C&amp;I</t>
        </is>
      </c>
      <c r="E2918" s="1" t="n"/>
      <c r="F2918" s="1" t="inlineStr">
        <is>
          <t>Closed</t>
        </is>
      </c>
      <c r="G2918" s="11" t="inlineStr">
        <is>
          <t>Vasu.N</t>
        </is>
      </c>
      <c r="H2918" s="8" t="n">
        <v>9578099893</v>
      </c>
      <c r="I2918" s="10" t="inlineStr">
        <is>
          <t>PE04062601</t>
        </is>
      </c>
      <c r="J2918" s="28" t="inlineStr">
        <is>
          <t>Module burnt</t>
        </is>
      </c>
      <c r="K2918" s="8" t="inlineStr">
        <is>
          <t>Zura</t>
        </is>
      </c>
      <c r="L2918" s="8" t="inlineStr">
        <is>
          <t>Gujarat</t>
        </is>
      </c>
      <c r="M2918" s="2" t="inlineStr">
        <is>
          <t>NS</t>
        </is>
      </c>
      <c r="N2918" s="1" t="inlineStr">
        <is>
          <t>Cold Soldering</t>
        </is>
      </c>
      <c r="O2918" s="51" t="n">
        <v>590</v>
      </c>
      <c r="P2918" s="2" t="inlineStr">
        <is>
          <t>NSMI24110803913</t>
        </is>
      </c>
      <c r="Q2918" s="29">
        <f>MID(P2918,5,2)</f>
        <v/>
      </c>
      <c r="R2918" s="14">
        <f>MID(P2918,7,2)</f>
        <v/>
      </c>
      <c r="S2918" s="6" t="inlineStr">
        <is>
          <t>G2G</t>
        </is>
      </c>
      <c r="T2918" s="1" t="inlineStr">
        <is>
          <t>P4 - PEIPL</t>
        </is>
      </c>
      <c r="U2918" s="6" t="inlineStr">
        <is>
          <t>N JB Cold Soldering</t>
        </is>
      </c>
      <c r="V2918" s="6" t="inlineStr">
        <is>
          <t>Soldering</t>
        </is>
      </c>
      <c r="W2918" s="1" t="inlineStr">
        <is>
          <t>Repair</t>
        </is>
      </c>
      <c r="X2918" s="5" t="n">
        <v>46203</v>
      </c>
      <c r="Y2918" s="1">
        <f>IF(X2918="","",X2918-A2918)</f>
        <v/>
      </c>
      <c r="Z2918" s="5" t="n">
        <v>46203</v>
      </c>
      <c r="AA2918" s="3" t="n"/>
      <c r="AB2918" s="3" t="n"/>
      <c r="AE2918" s="146">
        <f>IF(AND(F2918="Closed",X2918&gt;=DATE(2026,6,1),X2918&lt;=DATE(2026,6,30)),"Closed in June","other")</f>
        <v/>
      </c>
    </row>
    <row r="2919" hidden="1">
      <c r="A2919" s="49" t="n">
        <v>46177</v>
      </c>
      <c r="B2919" s="1" t="n">
        <v>2026</v>
      </c>
      <c r="C2919" s="8" t="inlineStr">
        <is>
          <t>Ayana</t>
        </is>
      </c>
      <c r="D2919" s="11" t="inlineStr">
        <is>
          <t>Utility and C&amp;I</t>
        </is>
      </c>
      <c r="E2919" s="1" t="n"/>
      <c r="F2919" s="1" t="inlineStr">
        <is>
          <t>Closed</t>
        </is>
      </c>
      <c r="G2919" s="11" t="inlineStr">
        <is>
          <t>Vasu.N</t>
        </is>
      </c>
      <c r="H2919" s="8" t="n">
        <v>9578099893</v>
      </c>
      <c r="I2919" s="10" t="inlineStr">
        <is>
          <t>PE04062601</t>
        </is>
      </c>
      <c r="J2919" s="28" t="inlineStr">
        <is>
          <t>Module burnt</t>
        </is>
      </c>
      <c r="K2919" s="8" t="inlineStr">
        <is>
          <t>Zura</t>
        </is>
      </c>
      <c r="L2919" s="8" t="inlineStr">
        <is>
          <t>Gujarat</t>
        </is>
      </c>
      <c r="M2919" s="2" t="inlineStr">
        <is>
          <t>PS</t>
        </is>
      </c>
      <c r="N2919" s="1" t="inlineStr">
        <is>
          <t>Cold Soldering</t>
        </is>
      </c>
      <c r="O2919" s="51" t="n">
        <v>590</v>
      </c>
      <c r="P2919" s="2" t="inlineStr">
        <is>
          <t>NSMI24100588900</t>
        </is>
      </c>
      <c r="Q2919" s="29">
        <f>MID(P2919,5,2)</f>
        <v/>
      </c>
      <c r="R2919" s="14">
        <f>MID(P2919,7,2)</f>
        <v/>
      </c>
      <c r="S2919" s="6" t="inlineStr">
        <is>
          <t>G2G</t>
        </is>
      </c>
      <c r="T2919" s="1" t="inlineStr">
        <is>
          <t>P4 - PEIPL</t>
        </is>
      </c>
      <c r="U2919" s="1" t="inlineStr">
        <is>
          <t>P JB Cold Soldering</t>
        </is>
      </c>
      <c r="V2919" s="1" t="inlineStr">
        <is>
          <t>Soldering</t>
        </is>
      </c>
      <c r="W2919" s="1" t="inlineStr">
        <is>
          <t>Repair</t>
        </is>
      </c>
      <c r="X2919" s="5" t="n">
        <v>46203</v>
      </c>
      <c r="Y2919" s="1">
        <f>IF(X2919="","",X2919-A2919)</f>
        <v/>
      </c>
      <c r="Z2919" s="5" t="n">
        <v>46203</v>
      </c>
      <c r="AA2919" s="3" t="n"/>
      <c r="AB2919" s="3" t="n"/>
      <c r="AE2919" s="146">
        <f>IF(AND(F2919="Closed",X2919&gt;=DATE(2026,6,1),X2919&lt;=DATE(2026,6,30)),"Closed in June","other")</f>
        <v/>
      </c>
    </row>
    <row r="2920" hidden="1">
      <c r="A2920" s="49" t="n">
        <v>46177</v>
      </c>
      <c r="B2920" s="1" t="n">
        <v>2026</v>
      </c>
      <c r="C2920" s="8" t="inlineStr">
        <is>
          <t>Ayana</t>
        </is>
      </c>
      <c r="D2920" s="11" t="inlineStr">
        <is>
          <t>Utility and C&amp;I</t>
        </is>
      </c>
      <c r="E2920" s="1" t="n"/>
      <c r="F2920" s="1" t="inlineStr">
        <is>
          <t>Closed</t>
        </is>
      </c>
      <c r="G2920" s="11" t="inlineStr">
        <is>
          <t>Vasu.N</t>
        </is>
      </c>
      <c r="H2920" s="8" t="n">
        <v>9578099893</v>
      </c>
      <c r="I2920" s="10" t="inlineStr">
        <is>
          <t>PE04062601</t>
        </is>
      </c>
      <c r="J2920" s="28" t="inlineStr">
        <is>
          <t>Module burnt</t>
        </is>
      </c>
      <c r="K2920" s="8" t="inlineStr">
        <is>
          <t>Zura</t>
        </is>
      </c>
      <c r="L2920" s="8" t="inlineStr">
        <is>
          <t>Gujarat</t>
        </is>
      </c>
      <c r="M2920" s="2" t="inlineStr">
        <is>
          <t>NS</t>
        </is>
      </c>
      <c r="N2920" s="1" t="inlineStr">
        <is>
          <t>Cold Soldering</t>
        </is>
      </c>
      <c r="O2920" s="51" t="n">
        <v>590</v>
      </c>
      <c r="P2920" s="2" t="inlineStr">
        <is>
          <t>NSMI24110827277</t>
        </is>
      </c>
      <c r="Q2920" s="29">
        <f>MID(P2920,5,2)</f>
        <v/>
      </c>
      <c r="R2920" s="14">
        <f>MID(P2920,7,2)</f>
        <v/>
      </c>
      <c r="S2920" s="6" t="inlineStr">
        <is>
          <t>G2G</t>
        </is>
      </c>
      <c r="T2920" s="1" t="inlineStr">
        <is>
          <t>P4 - PEIPL</t>
        </is>
      </c>
      <c r="U2920" s="6" t="inlineStr">
        <is>
          <t>N JB Cold Soldering</t>
        </is>
      </c>
      <c r="V2920" s="6" t="inlineStr">
        <is>
          <t>Soldering</t>
        </is>
      </c>
      <c r="W2920" s="1" t="inlineStr">
        <is>
          <t>Repair</t>
        </is>
      </c>
      <c r="X2920" s="5" t="n">
        <v>46203</v>
      </c>
      <c r="Y2920" s="1">
        <f>IF(X2920="","",X2920-A2920)</f>
        <v/>
      </c>
      <c r="Z2920" s="5" t="n">
        <v>46203</v>
      </c>
      <c r="AA2920" s="3" t="n"/>
      <c r="AB2920" s="3" t="n"/>
      <c r="AE2920" s="146">
        <f>IF(AND(F2920="Closed",X2920&gt;=DATE(2026,6,1),X2920&lt;=DATE(2026,6,30)),"Closed in June","other")</f>
        <v/>
      </c>
    </row>
    <row r="2921" hidden="1">
      <c r="A2921" s="49" t="n">
        <v>46177</v>
      </c>
      <c r="B2921" s="1" t="n">
        <v>2026</v>
      </c>
      <c r="C2921" s="8" t="inlineStr">
        <is>
          <t>Ayana</t>
        </is>
      </c>
      <c r="D2921" s="11" t="inlineStr">
        <is>
          <t>Utility and C&amp;I</t>
        </is>
      </c>
      <c r="E2921" s="1" t="n"/>
      <c r="F2921" s="1" t="inlineStr">
        <is>
          <t>Closed</t>
        </is>
      </c>
      <c r="G2921" s="11" t="inlineStr">
        <is>
          <t>Vasu.N</t>
        </is>
      </c>
      <c r="H2921" s="8" t="n">
        <v>9578099893</v>
      </c>
      <c r="I2921" s="10" t="inlineStr">
        <is>
          <t>PE04062601</t>
        </is>
      </c>
      <c r="J2921" s="28" t="inlineStr">
        <is>
          <t>Module burnt</t>
        </is>
      </c>
      <c r="K2921" s="8" t="inlineStr">
        <is>
          <t>Zura</t>
        </is>
      </c>
      <c r="L2921" s="8" t="inlineStr">
        <is>
          <t>Gujarat</t>
        </is>
      </c>
      <c r="M2921" s="2" t="inlineStr">
        <is>
          <t>PS</t>
        </is>
      </c>
      <c r="N2921" s="1" t="inlineStr">
        <is>
          <t>Cold Soldering</t>
        </is>
      </c>
      <c r="O2921" s="51" t="n">
        <v>590</v>
      </c>
      <c r="P2921" s="2" t="inlineStr">
        <is>
          <t>NSMI24100616762</t>
        </is>
      </c>
      <c r="Q2921" s="29">
        <f>MID(P2921,5,2)</f>
        <v/>
      </c>
      <c r="R2921" s="14">
        <f>MID(P2921,7,2)</f>
        <v/>
      </c>
      <c r="S2921" s="6" t="inlineStr">
        <is>
          <t>G2G</t>
        </is>
      </c>
      <c r="T2921" s="1" t="inlineStr">
        <is>
          <t>P4 - PEIPL</t>
        </is>
      </c>
      <c r="U2921" s="1" t="inlineStr">
        <is>
          <t>P JB Cold Soldering</t>
        </is>
      </c>
      <c r="V2921" s="1" t="inlineStr">
        <is>
          <t>Soldering</t>
        </is>
      </c>
      <c r="W2921" s="1" t="inlineStr">
        <is>
          <t>Repair</t>
        </is>
      </c>
      <c r="X2921" s="5" t="n">
        <v>46203</v>
      </c>
      <c r="Y2921" s="1">
        <f>IF(X2921="","",X2921-A2921)</f>
        <v/>
      </c>
      <c r="Z2921" s="5" t="n">
        <v>46203</v>
      </c>
      <c r="AA2921" s="3" t="n"/>
      <c r="AB2921" s="3" t="n"/>
      <c r="AE2921" s="146">
        <f>IF(AND(F2921="Closed",X2921&gt;=DATE(2026,6,1),X2921&lt;=DATE(2026,6,30)),"Closed in June","other")</f>
        <v/>
      </c>
    </row>
    <row r="2922" hidden="1">
      <c r="A2922" s="9" t="n">
        <v>46134</v>
      </c>
      <c r="B2922" s="1" t="n">
        <v>2026</v>
      </c>
      <c r="C2922" s="8" t="inlineStr">
        <is>
          <t>First Energy</t>
        </is>
      </c>
      <c r="D2922" s="11" t="inlineStr">
        <is>
          <t>Utility and C&amp;I</t>
        </is>
      </c>
      <c r="E2922" s="1" t="n"/>
      <c r="F2922" s="1" t="inlineStr">
        <is>
          <t>Closed</t>
        </is>
      </c>
      <c r="G2922" s="8" t="inlineStr">
        <is>
          <t>Saravanakumar</t>
        </is>
      </c>
      <c r="H2922" s="8" t="n">
        <v>8248438488</v>
      </c>
      <c r="I2922" s="10" t="inlineStr">
        <is>
          <t>PE22042601</t>
        </is>
      </c>
      <c r="J2922" s="8" t="inlineStr">
        <is>
          <t>Anomalies/defects in the modules</t>
        </is>
      </c>
      <c r="K2922" s="8" t="inlineStr">
        <is>
          <t>Tirunelveli</t>
        </is>
      </c>
      <c r="L2922" s="8" t="inlineStr">
        <is>
          <t>Tamil Nadu</t>
        </is>
      </c>
      <c r="M2922" s="61" t="inlineStr">
        <is>
          <t>Ok</t>
        </is>
      </c>
      <c r="N2922" s="2" t="inlineStr">
        <is>
          <t>No Issue Found</t>
        </is>
      </c>
      <c r="O2922" s="51" t="n">
        <v>550</v>
      </c>
      <c r="P2922" s="61" t="inlineStr">
        <is>
          <t>NSMP2307335922</t>
        </is>
      </c>
      <c r="Q2922" s="29">
        <f>MID(P2922,5,2)</f>
        <v/>
      </c>
      <c r="R2922" s="14">
        <f>MID(P2922,7,2)</f>
        <v/>
      </c>
      <c r="S2922" s="6" t="inlineStr">
        <is>
          <t>G2B</t>
        </is>
      </c>
      <c r="T2922" s="1" t="inlineStr">
        <is>
          <t>P2 - PEPPL</t>
        </is>
      </c>
      <c r="U2922" s="6" t="inlineStr">
        <is>
          <t>No Issue Found</t>
        </is>
      </c>
      <c r="V2922" s="6" t="inlineStr">
        <is>
          <t>Inspection</t>
        </is>
      </c>
      <c r="W2922" s="1" t="inlineStr">
        <is>
          <t>Rejected</t>
        </is>
      </c>
      <c r="X2922" s="5" t="n">
        <v>46203</v>
      </c>
      <c r="Y2922" s="1">
        <f>IF(X2922="","",X2922-A2922)</f>
        <v/>
      </c>
      <c r="Z2922" s="5" t="n">
        <v>46203</v>
      </c>
      <c r="AA2922" s="3" t="n"/>
      <c r="AB2922" s="3" t="n"/>
      <c r="AE2922" s="146">
        <f>IF(AND(F2922="Closed",X2922&gt;=DATE(2026,6,1),X2922&lt;=DATE(2026,6,30)),"Closed in June","other")</f>
        <v/>
      </c>
    </row>
    <row r="2923" hidden="1">
      <c r="A2923" s="9" t="n">
        <v>46134</v>
      </c>
      <c r="B2923" s="1" t="n">
        <v>2026</v>
      </c>
      <c r="C2923" s="8" t="inlineStr">
        <is>
          <t>First Energy</t>
        </is>
      </c>
      <c r="D2923" s="11" t="inlineStr">
        <is>
          <t>Utility and C&amp;I</t>
        </is>
      </c>
      <c r="E2923" s="1" t="n"/>
      <c r="F2923" s="1" t="inlineStr">
        <is>
          <t>Closed</t>
        </is>
      </c>
      <c r="G2923" s="8" t="inlineStr">
        <is>
          <t>Saravanakumar</t>
        </is>
      </c>
      <c r="H2923" s="8" t="n">
        <v>8248438488</v>
      </c>
      <c r="I2923" s="10" t="inlineStr">
        <is>
          <t>PE22042601</t>
        </is>
      </c>
      <c r="J2923" s="8" t="inlineStr">
        <is>
          <t>Anomalies/defects in the modules</t>
        </is>
      </c>
      <c r="K2923" s="8" t="inlineStr">
        <is>
          <t>Tirunelveli</t>
        </is>
      </c>
      <c r="L2923" s="8" t="inlineStr">
        <is>
          <t>Tamil Nadu</t>
        </is>
      </c>
      <c r="M2923" s="62" t="inlineStr">
        <is>
          <t>Ok</t>
        </is>
      </c>
      <c r="N2923" s="2" t="inlineStr">
        <is>
          <t>No Issue Found</t>
        </is>
      </c>
      <c r="O2923" s="51" t="n">
        <v>550</v>
      </c>
      <c r="P2923" s="62" t="inlineStr">
        <is>
          <t>NSMP2308479809</t>
        </is>
      </c>
      <c r="Q2923" s="29">
        <f>MID(P2923,5,2)</f>
        <v/>
      </c>
      <c r="R2923" s="14">
        <f>MID(P2923,7,2)</f>
        <v/>
      </c>
      <c r="S2923" s="6" t="inlineStr">
        <is>
          <t>G2B</t>
        </is>
      </c>
      <c r="T2923" s="1" t="inlineStr">
        <is>
          <t>P2 - PEPPL</t>
        </is>
      </c>
      <c r="U2923" s="6" t="inlineStr">
        <is>
          <t>No Issue Found</t>
        </is>
      </c>
      <c r="V2923" s="6" t="inlineStr">
        <is>
          <t>Inspection</t>
        </is>
      </c>
      <c r="W2923" s="1" t="inlineStr">
        <is>
          <t>Rejected</t>
        </is>
      </c>
      <c r="X2923" s="5" t="n">
        <v>46203</v>
      </c>
      <c r="Y2923" s="1">
        <f>IF(X2923="","",X2923-A2923)</f>
        <v/>
      </c>
      <c r="Z2923" s="5" t="n">
        <v>46203</v>
      </c>
      <c r="AA2923" s="3" t="n"/>
      <c r="AB2923" s="3" t="n"/>
      <c r="AE2923" s="146">
        <f>IF(AND(F2923="Closed",X2923&gt;=DATE(2026,6,1),X2923&lt;=DATE(2026,6,30)),"Closed in June","other")</f>
        <v/>
      </c>
    </row>
    <row r="2924" hidden="1">
      <c r="A2924" s="9" t="n">
        <v>46134</v>
      </c>
      <c r="B2924" s="1" t="n">
        <v>2026</v>
      </c>
      <c r="C2924" s="8" t="inlineStr">
        <is>
          <t>First Energy</t>
        </is>
      </c>
      <c r="D2924" s="11" t="inlineStr">
        <is>
          <t>Utility and C&amp;I</t>
        </is>
      </c>
      <c r="E2924" s="1" t="n"/>
      <c r="F2924" s="1" t="inlineStr">
        <is>
          <t>Closed</t>
        </is>
      </c>
      <c r="G2924" s="8" t="inlineStr">
        <is>
          <t>Saravanakumar</t>
        </is>
      </c>
      <c r="H2924" s="8" t="n">
        <v>8248438488</v>
      </c>
      <c r="I2924" s="10" t="inlineStr">
        <is>
          <t>PE22042601</t>
        </is>
      </c>
      <c r="J2924" s="8" t="inlineStr">
        <is>
          <t>Anomalies/defects in the modules</t>
        </is>
      </c>
      <c r="K2924" s="8" t="inlineStr">
        <is>
          <t>Tirunelveli</t>
        </is>
      </c>
      <c r="L2924" s="8" t="inlineStr">
        <is>
          <t>Tamil Nadu</t>
        </is>
      </c>
      <c r="M2924" s="62" t="inlineStr">
        <is>
          <t>Ok</t>
        </is>
      </c>
      <c r="N2924" s="2" t="inlineStr">
        <is>
          <t>No Issue Found</t>
        </is>
      </c>
      <c r="O2924" s="51" t="n">
        <v>550</v>
      </c>
      <c r="P2924" s="62" t="inlineStr">
        <is>
          <t>NSMP2307330630</t>
        </is>
      </c>
      <c r="Q2924" s="29">
        <f>MID(P2924,5,2)</f>
        <v/>
      </c>
      <c r="R2924" s="14">
        <f>MID(P2924,7,2)</f>
        <v/>
      </c>
      <c r="S2924" s="6" t="inlineStr">
        <is>
          <t>G2B</t>
        </is>
      </c>
      <c r="T2924" s="1" t="inlineStr">
        <is>
          <t>P2 - PEPPL</t>
        </is>
      </c>
      <c r="U2924" s="6" t="inlineStr">
        <is>
          <t>No Issue Found</t>
        </is>
      </c>
      <c r="V2924" s="6" t="inlineStr">
        <is>
          <t>Inspection</t>
        </is>
      </c>
      <c r="W2924" s="1" t="inlineStr">
        <is>
          <t>Rejected</t>
        </is>
      </c>
      <c r="X2924" s="5" t="n">
        <v>46203</v>
      </c>
      <c r="Y2924" s="1">
        <f>IF(X2924="","",X2924-A2924)</f>
        <v/>
      </c>
      <c r="Z2924" s="5" t="n">
        <v>46203</v>
      </c>
      <c r="AA2924" s="3" t="n"/>
      <c r="AB2924" s="3" t="n"/>
      <c r="AE2924" s="146">
        <f>IF(AND(F2924="Closed",X2924&gt;=DATE(2026,6,1),X2924&lt;=DATE(2026,6,30)),"Closed in June","other")</f>
        <v/>
      </c>
    </row>
    <row r="2925" hidden="1">
      <c r="A2925" s="9" t="n">
        <v>46134</v>
      </c>
      <c r="B2925" s="1" t="n">
        <v>2026</v>
      </c>
      <c r="C2925" s="8" t="inlineStr">
        <is>
          <t>First Energy</t>
        </is>
      </c>
      <c r="D2925" s="11" t="inlineStr">
        <is>
          <t>Utility and C&amp;I</t>
        </is>
      </c>
      <c r="E2925" s="1" t="n"/>
      <c r="F2925" s="1" t="inlineStr">
        <is>
          <t>Closed</t>
        </is>
      </c>
      <c r="G2925" s="8" t="inlineStr">
        <is>
          <t>Saravanakumar</t>
        </is>
      </c>
      <c r="H2925" s="8" t="n">
        <v>8248438488</v>
      </c>
      <c r="I2925" s="10" t="inlineStr">
        <is>
          <t>PE22042601</t>
        </is>
      </c>
      <c r="J2925" s="8" t="inlineStr">
        <is>
          <t>Anomalies/defects in the modules</t>
        </is>
      </c>
      <c r="K2925" s="8" t="inlineStr">
        <is>
          <t>Tirunelveli</t>
        </is>
      </c>
      <c r="L2925" s="8" t="inlineStr">
        <is>
          <t>Tamil Nadu</t>
        </is>
      </c>
      <c r="M2925" s="62" t="inlineStr">
        <is>
          <t>Ok</t>
        </is>
      </c>
      <c r="N2925" s="2" t="inlineStr">
        <is>
          <t>No Issue Found</t>
        </is>
      </c>
      <c r="O2925" s="51" t="n">
        <v>550</v>
      </c>
      <c r="P2925" s="62" t="inlineStr">
        <is>
          <t>NSMP2307329738</t>
        </is>
      </c>
      <c r="Q2925" s="29">
        <f>MID(P2925,5,2)</f>
        <v/>
      </c>
      <c r="R2925" s="14">
        <f>MID(P2925,7,2)</f>
        <v/>
      </c>
      <c r="S2925" s="6" t="inlineStr">
        <is>
          <t>G2B</t>
        </is>
      </c>
      <c r="T2925" s="1" t="inlineStr">
        <is>
          <t>P2 - PEPPL</t>
        </is>
      </c>
      <c r="U2925" s="6" t="inlineStr">
        <is>
          <t>No Issue Found</t>
        </is>
      </c>
      <c r="V2925" s="6" t="inlineStr">
        <is>
          <t>Inspection</t>
        </is>
      </c>
      <c r="W2925" s="1" t="inlineStr">
        <is>
          <t>Rejected</t>
        </is>
      </c>
      <c r="X2925" s="5" t="n">
        <v>46203</v>
      </c>
      <c r="Y2925" s="1">
        <f>IF(X2925="","",X2925-A2925)</f>
        <v/>
      </c>
      <c r="Z2925" s="5" t="n">
        <v>46203</v>
      </c>
      <c r="AA2925" s="3" t="n"/>
      <c r="AB2925" s="3" t="n"/>
      <c r="AE2925" s="146">
        <f>IF(AND(F2925="Closed",X2925&gt;=DATE(2026,6,1),X2925&lt;=DATE(2026,6,30)),"Closed in June","other")</f>
        <v/>
      </c>
    </row>
    <row r="2926" hidden="1">
      <c r="A2926" s="9" t="n">
        <v>46134</v>
      </c>
      <c r="B2926" s="1" t="n">
        <v>2026</v>
      </c>
      <c r="C2926" s="8" t="inlineStr">
        <is>
          <t>First Energy</t>
        </is>
      </c>
      <c r="D2926" s="11" t="inlineStr">
        <is>
          <t>Utility and C&amp;I</t>
        </is>
      </c>
      <c r="E2926" s="1" t="n"/>
      <c r="F2926" s="1" t="inlineStr">
        <is>
          <t>Closed</t>
        </is>
      </c>
      <c r="G2926" s="8" t="inlineStr">
        <is>
          <t>Saravanakumar</t>
        </is>
      </c>
      <c r="H2926" s="8" t="n">
        <v>8248438488</v>
      </c>
      <c r="I2926" s="10" t="inlineStr">
        <is>
          <t>PE22042601</t>
        </is>
      </c>
      <c r="J2926" s="8" t="inlineStr">
        <is>
          <t>Anomalies/defects in the modules</t>
        </is>
      </c>
      <c r="K2926" s="8" t="inlineStr">
        <is>
          <t>Tirunelveli</t>
        </is>
      </c>
      <c r="L2926" s="8" t="inlineStr">
        <is>
          <t>Tamil Nadu</t>
        </is>
      </c>
      <c r="M2926" s="62" t="inlineStr">
        <is>
          <t>Ok</t>
        </is>
      </c>
      <c r="N2926" s="2" t="inlineStr">
        <is>
          <t>No Issue Found</t>
        </is>
      </c>
      <c r="O2926" s="51" t="n">
        <v>550</v>
      </c>
      <c r="P2926" s="62" t="inlineStr">
        <is>
          <t>NSMP2306318988</t>
        </is>
      </c>
      <c r="Q2926" s="29">
        <f>MID(P2926,5,2)</f>
        <v/>
      </c>
      <c r="R2926" s="14">
        <f>MID(P2926,7,2)</f>
        <v/>
      </c>
      <c r="S2926" s="6" t="inlineStr">
        <is>
          <t>G2B</t>
        </is>
      </c>
      <c r="T2926" s="1" t="inlineStr">
        <is>
          <t>P2 - PEPPL</t>
        </is>
      </c>
      <c r="U2926" s="6" t="inlineStr">
        <is>
          <t>No Issue Found</t>
        </is>
      </c>
      <c r="V2926" s="6" t="inlineStr">
        <is>
          <t>Inspection</t>
        </is>
      </c>
      <c r="W2926" s="1" t="inlineStr">
        <is>
          <t>Rejected</t>
        </is>
      </c>
      <c r="X2926" s="5" t="n">
        <v>46203</v>
      </c>
      <c r="Y2926" s="1">
        <f>IF(X2926="","",X2926-A2926)</f>
        <v/>
      </c>
      <c r="Z2926" s="5" t="n">
        <v>46203</v>
      </c>
      <c r="AA2926" s="3" t="n"/>
      <c r="AB2926" s="3" t="n"/>
      <c r="AE2926" s="146">
        <f>IF(AND(F2926="Closed",X2926&gt;=DATE(2026,6,1),X2926&lt;=DATE(2026,6,30)),"Closed in June","other")</f>
        <v/>
      </c>
    </row>
    <row r="2927" hidden="1">
      <c r="A2927" s="9" t="n">
        <v>46134</v>
      </c>
      <c r="B2927" s="1" t="n">
        <v>2026</v>
      </c>
      <c r="C2927" s="8" t="inlineStr">
        <is>
          <t>First Energy</t>
        </is>
      </c>
      <c r="D2927" s="11" t="inlineStr">
        <is>
          <t>Utility and C&amp;I</t>
        </is>
      </c>
      <c r="E2927" s="1" t="n"/>
      <c r="F2927" s="1" t="inlineStr">
        <is>
          <t>Closed</t>
        </is>
      </c>
      <c r="G2927" s="8" t="inlineStr">
        <is>
          <t>Saravanakumar</t>
        </is>
      </c>
      <c r="H2927" s="8" t="n">
        <v>8248438488</v>
      </c>
      <c r="I2927" s="10" t="inlineStr">
        <is>
          <t>PE22042601</t>
        </is>
      </c>
      <c r="J2927" s="8" t="inlineStr">
        <is>
          <t>Anomalies/defects in the modules</t>
        </is>
      </c>
      <c r="K2927" s="8" t="inlineStr">
        <is>
          <t>Tirunelveli</t>
        </is>
      </c>
      <c r="L2927" s="8" t="inlineStr">
        <is>
          <t>Tamil Nadu</t>
        </is>
      </c>
      <c r="M2927" s="62" t="inlineStr">
        <is>
          <t>Ok</t>
        </is>
      </c>
      <c r="N2927" s="2" t="inlineStr">
        <is>
          <t>No Issue Found</t>
        </is>
      </c>
      <c r="O2927" s="51" t="n">
        <v>550</v>
      </c>
      <c r="P2927" s="62" t="inlineStr">
        <is>
          <t>NSMP2307330517</t>
        </is>
      </c>
      <c r="Q2927" s="29">
        <f>MID(P2927,5,2)</f>
        <v/>
      </c>
      <c r="R2927" s="14">
        <f>MID(P2927,7,2)</f>
        <v/>
      </c>
      <c r="S2927" s="6" t="inlineStr">
        <is>
          <t>G2B</t>
        </is>
      </c>
      <c r="T2927" s="1" t="inlineStr">
        <is>
          <t>P2 - PEPPL</t>
        </is>
      </c>
      <c r="U2927" s="6" t="inlineStr">
        <is>
          <t>No Issue Found</t>
        </is>
      </c>
      <c r="V2927" s="6" t="inlineStr">
        <is>
          <t>Inspection</t>
        </is>
      </c>
      <c r="W2927" s="1" t="inlineStr">
        <is>
          <t>Rejected</t>
        </is>
      </c>
      <c r="X2927" s="5" t="n">
        <v>46203</v>
      </c>
      <c r="Y2927" s="1">
        <f>IF(X2927="","",X2927-A2927)</f>
        <v/>
      </c>
      <c r="Z2927" s="5" t="n">
        <v>46203</v>
      </c>
      <c r="AA2927" s="3" t="n"/>
      <c r="AB2927" s="3" t="n"/>
      <c r="AE2927" s="146">
        <f>IF(AND(F2927="Closed",X2927&gt;=DATE(2026,6,1),X2927&lt;=DATE(2026,6,30)),"Closed in June","other")</f>
        <v/>
      </c>
    </row>
    <row r="2928" hidden="1">
      <c r="A2928" s="9" t="n">
        <v>46134</v>
      </c>
      <c r="B2928" s="1" t="n">
        <v>2026</v>
      </c>
      <c r="C2928" s="8" t="inlineStr">
        <is>
          <t>First Energy</t>
        </is>
      </c>
      <c r="D2928" s="11" t="inlineStr">
        <is>
          <t>Utility and C&amp;I</t>
        </is>
      </c>
      <c r="E2928" s="1" t="n"/>
      <c r="F2928" s="1" t="inlineStr">
        <is>
          <t>Closed</t>
        </is>
      </c>
      <c r="G2928" s="8" t="inlineStr">
        <is>
          <t>Saravanakumar</t>
        </is>
      </c>
      <c r="H2928" s="8" t="n">
        <v>8248438488</v>
      </c>
      <c r="I2928" s="10" t="inlineStr">
        <is>
          <t>PE22042601</t>
        </is>
      </c>
      <c r="J2928" s="8" t="inlineStr">
        <is>
          <t>Anomalies/defects in the modules</t>
        </is>
      </c>
      <c r="K2928" s="8" t="inlineStr">
        <is>
          <t>Tirunelveli</t>
        </is>
      </c>
      <c r="L2928" s="8" t="inlineStr">
        <is>
          <t>Tamil Nadu</t>
        </is>
      </c>
      <c r="M2928" s="62" t="inlineStr">
        <is>
          <t>Ok</t>
        </is>
      </c>
      <c r="N2928" s="2" t="inlineStr">
        <is>
          <t>No Issue Found</t>
        </is>
      </c>
      <c r="O2928" s="51" t="n">
        <v>550</v>
      </c>
      <c r="P2928" s="62" t="inlineStr">
        <is>
          <t>NSMP2307335915</t>
        </is>
      </c>
      <c r="Q2928" s="29">
        <f>MID(P2928,5,2)</f>
        <v/>
      </c>
      <c r="R2928" s="14">
        <f>MID(P2928,7,2)</f>
        <v/>
      </c>
      <c r="S2928" s="6" t="inlineStr">
        <is>
          <t>G2B</t>
        </is>
      </c>
      <c r="T2928" s="1" t="inlineStr">
        <is>
          <t>P2 - PEPPL</t>
        </is>
      </c>
      <c r="U2928" s="6" t="inlineStr">
        <is>
          <t>No Issue Found</t>
        </is>
      </c>
      <c r="V2928" s="6" t="inlineStr">
        <is>
          <t>Inspection</t>
        </is>
      </c>
      <c r="W2928" s="1" t="inlineStr">
        <is>
          <t>Rejected</t>
        </is>
      </c>
      <c r="X2928" s="5" t="n">
        <v>46203</v>
      </c>
      <c r="Y2928" s="1">
        <f>IF(X2928="","",X2928-A2928)</f>
        <v/>
      </c>
      <c r="Z2928" s="5" t="n">
        <v>46203</v>
      </c>
      <c r="AA2928" s="3" t="n"/>
      <c r="AB2928" s="3" t="n"/>
      <c r="AE2928" s="146">
        <f>IF(AND(F2928="Closed",X2928&gt;=DATE(2026,6,1),X2928&lt;=DATE(2026,6,30)),"Closed in June","other")</f>
        <v/>
      </c>
    </row>
    <row r="2929" hidden="1">
      <c r="A2929" s="9" t="n">
        <v>46134</v>
      </c>
      <c r="B2929" s="1" t="n">
        <v>2026</v>
      </c>
      <c r="C2929" s="8" t="inlineStr">
        <is>
          <t>First Energy</t>
        </is>
      </c>
      <c r="D2929" s="11" t="inlineStr">
        <is>
          <t>Utility and C&amp;I</t>
        </is>
      </c>
      <c r="E2929" s="1" t="n"/>
      <c r="F2929" s="1" t="inlineStr">
        <is>
          <t>Closed</t>
        </is>
      </c>
      <c r="G2929" s="8" t="inlineStr">
        <is>
          <t>Saravanakumar</t>
        </is>
      </c>
      <c r="H2929" s="8" t="n">
        <v>8248438488</v>
      </c>
      <c r="I2929" s="10" t="inlineStr">
        <is>
          <t>PE22042601</t>
        </is>
      </c>
      <c r="J2929" s="8" t="inlineStr">
        <is>
          <t>Anomalies/defects in the modules</t>
        </is>
      </c>
      <c r="K2929" s="8" t="inlineStr">
        <is>
          <t>Tirunelveli</t>
        </is>
      </c>
      <c r="L2929" s="8" t="inlineStr">
        <is>
          <t>Tamil Nadu</t>
        </is>
      </c>
      <c r="M2929" s="62" t="inlineStr">
        <is>
          <t>OK</t>
        </is>
      </c>
      <c r="N2929" s="2" t="inlineStr">
        <is>
          <t>No Issue Found</t>
        </is>
      </c>
      <c r="O2929" s="51" t="n">
        <v>550</v>
      </c>
      <c r="P2929" s="62" t="inlineStr">
        <is>
          <t>NSMP2307330784</t>
        </is>
      </c>
      <c r="Q2929" s="29">
        <f>MID(P2929,5,2)</f>
        <v/>
      </c>
      <c r="R2929" s="14">
        <f>MID(P2929,7,2)</f>
        <v/>
      </c>
      <c r="S2929" s="6" t="inlineStr">
        <is>
          <t>G2B</t>
        </is>
      </c>
      <c r="T2929" s="1" t="inlineStr">
        <is>
          <t>P2 - PEPPL</t>
        </is>
      </c>
      <c r="U2929" s="6" t="inlineStr">
        <is>
          <t>No Issue Found</t>
        </is>
      </c>
      <c r="V2929" s="6" t="inlineStr">
        <is>
          <t>Inspection</t>
        </is>
      </c>
      <c r="W2929" s="1" t="inlineStr">
        <is>
          <t>Rejected</t>
        </is>
      </c>
      <c r="X2929" s="5" t="n">
        <v>46203</v>
      </c>
      <c r="Y2929" s="1">
        <f>IF(X2929="","",X2929-A2929)</f>
        <v/>
      </c>
      <c r="Z2929" s="5" t="n">
        <v>46203</v>
      </c>
      <c r="AA2929" s="3" t="n"/>
      <c r="AB2929" s="3" t="n"/>
      <c r="AE2929" s="146">
        <f>IF(AND(F2929="Closed",X2929&gt;=DATE(2026,6,1),X2929&lt;=DATE(2026,6,30)),"Closed in June","other")</f>
        <v/>
      </c>
    </row>
    <row r="2930" hidden="1">
      <c r="A2930" s="9" t="n">
        <v>46134</v>
      </c>
      <c r="B2930" s="1" t="n">
        <v>2026</v>
      </c>
      <c r="C2930" s="8" t="inlineStr">
        <is>
          <t>First Energy</t>
        </is>
      </c>
      <c r="D2930" s="11" t="inlineStr">
        <is>
          <t>Utility and C&amp;I</t>
        </is>
      </c>
      <c r="E2930" s="1" t="n"/>
      <c r="F2930" s="1" t="inlineStr">
        <is>
          <t>Closed</t>
        </is>
      </c>
      <c r="G2930" s="8" t="inlineStr">
        <is>
          <t>Saravanakumar</t>
        </is>
      </c>
      <c r="H2930" s="8" t="n">
        <v>8248438488</v>
      </c>
      <c r="I2930" s="10" t="inlineStr">
        <is>
          <t>PE22042601</t>
        </is>
      </c>
      <c r="J2930" s="8" t="inlineStr">
        <is>
          <t>Anomalies/defects in the modules</t>
        </is>
      </c>
      <c r="K2930" s="8" t="inlineStr">
        <is>
          <t>Tirunelveli</t>
        </is>
      </c>
      <c r="L2930" s="8" t="inlineStr">
        <is>
          <t>Tamil Nadu</t>
        </is>
      </c>
      <c r="M2930" s="62" t="inlineStr">
        <is>
          <t>OK</t>
        </is>
      </c>
      <c r="N2930" s="2" t="inlineStr">
        <is>
          <t>No Issue Found</t>
        </is>
      </c>
      <c r="O2930" s="51" t="n">
        <v>550</v>
      </c>
      <c r="P2930" s="62" t="inlineStr">
        <is>
          <t>NSMP2306323929</t>
        </is>
      </c>
      <c r="Q2930" s="29">
        <f>MID(P2930,5,2)</f>
        <v/>
      </c>
      <c r="R2930" s="14">
        <f>MID(P2930,7,2)</f>
        <v/>
      </c>
      <c r="S2930" s="6" t="inlineStr">
        <is>
          <t>G2B</t>
        </is>
      </c>
      <c r="T2930" s="1" t="inlineStr">
        <is>
          <t>P2 - PEPPL</t>
        </is>
      </c>
      <c r="U2930" s="6" t="inlineStr">
        <is>
          <t>No Issue Found</t>
        </is>
      </c>
      <c r="V2930" s="6" t="inlineStr">
        <is>
          <t>Inspection</t>
        </is>
      </c>
      <c r="W2930" s="1" t="inlineStr">
        <is>
          <t>Rejected</t>
        </is>
      </c>
      <c r="X2930" s="5" t="n">
        <v>46203</v>
      </c>
      <c r="Y2930" s="1">
        <f>IF(X2930="","",X2930-A2930)</f>
        <v/>
      </c>
      <c r="Z2930" s="5" t="n">
        <v>46203</v>
      </c>
      <c r="AA2930" s="3" t="n"/>
      <c r="AB2930" s="3" t="n"/>
      <c r="AE2930" s="146">
        <f>IF(AND(F2930="Closed",X2930&gt;=DATE(2026,6,1),X2930&lt;=DATE(2026,6,30)),"Closed in June","other")</f>
        <v/>
      </c>
    </row>
    <row r="2931" hidden="1">
      <c r="A2931" s="9" t="n">
        <v>46134</v>
      </c>
      <c r="B2931" s="1" t="n">
        <v>2026</v>
      </c>
      <c r="C2931" s="8" t="inlineStr">
        <is>
          <t>First Energy</t>
        </is>
      </c>
      <c r="D2931" s="11" t="inlineStr">
        <is>
          <t>Utility and C&amp;I</t>
        </is>
      </c>
      <c r="E2931" s="1" t="n"/>
      <c r="F2931" s="1" t="inlineStr">
        <is>
          <t>Closed</t>
        </is>
      </c>
      <c r="G2931" s="8" t="inlineStr">
        <is>
          <t>Saravanakumar</t>
        </is>
      </c>
      <c r="H2931" s="8" t="n">
        <v>8248438488</v>
      </c>
      <c r="I2931" s="10" t="inlineStr">
        <is>
          <t>PE22042601</t>
        </is>
      </c>
      <c r="J2931" s="8" t="inlineStr">
        <is>
          <t>Anomalies/defects in the modules</t>
        </is>
      </c>
      <c r="K2931" s="8" t="inlineStr">
        <is>
          <t>Tirunelveli</t>
        </is>
      </c>
      <c r="L2931" s="8" t="inlineStr">
        <is>
          <t>Tamil Nadu</t>
        </is>
      </c>
      <c r="M2931" s="62" t="inlineStr">
        <is>
          <t>OK</t>
        </is>
      </c>
      <c r="N2931" s="2" t="inlineStr">
        <is>
          <t>No Issue Found</t>
        </is>
      </c>
      <c r="O2931" s="51" t="n">
        <v>550</v>
      </c>
      <c r="P2931" s="62" t="inlineStr">
        <is>
          <t>NSMP2306325019</t>
        </is>
      </c>
      <c r="Q2931" s="29">
        <f>MID(P2931,5,2)</f>
        <v/>
      </c>
      <c r="R2931" s="14">
        <f>MID(P2931,7,2)</f>
        <v/>
      </c>
      <c r="S2931" s="6" t="inlineStr">
        <is>
          <t>G2B</t>
        </is>
      </c>
      <c r="T2931" s="1" t="inlineStr">
        <is>
          <t>P2 - PEPPL</t>
        </is>
      </c>
      <c r="U2931" s="6" t="inlineStr">
        <is>
          <t>No Issue Found</t>
        </is>
      </c>
      <c r="V2931" s="6" t="inlineStr">
        <is>
          <t>Inspection</t>
        </is>
      </c>
      <c r="W2931" s="1" t="inlineStr">
        <is>
          <t>Rejected</t>
        </is>
      </c>
      <c r="X2931" s="5" t="n">
        <v>46203</v>
      </c>
      <c r="Y2931" s="1">
        <f>IF(X2931="","",X2931-A2931)</f>
        <v/>
      </c>
      <c r="Z2931" s="5" t="n">
        <v>46203</v>
      </c>
      <c r="AA2931" s="3" t="n"/>
      <c r="AB2931" s="3" t="n"/>
      <c r="AE2931" s="146">
        <f>IF(AND(F2931="Closed",X2931&gt;=DATE(2026,6,1),X2931&lt;=DATE(2026,6,30)),"Closed in June","other")</f>
        <v/>
      </c>
    </row>
    <row r="2932" hidden="1">
      <c r="A2932" s="9" t="n">
        <v>46134</v>
      </c>
      <c r="B2932" s="1" t="n">
        <v>2026</v>
      </c>
      <c r="C2932" s="8" t="inlineStr">
        <is>
          <t>First Energy</t>
        </is>
      </c>
      <c r="D2932" s="11" t="inlineStr">
        <is>
          <t>Utility and C&amp;I</t>
        </is>
      </c>
      <c r="E2932" s="1" t="n"/>
      <c r="F2932" s="1" t="inlineStr">
        <is>
          <t>Closed</t>
        </is>
      </c>
      <c r="G2932" s="8" t="inlineStr">
        <is>
          <t>Saravanakumar</t>
        </is>
      </c>
      <c r="H2932" s="8" t="n">
        <v>8248438488</v>
      </c>
      <c r="I2932" s="10" t="inlineStr">
        <is>
          <t>PE22042601</t>
        </is>
      </c>
      <c r="J2932" s="8" t="inlineStr">
        <is>
          <t>Anomalies/defects in the modules</t>
        </is>
      </c>
      <c r="K2932" s="8" t="inlineStr">
        <is>
          <t>Tirunelveli</t>
        </is>
      </c>
      <c r="L2932" s="8" t="inlineStr">
        <is>
          <t>Tamil Nadu</t>
        </is>
      </c>
      <c r="M2932" s="62" t="inlineStr">
        <is>
          <t>OK</t>
        </is>
      </c>
      <c r="N2932" s="2" t="inlineStr">
        <is>
          <t>No Issue Found</t>
        </is>
      </c>
      <c r="O2932" s="51" t="n">
        <v>550</v>
      </c>
      <c r="P2932" s="62" t="inlineStr">
        <is>
          <t>NSMP2307368395</t>
        </is>
      </c>
      <c r="Q2932" s="29">
        <f>MID(P2932,5,2)</f>
        <v/>
      </c>
      <c r="R2932" s="14">
        <f>MID(P2932,7,2)</f>
        <v/>
      </c>
      <c r="S2932" s="6" t="inlineStr">
        <is>
          <t>G2B</t>
        </is>
      </c>
      <c r="T2932" s="1" t="inlineStr">
        <is>
          <t>P2 - PEPPL</t>
        </is>
      </c>
      <c r="U2932" s="6" t="inlineStr">
        <is>
          <t>No Issue Found</t>
        </is>
      </c>
      <c r="V2932" s="6" t="inlineStr">
        <is>
          <t>Inspection</t>
        </is>
      </c>
      <c r="W2932" s="1" t="inlineStr">
        <is>
          <t>Rejected</t>
        </is>
      </c>
      <c r="X2932" s="5" t="n">
        <v>46203</v>
      </c>
      <c r="Y2932" s="1">
        <f>IF(X2932="","",X2932-A2932)</f>
        <v/>
      </c>
      <c r="Z2932" s="5" t="n">
        <v>46203</v>
      </c>
      <c r="AA2932" s="3" t="n"/>
      <c r="AB2932" s="3" t="n"/>
      <c r="AE2932" s="146">
        <f>IF(AND(F2932="Closed",X2932&gt;=DATE(2026,6,1),X2932&lt;=DATE(2026,6,30)),"Closed in June","other")</f>
        <v/>
      </c>
    </row>
    <row r="2933" hidden="1">
      <c r="A2933" s="9" t="n">
        <v>46134</v>
      </c>
      <c r="B2933" s="1" t="n">
        <v>2026</v>
      </c>
      <c r="C2933" s="8" t="inlineStr">
        <is>
          <t>First Energy</t>
        </is>
      </c>
      <c r="D2933" s="11" t="inlineStr">
        <is>
          <t>Utility and C&amp;I</t>
        </is>
      </c>
      <c r="E2933" s="1" t="n"/>
      <c r="F2933" s="1" t="inlineStr">
        <is>
          <t>Closed</t>
        </is>
      </c>
      <c r="G2933" s="8" t="inlineStr">
        <is>
          <t>Saravanakumar</t>
        </is>
      </c>
      <c r="H2933" s="8" t="n">
        <v>8248438488</v>
      </c>
      <c r="I2933" s="10" t="inlineStr">
        <is>
          <t>PE22042601</t>
        </is>
      </c>
      <c r="J2933" s="8" t="inlineStr">
        <is>
          <t>Anomalies/defects in the modules</t>
        </is>
      </c>
      <c r="K2933" s="8" t="inlineStr">
        <is>
          <t>Tirunelveli</t>
        </is>
      </c>
      <c r="L2933" s="8" t="inlineStr">
        <is>
          <t>Tamil Nadu</t>
        </is>
      </c>
      <c r="M2933" s="62" t="inlineStr">
        <is>
          <t>OK</t>
        </is>
      </c>
      <c r="N2933" s="2" t="inlineStr">
        <is>
          <t>No Issue Found</t>
        </is>
      </c>
      <c r="O2933" s="51" t="n">
        <v>550</v>
      </c>
      <c r="P2933" s="62" t="inlineStr">
        <is>
          <t>NSMP2307329770</t>
        </is>
      </c>
      <c r="Q2933" s="29">
        <f>MID(P2933,5,2)</f>
        <v/>
      </c>
      <c r="R2933" s="14">
        <f>MID(P2933,7,2)</f>
        <v/>
      </c>
      <c r="S2933" s="6" t="inlineStr">
        <is>
          <t>G2B</t>
        </is>
      </c>
      <c r="T2933" s="1" t="inlineStr">
        <is>
          <t>P2 - PEPPL</t>
        </is>
      </c>
      <c r="U2933" s="6" t="inlineStr">
        <is>
          <t>No Issue Found</t>
        </is>
      </c>
      <c r="V2933" s="6" t="inlineStr">
        <is>
          <t>Inspection</t>
        </is>
      </c>
      <c r="W2933" s="1" t="inlineStr">
        <is>
          <t>Rejected</t>
        </is>
      </c>
      <c r="X2933" s="5" t="n">
        <v>46203</v>
      </c>
      <c r="Y2933" s="1">
        <f>IF(X2933="","",X2933-A2933)</f>
        <v/>
      </c>
      <c r="Z2933" s="5" t="n">
        <v>46203</v>
      </c>
      <c r="AA2933" s="3" t="n"/>
      <c r="AB2933" s="3" t="n"/>
      <c r="AE2933" s="146">
        <f>IF(AND(F2933="Closed",X2933&gt;=DATE(2026,6,1),X2933&lt;=DATE(2026,6,30)),"Closed in June","other")</f>
        <v/>
      </c>
    </row>
    <row r="2934" hidden="1">
      <c r="A2934" s="9" t="n">
        <v>46134</v>
      </c>
      <c r="B2934" s="1" t="n">
        <v>2026</v>
      </c>
      <c r="C2934" s="8" t="inlineStr">
        <is>
          <t>First Energy</t>
        </is>
      </c>
      <c r="D2934" s="11" t="inlineStr">
        <is>
          <t>Utility and C&amp;I</t>
        </is>
      </c>
      <c r="E2934" s="1" t="n"/>
      <c r="F2934" s="1" t="inlineStr">
        <is>
          <t>Closed</t>
        </is>
      </c>
      <c r="G2934" s="8" t="inlineStr">
        <is>
          <t>Saravanakumar</t>
        </is>
      </c>
      <c r="H2934" s="8" t="n">
        <v>8248438488</v>
      </c>
      <c r="I2934" s="10" t="inlineStr">
        <is>
          <t>PE22042601</t>
        </is>
      </c>
      <c r="J2934" s="8" t="inlineStr">
        <is>
          <t>Anomalies/defects in the modules</t>
        </is>
      </c>
      <c r="K2934" s="8" t="inlineStr">
        <is>
          <t>Tirunelveli</t>
        </is>
      </c>
      <c r="L2934" s="8" t="inlineStr">
        <is>
          <t>Tamil Nadu</t>
        </is>
      </c>
      <c r="M2934" s="62" t="inlineStr">
        <is>
          <t>OK</t>
        </is>
      </c>
      <c r="N2934" s="2" t="inlineStr">
        <is>
          <t>No Issue Found</t>
        </is>
      </c>
      <c r="O2934" s="51" t="n">
        <v>550</v>
      </c>
      <c r="P2934" s="62" t="inlineStr">
        <is>
          <t>NSMP2307330815</t>
        </is>
      </c>
      <c r="Q2934" s="29">
        <f>MID(P2934,5,2)</f>
        <v/>
      </c>
      <c r="R2934" s="14">
        <f>MID(P2934,7,2)</f>
        <v/>
      </c>
      <c r="S2934" s="6" t="inlineStr">
        <is>
          <t>G2B</t>
        </is>
      </c>
      <c r="T2934" s="1" t="inlineStr">
        <is>
          <t>P2 - PEPPL</t>
        </is>
      </c>
      <c r="U2934" s="6" t="inlineStr">
        <is>
          <t>No Issue Found</t>
        </is>
      </c>
      <c r="V2934" s="6" t="inlineStr">
        <is>
          <t>Inspection</t>
        </is>
      </c>
      <c r="W2934" s="1" t="inlineStr">
        <is>
          <t>Rejected</t>
        </is>
      </c>
      <c r="X2934" s="5" t="n">
        <v>46203</v>
      </c>
      <c r="Y2934" s="1">
        <f>IF(X2934="","",X2934-A2934)</f>
        <v/>
      </c>
      <c r="Z2934" s="5" t="n">
        <v>46203</v>
      </c>
      <c r="AA2934" s="3" t="n"/>
      <c r="AB2934" s="3" t="n"/>
      <c r="AE2934" s="146">
        <f>IF(AND(F2934="Closed",X2934&gt;=DATE(2026,6,1),X2934&lt;=DATE(2026,6,30)),"Closed in June","other")</f>
        <v/>
      </c>
    </row>
    <row r="2935" hidden="1">
      <c r="A2935" s="9" t="n">
        <v>46134</v>
      </c>
      <c r="B2935" s="1" t="n">
        <v>2026</v>
      </c>
      <c r="C2935" s="8" t="inlineStr">
        <is>
          <t>First Energy</t>
        </is>
      </c>
      <c r="D2935" s="11" t="inlineStr">
        <is>
          <t>Utility and C&amp;I</t>
        </is>
      </c>
      <c r="E2935" s="1" t="n"/>
      <c r="F2935" s="1" t="inlineStr">
        <is>
          <t>Closed</t>
        </is>
      </c>
      <c r="G2935" s="8" t="inlineStr">
        <is>
          <t>Saravanakumar</t>
        </is>
      </c>
      <c r="H2935" s="8" t="n">
        <v>8248438488</v>
      </c>
      <c r="I2935" s="10" t="inlineStr">
        <is>
          <t>PE22042601</t>
        </is>
      </c>
      <c r="J2935" s="8" t="inlineStr">
        <is>
          <t>Anomalies/defects in the modules</t>
        </is>
      </c>
      <c r="K2935" s="8" t="inlineStr">
        <is>
          <t>Tirunelveli</t>
        </is>
      </c>
      <c r="L2935" s="8" t="inlineStr">
        <is>
          <t>Tamil Nadu</t>
        </is>
      </c>
      <c r="M2935" s="62" t="inlineStr">
        <is>
          <t>OK</t>
        </is>
      </c>
      <c r="N2935" s="2" t="inlineStr">
        <is>
          <t>No Issue Found</t>
        </is>
      </c>
      <c r="O2935" s="51" t="n">
        <v>550</v>
      </c>
      <c r="P2935" s="62" t="inlineStr">
        <is>
          <t>NSMP2307330002</t>
        </is>
      </c>
      <c r="Q2935" s="29">
        <f>MID(P2935,5,2)</f>
        <v/>
      </c>
      <c r="R2935" s="14">
        <f>MID(P2935,7,2)</f>
        <v/>
      </c>
      <c r="S2935" s="6" t="inlineStr">
        <is>
          <t>G2B</t>
        </is>
      </c>
      <c r="T2935" s="1" t="inlineStr">
        <is>
          <t>P2 - PEPPL</t>
        </is>
      </c>
      <c r="U2935" s="6" t="inlineStr">
        <is>
          <t>No Issue Found</t>
        </is>
      </c>
      <c r="V2935" s="6" t="inlineStr">
        <is>
          <t>Inspection</t>
        </is>
      </c>
      <c r="W2935" s="1" t="inlineStr">
        <is>
          <t>Rejected</t>
        </is>
      </c>
      <c r="X2935" s="5" t="n">
        <v>46203</v>
      </c>
      <c r="Y2935" s="1">
        <f>IF(X2935="","",X2935-A2935)</f>
        <v/>
      </c>
      <c r="Z2935" s="5" t="n">
        <v>46203</v>
      </c>
      <c r="AA2935" s="3" t="n"/>
      <c r="AB2935" s="3" t="n"/>
      <c r="AE2935" s="146">
        <f>IF(AND(F2935="Closed",X2935&gt;=DATE(2026,6,1),X2935&lt;=DATE(2026,6,30)),"Closed in June","other")</f>
        <v/>
      </c>
    </row>
    <row r="2936" hidden="1">
      <c r="A2936" s="9" t="n">
        <v>46134</v>
      </c>
      <c r="B2936" s="1" t="n">
        <v>2026</v>
      </c>
      <c r="C2936" s="8" t="inlineStr">
        <is>
          <t>First Energy</t>
        </is>
      </c>
      <c r="D2936" s="11" t="inlineStr">
        <is>
          <t>Utility and C&amp;I</t>
        </is>
      </c>
      <c r="E2936" s="1" t="n"/>
      <c r="F2936" s="1" t="inlineStr">
        <is>
          <t>Closed</t>
        </is>
      </c>
      <c r="G2936" s="8" t="inlineStr">
        <is>
          <t>Saravanakumar</t>
        </is>
      </c>
      <c r="H2936" s="8" t="n">
        <v>8248438488</v>
      </c>
      <c r="I2936" s="10" t="inlineStr">
        <is>
          <t>PE22042601</t>
        </is>
      </c>
      <c r="J2936" s="8" t="inlineStr">
        <is>
          <t>Anomalies/defects in the modules</t>
        </is>
      </c>
      <c r="K2936" s="8" t="inlineStr">
        <is>
          <t>Tirunelveli</t>
        </is>
      </c>
      <c r="L2936" s="8" t="inlineStr">
        <is>
          <t>Tamil Nadu</t>
        </is>
      </c>
      <c r="M2936" s="62" t="inlineStr">
        <is>
          <t>OK</t>
        </is>
      </c>
      <c r="N2936" s="2" t="inlineStr">
        <is>
          <t>No Issue Found</t>
        </is>
      </c>
      <c r="O2936" s="51" t="n">
        <v>550</v>
      </c>
      <c r="P2936" s="62" t="inlineStr">
        <is>
          <t>NSMP2307331714</t>
        </is>
      </c>
      <c r="Q2936" s="29">
        <f>MID(P2936,5,2)</f>
        <v/>
      </c>
      <c r="R2936" s="14">
        <f>MID(P2936,7,2)</f>
        <v/>
      </c>
      <c r="S2936" s="6" t="inlineStr">
        <is>
          <t>G2B</t>
        </is>
      </c>
      <c r="T2936" s="1" t="inlineStr">
        <is>
          <t>P2 - PEPPL</t>
        </is>
      </c>
      <c r="U2936" s="6" t="inlineStr">
        <is>
          <t>No Issue Found</t>
        </is>
      </c>
      <c r="V2936" s="6" t="inlineStr">
        <is>
          <t>Inspection</t>
        </is>
      </c>
      <c r="W2936" s="1" t="inlineStr">
        <is>
          <t>Rejected</t>
        </is>
      </c>
      <c r="X2936" s="5" t="n">
        <v>46203</v>
      </c>
      <c r="Y2936" s="1">
        <f>IF(X2936="","",X2936-A2936)</f>
        <v/>
      </c>
      <c r="Z2936" s="5" t="n">
        <v>46203</v>
      </c>
      <c r="AA2936" s="3" t="n"/>
      <c r="AB2936" s="3" t="n"/>
      <c r="AE2936" s="146">
        <f>IF(AND(F2936="Closed",X2936&gt;=DATE(2026,6,1),X2936&lt;=DATE(2026,6,30)),"Closed in June","other")</f>
        <v/>
      </c>
    </row>
    <row r="2937" hidden="1">
      <c r="A2937" s="9" t="n">
        <v>46134</v>
      </c>
      <c r="B2937" s="1" t="n">
        <v>2026</v>
      </c>
      <c r="C2937" s="8" t="inlineStr">
        <is>
          <t>First Energy</t>
        </is>
      </c>
      <c r="D2937" s="11" t="inlineStr">
        <is>
          <t>Utility and C&amp;I</t>
        </is>
      </c>
      <c r="E2937" s="1" t="n"/>
      <c r="F2937" s="1" t="inlineStr">
        <is>
          <t>Closed</t>
        </is>
      </c>
      <c r="G2937" s="8" t="inlineStr">
        <is>
          <t>Saravanakumar</t>
        </is>
      </c>
      <c r="H2937" s="8" t="n">
        <v>8248438488</v>
      </c>
      <c r="I2937" s="10" t="inlineStr">
        <is>
          <t>PE22042601</t>
        </is>
      </c>
      <c r="J2937" s="8" t="inlineStr">
        <is>
          <t>Anomalies/defects in the modules</t>
        </is>
      </c>
      <c r="K2937" s="8" t="inlineStr">
        <is>
          <t>Tirunelveli</t>
        </is>
      </c>
      <c r="L2937" s="8" t="inlineStr">
        <is>
          <t>Tamil Nadu</t>
        </is>
      </c>
      <c r="M2937" s="62" t="inlineStr">
        <is>
          <t>OK</t>
        </is>
      </c>
      <c r="N2937" s="2" t="inlineStr">
        <is>
          <t>No Issue Found</t>
        </is>
      </c>
      <c r="O2937" s="51" t="n">
        <v>550</v>
      </c>
      <c r="P2937" s="62" t="inlineStr">
        <is>
          <t>NSMP2307369319</t>
        </is>
      </c>
      <c r="Q2937" s="29">
        <f>MID(P2937,5,2)</f>
        <v/>
      </c>
      <c r="R2937" s="14">
        <f>MID(P2937,7,2)</f>
        <v/>
      </c>
      <c r="S2937" s="6" t="inlineStr">
        <is>
          <t>G2B</t>
        </is>
      </c>
      <c r="T2937" s="1" t="inlineStr">
        <is>
          <t>P2 - PEPPL</t>
        </is>
      </c>
      <c r="U2937" s="6" t="inlineStr">
        <is>
          <t>No Issue Found</t>
        </is>
      </c>
      <c r="V2937" s="6" t="inlineStr">
        <is>
          <t>Inspection</t>
        </is>
      </c>
      <c r="W2937" s="1" t="inlineStr">
        <is>
          <t>Rejected</t>
        </is>
      </c>
      <c r="X2937" s="5" t="n">
        <v>46203</v>
      </c>
      <c r="Y2937" s="1">
        <f>IF(X2937="","",X2937-A2937)</f>
        <v/>
      </c>
      <c r="Z2937" s="5" t="n">
        <v>46203</v>
      </c>
      <c r="AA2937" s="3" t="n"/>
      <c r="AB2937" s="3" t="n"/>
      <c r="AE2937" s="146">
        <f>IF(AND(F2937="Closed",X2937&gt;=DATE(2026,6,1),X2937&lt;=DATE(2026,6,30)),"Closed in June","other")</f>
        <v/>
      </c>
    </row>
    <row r="2938" hidden="1">
      <c r="A2938" s="9" t="n">
        <v>46134</v>
      </c>
      <c r="B2938" s="1" t="n">
        <v>2026</v>
      </c>
      <c r="C2938" s="8" t="inlineStr">
        <is>
          <t>First Energy</t>
        </is>
      </c>
      <c r="D2938" s="11" t="inlineStr">
        <is>
          <t>Utility and C&amp;I</t>
        </is>
      </c>
      <c r="E2938" s="1" t="n"/>
      <c r="F2938" s="1" t="inlineStr">
        <is>
          <t>Closed</t>
        </is>
      </c>
      <c r="G2938" s="8" t="inlineStr">
        <is>
          <t>Saravanakumar</t>
        </is>
      </c>
      <c r="H2938" s="8" t="n">
        <v>8248438488</v>
      </c>
      <c r="I2938" s="10" t="inlineStr">
        <is>
          <t>PE22042601</t>
        </is>
      </c>
      <c r="J2938" s="8" t="inlineStr">
        <is>
          <t>Anomalies/defects in the modules</t>
        </is>
      </c>
      <c r="K2938" s="8" t="inlineStr">
        <is>
          <t>Tirunelveli</t>
        </is>
      </c>
      <c r="L2938" s="8" t="inlineStr">
        <is>
          <t>Tamil Nadu</t>
        </is>
      </c>
      <c r="M2938" s="62" t="inlineStr">
        <is>
          <t>OK</t>
        </is>
      </c>
      <c r="N2938" s="2" t="inlineStr">
        <is>
          <t>No Issue Found</t>
        </is>
      </c>
      <c r="O2938" s="51" t="n">
        <v>550</v>
      </c>
      <c r="P2938" s="62" t="inlineStr">
        <is>
          <t>NSMP2307339520</t>
        </is>
      </c>
      <c r="Q2938" s="29">
        <f>MID(P2938,5,2)</f>
        <v/>
      </c>
      <c r="R2938" s="14">
        <f>MID(P2938,7,2)</f>
        <v/>
      </c>
      <c r="S2938" s="6" t="inlineStr">
        <is>
          <t>G2B</t>
        </is>
      </c>
      <c r="T2938" s="1" t="inlineStr">
        <is>
          <t>P2 - PEPPL</t>
        </is>
      </c>
      <c r="U2938" s="6" t="inlineStr">
        <is>
          <t>No Issue Found</t>
        </is>
      </c>
      <c r="V2938" s="6" t="inlineStr">
        <is>
          <t>Inspection</t>
        </is>
      </c>
      <c r="W2938" s="1" t="inlineStr">
        <is>
          <t>Rejected</t>
        </is>
      </c>
      <c r="X2938" s="5" t="n">
        <v>46203</v>
      </c>
      <c r="Y2938" s="1">
        <f>IF(X2938="","",X2938-A2938)</f>
        <v/>
      </c>
      <c r="Z2938" s="5" t="n">
        <v>46203</v>
      </c>
      <c r="AA2938" s="3" t="n"/>
      <c r="AB2938" s="3" t="n"/>
      <c r="AE2938" s="146">
        <f>IF(AND(F2938="Closed",X2938&gt;=DATE(2026,6,1),X2938&lt;=DATE(2026,6,30)),"Closed in June","other")</f>
        <v/>
      </c>
    </row>
    <row r="2939" hidden="1">
      <c r="A2939" s="9" t="n">
        <v>46134</v>
      </c>
      <c r="B2939" s="1" t="n">
        <v>2026</v>
      </c>
      <c r="C2939" s="8" t="inlineStr">
        <is>
          <t>First Energy</t>
        </is>
      </c>
      <c r="D2939" s="11" t="inlineStr">
        <is>
          <t>Utility and C&amp;I</t>
        </is>
      </c>
      <c r="E2939" s="1" t="n"/>
      <c r="F2939" s="1" t="inlineStr">
        <is>
          <t>Closed</t>
        </is>
      </c>
      <c r="G2939" s="8" t="inlineStr">
        <is>
          <t>Saravanakumar</t>
        </is>
      </c>
      <c r="H2939" s="8" t="n">
        <v>8248438488</v>
      </c>
      <c r="I2939" s="10" t="inlineStr">
        <is>
          <t>PE22042601</t>
        </is>
      </c>
      <c r="J2939" s="8" t="inlineStr">
        <is>
          <t>Anomalies/defects in the modules</t>
        </is>
      </c>
      <c r="K2939" s="8" t="inlineStr">
        <is>
          <t>Tirunelveli</t>
        </is>
      </c>
      <c r="L2939" s="8" t="inlineStr">
        <is>
          <t>Tamil Nadu</t>
        </is>
      </c>
      <c r="M2939" s="62" t="inlineStr">
        <is>
          <t>OK</t>
        </is>
      </c>
      <c r="N2939" s="2" t="inlineStr">
        <is>
          <t>No Issue Found</t>
        </is>
      </c>
      <c r="O2939" s="51" t="n">
        <v>550</v>
      </c>
      <c r="P2939" s="62" t="inlineStr">
        <is>
          <t>NSMP2307335461</t>
        </is>
      </c>
      <c r="Q2939" s="29">
        <f>MID(P2939,5,2)</f>
        <v/>
      </c>
      <c r="R2939" s="14">
        <f>MID(P2939,7,2)</f>
        <v/>
      </c>
      <c r="S2939" s="6" t="inlineStr">
        <is>
          <t>G2B</t>
        </is>
      </c>
      <c r="T2939" s="1" t="inlineStr">
        <is>
          <t>P2 - PEPPL</t>
        </is>
      </c>
      <c r="U2939" s="6" t="inlineStr">
        <is>
          <t>No Issue Found</t>
        </is>
      </c>
      <c r="V2939" s="6" t="inlineStr">
        <is>
          <t>Inspection</t>
        </is>
      </c>
      <c r="W2939" s="1" t="inlineStr">
        <is>
          <t>Rejected</t>
        </is>
      </c>
      <c r="X2939" s="5" t="n">
        <v>46203</v>
      </c>
      <c r="Y2939" s="1">
        <f>IF(X2939="","",X2939-A2939)</f>
        <v/>
      </c>
      <c r="Z2939" s="5" t="n">
        <v>46203</v>
      </c>
      <c r="AA2939" s="3" t="n"/>
      <c r="AB2939" s="3" t="n"/>
      <c r="AE2939" s="146">
        <f>IF(AND(F2939="Closed",X2939&gt;=DATE(2026,6,1),X2939&lt;=DATE(2026,6,30)),"Closed in June","other")</f>
        <v/>
      </c>
    </row>
    <row r="2940" hidden="1">
      <c r="A2940" s="9" t="n">
        <v>46134</v>
      </c>
      <c r="B2940" s="1" t="n">
        <v>2026</v>
      </c>
      <c r="C2940" s="8" t="inlineStr">
        <is>
          <t>First Energy</t>
        </is>
      </c>
      <c r="D2940" s="11" t="inlineStr">
        <is>
          <t>Utility and C&amp;I</t>
        </is>
      </c>
      <c r="E2940" s="1" t="n"/>
      <c r="F2940" s="1" t="inlineStr">
        <is>
          <t>Closed</t>
        </is>
      </c>
      <c r="G2940" s="8" t="inlineStr">
        <is>
          <t>Saravanakumar</t>
        </is>
      </c>
      <c r="H2940" s="8" t="n">
        <v>8248438488</v>
      </c>
      <c r="I2940" s="10" t="inlineStr">
        <is>
          <t>PE22042601</t>
        </is>
      </c>
      <c r="J2940" s="8" t="inlineStr">
        <is>
          <t>Anomalies/defects in the modules</t>
        </is>
      </c>
      <c r="K2940" s="8" t="inlineStr">
        <is>
          <t>Tirunelveli</t>
        </is>
      </c>
      <c r="L2940" s="8" t="inlineStr">
        <is>
          <t>Tamil Nadu</t>
        </is>
      </c>
      <c r="M2940" s="62" t="inlineStr">
        <is>
          <t>OK</t>
        </is>
      </c>
      <c r="N2940" s="2" t="inlineStr">
        <is>
          <t>No Issue Found</t>
        </is>
      </c>
      <c r="O2940" s="51" t="n">
        <v>550</v>
      </c>
      <c r="P2940" s="62" t="inlineStr">
        <is>
          <t>NSMP2307334379</t>
        </is>
      </c>
      <c r="Q2940" s="29">
        <f>MID(P2940,5,2)</f>
        <v/>
      </c>
      <c r="R2940" s="14">
        <f>MID(P2940,7,2)</f>
        <v/>
      </c>
      <c r="S2940" s="6" t="inlineStr">
        <is>
          <t>G2B</t>
        </is>
      </c>
      <c r="T2940" s="1" t="inlineStr">
        <is>
          <t>P2 - PEPPL</t>
        </is>
      </c>
      <c r="U2940" s="6" t="inlineStr">
        <is>
          <t>No Issue Found</t>
        </is>
      </c>
      <c r="V2940" s="6" t="inlineStr">
        <is>
          <t>Inspection</t>
        </is>
      </c>
      <c r="W2940" s="1" t="inlineStr">
        <is>
          <t>Rejected</t>
        </is>
      </c>
      <c r="X2940" s="5" t="n">
        <v>46203</v>
      </c>
      <c r="Y2940" s="1">
        <f>IF(X2940="","",X2940-A2940)</f>
        <v/>
      </c>
      <c r="Z2940" s="5" t="n">
        <v>46203</v>
      </c>
      <c r="AA2940" s="3" t="n"/>
      <c r="AB2940" s="3" t="n"/>
      <c r="AE2940" s="146">
        <f>IF(AND(F2940="Closed",X2940&gt;=DATE(2026,6,1),X2940&lt;=DATE(2026,6,30)),"Closed in June","other")</f>
        <v/>
      </c>
    </row>
    <row r="2941" hidden="1">
      <c r="A2941" s="9" t="n">
        <v>46134</v>
      </c>
      <c r="B2941" s="1" t="n">
        <v>2026</v>
      </c>
      <c r="C2941" s="8" t="inlineStr">
        <is>
          <t>First Energy</t>
        </is>
      </c>
      <c r="D2941" s="11" t="inlineStr">
        <is>
          <t>Utility and C&amp;I</t>
        </is>
      </c>
      <c r="E2941" s="1" t="n"/>
      <c r="F2941" s="1" t="inlineStr">
        <is>
          <t>Closed</t>
        </is>
      </c>
      <c r="G2941" s="8" t="inlineStr">
        <is>
          <t>Saravanakumar</t>
        </is>
      </c>
      <c r="H2941" s="8" t="n">
        <v>8248438488</v>
      </c>
      <c r="I2941" s="10" t="inlineStr">
        <is>
          <t>PE22042601</t>
        </is>
      </c>
      <c r="J2941" s="8" t="inlineStr">
        <is>
          <t>Anomalies/defects in the modules</t>
        </is>
      </c>
      <c r="K2941" s="8" t="inlineStr">
        <is>
          <t>Tirunelveli</t>
        </is>
      </c>
      <c r="L2941" s="8" t="inlineStr">
        <is>
          <t>Tamil Nadu</t>
        </is>
      </c>
      <c r="M2941" s="62" t="inlineStr">
        <is>
          <t>Ok</t>
        </is>
      </c>
      <c r="N2941" s="2" t="inlineStr">
        <is>
          <t>No Issue Found</t>
        </is>
      </c>
      <c r="O2941" s="51" t="n">
        <v>550</v>
      </c>
      <c r="P2941" s="62" t="inlineStr">
        <is>
          <t>NSMP2306326323</t>
        </is>
      </c>
      <c r="Q2941" s="29">
        <f>MID(P2941,5,2)</f>
        <v/>
      </c>
      <c r="R2941" s="14">
        <f>MID(P2941,7,2)</f>
        <v/>
      </c>
      <c r="S2941" s="6" t="inlineStr">
        <is>
          <t>G2B</t>
        </is>
      </c>
      <c r="T2941" s="1" t="inlineStr">
        <is>
          <t>P2 - PEPPL</t>
        </is>
      </c>
      <c r="U2941" s="6" t="inlineStr">
        <is>
          <t>No Issue Found</t>
        </is>
      </c>
      <c r="V2941" s="6" t="inlineStr">
        <is>
          <t>Inspection</t>
        </is>
      </c>
      <c r="W2941" s="1" t="inlineStr">
        <is>
          <t>Rejected</t>
        </is>
      </c>
      <c r="X2941" s="5" t="n">
        <v>46203</v>
      </c>
      <c r="Y2941" s="1">
        <f>IF(X2941="","",X2941-A2941)</f>
        <v/>
      </c>
      <c r="Z2941" s="5" t="n">
        <v>46203</v>
      </c>
      <c r="AA2941" s="3" t="n"/>
      <c r="AB2941" s="3" t="n"/>
      <c r="AE2941" s="146">
        <f>IF(AND(F2941="Closed",X2941&gt;=DATE(2026,6,1),X2941&lt;=DATE(2026,6,30)),"Closed in June","other")</f>
        <v/>
      </c>
    </row>
    <row r="2942" hidden="1">
      <c r="A2942" s="9" t="n">
        <v>46134</v>
      </c>
      <c r="B2942" s="1" t="n">
        <v>2026</v>
      </c>
      <c r="C2942" s="8" t="inlineStr">
        <is>
          <t>First Energy</t>
        </is>
      </c>
      <c r="D2942" s="11" t="inlineStr">
        <is>
          <t>Utility and C&amp;I</t>
        </is>
      </c>
      <c r="E2942" s="1" t="n"/>
      <c r="F2942" s="1" t="inlineStr">
        <is>
          <t>Closed</t>
        </is>
      </c>
      <c r="G2942" s="8" t="inlineStr">
        <is>
          <t>Saravanakumar</t>
        </is>
      </c>
      <c r="H2942" s="8" t="n">
        <v>8248438488</v>
      </c>
      <c r="I2942" s="10" t="inlineStr">
        <is>
          <t>PE22042601</t>
        </is>
      </c>
      <c r="J2942" s="8" t="inlineStr">
        <is>
          <t>Anomalies/defects in the modules</t>
        </is>
      </c>
      <c r="K2942" s="8" t="inlineStr">
        <is>
          <t>Tirunelveli</t>
        </is>
      </c>
      <c r="L2942" s="8" t="inlineStr">
        <is>
          <t>Tamil Nadu</t>
        </is>
      </c>
      <c r="M2942" s="62" t="inlineStr">
        <is>
          <t>Ok</t>
        </is>
      </c>
      <c r="N2942" s="2" t="inlineStr">
        <is>
          <t>No Issue Found</t>
        </is>
      </c>
      <c r="O2942" s="51" t="n">
        <v>550</v>
      </c>
      <c r="P2942" s="62" t="inlineStr">
        <is>
          <t>NSMP2308499393</t>
        </is>
      </c>
      <c r="Q2942" s="29">
        <f>MID(P2942,5,2)</f>
        <v/>
      </c>
      <c r="R2942" s="14">
        <f>MID(P2942,7,2)</f>
        <v/>
      </c>
      <c r="S2942" s="6" t="inlineStr">
        <is>
          <t>G2B</t>
        </is>
      </c>
      <c r="T2942" s="1" t="inlineStr">
        <is>
          <t>P2 - PEPPL</t>
        </is>
      </c>
      <c r="U2942" s="6" t="inlineStr">
        <is>
          <t>No Issue Found</t>
        </is>
      </c>
      <c r="V2942" s="6" t="inlineStr">
        <is>
          <t>Inspection</t>
        </is>
      </c>
      <c r="W2942" s="1" t="inlineStr">
        <is>
          <t>Rejected</t>
        </is>
      </c>
      <c r="X2942" s="5" t="n">
        <v>46203</v>
      </c>
      <c r="Y2942" s="1">
        <f>IF(X2942="","",X2942-A2942)</f>
        <v/>
      </c>
      <c r="Z2942" s="5" t="n">
        <v>46203</v>
      </c>
      <c r="AA2942" s="3" t="n"/>
      <c r="AB2942" s="3" t="n"/>
      <c r="AE2942" s="146">
        <f>IF(AND(F2942="Closed",X2942&gt;=DATE(2026,6,1),X2942&lt;=DATE(2026,6,30)),"Closed in June","other")</f>
        <v/>
      </c>
    </row>
    <row r="2943" hidden="1">
      <c r="A2943" s="9" t="n">
        <v>46134</v>
      </c>
      <c r="B2943" s="1" t="n">
        <v>2026</v>
      </c>
      <c r="C2943" s="8" t="inlineStr">
        <is>
          <t>First Energy</t>
        </is>
      </c>
      <c r="D2943" s="11" t="inlineStr">
        <is>
          <t>Utility and C&amp;I</t>
        </is>
      </c>
      <c r="E2943" s="1" t="n"/>
      <c r="F2943" s="1" t="inlineStr">
        <is>
          <t>Closed</t>
        </is>
      </c>
      <c r="G2943" s="8" t="inlineStr">
        <is>
          <t>Saravanakumar</t>
        </is>
      </c>
      <c r="H2943" s="8" t="n">
        <v>8248438488</v>
      </c>
      <c r="I2943" s="10" t="inlineStr">
        <is>
          <t>PE22042601</t>
        </is>
      </c>
      <c r="J2943" s="8" t="inlineStr">
        <is>
          <t>Anomalies/defects in the modules</t>
        </is>
      </c>
      <c r="K2943" s="8" t="inlineStr">
        <is>
          <t>Tirunelveli</t>
        </is>
      </c>
      <c r="L2943" s="8" t="inlineStr">
        <is>
          <t>Tamil Nadu</t>
        </is>
      </c>
      <c r="M2943" s="62" t="inlineStr">
        <is>
          <t>Ok</t>
        </is>
      </c>
      <c r="N2943" s="2" t="inlineStr">
        <is>
          <t>No Issue Found</t>
        </is>
      </c>
      <c r="O2943" s="51" t="n">
        <v>550</v>
      </c>
      <c r="P2943" s="62" t="inlineStr">
        <is>
          <t>NSMP2307333198</t>
        </is>
      </c>
      <c r="Q2943" s="29">
        <f>MID(P2943,5,2)</f>
        <v/>
      </c>
      <c r="R2943" s="14">
        <f>MID(P2943,7,2)</f>
        <v/>
      </c>
      <c r="S2943" s="6" t="inlineStr">
        <is>
          <t>G2B</t>
        </is>
      </c>
      <c r="T2943" s="1" t="inlineStr">
        <is>
          <t>P2 - PEPPL</t>
        </is>
      </c>
      <c r="U2943" s="6" t="inlineStr">
        <is>
          <t>No Issue Found</t>
        </is>
      </c>
      <c r="V2943" s="6" t="inlineStr">
        <is>
          <t>Inspection</t>
        </is>
      </c>
      <c r="W2943" s="1" t="inlineStr">
        <is>
          <t>Rejected</t>
        </is>
      </c>
      <c r="X2943" s="5" t="n">
        <v>46203</v>
      </c>
      <c r="Y2943" s="1">
        <f>IF(X2943="","",X2943-A2943)</f>
        <v/>
      </c>
      <c r="Z2943" s="5" t="n">
        <v>46203</v>
      </c>
      <c r="AA2943" s="3" t="n"/>
      <c r="AB2943" s="3" t="n"/>
      <c r="AE2943" s="146">
        <f>IF(AND(F2943="Closed",X2943&gt;=DATE(2026,6,1),X2943&lt;=DATE(2026,6,30)),"Closed in June","other")</f>
        <v/>
      </c>
    </row>
    <row r="2944" hidden="1">
      <c r="A2944" s="9" t="n">
        <v>46134</v>
      </c>
      <c r="B2944" s="1" t="n">
        <v>2026</v>
      </c>
      <c r="C2944" s="8" t="inlineStr">
        <is>
          <t>First Energy</t>
        </is>
      </c>
      <c r="D2944" s="11" t="inlineStr">
        <is>
          <t>Utility and C&amp;I</t>
        </is>
      </c>
      <c r="E2944" s="1" t="n"/>
      <c r="F2944" s="1" t="inlineStr">
        <is>
          <t>Closed</t>
        </is>
      </c>
      <c r="G2944" s="8" t="inlineStr">
        <is>
          <t>Saravanakumar</t>
        </is>
      </c>
      <c r="H2944" s="8" t="n">
        <v>8248438488</v>
      </c>
      <c r="I2944" s="10" t="inlineStr">
        <is>
          <t>PE22042601</t>
        </is>
      </c>
      <c r="J2944" s="8" t="inlineStr">
        <is>
          <t>Anomalies/defects in the modules</t>
        </is>
      </c>
      <c r="K2944" s="8" t="inlineStr">
        <is>
          <t>Tirunelveli</t>
        </is>
      </c>
      <c r="L2944" s="8" t="inlineStr">
        <is>
          <t>Tamil Nadu</t>
        </is>
      </c>
      <c r="M2944" s="62" t="inlineStr">
        <is>
          <t>Ok</t>
        </is>
      </c>
      <c r="N2944" s="2" t="inlineStr">
        <is>
          <t>No Issue Found</t>
        </is>
      </c>
      <c r="O2944" s="51" t="n">
        <v>550</v>
      </c>
      <c r="P2944" s="62" t="inlineStr">
        <is>
          <t>NSMP24091539556</t>
        </is>
      </c>
      <c r="Q2944" s="29">
        <f>MID(P2944,5,2)</f>
        <v/>
      </c>
      <c r="R2944" s="14">
        <f>MID(P2944,7,2)</f>
        <v/>
      </c>
      <c r="S2944" s="6" t="inlineStr">
        <is>
          <t>G2B</t>
        </is>
      </c>
      <c r="T2944" s="1" t="inlineStr">
        <is>
          <t>P2 - PEPPL</t>
        </is>
      </c>
      <c r="U2944" s="6" t="inlineStr">
        <is>
          <t>No Issue Found</t>
        </is>
      </c>
      <c r="V2944" s="6" t="inlineStr">
        <is>
          <t>Inspection</t>
        </is>
      </c>
      <c r="W2944" s="1" t="inlineStr">
        <is>
          <t>Rejected</t>
        </is>
      </c>
      <c r="X2944" s="5" t="n">
        <v>46203</v>
      </c>
      <c r="Y2944" s="1">
        <f>IF(X2944="","",X2944-A2944)</f>
        <v/>
      </c>
      <c r="Z2944" s="5" t="n">
        <v>46203</v>
      </c>
      <c r="AA2944" s="3" t="n"/>
      <c r="AB2944" s="3" t="n"/>
      <c r="AE2944" s="146">
        <f>IF(AND(F2944="Closed",X2944&gt;=DATE(2026,6,1),X2944&lt;=DATE(2026,6,30)),"Closed in June","other")</f>
        <v/>
      </c>
    </row>
    <row r="2945" hidden="1">
      <c r="A2945" s="9" t="n">
        <v>46134</v>
      </c>
      <c r="B2945" s="1" t="n">
        <v>2026</v>
      </c>
      <c r="C2945" s="8" t="inlineStr">
        <is>
          <t>First Energy</t>
        </is>
      </c>
      <c r="D2945" s="11" t="inlineStr">
        <is>
          <t>Utility and C&amp;I</t>
        </is>
      </c>
      <c r="E2945" s="1" t="n"/>
      <c r="F2945" s="1" t="inlineStr">
        <is>
          <t>Closed</t>
        </is>
      </c>
      <c r="G2945" s="8" t="inlineStr">
        <is>
          <t>Saravanakumar</t>
        </is>
      </c>
      <c r="H2945" s="8" t="n">
        <v>8248438488</v>
      </c>
      <c r="I2945" s="10" t="inlineStr">
        <is>
          <t>PE22042601</t>
        </is>
      </c>
      <c r="J2945" s="8" t="inlineStr">
        <is>
          <t>Anomalies/defects in the modules</t>
        </is>
      </c>
      <c r="K2945" s="8" t="inlineStr">
        <is>
          <t>Tirunelveli</t>
        </is>
      </c>
      <c r="L2945" s="8" t="inlineStr">
        <is>
          <t>Tamil Nadu</t>
        </is>
      </c>
      <c r="M2945" s="62" t="inlineStr">
        <is>
          <t>Ok</t>
        </is>
      </c>
      <c r="N2945" s="2" t="inlineStr">
        <is>
          <t>No Issue Found</t>
        </is>
      </c>
      <c r="O2945" s="51" t="n">
        <v>550</v>
      </c>
      <c r="P2945" s="62" t="inlineStr">
        <is>
          <t>NSMP2307338485</t>
        </is>
      </c>
      <c r="Q2945" s="29">
        <f>MID(P2945,5,2)</f>
        <v/>
      </c>
      <c r="R2945" s="14">
        <f>MID(P2945,7,2)</f>
        <v/>
      </c>
      <c r="S2945" s="6" t="inlineStr">
        <is>
          <t>G2B</t>
        </is>
      </c>
      <c r="T2945" s="1" t="inlineStr">
        <is>
          <t>P2 - PEPPL</t>
        </is>
      </c>
      <c r="U2945" s="6" t="inlineStr">
        <is>
          <t>No Issue Found</t>
        </is>
      </c>
      <c r="V2945" s="6" t="inlineStr">
        <is>
          <t>Inspection</t>
        </is>
      </c>
      <c r="W2945" s="1" t="inlineStr">
        <is>
          <t>Rejected</t>
        </is>
      </c>
      <c r="X2945" s="5" t="n">
        <v>46203</v>
      </c>
      <c r="Y2945" s="1">
        <f>IF(X2945="","",X2945-A2945)</f>
        <v/>
      </c>
      <c r="Z2945" s="5" t="n">
        <v>46203</v>
      </c>
      <c r="AA2945" s="3" t="n"/>
      <c r="AB2945" s="3" t="n"/>
      <c r="AE2945" s="146">
        <f>IF(AND(F2945="Closed",X2945&gt;=DATE(2026,6,1),X2945&lt;=DATE(2026,6,30)),"Closed in June","other")</f>
        <v/>
      </c>
    </row>
    <row r="2946" hidden="1">
      <c r="A2946" s="9" t="n">
        <v>46134</v>
      </c>
      <c r="B2946" s="1" t="n">
        <v>2026</v>
      </c>
      <c r="C2946" s="8" t="inlineStr">
        <is>
          <t>First Energy</t>
        </is>
      </c>
      <c r="D2946" s="11" t="inlineStr">
        <is>
          <t>Utility and C&amp;I</t>
        </is>
      </c>
      <c r="E2946" s="1" t="n"/>
      <c r="F2946" s="1" t="inlineStr">
        <is>
          <t>Closed</t>
        </is>
      </c>
      <c r="G2946" s="8" t="inlineStr">
        <is>
          <t>Saravanakumar</t>
        </is>
      </c>
      <c r="H2946" s="8" t="n">
        <v>8248438488</v>
      </c>
      <c r="I2946" s="10" t="inlineStr">
        <is>
          <t>PE22042601</t>
        </is>
      </c>
      <c r="J2946" s="8" t="inlineStr">
        <is>
          <t>Anomalies/defects in the modules</t>
        </is>
      </c>
      <c r="K2946" s="8" t="inlineStr">
        <is>
          <t>Tirunelveli</t>
        </is>
      </c>
      <c r="L2946" s="8" t="inlineStr">
        <is>
          <t>Tamil Nadu</t>
        </is>
      </c>
      <c r="M2946" s="62" t="inlineStr">
        <is>
          <t>Ok</t>
        </is>
      </c>
      <c r="N2946" s="2" t="inlineStr">
        <is>
          <t>No Issue Found</t>
        </is>
      </c>
      <c r="O2946" s="51" t="n">
        <v>550</v>
      </c>
      <c r="P2946" s="62" t="inlineStr">
        <is>
          <t>NSMP2307422504</t>
        </is>
      </c>
      <c r="Q2946" s="29">
        <f>MID(P2946,5,2)</f>
        <v/>
      </c>
      <c r="R2946" s="14">
        <f>MID(P2946,7,2)</f>
        <v/>
      </c>
      <c r="S2946" s="6" t="inlineStr">
        <is>
          <t>G2B</t>
        </is>
      </c>
      <c r="T2946" s="1" t="inlineStr">
        <is>
          <t>P2 - PEPPL</t>
        </is>
      </c>
      <c r="U2946" s="6" t="inlineStr">
        <is>
          <t>No Issue Found</t>
        </is>
      </c>
      <c r="V2946" s="6" t="inlineStr">
        <is>
          <t>Inspection</t>
        </is>
      </c>
      <c r="W2946" s="1" t="inlineStr">
        <is>
          <t>Rejected</t>
        </is>
      </c>
      <c r="X2946" s="5" t="n">
        <v>46203</v>
      </c>
      <c r="Y2946" s="1">
        <f>IF(X2946="","",X2946-A2946)</f>
        <v/>
      </c>
      <c r="Z2946" s="5" t="n">
        <v>46203</v>
      </c>
      <c r="AA2946" s="3" t="n"/>
      <c r="AB2946" s="3" t="n"/>
      <c r="AE2946" s="146">
        <f>IF(AND(F2946="Closed",X2946&gt;=DATE(2026,6,1),X2946&lt;=DATE(2026,6,30)),"Closed in June","other")</f>
        <v/>
      </c>
    </row>
    <row r="2947" hidden="1">
      <c r="A2947" s="9" t="n">
        <v>46134</v>
      </c>
      <c r="B2947" s="1" t="n">
        <v>2026</v>
      </c>
      <c r="C2947" s="8" t="inlineStr">
        <is>
          <t>First Energy</t>
        </is>
      </c>
      <c r="D2947" s="11" t="inlineStr">
        <is>
          <t>Utility and C&amp;I</t>
        </is>
      </c>
      <c r="E2947" s="1" t="n"/>
      <c r="F2947" s="1" t="inlineStr">
        <is>
          <t>Closed</t>
        </is>
      </c>
      <c r="G2947" s="8" t="inlineStr">
        <is>
          <t>Saravanakumar</t>
        </is>
      </c>
      <c r="H2947" s="8" t="n">
        <v>8248438488</v>
      </c>
      <c r="I2947" s="10" t="inlineStr">
        <is>
          <t>PE22042601</t>
        </is>
      </c>
      <c r="J2947" s="8" t="inlineStr">
        <is>
          <t>Anomalies/defects in the modules</t>
        </is>
      </c>
      <c r="K2947" s="8" t="inlineStr">
        <is>
          <t>Tirunelveli</t>
        </is>
      </c>
      <c r="L2947" s="8" t="inlineStr">
        <is>
          <t>Tamil Nadu</t>
        </is>
      </c>
      <c r="M2947" s="62" t="inlineStr">
        <is>
          <t>Ok</t>
        </is>
      </c>
      <c r="N2947" s="2" t="inlineStr">
        <is>
          <t>No Issue Found</t>
        </is>
      </c>
      <c r="O2947" s="51" t="n">
        <v>550</v>
      </c>
      <c r="P2947" s="62" t="inlineStr">
        <is>
          <t>NSMP2307459694</t>
        </is>
      </c>
      <c r="Q2947" s="29">
        <f>MID(P2947,5,2)</f>
        <v/>
      </c>
      <c r="R2947" s="14">
        <f>MID(P2947,7,2)</f>
        <v/>
      </c>
      <c r="S2947" s="6" t="inlineStr">
        <is>
          <t>G2B</t>
        </is>
      </c>
      <c r="T2947" s="1" t="inlineStr">
        <is>
          <t>P2 - PEPPL</t>
        </is>
      </c>
      <c r="U2947" s="6" t="inlineStr">
        <is>
          <t>No Issue Found</t>
        </is>
      </c>
      <c r="V2947" s="6" t="inlineStr">
        <is>
          <t>Inspection</t>
        </is>
      </c>
      <c r="W2947" s="1" t="inlineStr">
        <is>
          <t>Rejected</t>
        </is>
      </c>
      <c r="X2947" s="5" t="n">
        <v>46203</v>
      </c>
      <c r="Y2947" s="1">
        <f>IF(X2947="","",X2947-A2947)</f>
        <v/>
      </c>
      <c r="Z2947" s="5" t="n">
        <v>46203</v>
      </c>
      <c r="AA2947" s="3" t="n"/>
      <c r="AB2947" s="3" t="n"/>
      <c r="AE2947" s="146">
        <f>IF(AND(F2947="Closed",X2947&gt;=DATE(2026,6,1),X2947&lt;=DATE(2026,6,30)),"Closed in June","other")</f>
        <v/>
      </c>
    </row>
    <row r="2948" hidden="1">
      <c r="A2948" s="9" t="n">
        <v>46134</v>
      </c>
      <c r="B2948" s="1" t="n">
        <v>2026</v>
      </c>
      <c r="C2948" s="8" t="inlineStr">
        <is>
          <t>First Energy</t>
        </is>
      </c>
      <c r="D2948" s="11" t="inlineStr">
        <is>
          <t>Utility and C&amp;I</t>
        </is>
      </c>
      <c r="E2948" s="1" t="n"/>
      <c r="F2948" s="1" t="inlineStr">
        <is>
          <t>Closed</t>
        </is>
      </c>
      <c r="G2948" s="8" t="inlineStr">
        <is>
          <t>Saravanakumar</t>
        </is>
      </c>
      <c r="H2948" s="8" t="n">
        <v>8248438488</v>
      </c>
      <c r="I2948" s="10" t="inlineStr">
        <is>
          <t>PE22042601</t>
        </is>
      </c>
      <c r="J2948" s="8" t="inlineStr">
        <is>
          <t>Anomalies/defects in the modules</t>
        </is>
      </c>
      <c r="K2948" s="8" t="inlineStr">
        <is>
          <t>Tirunelveli</t>
        </is>
      </c>
      <c r="L2948" s="8" t="inlineStr">
        <is>
          <t>Tamil Nadu</t>
        </is>
      </c>
      <c r="M2948" s="62" t="inlineStr">
        <is>
          <t>Ok</t>
        </is>
      </c>
      <c r="N2948" s="2" t="inlineStr">
        <is>
          <t>No Issue Found</t>
        </is>
      </c>
      <c r="O2948" s="51" t="n">
        <v>550</v>
      </c>
      <c r="P2948" s="62" t="inlineStr">
        <is>
          <t>NSMP2307338873</t>
        </is>
      </c>
      <c r="Q2948" s="29">
        <f>MID(P2948,5,2)</f>
        <v/>
      </c>
      <c r="R2948" s="14">
        <f>MID(P2948,7,2)</f>
        <v/>
      </c>
      <c r="S2948" s="6" t="inlineStr">
        <is>
          <t>G2B</t>
        </is>
      </c>
      <c r="T2948" s="1" t="inlineStr">
        <is>
          <t>P2 - PEPPL</t>
        </is>
      </c>
      <c r="U2948" s="6" t="inlineStr">
        <is>
          <t>No Issue Found</t>
        </is>
      </c>
      <c r="V2948" s="6" t="inlineStr">
        <is>
          <t>Inspection</t>
        </is>
      </c>
      <c r="W2948" s="1" t="inlineStr">
        <is>
          <t>Rejected</t>
        </is>
      </c>
      <c r="X2948" s="5" t="n">
        <v>46203</v>
      </c>
      <c r="Y2948" s="1">
        <f>IF(X2948="","",X2948-A2948)</f>
        <v/>
      </c>
      <c r="Z2948" s="5" t="n">
        <v>46203</v>
      </c>
      <c r="AA2948" s="3" t="n"/>
      <c r="AB2948" s="3" t="n"/>
      <c r="AE2948" s="146">
        <f>IF(AND(F2948="Closed",X2948&gt;=DATE(2026,6,1),X2948&lt;=DATE(2026,6,30)),"Closed in June","other")</f>
        <v/>
      </c>
    </row>
    <row r="2949" hidden="1">
      <c r="A2949" s="9" t="n">
        <v>46134</v>
      </c>
      <c r="B2949" s="1" t="n">
        <v>2026</v>
      </c>
      <c r="C2949" s="8" t="inlineStr">
        <is>
          <t>First Energy</t>
        </is>
      </c>
      <c r="D2949" s="11" t="inlineStr">
        <is>
          <t>Utility and C&amp;I</t>
        </is>
      </c>
      <c r="E2949" s="1" t="n"/>
      <c r="F2949" s="1" t="inlineStr">
        <is>
          <t>Closed</t>
        </is>
      </c>
      <c r="G2949" s="8" t="inlineStr">
        <is>
          <t>Saravanakumar</t>
        </is>
      </c>
      <c r="H2949" s="8" t="n">
        <v>8248438488</v>
      </c>
      <c r="I2949" s="10" t="inlineStr">
        <is>
          <t>PE22042601</t>
        </is>
      </c>
      <c r="J2949" s="8" t="inlineStr">
        <is>
          <t>Anomalies/defects in the modules</t>
        </is>
      </c>
      <c r="K2949" s="8" t="inlineStr">
        <is>
          <t>Tirunelveli</t>
        </is>
      </c>
      <c r="L2949" s="8" t="inlineStr">
        <is>
          <t>Tamil Nadu</t>
        </is>
      </c>
      <c r="M2949" s="62" t="inlineStr">
        <is>
          <t>Ok</t>
        </is>
      </c>
      <c r="N2949" s="2" t="inlineStr">
        <is>
          <t>No Issue Found</t>
        </is>
      </c>
      <c r="O2949" s="51" t="n">
        <v>550</v>
      </c>
      <c r="P2949" s="62" t="inlineStr">
        <is>
          <t>NSMP2307422380</t>
        </is>
      </c>
      <c r="Q2949" s="29">
        <f>MID(P2949,5,2)</f>
        <v/>
      </c>
      <c r="R2949" s="14">
        <f>MID(P2949,7,2)</f>
        <v/>
      </c>
      <c r="S2949" s="6" t="inlineStr">
        <is>
          <t>G2B</t>
        </is>
      </c>
      <c r="T2949" s="1" t="inlineStr">
        <is>
          <t>P2 - PEPPL</t>
        </is>
      </c>
      <c r="U2949" s="6" t="inlineStr">
        <is>
          <t>No Issue Found</t>
        </is>
      </c>
      <c r="V2949" s="6" t="inlineStr">
        <is>
          <t>Inspection</t>
        </is>
      </c>
      <c r="W2949" s="1" t="inlineStr">
        <is>
          <t>Rejected</t>
        </is>
      </c>
      <c r="X2949" s="5" t="n">
        <v>46203</v>
      </c>
      <c r="Y2949" s="1">
        <f>IF(X2949="","",X2949-A2949)</f>
        <v/>
      </c>
      <c r="Z2949" s="5" t="n">
        <v>46203</v>
      </c>
      <c r="AA2949" s="3" t="n"/>
      <c r="AB2949" s="3" t="n"/>
      <c r="AE2949" s="146">
        <f>IF(AND(F2949="Closed",X2949&gt;=DATE(2026,6,1),X2949&lt;=DATE(2026,6,30)),"Closed in June","other")</f>
        <v/>
      </c>
    </row>
    <row r="2950" hidden="1">
      <c r="A2950" s="9" t="n">
        <v>46134</v>
      </c>
      <c r="B2950" s="1" t="n">
        <v>2026</v>
      </c>
      <c r="C2950" s="8" t="inlineStr">
        <is>
          <t>First Energy</t>
        </is>
      </c>
      <c r="D2950" s="11" t="inlineStr">
        <is>
          <t>Utility and C&amp;I</t>
        </is>
      </c>
      <c r="E2950" s="1" t="n"/>
      <c r="F2950" s="1" t="inlineStr">
        <is>
          <t>Closed</t>
        </is>
      </c>
      <c r="G2950" s="8" t="inlineStr">
        <is>
          <t>Saravanakumar</t>
        </is>
      </c>
      <c r="H2950" s="8" t="n">
        <v>8248438488</v>
      </c>
      <c r="I2950" s="10" t="inlineStr">
        <is>
          <t>PE22042601</t>
        </is>
      </c>
      <c r="J2950" s="8" t="inlineStr">
        <is>
          <t>Anomalies/defects in the modules</t>
        </is>
      </c>
      <c r="K2950" s="8" t="inlineStr">
        <is>
          <t>Tirunelveli</t>
        </is>
      </c>
      <c r="L2950" s="8" t="inlineStr">
        <is>
          <t>Tamil Nadu</t>
        </is>
      </c>
      <c r="M2950" s="62" t="inlineStr">
        <is>
          <t>Ok</t>
        </is>
      </c>
      <c r="N2950" s="2" t="inlineStr">
        <is>
          <t>No Issue Found</t>
        </is>
      </c>
      <c r="O2950" s="51" t="n">
        <v>550</v>
      </c>
      <c r="P2950" s="62" t="inlineStr">
        <is>
          <t>NSMP2307335727</t>
        </is>
      </c>
      <c r="Q2950" s="29">
        <f>MID(P2950,5,2)</f>
        <v/>
      </c>
      <c r="R2950" s="14">
        <f>MID(P2950,7,2)</f>
        <v/>
      </c>
      <c r="S2950" s="6" t="inlineStr">
        <is>
          <t>G2B</t>
        </is>
      </c>
      <c r="T2950" s="1" t="inlineStr">
        <is>
          <t>P2 - PEPPL</t>
        </is>
      </c>
      <c r="U2950" s="6" t="inlineStr">
        <is>
          <t>No Issue Found</t>
        </is>
      </c>
      <c r="V2950" s="6" t="inlineStr">
        <is>
          <t>Inspection</t>
        </is>
      </c>
      <c r="W2950" s="1" t="inlineStr">
        <is>
          <t>Rejected</t>
        </is>
      </c>
      <c r="X2950" s="5" t="n">
        <v>46203</v>
      </c>
      <c r="Y2950" s="1">
        <f>IF(X2950="","",X2950-A2950)</f>
        <v/>
      </c>
      <c r="Z2950" s="5" t="n">
        <v>46203</v>
      </c>
      <c r="AA2950" s="3" t="n"/>
      <c r="AB2950" s="3" t="n"/>
      <c r="AE2950" s="146">
        <f>IF(AND(F2950="Closed",X2950&gt;=DATE(2026,6,1),X2950&lt;=DATE(2026,6,30)),"Closed in June","other")</f>
        <v/>
      </c>
    </row>
    <row r="2951" hidden="1">
      <c r="A2951" s="9" t="n">
        <v>46134</v>
      </c>
      <c r="B2951" s="1" t="n">
        <v>2026</v>
      </c>
      <c r="C2951" s="8" t="inlineStr">
        <is>
          <t>First Energy</t>
        </is>
      </c>
      <c r="D2951" s="11" t="inlineStr">
        <is>
          <t>Utility and C&amp;I</t>
        </is>
      </c>
      <c r="E2951" s="1" t="n"/>
      <c r="F2951" s="1" t="inlineStr">
        <is>
          <t>Closed</t>
        </is>
      </c>
      <c r="G2951" s="8" t="inlineStr">
        <is>
          <t>Saravanakumar</t>
        </is>
      </c>
      <c r="H2951" s="8" t="n">
        <v>8248438488</v>
      </c>
      <c r="I2951" s="10" t="inlineStr">
        <is>
          <t>PE22042601</t>
        </is>
      </c>
      <c r="J2951" s="8" t="inlineStr">
        <is>
          <t>Anomalies/defects in the modules</t>
        </is>
      </c>
      <c r="K2951" s="8" t="inlineStr">
        <is>
          <t>Tirunelveli</t>
        </is>
      </c>
      <c r="L2951" s="8" t="inlineStr">
        <is>
          <t>Tamil Nadu</t>
        </is>
      </c>
      <c r="M2951" s="62" t="inlineStr">
        <is>
          <t>Ok</t>
        </is>
      </c>
      <c r="N2951" s="2" t="inlineStr">
        <is>
          <t>No Issue Found</t>
        </is>
      </c>
      <c r="O2951" s="51" t="n">
        <v>550</v>
      </c>
      <c r="P2951" s="62" t="inlineStr">
        <is>
          <t>NSMP2308472593</t>
        </is>
      </c>
      <c r="Q2951" s="29">
        <f>MID(P2951,5,2)</f>
        <v/>
      </c>
      <c r="R2951" s="14">
        <f>MID(P2951,7,2)</f>
        <v/>
      </c>
      <c r="S2951" s="6" t="inlineStr">
        <is>
          <t>G2B</t>
        </is>
      </c>
      <c r="T2951" s="1" t="inlineStr">
        <is>
          <t>P2 - PEPPL</t>
        </is>
      </c>
      <c r="U2951" s="6" t="inlineStr">
        <is>
          <t>No Issue Found</t>
        </is>
      </c>
      <c r="V2951" s="6" t="inlineStr">
        <is>
          <t>Inspection</t>
        </is>
      </c>
      <c r="W2951" s="1" t="inlineStr">
        <is>
          <t>Rejected</t>
        </is>
      </c>
      <c r="X2951" s="5" t="n">
        <v>46203</v>
      </c>
      <c r="Y2951" s="1">
        <f>IF(X2951="","",X2951-A2951)</f>
        <v/>
      </c>
      <c r="Z2951" s="5" t="n">
        <v>46203</v>
      </c>
      <c r="AA2951" s="3" t="n"/>
      <c r="AB2951" s="3" t="n"/>
      <c r="AE2951" s="146">
        <f>IF(AND(F2951="Closed",X2951&gt;=DATE(2026,6,1),X2951&lt;=DATE(2026,6,30)),"Closed in June","other")</f>
        <v/>
      </c>
    </row>
    <row r="2952" hidden="1">
      <c r="A2952" s="9" t="n">
        <v>46134</v>
      </c>
      <c r="B2952" s="1" t="n">
        <v>2026</v>
      </c>
      <c r="C2952" s="8" t="inlineStr">
        <is>
          <t>First Energy</t>
        </is>
      </c>
      <c r="D2952" s="11" t="inlineStr">
        <is>
          <t>Utility and C&amp;I</t>
        </is>
      </c>
      <c r="E2952" s="1" t="n"/>
      <c r="F2952" s="1" t="inlineStr">
        <is>
          <t>Closed</t>
        </is>
      </c>
      <c r="G2952" s="8" t="inlineStr">
        <is>
          <t>Saravanakumar</t>
        </is>
      </c>
      <c r="H2952" s="8" t="n">
        <v>8248438488</v>
      </c>
      <c r="I2952" s="10" t="inlineStr">
        <is>
          <t>PE22042601</t>
        </is>
      </c>
      <c r="J2952" s="8" t="inlineStr">
        <is>
          <t>Anomalies/defects in the modules</t>
        </is>
      </c>
      <c r="K2952" s="8" t="inlineStr">
        <is>
          <t>Tirunelveli</t>
        </is>
      </c>
      <c r="L2952" s="8" t="inlineStr">
        <is>
          <t>Tamil Nadu</t>
        </is>
      </c>
      <c r="M2952" s="62" t="inlineStr">
        <is>
          <t>Ok</t>
        </is>
      </c>
      <c r="N2952" s="2" t="inlineStr">
        <is>
          <t>No Issue Found</t>
        </is>
      </c>
      <c r="O2952" s="51" t="n">
        <v>550</v>
      </c>
      <c r="P2952" s="62" t="inlineStr">
        <is>
          <t>NSMP2307335319</t>
        </is>
      </c>
      <c r="Q2952" s="29">
        <f>MID(P2952,5,2)</f>
        <v/>
      </c>
      <c r="R2952" s="14">
        <f>MID(P2952,7,2)</f>
        <v/>
      </c>
      <c r="S2952" s="6" t="inlineStr">
        <is>
          <t>G2B</t>
        </is>
      </c>
      <c r="T2952" s="1" t="inlineStr">
        <is>
          <t>P2 - PEPPL</t>
        </is>
      </c>
      <c r="U2952" s="6" t="inlineStr">
        <is>
          <t>No Issue Found</t>
        </is>
      </c>
      <c r="V2952" s="6" t="inlineStr">
        <is>
          <t>Inspection</t>
        </is>
      </c>
      <c r="W2952" s="1" t="inlineStr">
        <is>
          <t>Rejected</t>
        </is>
      </c>
      <c r="X2952" s="5" t="n">
        <v>46203</v>
      </c>
      <c r="Y2952" s="1">
        <f>IF(X2952="","",X2952-A2952)</f>
        <v/>
      </c>
      <c r="Z2952" s="5" t="n">
        <v>46203</v>
      </c>
      <c r="AA2952" s="3" t="n"/>
      <c r="AB2952" s="3" t="n"/>
      <c r="AE2952" s="146">
        <f>IF(AND(F2952="Closed",X2952&gt;=DATE(2026,6,1),X2952&lt;=DATE(2026,6,30)),"Closed in June","other")</f>
        <v/>
      </c>
    </row>
    <row r="2953" hidden="1">
      <c r="A2953" s="9" t="n">
        <v>46134</v>
      </c>
      <c r="B2953" s="1" t="n">
        <v>2026</v>
      </c>
      <c r="C2953" s="8" t="inlineStr">
        <is>
          <t>First Energy</t>
        </is>
      </c>
      <c r="D2953" s="11" t="inlineStr">
        <is>
          <t>Utility and C&amp;I</t>
        </is>
      </c>
      <c r="E2953" s="1" t="n"/>
      <c r="F2953" s="1" t="inlineStr">
        <is>
          <t>Closed</t>
        </is>
      </c>
      <c r="G2953" s="8" t="inlineStr">
        <is>
          <t>Saravanakumar</t>
        </is>
      </c>
      <c r="H2953" s="8" t="n">
        <v>8248438488</v>
      </c>
      <c r="I2953" s="10" t="inlineStr">
        <is>
          <t>PE22042601</t>
        </is>
      </c>
      <c r="J2953" s="8" t="inlineStr">
        <is>
          <t>Anomalies/defects in the modules</t>
        </is>
      </c>
      <c r="K2953" s="8" t="inlineStr">
        <is>
          <t>Tirunelveli</t>
        </is>
      </c>
      <c r="L2953" s="8" t="inlineStr">
        <is>
          <t>Tamil Nadu</t>
        </is>
      </c>
      <c r="M2953" s="62" t="inlineStr">
        <is>
          <t>JB Breakages</t>
        </is>
      </c>
      <c r="N2953" s="62" t="inlineStr">
        <is>
          <t>JB &amp; Cable Damege</t>
        </is>
      </c>
      <c r="O2953" s="11" t="n">
        <v>550</v>
      </c>
      <c r="P2953" s="62" t="inlineStr">
        <is>
          <t>NSMP2307345622</t>
        </is>
      </c>
      <c r="Q2953" s="29">
        <f>MID(P2953,5,2)</f>
        <v/>
      </c>
      <c r="R2953" s="14">
        <f>MID(P2953,7,2)</f>
        <v/>
      </c>
      <c r="S2953" s="6" t="inlineStr">
        <is>
          <t>G2B</t>
        </is>
      </c>
      <c r="T2953" s="1" t="inlineStr">
        <is>
          <t>P2 - PEPPL</t>
        </is>
      </c>
      <c r="U2953" s="6" t="inlineStr">
        <is>
          <t>External force applied</t>
        </is>
      </c>
      <c r="V2953" s="1" t="inlineStr">
        <is>
          <t>Inspection</t>
        </is>
      </c>
      <c r="W2953" s="1" t="inlineStr">
        <is>
          <t>Rejected</t>
        </is>
      </c>
      <c r="X2953" s="5" t="n">
        <v>46203</v>
      </c>
      <c r="Y2953" s="1">
        <f>IF(X2953="","",X2953-A2953)</f>
        <v/>
      </c>
      <c r="Z2953" s="5" t="n">
        <v>46203</v>
      </c>
      <c r="AA2953" s="3" t="n"/>
      <c r="AB2953" s="3" t="n"/>
      <c r="AE2953" s="146">
        <f>IF(AND(F2953="Closed",X2953&gt;=DATE(2026,6,1),X2953&lt;=DATE(2026,6,30)),"Closed in June","other")</f>
        <v/>
      </c>
    </row>
    <row r="2954" hidden="1">
      <c r="A2954" s="9" t="n">
        <v>46134</v>
      </c>
      <c r="B2954" s="1" t="n">
        <v>2026</v>
      </c>
      <c r="C2954" s="8" t="inlineStr">
        <is>
          <t>First Energy</t>
        </is>
      </c>
      <c r="D2954" s="11" t="inlineStr">
        <is>
          <t>Utility and C&amp;I</t>
        </is>
      </c>
      <c r="E2954" s="1" t="n"/>
      <c r="F2954" s="1" t="inlineStr">
        <is>
          <t>Closed</t>
        </is>
      </c>
      <c r="G2954" s="8" t="inlineStr">
        <is>
          <t>Saravanakumar</t>
        </is>
      </c>
      <c r="H2954" s="8" t="n">
        <v>8248438488</v>
      </c>
      <c r="I2954" s="10" t="inlineStr">
        <is>
          <t>PE22042601</t>
        </is>
      </c>
      <c r="J2954" s="8" t="inlineStr">
        <is>
          <t>Anomalies/defects in the modules</t>
        </is>
      </c>
      <c r="K2954" s="8" t="inlineStr">
        <is>
          <t>Tirunelveli</t>
        </is>
      </c>
      <c r="L2954" s="8" t="inlineStr">
        <is>
          <t>Tamil Nadu</t>
        </is>
      </c>
      <c r="M2954" s="62" t="inlineStr">
        <is>
          <t>JB Breakages</t>
        </is>
      </c>
      <c r="N2954" s="62" t="inlineStr">
        <is>
          <t>JB &amp; Cable Damege</t>
        </is>
      </c>
      <c r="O2954" s="11" t="n">
        <v>550</v>
      </c>
      <c r="P2954" s="62" t="inlineStr">
        <is>
          <t>NSMP2307335755</t>
        </is>
      </c>
      <c r="Q2954" s="29">
        <f>MID(P2954,5,2)</f>
        <v/>
      </c>
      <c r="R2954" s="14">
        <f>MID(P2954,7,2)</f>
        <v/>
      </c>
      <c r="S2954" s="6" t="inlineStr">
        <is>
          <t>G2B</t>
        </is>
      </c>
      <c r="T2954" s="1" t="inlineStr">
        <is>
          <t>P2 - PEPPL</t>
        </is>
      </c>
      <c r="U2954" s="6" t="inlineStr">
        <is>
          <t>External force applied</t>
        </is>
      </c>
      <c r="V2954" s="1" t="inlineStr">
        <is>
          <t>Inspection</t>
        </is>
      </c>
      <c r="W2954" s="1" t="inlineStr">
        <is>
          <t>Rejected</t>
        </is>
      </c>
      <c r="X2954" s="5" t="n">
        <v>46203</v>
      </c>
      <c r="Y2954" s="1">
        <f>IF(X2954="","",X2954-A2954)</f>
        <v/>
      </c>
      <c r="Z2954" s="5" t="n">
        <v>46203</v>
      </c>
      <c r="AA2954" s="3" t="n"/>
      <c r="AB2954" s="3" t="n"/>
      <c r="AE2954" s="146">
        <f>IF(AND(F2954="Closed",X2954&gt;=DATE(2026,6,1),X2954&lt;=DATE(2026,6,30)),"Closed in June","other")</f>
        <v/>
      </c>
    </row>
    <row r="2955" hidden="1">
      <c r="A2955" s="9" t="n">
        <v>46134</v>
      </c>
      <c r="B2955" s="1" t="n">
        <v>2026</v>
      </c>
      <c r="C2955" s="8" t="inlineStr">
        <is>
          <t>First Energy</t>
        </is>
      </c>
      <c r="D2955" s="11" t="inlineStr">
        <is>
          <t>Utility and C&amp;I</t>
        </is>
      </c>
      <c r="E2955" s="1" t="n"/>
      <c r="F2955" s="1" t="inlineStr">
        <is>
          <t>Closed</t>
        </is>
      </c>
      <c r="G2955" s="8" t="inlineStr">
        <is>
          <t>Saravanakumar</t>
        </is>
      </c>
      <c r="H2955" s="8" t="n">
        <v>8248438488</v>
      </c>
      <c r="I2955" s="10" t="inlineStr">
        <is>
          <t>PE22042601</t>
        </is>
      </c>
      <c r="J2955" s="8" t="inlineStr">
        <is>
          <t>Anomalies/defects in the modules</t>
        </is>
      </c>
      <c r="K2955" s="8" t="inlineStr">
        <is>
          <t>Tirunelveli</t>
        </is>
      </c>
      <c r="L2955" s="8" t="inlineStr">
        <is>
          <t>Tamil Nadu</t>
        </is>
      </c>
      <c r="M2955" s="62" t="inlineStr">
        <is>
          <t>JB Breakages</t>
        </is>
      </c>
      <c r="N2955" s="62" t="inlineStr">
        <is>
          <t>JB &amp; Cable Damege</t>
        </is>
      </c>
      <c r="O2955" s="11" t="n">
        <v>550</v>
      </c>
      <c r="P2955" s="62" t="inlineStr">
        <is>
          <t>NSMP2307338467</t>
        </is>
      </c>
      <c r="Q2955" s="29">
        <f>MID(P2955,5,2)</f>
        <v/>
      </c>
      <c r="R2955" s="14">
        <f>MID(P2955,7,2)</f>
        <v/>
      </c>
      <c r="S2955" s="6" t="inlineStr">
        <is>
          <t>G2B</t>
        </is>
      </c>
      <c r="T2955" s="1" t="inlineStr">
        <is>
          <t>P2 - PEPPL</t>
        </is>
      </c>
      <c r="U2955" s="6" t="inlineStr">
        <is>
          <t>External force applied</t>
        </is>
      </c>
      <c r="V2955" s="1" t="inlineStr">
        <is>
          <t>Inspection</t>
        </is>
      </c>
      <c r="W2955" s="1" t="inlineStr">
        <is>
          <t>Rejected</t>
        </is>
      </c>
      <c r="X2955" s="5" t="n">
        <v>46203</v>
      </c>
      <c r="Y2955" s="1">
        <f>IF(X2955="","",X2955-A2955)</f>
        <v/>
      </c>
      <c r="Z2955" s="5" t="n">
        <v>46203</v>
      </c>
      <c r="AA2955" s="3" t="n"/>
      <c r="AB2955" s="3" t="n"/>
      <c r="AE2955" s="146">
        <f>IF(AND(F2955="Closed",X2955&gt;=DATE(2026,6,1),X2955&lt;=DATE(2026,6,30)),"Closed in June","other")</f>
        <v/>
      </c>
    </row>
    <row r="2956" hidden="1">
      <c r="A2956" s="9" t="n">
        <v>46134</v>
      </c>
      <c r="B2956" s="1" t="n">
        <v>2026</v>
      </c>
      <c r="C2956" s="8" t="inlineStr">
        <is>
          <t>First Energy</t>
        </is>
      </c>
      <c r="D2956" s="11" t="inlineStr">
        <is>
          <t>Utility and C&amp;I</t>
        </is>
      </c>
      <c r="E2956" s="1" t="n"/>
      <c r="F2956" s="1" t="inlineStr">
        <is>
          <t>Closed</t>
        </is>
      </c>
      <c r="G2956" s="8" t="inlineStr">
        <is>
          <t>Saravanakumar</t>
        </is>
      </c>
      <c r="H2956" s="8" t="n">
        <v>8248438488</v>
      </c>
      <c r="I2956" s="10" t="inlineStr">
        <is>
          <t>PE22042601</t>
        </is>
      </c>
      <c r="J2956" s="8" t="inlineStr">
        <is>
          <t>Anomalies/defects in the modules</t>
        </is>
      </c>
      <c r="K2956" s="8" t="inlineStr">
        <is>
          <t>Tirunelveli</t>
        </is>
      </c>
      <c r="L2956" s="8" t="inlineStr">
        <is>
          <t>Tamil Nadu</t>
        </is>
      </c>
      <c r="M2956" s="62" t="inlineStr">
        <is>
          <t>JB Breakages</t>
        </is>
      </c>
      <c r="N2956" s="62" t="inlineStr">
        <is>
          <t>JB &amp; Cable Damege</t>
        </is>
      </c>
      <c r="O2956" s="11" t="n">
        <v>550</v>
      </c>
      <c r="P2956" s="62" t="inlineStr">
        <is>
          <t>NSMP2307345295</t>
        </is>
      </c>
      <c r="Q2956" s="29">
        <f>MID(P2956,5,2)</f>
        <v/>
      </c>
      <c r="R2956" s="14">
        <f>MID(P2956,7,2)</f>
        <v/>
      </c>
      <c r="S2956" s="6" t="inlineStr">
        <is>
          <t>G2B</t>
        </is>
      </c>
      <c r="T2956" s="1" t="inlineStr">
        <is>
          <t>P2 - PEPPL</t>
        </is>
      </c>
      <c r="U2956" s="6" t="inlineStr">
        <is>
          <t>External force applied</t>
        </is>
      </c>
      <c r="V2956" s="1" t="inlineStr">
        <is>
          <t>Inspection</t>
        </is>
      </c>
      <c r="W2956" s="1" t="inlineStr">
        <is>
          <t>Rejected</t>
        </is>
      </c>
      <c r="X2956" s="5" t="n">
        <v>46203</v>
      </c>
      <c r="Y2956" s="1">
        <f>IF(X2956="","",X2956-A2956)</f>
        <v/>
      </c>
      <c r="Z2956" s="5" t="n">
        <v>46203</v>
      </c>
      <c r="AA2956" s="3" t="n"/>
      <c r="AB2956" s="3" t="n"/>
      <c r="AE2956" s="146">
        <f>IF(AND(F2956="Closed",X2956&gt;=DATE(2026,6,1),X2956&lt;=DATE(2026,6,30)),"Closed in June","other")</f>
        <v/>
      </c>
    </row>
    <row r="2957" hidden="1">
      <c r="A2957" s="9" t="n">
        <v>46134</v>
      </c>
      <c r="B2957" s="1" t="n">
        <v>2026</v>
      </c>
      <c r="C2957" s="8" t="inlineStr">
        <is>
          <t>First Energy</t>
        </is>
      </c>
      <c r="D2957" s="11" t="inlineStr">
        <is>
          <t>Utility and C&amp;I</t>
        </is>
      </c>
      <c r="E2957" s="1" t="n"/>
      <c r="F2957" s="1" t="inlineStr">
        <is>
          <t>Closed</t>
        </is>
      </c>
      <c r="G2957" s="8" t="inlineStr">
        <is>
          <t>Saravanakumar</t>
        </is>
      </c>
      <c r="H2957" s="8" t="n">
        <v>8248438488</v>
      </c>
      <c r="I2957" s="10" t="inlineStr">
        <is>
          <t>PE22042601</t>
        </is>
      </c>
      <c r="J2957" s="8" t="inlineStr">
        <is>
          <t>Anomalies/defects in the modules</t>
        </is>
      </c>
      <c r="K2957" s="8" t="inlineStr">
        <is>
          <t>Tirunelveli</t>
        </is>
      </c>
      <c r="L2957" s="8" t="inlineStr">
        <is>
          <t>Tamil Nadu</t>
        </is>
      </c>
      <c r="M2957" s="62" t="inlineStr">
        <is>
          <t>JB Breakages</t>
        </is>
      </c>
      <c r="N2957" s="62" t="inlineStr">
        <is>
          <t>JB &amp; Cable Damege</t>
        </is>
      </c>
      <c r="O2957" s="11" t="n">
        <v>550</v>
      </c>
      <c r="P2957" s="62" t="inlineStr">
        <is>
          <t>NSMP2307418223</t>
        </is>
      </c>
      <c r="Q2957" s="29">
        <f>MID(P2957,5,2)</f>
        <v/>
      </c>
      <c r="R2957" s="14">
        <f>MID(P2957,7,2)</f>
        <v/>
      </c>
      <c r="S2957" s="6" t="inlineStr">
        <is>
          <t>G2B</t>
        </is>
      </c>
      <c r="T2957" s="1" t="inlineStr">
        <is>
          <t>P2 - PEPPL</t>
        </is>
      </c>
      <c r="U2957" s="6" t="inlineStr">
        <is>
          <t>External force applied</t>
        </is>
      </c>
      <c r="V2957" s="1" t="inlineStr">
        <is>
          <t>Inspection</t>
        </is>
      </c>
      <c r="W2957" s="1" t="inlineStr">
        <is>
          <t>Rejected</t>
        </is>
      </c>
      <c r="X2957" s="5" t="n">
        <v>46203</v>
      </c>
      <c r="Y2957" s="1">
        <f>IF(X2957="","",X2957-A2957)</f>
        <v/>
      </c>
      <c r="Z2957" s="5" t="n">
        <v>46203</v>
      </c>
      <c r="AA2957" s="3" t="n"/>
      <c r="AB2957" s="3" t="n"/>
      <c r="AE2957" s="146">
        <f>IF(AND(F2957="Closed",X2957&gt;=DATE(2026,6,1),X2957&lt;=DATE(2026,6,30)),"Closed in June","other")</f>
        <v/>
      </c>
    </row>
    <row r="2958" hidden="1">
      <c r="A2958" s="9" t="n">
        <v>46134</v>
      </c>
      <c r="B2958" s="1" t="n">
        <v>2026</v>
      </c>
      <c r="C2958" s="8" t="inlineStr">
        <is>
          <t>First Energy</t>
        </is>
      </c>
      <c r="D2958" s="11" t="inlineStr">
        <is>
          <t>Utility and C&amp;I</t>
        </is>
      </c>
      <c r="E2958" s="1" t="n"/>
      <c r="F2958" s="1" t="inlineStr">
        <is>
          <t>Closed</t>
        </is>
      </c>
      <c r="G2958" s="8" t="inlineStr">
        <is>
          <t>Saravanakumar</t>
        </is>
      </c>
      <c r="H2958" s="8" t="n">
        <v>8248438488</v>
      </c>
      <c r="I2958" s="10" t="inlineStr">
        <is>
          <t>PE22042601</t>
        </is>
      </c>
      <c r="J2958" s="8" t="inlineStr">
        <is>
          <t>Anomalies/defects in the modules</t>
        </is>
      </c>
      <c r="K2958" s="8" t="inlineStr">
        <is>
          <t>Tirunelveli</t>
        </is>
      </c>
      <c r="L2958" s="8" t="inlineStr">
        <is>
          <t>Tamil Nadu</t>
        </is>
      </c>
      <c r="M2958" s="62" t="inlineStr">
        <is>
          <t>JB Breakages</t>
        </is>
      </c>
      <c r="N2958" s="62" t="inlineStr">
        <is>
          <t>JB &amp; Cable Damege</t>
        </is>
      </c>
      <c r="O2958" s="11" t="n">
        <v>550</v>
      </c>
      <c r="P2958" s="62" t="inlineStr">
        <is>
          <t>NSMP2307367392</t>
        </is>
      </c>
      <c r="Q2958" s="29">
        <f>MID(P2958,5,2)</f>
        <v/>
      </c>
      <c r="R2958" s="14">
        <f>MID(P2958,7,2)</f>
        <v/>
      </c>
      <c r="S2958" s="6" t="inlineStr">
        <is>
          <t>G2B</t>
        </is>
      </c>
      <c r="T2958" s="1" t="inlineStr">
        <is>
          <t>P2 - PEPPL</t>
        </is>
      </c>
      <c r="U2958" s="6" t="inlineStr">
        <is>
          <t>External force applied</t>
        </is>
      </c>
      <c r="V2958" s="1" t="inlineStr">
        <is>
          <t>Inspection</t>
        </is>
      </c>
      <c r="W2958" s="1" t="inlineStr">
        <is>
          <t>Rejected</t>
        </is>
      </c>
      <c r="X2958" s="5" t="n">
        <v>46203</v>
      </c>
      <c r="Y2958" s="1">
        <f>IF(X2958="","",X2958-A2958)</f>
        <v/>
      </c>
      <c r="Z2958" s="5" t="n">
        <v>46203</v>
      </c>
      <c r="AA2958" s="3" t="n"/>
      <c r="AB2958" s="3" t="n"/>
      <c r="AE2958" s="146">
        <f>IF(AND(F2958="Closed",X2958&gt;=DATE(2026,6,1),X2958&lt;=DATE(2026,6,30)),"Closed in June","other")</f>
        <v/>
      </c>
    </row>
    <row r="2959" hidden="1">
      <c r="A2959" s="9" t="n">
        <v>46134</v>
      </c>
      <c r="B2959" s="1" t="n">
        <v>2026</v>
      </c>
      <c r="C2959" s="8" t="inlineStr">
        <is>
          <t>First Energy</t>
        </is>
      </c>
      <c r="D2959" s="11" t="inlineStr">
        <is>
          <t>Utility and C&amp;I</t>
        </is>
      </c>
      <c r="E2959" s="1" t="n"/>
      <c r="F2959" s="1" t="inlineStr">
        <is>
          <t>Closed</t>
        </is>
      </c>
      <c r="G2959" s="8" t="inlineStr">
        <is>
          <t>Saravanakumar</t>
        </is>
      </c>
      <c r="H2959" s="8" t="n">
        <v>8248438488</v>
      </c>
      <c r="I2959" s="10" t="inlineStr">
        <is>
          <t>PE22042601</t>
        </is>
      </c>
      <c r="J2959" s="8" t="inlineStr">
        <is>
          <t>Anomalies/defects in the modules</t>
        </is>
      </c>
      <c r="K2959" s="8" t="inlineStr">
        <is>
          <t>Tirunelveli</t>
        </is>
      </c>
      <c r="L2959" s="8" t="inlineStr">
        <is>
          <t>Tamil Nadu</t>
        </is>
      </c>
      <c r="M2959" s="62" t="inlineStr">
        <is>
          <t>JB Breakages</t>
        </is>
      </c>
      <c r="N2959" s="62" t="inlineStr">
        <is>
          <t>JB &amp; Cable Damege</t>
        </is>
      </c>
      <c r="O2959" s="11" t="n">
        <v>550</v>
      </c>
      <c r="P2959" s="62" t="inlineStr">
        <is>
          <t>NSMP2307338508</t>
        </is>
      </c>
      <c r="Q2959" s="29">
        <f>MID(P2959,5,2)</f>
        <v/>
      </c>
      <c r="R2959" s="14">
        <f>MID(P2959,7,2)</f>
        <v/>
      </c>
      <c r="S2959" s="6" t="inlineStr">
        <is>
          <t>G2B</t>
        </is>
      </c>
      <c r="T2959" s="1" t="inlineStr">
        <is>
          <t>P2 - PEPPL</t>
        </is>
      </c>
      <c r="U2959" s="6" t="inlineStr">
        <is>
          <t>External force applied</t>
        </is>
      </c>
      <c r="V2959" s="1" t="inlineStr">
        <is>
          <t>Inspection</t>
        </is>
      </c>
      <c r="W2959" s="1" t="inlineStr">
        <is>
          <t>Rejected</t>
        </is>
      </c>
      <c r="X2959" s="5" t="n">
        <v>46203</v>
      </c>
      <c r="Y2959" s="1">
        <f>IF(X2959="","",X2959-A2959)</f>
        <v/>
      </c>
      <c r="Z2959" s="5" t="n">
        <v>46203</v>
      </c>
      <c r="AA2959" s="3" t="n"/>
      <c r="AB2959" s="3" t="n"/>
      <c r="AE2959" s="146">
        <f>IF(AND(F2959="Closed",X2959&gt;=DATE(2026,6,1),X2959&lt;=DATE(2026,6,30)),"Closed in June","other")</f>
        <v/>
      </c>
    </row>
    <row r="2960" hidden="1">
      <c r="A2960" s="9" t="n">
        <v>46134</v>
      </c>
      <c r="B2960" s="1" t="n">
        <v>2026</v>
      </c>
      <c r="C2960" s="8" t="inlineStr">
        <is>
          <t>First Energy</t>
        </is>
      </c>
      <c r="D2960" s="11" t="inlineStr">
        <is>
          <t>Utility and C&amp;I</t>
        </is>
      </c>
      <c r="E2960" s="1" t="n"/>
      <c r="F2960" s="1" t="inlineStr">
        <is>
          <t>Closed</t>
        </is>
      </c>
      <c r="G2960" s="8" t="inlineStr">
        <is>
          <t>Saravanakumar</t>
        </is>
      </c>
      <c r="H2960" s="8" t="n">
        <v>8248438488</v>
      </c>
      <c r="I2960" s="10" t="inlineStr">
        <is>
          <t>PE22042601</t>
        </is>
      </c>
      <c r="J2960" s="8" t="inlineStr">
        <is>
          <t>Anomalies/defects in the modules</t>
        </is>
      </c>
      <c r="K2960" s="8" t="inlineStr">
        <is>
          <t>Tirunelveli</t>
        </is>
      </c>
      <c r="L2960" s="8" t="inlineStr">
        <is>
          <t>Tamil Nadu</t>
        </is>
      </c>
      <c r="M2960" s="62" t="inlineStr">
        <is>
          <t>JB Breakages</t>
        </is>
      </c>
      <c r="N2960" s="62" t="inlineStr">
        <is>
          <t>JB &amp; Cable Damege</t>
        </is>
      </c>
      <c r="O2960" s="11" t="n">
        <v>550</v>
      </c>
      <c r="P2960" s="62" t="inlineStr">
        <is>
          <t>NSMP2307338659</t>
        </is>
      </c>
      <c r="Q2960" s="29">
        <f>MID(P2960,5,2)</f>
        <v/>
      </c>
      <c r="R2960" s="14">
        <f>MID(P2960,7,2)</f>
        <v/>
      </c>
      <c r="S2960" s="6" t="inlineStr">
        <is>
          <t>G2B</t>
        </is>
      </c>
      <c r="T2960" s="1" t="inlineStr">
        <is>
          <t>P2 - PEPPL</t>
        </is>
      </c>
      <c r="U2960" s="6" t="inlineStr">
        <is>
          <t>External force applied</t>
        </is>
      </c>
      <c r="V2960" s="1" t="inlineStr">
        <is>
          <t>Inspection</t>
        </is>
      </c>
      <c r="W2960" s="1" t="inlineStr">
        <is>
          <t>Rejected</t>
        </is>
      </c>
      <c r="X2960" s="5" t="n">
        <v>46203</v>
      </c>
      <c r="Y2960" s="1">
        <f>IF(X2960="","",X2960-A2960)</f>
        <v/>
      </c>
      <c r="Z2960" s="5" t="n">
        <v>46203</v>
      </c>
      <c r="AA2960" s="3" t="n"/>
      <c r="AB2960" s="3" t="n"/>
      <c r="AE2960" s="146">
        <f>IF(AND(F2960="Closed",X2960&gt;=DATE(2026,6,1),X2960&lt;=DATE(2026,6,30)),"Closed in June","other")</f>
        <v/>
      </c>
    </row>
    <row r="2961" hidden="1">
      <c r="A2961" s="9" t="n">
        <v>46134</v>
      </c>
      <c r="B2961" s="1" t="n">
        <v>2026</v>
      </c>
      <c r="C2961" s="8" t="inlineStr">
        <is>
          <t>First Energy</t>
        </is>
      </c>
      <c r="D2961" s="11" t="inlineStr">
        <is>
          <t>Utility and C&amp;I</t>
        </is>
      </c>
      <c r="E2961" s="1" t="n"/>
      <c r="F2961" s="1" t="inlineStr">
        <is>
          <t>Closed</t>
        </is>
      </c>
      <c r="G2961" s="8" t="inlineStr">
        <is>
          <t>Saravanakumar</t>
        </is>
      </c>
      <c r="H2961" s="8" t="n">
        <v>8248438488</v>
      </c>
      <c r="I2961" s="10" t="inlineStr">
        <is>
          <t>PE22042601</t>
        </is>
      </c>
      <c r="J2961" s="8" t="inlineStr">
        <is>
          <t>Anomalies/defects in the modules</t>
        </is>
      </c>
      <c r="K2961" s="8" t="inlineStr">
        <is>
          <t>Tirunelveli</t>
        </is>
      </c>
      <c r="L2961" s="8" t="inlineStr">
        <is>
          <t>Tamil Nadu</t>
        </is>
      </c>
      <c r="M2961" s="62" t="inlineStr">
        <is>
          <t>JB Breakages</t>
        </is>
      </c>
      <c r="N2961" s="62" t="inlineStr">
        <is>
          <t>JB &amp; Cable Damege</t>
        </is>
      </c>
      <c r="O2961" s="11" t="n">
        <v>550</v>
      </c>
      <c r="P2961" s="62" t="inlineStr">
        <is>
          <t>NSMP2306323977</t>
        </is>
      </c>
      <c r="Q2961" s="29">
        <f>MID(P2961,5,2)</f>
        <v/>
      </c>
      <c r="R2961" s="14">
        <f>MID(P2961,7,2)</f>
        <v/>
      </c>
      <c r="S2961" s="6" t="inlineStr">
        <is>
          <t>G2B</t>
        </is>
      </c>
      <c r="T2961" s="1" t="inlineStr">
        <is>
          <t>P2 - PEPPL</t>
        </is>
      </c>
      <c r="U2961" s="6" t="inlineStr">
        <is>
          <t>External force applied</t>
        </is>
      </c>
      <c r="V2961" s="1" t="inlineStr">
        <is>
          <t>Inspection</t>
        </is>
      </c>
      <c r="W2961" s="1" t="inlineStr">
        <is>
          <t>Rejected</t>
        </is>
      </c>
      <c r="X2961" s="5" t="n">
        <v>46203</v>
      </c>
      <c r="Y2961" s="1">
        <f>IF(X2961="","",X2961-A2961)</f>
        <v/>
      </c>
      <c r="Z2961" s="5" t="n">
        <v>46203</v>
      </c>
      <c r="AA2961" s="3" t="n"/>
      <c r="AB2961" s="3" t="n"/>
      <c r="AE2961" s="146">
        <f>IF(AND(F2961="Closed",X2961&gt;=DATE(2026,6,1),X2961&lt;=DATE(2026,6,30)),"Closed in June","other")</f>
        <v/>
      </c>
    </row>
    <row r="2962" hidden="1">
      <c r="A2962" s="9" t="n">
        <v>46134</v>
      </c>
      <c r="B2962" s="1" t="n">
        <v>2026</v>
      </c>
      <c r="C2962" s="8" t="inlineStr">
        <is>
          <t>First Energy</t>
        </is>
      </c>
      <c r="D2962" s="11" t="inlineStr">
        <is>
          <t>Utility and C&amp;I</t>
        </is>
      </c>
      <c r="E2962" s="1" t="n"/>
      <c r="F2962" s="1" t="inlineStr">
        <is>
          <t>Closed</t>
        </is>
      </c>
      <c r="G2962" s="8" t="inlineStr">
        <is>
          <t>Saravanakumar</t>
        </is>
      </c>
      <c r="H2962" s="8" t="n">
        <v>8248438488</v>
      </c>
      <c r="I2962" s="10" t="inlineStr">
        <is>
          <t>PE22042601</t>
        </is>
      </c>
      <c r="J2962" s="8" t="inlineStr">
        <is>
          <t>Anomalies/defects in the modules</t>
        </is>
      </c>
      <c r="K2962" s="8" t="inlineStr">
        <is>
          <t>Tirunelveli</t>
        </is>
      </c>
      <c r="L2962" s="8" t="inlineStr">
        <is>
          <t>Tamil Nadu</t>
        </is>
      </c>
      <c r="M2962" s="62" t="inlineStr">
        <is>
          <t>JB Breakages</t>
        </is>
      </c>
      <c r="N2962" s="62" t="inlineStr">
        <is>
          <t>JB &amp; Cable Damege</t>
        </is>
      </c>
      <c r="O2962" s="11" t="n">
        <v>550</v>
      </c>
      <c r="P2962" s="62" t="inlineStr">
        <is>
          <t>NSMP2307356560</t>
        </is>
      </c>
      <c r="Q2962" s="29">
        <f>MID(P2962,5,2)</f>
        <v/>
      </c>
      <c r="R2962" s="14">
        <f>MID(P2962,7,2)</f>
        <v/>
      </c>
      <c r="S2962" s="6" t="inlineStr">
        <is>
          <t>G2B</t>
        </is>
      </c>
      <c r="T2962" s="1" t="inlineStr">
        <is>
          <t>P2 - PEPPL</t>
        </is>
      </c>
      <c r="U2962" s="6" t="inlineStr">
        <is>
          <t>External force applied</t>
        </is>
      </c>
      <c r="V2962" s="1" t="inlineStr">
        <is>
          <t>Inspection</t>
        </is>
      </c>
      <c r="W2962" s="1" t="inlineStr">
        <is>
          <t>Rejected</t>
        </is>
      </c>
      <c r="X2962" s="5" t="n">
        <v>46203</v>
      </c>
      <c r="Y2962" s="1">
        <f>IF(X2962="","",X2962-A2962)</f>
        <v/>
      </c>
      <c r="Z2962" s="5" t="n">
        <v>46203</v>
      </c>
      <c r="AA2962" s="3" t="n"/>
      <c r="AB2962" s="3" t="n"/>
      <c r="AE2962" s="146">
        <f>IF(AND(F2962="Closed",X2962&gt;=DATE(2026,6,1),X2962&lt;=DATE(2026,6,30)),"Closed in June","other")</f>
        <v/>
      </c>
    </row>
    <row r="2963" hidden="1">
      <c r="A2963" s="9" t="n">
        <v>46134</v>
      </c>
      <c r="B2963" s="1" t="n">
        <v>2026</v>
      </c>
      <c r="C2963" s="8" t="inlineStr">
        <is>
          <t>First Energy</t>
        </is>
      </c>
      <c r="D2963" s="11" t="inlineStr">
        <is>
          <t>Utility and C&amp;I</t>
        </is>
      </c>
      <c r="E2963" s="1" t="n"/>
      <c r="F2963" s="1" t="inlineStr">
        <is>
          <t>Closed</t>
        </is>
      </c>
      <c r="G2963" s="8" t="inlineStr">
        <is>
          <t>Saravanakumar</t>
        </is>
      </c>
      <c r="H2963" s="8" t="n">
        <v>8248438488</v>
      </c>
      <c r="I2963" s="10" t="inlineStr">
        <is>
          <t>PE22042601</t>
        </is>
      </c>
      <c r="J2963" s="8" t="inlineStr">
        <is>
          <t>Anomalies/defects in the modules</t>
        </is>
      </c>
      <c r="K2963" s="8" t="inlineStr">
        <is>
          <t>Tirunelveli</t>
        </is>
      </c>
      <c r="L2963" s="8" t="inlineStr">
        <is>
          <t>Tamil Nadu</t>
        </is>
      </c>
      <c r="M2963" s="62" t="inlineStr">
        <is>
          <t>JB Breakages</t>
        </is>
      </c>
      <c r="N2963" s="62" t="inlineStr">
        <is>
          <t>JB &amp; Cable Damege</t>
        </is>
      </c>
      <c r="O2963" s="11" t="n">
        <v>550</v>
      </c>
      <c r="P2963" s="62" t="inlineStr">
        <is>
          <t>NSMP2307358202</t>
        </is>
      </c>
      <c r="Q2963" s="29">
        <f>MID(P2963,5,2)</f>
        <v/>
      </c>
      <c r="R2963" s="14">
        <f>MID(P2963,7,2)</f>
        <v/>
      </c>
      <c r="S2963" s="6" t="inlineStr">
        <is>
          <t>G2B</t>
        </is>
      </c>
      <c r="T2963" s="1" t="inlineStr">
        <is>
          <t>P2 - PEPPL</t>
        </is>
      </c>
      <c r="U2963" s="6" t="inlineStr">
        <is>
          <t>External force applied</t>
        </is>
      </c>
      <c r="V2963" s="1" t="inlineStr">
        <is>
          <t>Inspection</t>
        </is>
      </c>
      <c r="W2963" s="1" t="inlineStr">
        <is>
          <t>Rejected</t>
        </is>
      </c>
      <c r="X2963" s="5" t="n">
        <v>46203</v>
      </c>
      <c r="Y2963" s="1">
        <f>IF(X2963="","",X2963-A2963)</f>
        <v/>
      </c>
      <c r="Z2963" s="5" t="n">
        <v>46203</v>
      </c>
      <c r="AA2963" s="3" t="n"/>
      <c r="AB2963" s="3" t="n"/>
      <c r="AE2963" s="146">
        <f>IF(AND(F2963="Closed",X2963&gt;=DATE(2026,6,1),X2963&lt;=DATE(2026,6,30)),"Closed in June","other")</f>
        <v/>
      </c>
    </row>
    <row r="2964" hidden="1">
      <c r="A2964" s="9" t="n">
        <v>46134</v>
      </c>
      <c r="B2964" s="1" t="n">
        <v>2026</v>
      </c>
      <c r="C2964" s="8" t="inlineStr">
        <is>
          <t>First Energy</t>
        </is>
      </c>
      <c r="D2964" s="11" t="inlineStr">
        <is>
          <t>Utility and C&amp;I</t>
        </is>
      </c>
      <c r="E2964" s="1" t="n"/>
      <c r="F2964" s="1" t="inlineStr">
        <is>
          <t>Closed</t>
        </is>
      </c>
      <c r="G2964" s="8" t="inlineStr">
        <is>
          <t>Saravanakumar</t>
        </is>
      </c>
      <c r="H2964" s="8" t="n">
        <v>8248438488</v>
      </c>
      <c r="I2964" s="10" t="inlineStr">
        <is>
          <t>PE22042601</t>
        </is>
      </c>
      <c r="J2964" s="8" t="inlineStr">
        <is>
          <t>Anomalies/defects in the modules</t>
        </is>
      </c>
      <c r="K2964" s="8" t="inlineStr">
        <is>
          <t>Tirunelveli</t>
        </is>
      </c>
      <c r="L2964" s="8" t="inlineStr">
        <is>
          <t>Tamil Nadu</t>
        </is>
      </c>
      <c r="M2964" s="62" t="inlineStr">
        <is>
          <t>JB Breakages</t>
        </is>
      </c>
      <c r="N2964" s="62" t="inlineStr">
        <is>
          <t>JB &amp; Cable Damege</t>
        </is>
      </c>
      <c r="O2964" s="11" t="n">
        <v>550</v>
      </c>
      <c r="P2964" s="62" t="inlineStr">
        <is>
          <t>NSMP2307330340</t>
        </is>
      </c>
      <c r="Q2964" s="29">
        <f>MID(P2964,5,2)</f>
        <v/>
      </c>
      <c r="R2964" s="14">
        <f>MID(P2964,7,2)</f>
        <v/>
      </c>
      <c r="S2964" s="6" t="inlineStr">
        <is>
          <t>G2B</t>
        </is>
      </c>
      <c r="T2964" s="1" t="inlineStr">
        <is>
          <t>P2 - PEPPL</t>
        </is>
      </c>
      <c r="U2964" s="6" t="inlineStr">
        <is>
          <t>External force applied</t>
        </is>
      </c>
      <c r="V2964" s="1" t="inlineStr">
        <is>
          <t>Inspection</t>
        </is>
      </c>
      <c r="W2964" s="1" t="inlineStr">
        <is>
          <t>Rejected</t>
        </is>
      </c>
      <c r="X2964" s="5" t="n">
        <v>46203</v>
      </c>
      <c r="Y2964" s="1">
        <f>IF(X2964="","",X2964-A2964)</f>
        <v/>
      </c>
      <c r="Z2964" s="5" t="n">
        <v>46203</v>
      </c>
      <c r="AA2964" s="3" t="n"/>
      <c r="AB2964" s="3" t="n"/>
      <c r="AE2964" s="146">
        <f>IF(AND(F2964="Closed",X2964&gt;=DATE(2026,6,1),X2964&lt;=DATE(2026,6,30)),"Closed in June","other")</f>
        <v/>
      </c>
    </row>
    <row r="2965" hidden="1">
      <c r="A2965" s="9" t="n">
        <v>46134</v>
      </c>
      <c r="B2965" s="1" t="n">
        <v>2026</v>
      </c>
      <c r="C2965" s="8" t="inlineStr">
        <is>
          <t>First Energy</t>
        </is>
      </c>
      <c r="D2965" s="11" t="inlineStr">
        <is>
          <t>Utility and C&amp;I</t>
        </is>
      </c>
      <c r="E2965" s="1" t="n"/>
      <c r="F2965" s="1" t="inlineStr">
        <is>
          <t>Closed</t>
        </is>
      </c>
      <c r="G2965" s="8" t="inlineStr">
        <is>
          <t>Saravanakumar</t>
        </is>
      </c>
      <c r="H2965" s="8" t="n">
        <v>8248438488</v>
      </c>
      <c r="I2965" s="10" t="inlineStr">
        <is>
          <t>PE22042601</t>
        </is>
      </c>
      <c r="J2965" s="8" t="inlineStr">
        <is>
          <t>Anomalies/defects in the modules</t>
        </is>
      </c>
      <c r="K2965" s="8" t="inlineStr">
        <is>
          <t>Tirunelveli</t>
        </is>
      </c>
      <c r="L2965" s="8" t="inlineStr">
        <is>
          <t>Tamil Nadu</t>
        </is>
      </c>
      <c r="M2965" s="62" t="inlineStr">
        <is>
          <t>JB Breakages</t>
        </is>
      </c>
      <c r="N2965" s="62" t="inlineStr">
        <is>
          <t>JB &amp; Cable Damege</t>
        </is>
      </c>
      <c r="O2965" s="11" t="n">
        <v>550</v>
      </c>
      <c r="P2965" s="62" t="inlineStr">
        <is>
          <t>NSMP2306301206</t>
        </is>
      </c>
      <c r="Q2965" s="29">
        <f>MID(P2965,5,2)</f>
        <v/>
      </c>
      <c r="R2965" s="14">
        <f>MID(P2965,7,2)</f>
        <v/>
      </c>
      <c r="S2965" s="6" t="inlineStr">
        <is>
          <t>G2B</t>
        </is>
      </c>
      <c r="T2965" s="1" t="inlineStr">
        <is>
          <t>P2 - PEPPL</t>
        </is>
      </c>
      <c r="U2965" s="6" t="inlineStr">
        <is>
          <t>External force applied</t>
        </is>
      </c>
      <c r="V2965" s="1" t="inlineStr">
        <is>
          <t>Inspection</t>
        </is>
      </c>
      <c r="W2965" s="1" t="inlineStr">
        <is>
          <t>Rejected</t>
        </is>
      </c>
      <c r="X2965" s="5" t="n">
        <v>46203</v>
      </c>
      <c r="Y2965" s="1">
        <f>IF(X2965="","",X2965-A2965)</f>
        <v/>
      </c>
      <c r="Z2965" s="5" t="n">
        <v>46203</v>
      </c>
      <c r="AA2965" s="3" t="n"/>
      <c r="AB2965" s="3" t="n"/>
      <c r="AE2965" s="146">
        <f>IF(AND(F2965="Closed",X2965&gt;=DATE(2026,6,1),X2965&lt;=DATE(2026,6,30)),"Closed in June","other")</f>
        <v/>
      </c>
    </row>
    <row r="2966" hidden="1">
      <c r="A2966" s="9" t="n">
        <v>46134</v>
      </c>
      <c r="B2966" s="1" t="n">
        <v>2026</v>
      </c>
      <c r="C2966" s="8" t="inlineStr">
        <is>
          <t>First Energy</t>
        </is>
      </c>
      <c r="D2966" s="11" t="inlineStr">
        <is>
          <t>Utility and C&amp;I</t>
        </is>
      </c>
      <c r="E2966" s="1" t="n"/>
      <c r="F2966" s="1" t="inlineStr">
        <is>
          <t>Closed</t>
        </is>
      </c>
      <c r="G2966" s="8" t="inlineStr">
        <is>
          <t>Saravanakumar</t>
        </is>
      </c>
      <c r="H2966" s="8" t="n">
        <v>8248438488</v>
      </c>
      <c r="I2966" s="10" t="inlineStr">
        <is>
          <t>PE22042601</t>
        </is>
      </c>
      <c r="J2966" s="8" t="inlineStr">
        <is>
          <t>Anomalies/defects in the modules</t>
        </is>
      </c>
      <c r="K2966" s="8" t="inlineStr">
        <is>
          <t>Tirunelveli</t>
        </is>
      </c>
      <c r="L2966" s="8" t="inlineStr">
        <is>
          <t>Tamil Nadu</t>
        </is>
      </c>
      <c r="M2966" s="62" t="inlineStr">
        <is>
          <t>JB Breakages</t>
        </is>
      </c>
      <c r="N2966" s="62" t="inlineStr">
        <is>
          <t>JB &amp; Cable Damege</t>
        </is>
      </c>
      <c r="O2966" s="11" t="n">
        <v>550</v>
      </c>
      <c r="P2966" s="62" t="inlineStr">
        <is>
          <t>NSMP2306325597</t>
        </is>
      </c>
      <c r="Q2966" s="29">
        <f>MID(P2966,5,2)</f>
        <v/>
      </c>
      <c r="R2966" s="14">
        <f>MID(P2966,7,2)</f>
        <v/>
      </c>
      <c r="S2966" s="6" t="inlineStr">
        <is>
          <t>G2B</t>
        </is>
      </c>
      <c r="T2966" s="1" t="inlineStr">
        <is>
          <t>P2 - PEPPL</t>
        </is>
      </c>
      <c r="U2966" s="6" t="inlineStr">
        <is>
          <t>External force applied</t>
        </is>
      </c>
      <c r="V2966" s="1" t="inlineStr">
        <is>
          <t>Inspection</t>
        </is>
      </c>
      <c r="W2966" s="1" t="inlineStr">
        <is>
          <t>Rejected</t>
        </is>
      </c>
      <c r="X2966" s="5" t="n">
        <v>46203</v>
      </c>
      <c r="Y2966" s="1">
        <f>IF(X2966="","",X2966-A2966)</f>
        <v/>
      </c>
      <c r="Z2966" s="5" t="n">
        <v>46203</v>
      </c>
      <c r="AA2966" s="3" t="n"/>
      <c r="AB2966" s="3" t="n"/>
      <c r="AE2966" s="146">
        <f>IF(AND(F2966="Closed",X2966&gt;=DATE(2026,6,1),X2966&lt;=DATE(2026,6,30)),"Closed in June","other")</f>
        <v/>
      </c>
    </row>
    <row r="2967" hidden="1">
      <c r="A2967" s="9" t="n">
        <v>46134</v>
      </c>
      <c r="B2967" s="1" t="n">
        <v>2026</v>
      </c>
      <c r="C2967" s="8" t="inlineStr">
        <is>
          <t>First Energy</t>
        </is>
      </c>
      <c r="D2967" s="11" t="inlineStr">
        <is>
          <t>Utility and C&amp;I</t>
        </is>
      </c>
      <c r="E2967" s="1" t="n"/>
      <c r="F2967" s="1" t="inlineStr">
        <is>
          <t>Closed</t>
        </is>
      </c>
      <c r="G2967" s="8" t="inlineStr">
        <is>
          <t>Saravanakumar</t>
        </is>
      </c>
      <c r="H2967" s="8" t="n">
        <v>8248438488</v>
      </c>
      <c r="I2967" s="10" t="inlineStr">
        <is>
          <t>PE22042601</t>
        </is>
      </c>
      <c r="J2967" s="8" t="inlineStr">
        <is>
          <t>Anomalies/defects in the modules</t>
        </is>
      </c>
      <c r="K2967" s="8" t="inlineStr">
        <is>
          <t>Tirunelveli</t>
        </is>
      </c>
      <c r="L2967" s="8" t="inlineStr">
        <is>
          <t>Tamil Nadu</t>
        </is>
      </c>
      <c r="M2967" s="62" t="inlineStr">
        <is>
          <t>JB Breakages</t>
        </is>
      </c>
      <c r="N2967" s="62" t="inlineStr">
        <is>
          <t>JB &amp; Cable Damege</t>
        </is>
      </c>
      <c r="O2967" s="11" t="n">
        <v>550</v>
      </c>
      <c r="P2967" s="62" t="inlineStr">
        <is>
          <t>NSMP2307335063</t>
        </is>
      </c>
      <c r="Q2967" s="29">
        <f>MID(P2967,5,2)</f>
        <v/>
      </c>
      <c r="R2967" s="14">
        <f>MID(P2967,7,2)</f>
        <v/>
      </c>
      <c r="S2967" s="6" t="inlineStr">
        <is>
          <t>G2B</t>
        </is>
      </c>
      <c r="T2967" s="1" t="inlineStr">
        <is>
          <t>P2 - PEPPL</t>
        </is>
      </c>
      <c r="U2967" s="6" t="inlineStr">
        <is>
          <t>External force applied</t>
        </is>
      </c>
      <c r="V2967" s="1" t="inlineStr">
        <is>
          <t>Inspection</t>
        </is>
      </c>
      <c r="W2967" s="1" t="inlineStr">
        <is>
          <t>Rejected</t>
        </is>
      </c>
      <c r="X2967" s="5" t="n">
        <v>46203</v>
      </c>
      <c r="Y2967" s="1">
        <f>IF(X2967="","",X2967-A2967)</f>
        <v/>
      </c>
      <c r="Z2967" s="5" t="n">
        <v>46203</v>
      </c>
      <c r="AA2967" s="3" t="n"/>
      <c r="AB2967" s="3" t="n"/>
      <c r="AE2967" s="146">
        <f>IF(AND(F2967="Closed",X2967&gt;=DATE(2026,6,1),X2967&lt;=DATE(2026,6,30)),"Closed in June","other")</f>
        <v/>
      </c>
    </row>
    <row r="2968" hidden="1">
      <c r="A2968" s="9" t="n">
        <v>46134</v>
      </c>
      <c r="B2968" s="1" t="n">
        <v>2026</v>
      </c>
      <c r="C2968" s="8" t="inlineStr">
        <is>
          <t>First Energy</t>
        </is>
      </c>
      <c r="D2968" s="11" t="inlineStr">
        <is>
          <t>Utility and C&amp;I</t>
        </is>
      </c>
      <c r="E2968" s="1" t="n"/>
      <c r="F2968" s="1" t="inlineStr">
        <is>
          <t>Closed</t>
        </is>
      </c>
      <c r="G2968" s="8" t="inlineStr">
        <is>
          <t>Saravanakumar</t>
        </is>
      </c>
      <c r="H2968" s="8" t="n">
        <v>8248438488</v>
      </c>
      <c r="I2968" s="10" t="inlineStr">
        <is>
          <t>PE22042601</t>
        </is>
      </c>
      <c r="J2968" s="8" t="inlineStr">
        <is>
          <t>Anomalies/defects in the modules</t>
        </is>
      </c>
      <c r="K2968" s="8" t="inlineStr">
        <is>
          <t>Tirunelveli</t>
        </is>
      </c>
      <c r="L2968" s="8" t="inlineStr">
        <is>
          <t>Tamil Nadu</t>
        </is>
      </c>
      <c r="M2968" s="62" t="inlineStr">
        <is>
          <t>JB Breakages</t>
        </is>
      </c>
      <c r="N2968" s="62" t="inlineStr">
        <is>
          <t>JB &amp; Cable Damege</t>
        </is>
      </c>
      <c r="O2968" s="11" t="n">
        <v>550</v>
      </c>
      <c r="P2968" s="62" t="inlineStr">
        <is>
          <t>NSMP2307369655</t>
        </is>
      </c>
      <c r="Q2968" s="29">
        <f>MID(P2968,5,2)</f>
        <v/>
      </c>
      <c r="R2968" s="14">
        <f>MID(P2968,7,2)</f>
        <v/>
      </c>
      <c r="S2968" s="6" t="inlineStr">
        <is>
          <t>G2B</t>
        </is>
      </c>
      <c r="T2968" s="1" t="inlineStr">
        <is>
          <t>P2 - PEPPL</t>
        </is>
      </c>
      <c r="U2968" s="6" t="inlineStr">
        <is>
          <t>External force applied</t>
        </is>
      </c>
      <c r="V2968" s="1" t="inlineStr">
        <is>
          <t>Inspection</t>
        </is>
      </c>
      <c r="W2968" s="1" t="inlineStr">
        <is>
          <t>Rejected</t>
        </is>
      </c>
      <c r="X2968" s="5" t="n">
        <v>46203</v>
      </c>
      <c r="Y2968" s="1">
        <f>IF(X2968="","",X2968-A2968)</f>
        <v/>
      </c>
      <c r="Z2968" s="5" t="n">
        <v>46203</v>
      </c>
      <c r="AA2968" s="3" t="n"/>
      <c r="AB2968" s="3" t="n"/>
      <c r="AE2968" s="146">
        <f>IF(AND(F2968="Closed",X2968&gt;=DATE(2026,6,1),X2968&lt;=DATE(2026,6,30)),"Closed in June","other")</f>
        <v/>
      </c>
    </row>
    <row r="2969" hidden="1">
      <c r="A2969" s="9" t="n">
        <v>46134</v>
      </c>
      <c r="B2969" s="1" t="n">
        <v>2026</v>
      </c>
      <c r="C2969" s="8" t="inlineStr">
        <is>
          <t>First Energy</t>
        </is>
      </c>
      <c r="D2969" s="11" t="inlineStr">
        <is>
          <t>Utility and C&amp;I</t>
        </is>
      </c>
      <c r="E2969" s="1" t="n"/>
      <c r="F2969" s="1" t="inlineStr">
        <is>
          <t>Closed</t>
        </is>
      </c>
      <c r="G2969" s="8" t="inlineStr">
        <is>
          <t>Saravanakumar</t>
        </is>
      </c>
      <c r="H2969" s="8" t="n">
        <v>8248438488</v>
      </c>
      <c r="I2969" s="10" t="inlineStr">
        <is>
          <t>PE22042601</t>
        </is>
      </c>
      <c r="J2969" s="8" t="inlineStr">
        <is>
          <t>Anomalies/defects in the modules</t>
        </is>
      </c>
      <c r="K2969" s="8" t="inlineStr">
        <is>
          <t>Tirunelveli</t>
        </is>
      </c>
      <c r="L2969" s="8" t="inlineStr">
        <is>
          <t>Tamil Nadu</t>
        </is>
      </c>
      <c r="M2969" s="62" t="inlineStr">
        <is>
          <t>JB Breakages</t>
        </is>
      </c>
      <c r="N2969" s="62" t="inlineStr">
        <is>
          <t>JB &amp; Cable Damege</t>
        </is>
      </c>
      <c r="O2969" s="11" t="n">
        <v>550</v>
      </c>
      <c r="P2969" s="62" t="inlineStr">
        <is>
          <t>NSMP2307369638</t>
        </is>
      </c>
      <c r="Q2969" s="29">
        <f>MID(P2969,5,2)</f>
        <v/>
      </c>
      <c r="R2969" s="14">
        <f>MID(P2969,7,2)</f>
        <v/>
      </c>
      <c r="S2969" s="6" t="inlineStr">
        <is>
          <t>G2B</t>
        </is>
      </c>
      <c r="T2969" s="1" t="inlineStr">
        <is>
          <t>P2 - PEPPL</t>
        </is>
      </c>
      <c r="U2969" s="6" t="inlineStr">
        <is>
          <t>External force applied</t>
        </is>
      </c>
      <c r="V2969" s="1" t="inlineStr">
        <is>
          <t>Inspection</t>
        </is>
      </c>
      <c r="W2969" s="1" t="inlineStr">
        <is>
          <t>Rejected</t>
        </is>
      </c>
      <c r="X2969" s="5" t="n">
        <v>46203</v>
      </c>
      <c r="Y2969" s="1">
        <f>IF(X2969="","",X2969-A2969)</f>
        <v/>
      </c>
      <c r="Z2969" s="5" t="n">
        <v>46203</v>
      </c>
      <c r="AA2969" s="3" t="n"/>
      <c r="AB2969" s="3" t="n"/>
      <c r="AE2969" s="146">
        <f>IF(AND(F2969="Closed",X2969&gt;=DATE(2026,6,1),X2969&lt;=DATE(2026,6,30)),"Closed in June","other")</f>
        <v/>
      </c>
    </row>
    <row r="2970" hidden="1">
      <c r="A2970" s="9" t="n">
        <v>46134</v>
      </c>
      <c r="B2970" s="1" t="n">
        <v>2026</v>
      </c>
      <c r="C2970" s="8" t="inlineStr">
        <is>
          <t>First Energy</t>
        </is>
      </c>
      <c r="D2970" s="11" t="inlineStr">
        <is>
          <t>Utility and C&amp;I</t>
        </is>
      </c>
      <c r="E2970" s="1" t="n"/>
      <c r="F2970" s="1" t="inlineStr">
        <is>
          <t>Closed</t>
        </is>
      </c>
      <c r="G2970" s="8" t="inlineStr">
        <is>
          <t>Saravanakumar</t>
        </is>
      </c>
      <c r="H2970" s="8" t="n">
        <v>8248438488</v>
      </c>
      <c r="I2970" s="10" t="inlineStr">
        <is>
          <t>PE22042601</t>
        </is>
      </c>
      <c r="J2970" s="8" t="inlineStr">
        <is>
          <t>Anomalies/defects in the modules</t>
        </is>
      </c>
      <c r="K2970" s="8" t="inlineStr">
        <is>
          <t>Tirunelveli</t>
        </is>
      </c>
      <c r="L2970" s="8" t="inlineStr">
        <is>
          <t>Tamil Nadu</t>
        </is>
      </c>
      <c r="M2970" s="62" t="inlineStr">
        <is>
          <t>JB Breakages</t>
        </is>
      </c>
      <c r="N2970" s="62" t="inlineStr">
        <is>
          <t>JB &amp; Cable Damege</t>
        </is>
      </c>
      <c r="O2970" s="11" t="n">
        <v>550</v>
      </c>
      <c r="P2970" s="62" t="inlineStr">
        <is>
          <t>NSMP2305187218</t>
        </is>
      </c>
      <c r="Q2970" s="29">
        <f>MID(P2970,5,2)</f>
        <v/>
      </c>
      <c r="R2970" s="14">
        <f>MID(P2970,7,2)</f>
        <v/>
      </c>
      <c r="S2970" s="6" t="inlineStr">
        <is>
          <t>G2B</t>
        </is>
      </c>
      <c r="T2970" s="1" t="inlineStr">
        <is>
          <t>P2 - PEPPL</t>
        </is>
      </c>
      <c r="U2970" s="6" t="inlineStr">
        <is>
          <t>External force applied</t>
        </is>
      </c>
      <c r="V2970" s="1" t="inlineStr">
        <is>
          <t>Inspection</t>
        </is>
      </c>
      <c r="W2970" s="1" t="inlineStr">
        <is>
          <t>Rejected</t>
        </is>
      </c>
      <c r="X2970" s="5" t="n">
        <v>46203</v>
      </c>
      <c r="Y2970" s="1">
        <f>IF(X2970="","",X2970-A2970)</f>
        <v/>
      </c>
      <c r="Z2970" s="5" t="n">
        <v>46203</v>
      </c>
      <c r="AA2970" s="3" t="n"/>
      <c r="AB2970" s="3" t="n"/>
      <c r="AE2970" s="146">
        <f>IF(AND(F2970="Closed",X2970&gt;=DATE(2026,6,1),X2970&lt;=DATE(2026,6,30)),"Closed in June","other")</f>
        <v/>
      </c>
    </row>
    <row r="2971" hidden="1">
      <c r="A2971" s="9" t="n">
        <v>46134</v>
      </c>
      <c r="B2971" s="1" t="n">
        <v>2026</v>
      </c>
      <c r="C2971" s="8" t="inlineStr">
        <is>
          <t>First Energy</t>
        </is>
      </c>
      <c r="D2971" s="11" t="inlineStr">
        <is>
          <t>Utility and C&amp;I</t>
        </is>
      </c>
      <c r="E2971" s="1" t="n"/>
      <c r="F2971" s="1" t="inlineStr">
        <is>
          <t>Closed</t>
        </is>
      </c>
      <c r="G2971" s="8" t="inlineStr">
        <is>
          <t>Saravanakumar</t>
        </is>
      </c>
      <c r="H2971" s="8" t="n">
        <v>8248438488</v>
      </c>
      <c r="I2971" s="10" t="inlineStr">
        <is>
          <t>PE22042601</t>
        </is>
      </c>
      <c r="J2971" s="8" t="inlineStr">
        <is>
          <t>Anomalies/defects in the modules</t>
        </is>
      </c>
      <c r="K2971" s="8" t="inlineStr">
        <is>
          <t>Tirunelveli</t>
        </is>
      </c>
      <c r="L2971" s="8" t="inlineStr">
        <is>
          <t>Tamil Nadu</t>
        </is>
      </c>
      <c r="M2971" s="62" t="inlineStr">
        <is>
          <t>JB Breakages</t>
        </is>
      </c>
      <c r="N2971" s="62" t="inlineStr">
        <is>
          <t>JB &amp; Cable Damege</t>
        </is>
      </c>
      <c r="O2971" s="11" t="n">
        <v>550</v>
      </c>
      <c r="P2971" s="62" t="inlineStr">
        <is>
          <t>NSMP2306325674</t>
        </is>
      </c>
      <c r="Q2971" s="29">
        <f>MID(P2971,5,2)</f>
        <v/>
      </c>
      <c r="R2971" s="14">
        <f>MID(P2971,7,2)</f>
        <v/>
      </c>
      <c r="S2971" s="6" t="inlineStr">
        <is>
          <t>G2B</t>
        </is>
      </c>
      <c r="T2971" s="1" t="inlineStr">
        <is>
          <t>P2 - PEPPL</t>
        </is>
      </c>
      <c r="U2971" s="6" t="inlineStr">
        <is>
          <t>External force applied</t>
        </is>
      </c>
      <c r="V2971" s="1" t="inlineStr">
        <is>
          <t>Inspection</t>
        </is>
      </c>
      <c r="W2971" s="1" t="inlineStr">
        <is>
          <t>Rejected</t>
        </is>
      </c>
      <c r="X2971" s="5" t="n">
        <v>46203</v>
      </c>
      <c r="Y2971" s="1">
        <f>IF(X2971="","",X2971-A2971)</f>
        <v/>
      </c>
      <c r="Z2971" s="5" t="n">
        <v>46203</v>
      </c>
      <c r="AA2971" s="3" t="n"/>
      <c r="AB2971" s="3" t="n"/>
      <c r="AE2971" s="146">
        <f>IF(AND(F2971="Closed",X2971&gt;=DATE(2026,6,1),X2971&lt;=DATE(2026,6,30)),"Closed in June","other")</f>
        <v/>
      </c>
    </row>
    <row r="2972" hidden="1">
      <c r="A2972" s="9" t="n">
        <v>46134</v>
      </c>
      <c r="B2972" s="1" t="n">
        <v>2026</v>
      </c>
      <c r="C2972" s="8" t="inlineStr">
        <is>
          <t>First Energy</t>
        </is>
      </c>
      <c r="D2972" s="11" t="inlineStr">
        <is>
          <t>Utility and C&amp;I</t>
        </is>
      </c>
      <c r="E2972" s="1" t="n"/>
      <c r="F2972" s="1" t="inlineStr">
        <is>
          <t>Closed</t>
        </is>
      </c>
      <c r="G2972" s="8" t="inlineStr">
        <is>
          <t>Saravanakumar</t>
        </is>
      </c>
      <c r="H2972" s="8" t="n">
        <v>8248438488</v>
      </c>
      <c r="I2972" s="10" t="inlineStr">
        <is>
          <t>PE22042601</t>
        </is>
      </c>
      <c r="J2972" s="8" t="inlineStr">
        <is>
          <t>Anomalies/defects in the modules</t>
        </is>
      </c>
      <c r="K2972" s="8" t="inlineStr">
        <is>
          <t>Tirunelveli</t>
        </is>
      </c>
      <c r="L2972" s="8" t="inlineStr">
        <is>
          <t>Tamil Nadu</t>
        </is>
      </c>
      <c r="M2972" s="62" t="inlineStr">
        <is>
          <t>JB Breakages</t>
        </is>
      </c>
      <c r="N2972" s="62" t="inlineStr">
        <is>
          <t>JB &amp; Cable Damege</t>
        </is>
      </c>
      <c r="O2972" s="11" t="n">
        <v>550</v>
      </c>
      <c r="P2972" s="62" t="inlineStr">
        <is>
          <t>NSMP2307335039</t>
        </is>
      </c>
      <c r="Q2972" s="29">
        <f>MID(P2972,5,2)</f>
        <v/>
      </c>
      <c r="R2972" s="14">
        <f>MID(P2972,7,2)</f>
        <v/>
      </c>
      <c r="S2972" s="6" t="inlineStr">
        <is>
          <t>G2B</t>
        </is>
      </c>
      <c r="T2972" s="1" t="inlineStr">
        <is>
          <t>P2 - PEPPL</t>
        </is>
      </c>
      <c r="U2972" s="6" t="inlineStr">
        <is>
          <t>External force applied</t>
        </is>
      </c>
      <c r="V2972" s="1" t="inlineStr">
        <is>
          <t>Inspection</t>
        </is>
      </c>
      <c r="W2972" s="1" t="inlineStr">
        <is>
          <t>Rejected</t>
        </is>
      </c>
      <c r="X2972" s="5" t="n">
        <v>46203</v>
      </c>
      <c r="Y2972" s="1">
        <f>IF(X2972="","",X2972-A2972)</f>
        <v/>
      </c>
      <c r="Z2972" s="5" t="n">
        <v>46203</v>
      </c>
      <c r="AA2972" s="3" t="n"/>
      <c r="AB2972" s="3" t="n"/>
      <c r="AE2972" s="146">
        <f>IF(AND(F2972="Closed",X2972&gt;=DATE(2026,6,1),X2972&lt;=DATE(2026,6,30)),"Closed in June","other")</f>
        <v/>
      </c>
    </row>
    <row r="2973" hidden="1">
      <c r="A2973" s="9" t="n">
        <v>46134</v>
      </c>
      <c r="B2973" s="1" t="n">
        <v>2026</v>
      </c>
      <c r="C2973" s="8" t="inlineStr">
        <is>
          <t>First Energy</t>
        </is>
      </c>
      <c r="D2973" s="11" t="inlineStr">
        <is>
          <t>Utility and C&amp;I</t>
        </is>
      </c>
      <c r="E2973" s="1" t="n"/>
      <c r="F2973" s="1" t="inlineStr">
        <is>
          <t>Closed</t>
        </is>
      </c>
      <c r="G2973" s="8" t="inlineStr">
        <is>
          <t>Saravanakumar</t>
        </is>
      </c>
      <c r="H2973" s="8" t="n">
        <v>8248438488</v>
      </c>
      <c r="I2973" s="10" t="inlineStr">
        <is>
          <t>PE22042601</t>
        </is>
      </c>
      <c r="J2973" s="8" t="inlineStr">
        <is>
          <t>Anomalies/defects in the modules</t>
        </is>
      </c>
      <c r="K2973" s="8" t="inlineStr">
        <is>
          <t>Tirunelveli</t>
        </is>
      </c>
      <c r="L2973" s="8" t="inlineStr">
        <is>
          <t>Tamil Nadu</t>
        </is>
      </c>
      <c r="M2973" s="62" t="inlineStr">
        <is>
          <t>JB Breakages</t>
        </is>
      </c>
      <c r="N2973" s="62" t="inlineStr">
        <is>
          <t>JB &amp; Cable Damege</t>
        </is>
      </c>
      <c r="O2973" s="11" t="n">
        <v>550</v>
      </c>
      <c r="P2973" s="62" t="inlineStr">
        <is>
          <t>NSMP2307330640</t>
        </is>
      </c>
      <c r="Q2973" s="29">
        <f>MID(P2973,5,2)</f>
        <v/>
      </c>
      <c r="R2973" s="14">
        <f>MID(P2973,7,2)</f>
        <v/>
      </c>
      <c r="S2973" s="6" t="inlineStr">
        <is>
          <t>G2B</t>
        </is>
      </c>
      <c r="T2973" s="1" t="inlineStr">
        <is>
          <t>P2 - PEPPL</t>
        </is>
      </c>
      <c r="U2973" s="6" t="inlineStr">
        <is>
          <t>External force applied</t>
        </is>
      </c>
      <c r="V2973" s="1" t="inlineStr">
        <is>
          <t>Inspection</t>
        </is>
      </c>
      <c r="W2973" s="1" t="inlineStr">
        <is>
          <t>Rejected</t>
        </is>
      </c>
      <c r="X2973" s="5" t="n">
        <v>46203</v>
      </c>
      <c r="Y2973" s="1">
        <f>IF(X2973="","",X2973-A2973)</f>
        <v/>
      </c>
      <c r="Z2973" s="5" t="n">
        <v>46203</v>
      </c>
      <c r="AA2973" s="3" t="n"/>
      <c r="AB2973" s="3" t="n"/>
      <c r="AE2973" s="146">
        <f>IF(AND(F2973="Closed",X2973&gt;=DATE(2026,6,1),X2973&lt;=DATE(2026,6,30)),"Closed in June","other")</f>
        <v/>
      </c>
    </row>
    <row r="2974" hidden="1">
      <c r="A2974" s="9" t="n">
        <v>46134</v>
      </c>
      <c r="B2974" s="1" t="n">
        <v>2026</v>
      </c>
      <c r="C2974" s="8" t="inlineStr">
        <is>
          <t>First Energy</t>
        </is>
      </c>
      <c r="D2974" s="11" t="inlineStr">
        <is>
          <t>Utility and C&amp;I</t>
        </is>
      </c>
      <c r="E2974" s="1" t="n"/>
      <c r="F2974" s="1" t="inlineStr">
        <is>
          <t>Closed</t>
        </is>
      </c>
      <c r="G2974" s="8" t="inlineStr">
        <is>
          <t>Saravanakumar</t>
        </is>
      </c>
      <c r="H2974" s="8" t="n">
        <v>8248438488</v>
      </c>
      <c r="I2974" s="10" t="inlineStr">
        <is>
          <t>PE22042601</t>
        </is>
      </c>
      <c r="J2974" s="8" t="inlineStr">
        <is>
          <t>Anomalies/defects in the modules</t>
        </is>
      </c>
      <c r="K2974" s="8" t="inlineStr">
        <is>
          <t>Tirunelveli</t>
        </is>
      </c>
      <c r="L2974" s="8" t="inlineStr">
        <is>
          <t>Tamil Nadu</t>
        </is>
      </c>
      <c r="M2974" s="62" t="inlineStr">
        <is>
          <t>JB Breakages</t>
        </is>
      </c>
      <c r="N2974" s="62" t="inlineStr">
        <is>
          <t>JB &amp; Cable Damege</t>
        </is>
      </c>
      <c r="O2974" s="11" t="n">
        <v>550</v>
      </c>
      <c r="P2974" s="62" t="inlineStr">
        <is>
          <t>NSMP2307329195</t>
        </is>
      </c>
      <c r="Q2974" s="29">
        <f>MID(P2974,5,2)</f>
        <v/>
      </c>
      <c r="R2974" s="14">
        <f>MID(P2974,7,2)</f>
        <v/>
      </c>
      <c r="S2974" s="6" t="inlineStr">
        <is>
          <t>G2B</t>
        </is>
      </c>
      <c r="T2974" s="1" t="inlineStr">
        <is>
          <t>P2 - PEPPL</t>
        </is>
      </c>
      <c r="U2974" s="6" t="inlineStr">
        <is>
          <t>External force applied</t>
        </is>
      </c>
      <c r="V2974" s="1" t="inlineStr">
        <is>
          <t>Inspection</t>
        </is>
      </c>
      <c r="W2974" s="1" t="inlineStr">
        <is>
          <t>Rejected</t>
        </is>
      </c>
      <c r="X2974" s="5" t="n">
        <v>46203</v>
      </c>
      <c r="Y2974" s="1">
        <f>IF(X2974="","",X2974-A2974)</f>
        <v/>
      </c>
      <c r="Z2974" s="5" t="n">
        <v>46203</v>
      </c>
      <c r="AA2974" s="3" t="n"/>
      <c r="AB2974" s="3" t="n"/>
      <c r="AE2974" s="146">
        <f>IF(AND(F2974="Closed",X2974&gt;=DATE(2026,6,1),X2974&lt;=DATE(2026,6,30)),"Closed in June","other")</f>
        <v/>
      </c>
    </row>
    <row r="2975" hidden="1">
      <c r="A2975" s="9" t="n">
        <v>46134</v>
      </c>
      <c r="B2975" s="1" t="n">
        <v>2026</v>
      </c>
      <c r="C2975" s="8" t="inlineStr">
        <is>
          <t>First Energy</t>
        </is>
      </c>
      <c r="D2975" s="11" t="inlineStr">
        <is>
          <t>Utility and C&amp;I</t>
        </is>
      </c>
      <c r="E2975" s="1" t="n"/>
      <c r="F2975" s="1" t="inlineStr">
        <is>
          <t>Closed</t>
        </is>
      </c>
      <c r="G2975" s="8" t="inlineStr">
        <is>
          <t>Saravanakumar</t>
        </is>
      </c>
      <c r="H2975" s="8" t="n">
        <v>8248438488</v>
      </c>
      <c r="I2975" s="10" t="inlineStr">
        <is>
          <t>PE22042601</t>
        </is>
      </c>
      <c r="J2975" s="8" t="inlineStr">
        <is>
          <t>Anomalies/defects in the modules</t>
        </is>
      </c>
      <c r="K2975" s="8" t="inlineStr">
        <is>
          <t>Tirunelveli</t>
        </is>
      </c>
      <c r="L2975" s="8" t="inlineStr">
        <is>
          <t>Tamil Nadu</t>
        </is>
      </c>
      <c r="M2975" s="62" t="inlineStr">
        <is>
          <t>JB Breakages</t>
        </is>
      </c>
      <c r="N2975" s="62" t="inlineStr">
        <is>
          <t>JB &amp; Cable Damege</t>
        </is>
      </c>
      <c r="O2975" s="11" t="n">
        <v>550</v>
      </c>
      <c r="P2975" s="62" t="inlineStr">
        <is>
          <t>NSMP2307338521</t>
        </is>
      </c>
      <c r="Q2975" s="29">
        <f>MID(P2975,5,2)</f>
        <v/>
      </c>
      <c r="R2975" s="14">
        <f>MID(P2975,7,2)</f>
        <v/>
      </c>
      <c r="S2975" s="6" t="inlineStr">
        <is>
          <t>G2B</t>
        </is>
      </c>
      <c r="T2975" s="1" t="inlineStr">
        <is>
          <t>P2 - PEPPL</t>
        </is>
      </c>
      <c r="U2975" s="6" t="inlineStr">
        <is>
          <t>External force applied</t>
        </is>
      </c>
      <c r="V2975" s="1" t="inlineStr">
        <is>
          <t>Inspection</t>
        </is>
      </c>
      <c r="W2975" s="1" t="inlineStr">
        <is>
          <t>Rejected</t>
        </is>
      </c>
      <c r="X2975" s="5" t="n">
        <v>46203</v>
      </c>
      <c r="Y2975" s="1">
        <f>IF(X2975="","",X2975-A2975)</f>
        <v/>
      </c>
      <c r="Z2975" s="5" t="n">
        <v>46203</v>
      </c>
      <c r="AA2975" s="3" t="n"/>
      <c r="AB2975" s="3" t="n"/>
      <c r="AE2975" s="146">
        <f>IF(AND(F2975="Closed",X2975&gt;=DATE(2026,6,1),X2975&lt;=DATE(2026,6,30)),"Closed in June","other")</f>
        <v/>
      </c>
    </row>
    <row r="2976" hidden="1">
      <c r="A2976" s="9" t="n">
        <v>46134</v>
      </c>
      <c r="B2976" s="1" t="n">
        <v>2026</v>
      </c>
      <c r="C2976" s="8" t="inlineStr">
        <is>
          <t>First Energy</t>
        </is>
      </c>
      <c r="D2976" s="11" t="inlineStr">
        <is>
          <t>Utility and C&amp;I</t>
        </is>
      </c>
      <c r="E2976" s="1" t="n"/>
      <c r="F2976" s="1" t="inlineStr">
        <is>
          <t>Closed</t>
        </is>
      </c>
      <c r="G2976" s="8" t="inlineStr">
        <is>
          <t>Saravanakumar</t>
        </is>
      </c>
      <c r="H2976" s="8" t="n">
        <v>8248438488</v>
      </c>
      <c r="I2976" s="10" t="inlineStr">
        <is>
          <t>PE22042601</t>
        </is>
      </c>
      <c r="J2976" s="8" t="inlineStr">
        <is>
          <t>Anomalies/defects in the modules</t>
        </is>
      </c>
      <c r="K2976" s="8" t="inlineStr">
        <is>
          <t>Tirunelveli</t>
        </is>
      </c>
      <c r="L2976" s="8" t="inlineStr">
        <is>
          <t>Tamil Nadu</t>
        </is>
      </c>
      <c r="M2976" s="62" t="inlineStr">
        <is>
          <t>JB Breakages</t>
        </is>
      </c>
      <c r="N2976" s="62" t="inlineStr">
        <is>
          <t>JB &amp; Cable Damege</t>
        </is>
      </c>
      <c r="O2976" s="11" t="n">
        <v>550</v>
      </c>
      <c r="P2976" s="62" t="inlineStr">
        <is>
          <t>NSMP2306283398</t>
        </is>
      </c>
      <c r="Q2976" s="29">
        <f>MID(P2976,5,2)</f>
        <v/>
      </c>
      <c r="R2976" s="14">
        <f>MID(P2976,7,2)</f>
        <v/>
      </c>
      <c r="S2976" s="6" t="inlineStr">
        <is>
          <t>G2B</t>
        </is>
      </c>
      <c r="T2976" s="1" t="inlineStr">
        <is>
          <t>P2 - PEPPL</t>
        </is>
      </c>
      <c r="U2976" s="6" t="inlineStr">
        <is>
          <t>External force applied</t>
        </is>
      </c>
      <c r="V2976" s="1" t="inlineStr">
        <is>
          <t>Inspection</t>
        </is>
      </c>
      <c r="W2976" s="1" t="inlineStr">
        <is>
          <t>Rejected</t>
        </is>
      </c>
      <c r="X2976" s="5" t="n">
        <v>46203</v>
      </c>
      <c r="Y2976" s="1">
        <f>IF(X2976="","",X2976-A2976)</f>
        <v/>
      </c>
      <c r="Z2976" s="5" t="n">
        <v>46203</v>
      </c>
      <c r="AA2976" s="3" t="n"/>
      <c r="AB2976" s="3" t="n"/>
      <c r="AE2976" s="146">
        <f>IF(AND(F2976="Closed",X2976&gt;=DATE(2026,6,1),X2976&lt;=DATE(2026,6,30)),"Closed in June","other")</f>
        <v/>
      </c>
    </row>
    <row r="2977" hidden="1">
      <c r="A2977" s="9" t="n">
        <v>46134</v>
      </c>
      <c r="B2977" s="1" t="n">
        <v>2026</v>
      </c>
      <c r="C2977" s="8" t="inlineStr">
        <is>
          <t>First Energy</t>
        </is>
      </c>
      <c r="D2977" s="11" t="inlineStr">
        <is>
          <t>Utility and C&amp;I</t>
        </is>
      </c>
      <c r="E2977" s="1" t="n"/>
      <c r="F2977" s="1" t="inlineStr">
        <is>
          <t>Closed</t>
        </is>
      </c>
      <c r="G2977" s="8" t="inlineStr">
        <is>
          <t>Saravanakumar</t>
        </is>
      </c>
      <c r="H2977" s="8" t="n">
        <v>8248438488</v>
      </c>
      <c r="I2977" s="10" t="inlineStr">
        <is>
          <t>PE22042601</t>
        </is>
      </c>
      <c r="J2977" s="8" t="inlineStr">
        <is>
          <t>Anomalies/defects in the modules</t>
        </is>
      </c>
      <c r="K2977" s="8" t="inlineStr">
        <is>
          <t>Tirunelveli</t>
        </is>
      </c>
      <c r="L2977" s="8" t="inlineStr">
        <is>
          <t>Tamil Nadu</t>
        </is>
      </c>
      <c r="M2977" s="62" t="inlineStr">
        <is>
          <t>JB Breakages</t>
        </is>
      </c>
      <c r="N2977" s="62" t="inlineStr">
        <is>
          <t>JB &amp; Cable Damege</t>
        </is>
      </c>
      <c r="O2977" s="11" t="n">
        <v>550</v>
      </c>
      <c r="P2977" s="62" t="inlineStr">
        <is>
          <t>NSMP2307338249</t>
        </is>
      </c>
      <c r="Q2977" s="29">
        <f>MID(P2977,5,2)</f>
        <v/>
      </c>
      <c r="R2977" s="14">
        <f>MID(P2977,7,2)</f>
        <v/>
      </c>
      <c r="S2977" s="6" t="inlineStr">
        <is>
          <t>G2B</t>
        </is>
      </c>
      <c r="T2977" s="1" t="inlineStr">
        <is>
          <t>P2 - PEPPL</t>
        </is>
      </c>
      <c r="U2977" s="6" t="inlineStr">
        <is>
          <t>External force applied</t>
        </is>
      </c>
      <c r="V2977" s="1" t="inlineStr">
        <is>
          <t>Inspection</t>
        </is>
      </c>
      <c r="W2977" s="1" t="inlineStr">
        <is>
          <t>Rejected</t>
        </is>
      </c>
      <c r="X2977" s="5" t="n">
        <v>46203</v>
      </c>
      <c r="Y2977" s="1">
        <f>IF(X2977="","",X2977-A2977)</f>
        <v/>
      </c>
      <c r="Z2977" s="5" t="n">
        <v>46203</v>
      </c>
      <c r="AA2977" s="3" t="n"/>
      <c r="AB2977" s="3" t="n"/>
      <c r="AE2977" s="146">
        <f>IF(AND(F2977="Closed",X2977&gt;=DATE(2026,6,1),X2977&lt;=DATE(2026,6,30)),"Closed in June","other")</f>
        <v/>
      </c>
    </row>
    <row r="2978" hidden="1">
      <c r="A2978" s="9" t="n">
        <v>46134</v>
      </c>
      <c r="B2978" s="1" t="n">
        <v>2026</v>
      </c>
      <c r="C2978" s="8" t="inlineStr">
        <is>
          <t>First Energy</t>
        </is>
      </c>
      <c r="D2978" s="11" t="inlineStr">
        <is>
          <t>Utility and C&amp;I</t>
        </is>
      </c>
      <c r="E2978" s="1" t="n"/>
      <c r="F2978" s="1" t="inlineStr">
        <is>
          <t>Closed</t>
        </is>
      </c>
      <c r="G2978" s="8" t="inlineStr">
        <is>
          <t>Saravanakumar</t>
        </is>
      </c>
      <c r="H2978" s="8" t="n">
        <v>8248438488</v>
      </c>
      <c r="I2978" s="10" t="inlineStr">
        <is>
          <t>PE22042601</t>
        </is>
      </c>
      <c r="J2978" s="8" t="inlineStr">
        <is>
          <t>Anomalies/defects in the modules</t>
        </is>
      </c>
      <c r="K2978" s="8" t="inlineStr">
        <is>
          <t>Tirunelveli</t>
        </is>
      </c>
      <c r="L2978" s="8" t="inlineStr">
        <is>
          <t>Tamil Nadu</t>
        </is>
      </c>
      <c r="M2978" s="62" t="inlineStr">
        <is>
          <t>JB Breakages</t>
        </is>
      </c>
      <c r="N2978" s="62" t="inlineStr">
        <is>
          <t>JB &amp; Cable Damege</t>
        </is>
      </c>
      <c r="O2978" s="11" t="n">
        <v>550</v>
      </c>
      <c r="P2978" s="62" t="inlineStr">
        <is>
          <t>NSMP2307332560</t>
        </is>
      </c>
      <c r="Q2978" s="29">
        <f>MID(P2978,5,2)</f>
        <v/>
      </c>
      <c r="R2978" s="14">
        <f>MID(P2978,7,2)</f>
        <v/>
      </c>
      <c r="S2978" s="6" t="inlineStr">
        <is>
          <t>G2B</t>
        </is>
      </c>
      <c r="T2978" s="1" t="inlineStr">
        <is>
          <t>P2 - PEPPL</t>
        </is>
      </c>
      <c r="U2978" s="6" t="inlineStr">
        <is>
          <t>External force applied</t>
        </is>
      </c>
      <c r="V2978" s="1" t="inlineStr">
        <is>
          <t>Inspection</t>
        </is>
      </c>
      <c r="W2978" s="1" t="inlineStr">
        <is>
          <t>Rejected</t>
        </is>
      </c>
      <c r="X2978" s="5" t="n">
        <v>46203</v>
      </c>
      <c r="Y2978" s="1">
        <f>IF(X2978="","",X2978-A2978)</f>
        <v/>
      </c>
      <c r="Z2978" s="5" t="n">
        <v>46203</v>
      </c>
      <c r="AA2978" s="3" t="n"/>
      <c r="AB2978" s="3" t="n"/>
      <c r="AE2978" s="146">
        <f>IF(AND(F2978="Closed",X2978&gt;=DATE(2026,6,1),X2978&lt;=DATE(2026,6,30)),"Closed in June","other")</f>
        <v/>
      </c>
    </row>
    <row r="2979" hidden="1">
      <c r="A2979" s="9" t="n">
        <v>46134</v>
      </c>
      <c r="B2979" s="1" t="n">
        <v>2026</v>
      </c>
      <c r="C2979" s="8" t="inlineStr">
        <is>
          <t>First Energy</t>
        </is>
      </c>
      <c r="D2979" s="11" t="inlineStr">
        <is>
          <t>Utility and C&amp;I</t>
        </is>
      </c>
      <c r="E2979" s="1" t="n"/>
      <c r="F2979" s="1" t="inlineStr">
        <is>
          <t>Closed</t>
        </is>
      </c>
      <c r="G2979" s="8" t="inlineStr">
        <is>
          <t>Saravanakumar</t>
        </is>
      </c>
      <c r="H2979" s="8" t="n">
        <v>8248438488</v>
      </c>
      <c r="I2979" s="10" t="inlineStr">
        <is>
          <t>PE22042601</t>
        </is>
      </c>
      <c r="J2979" s="8" t="inlineStr">
        <is>
          <t>Anomalies/defects in the modules</t>
        </is>
      </c>
      <c r="K2979" s="8" t="inlineStr">
        <is>
          <t>Tirunelveli</t>
        </is>
      </c>
      <c r="L2979" s="8" t="inlineStr">
        <is>
          <t>Tamil Nadu</t>
        </is>
      </c>
      <c r="M2979" s="62" t="inlineStr">
        <is>
          <t>JB Breakages</t>
        </is>
      </c>
      <c r="N2979" s="62" t="inlineStr">
        <is>
          <t>JB &amp; Cable Damege</t>
        </is>
      </c>
      <c r="O2979" s="11" t="n">
        <v>550</v>
      </c>
      <c r="P2979" s="62" t="inlineStr">
        <is>
          <t>NSMP2307327743</t>
        </is>
      </c>
      <c r="Q2979" s="29">
        <f>MID(P2979,5,2)</f>
        <v/>
      </c>
      <c r="R2979" s="14">
        <f>MID(P2979,7,2)</f>
        <v/>
      </c>
      <c r="S2979" s="6" t="inlineStr">
        <is>
          <t>G2B</t>
        </is>
      </c>
      <c r="T2979" s="1" t="inlineStr">
        <is>
          <t>P2 - PEPPL</t>
        </is>
      </c>
      <c r="U2979" s="6" t="inlineStr">
        <is>
          <t>External force applied</t>
        </is>
      </c>
      <c r="V2979" s="1" t="inlineStr">
        <is>
          <t>Inspection</t>
        </is>
      </c>
      <c r="W2979" s="1" t="inlineStr">
        <is>
          <t>Rejected</t>
        </is>
      </c>
      <c r="X2979" s="5" t="n">
        <v>46203</v>
      </c>
      <c r="Y2979" s="1">
        <f>IF(X2979="","",X2979-A2979)</f>
        <v/>
      </c>
      <c r="Z2979" s="5" t="n">
        <v>46203</v>
      </c>
      <c r="AA2979" s="3" t="n"/>
      <c r="AB2979" s="3" t="n"/>
      <c r="AE2979" s="146">
        <f>IF(AND(F2979="Closed",X2979&gt;=DATE(2026,6,1),X2979&lt;=DATE(2026,6,30)),"Closed in June","other")</f>
        <v/>
      </c>
    </row>
    <row r="2980" hidden="1">
      <c r="A2980" s="9" t="n">
        <v>46134</v>
      </c>
      <c r="B2980" s="1" t="n">
        <v>2026</v>
      </c>
      <c r="C2980" s="8" t="inlineStr">
        <is>
          <t>First Energy</t>
        </is>
      </c>
      <c r="D2980" s="11" t="inlineStr">
        <is>
          <t>Utility and C&amp;I</t>
        </is>
      </c>
      <c r="E2980" s="1" t="n"/>
      <c r="F2980" s="1" t="inlineStr">
        <is>
          <t>Closed</t>
        </is>
      </c>
      <c r="G2980" s="8" t="inlineStr">
        <is>
          <t>Saravanakumar</t>
        </is>
      </c>
      <c r="H2980" s="8" t="n">
        <v>8248438488</v>
      </c>
      <c r="I2980" s="10" t="inlineStr">
        <is>
          <t>PE22042601</t>
        </is>
      </c>
      <c r="J2980" s="8" t="inlineStr">
        <is>
          <t>Anomalies/defects in the modules</t>
        </is>
      </c>
      <c r="K2980" s="8" t="inlineStr">
        <is>
          <t>Tirunelveli</t>
        </is>
      </c>
      <c r="L2980" s="8" t="inlineStr">
        <is>
          <t>Tamil Nadu</t>
        </is>
      </c>
      <c r="M2980" s="62" t="inlineStr">
        <is>
          <t>JB Breakages</t>
        </is>
      </c>
      <c r="N2980" s="62" t="inlineStr">
        <is>
          <t>JB &amp; Cable Damege</t>
        </is>
      </c>
      <c r="O2980" s="11" t="n">
        <v>550</v>
      </c>
      <c r="P2980" s="62" t="inlineStr">
        <is>
          <t>NSMP2307330855</t>
        </is>
      </c>
      <c r="Q2980" s="29">
        <f>MID(P2980,5,2)</f>
        <v/>
      </c>
      <c r="R2980" s="14">
        <f>MID(P2980,7,2)</f>
        <v/>
      </c>
      <c r="S2980" s="6" t="inlineStr">
        <is>
          <t>G2B</t>
        </is>
      </c>
      <c r="T2980" s="1" t="inlineStr">
        <is>
          <t>P2 - PEPPL</t>
        </is>
      </c>
      <c r="U2980" s="6" t="inlineStr">
        <is>
          <t>External force applied</t>
        </is>
      </c>
      <c r="V2980" s="1" t="inlineStr">
        <is>
          <t>Inspection</t>
        </is>
      </c>
      <c r="W2980" s="1" t="inlineStr">
        <is>
          <t>Rejected</t>
        </is>
      </c>
      <c r="X2980" s="5" t="n">
        <v>46203</v>
      </c>
      <c r="Y2980" s="1">
        <f>IF(X2980="","",X2980-A2980)</f>
        <v/>
      </c>
      <c r="Z2980" s="5" t="n">
        <v>46203</v>
      </c>
      <c r="AA2980" s="3" t="n"/>
      <c r="AB2980" s="3" t="n"/>
      <c r="AE2980" s="146">
        <f>IF(AND(F2980="Closed",X2980&gt;=DATE(2026,6,1),X2980&lt;=DATE(2026,6,30)),"Closed in June","other")</f>
        <v/>
      </c>
    </row>
    <row r="2981">
      <c r="AD2981" t="inlineStr">
        <is>
          <t>-</t>
        </is>
      </c>
      <c r="AE2981" t="inlineStr">
        <is>
          <t>-</t>
        </is>
      </c>
    </row>
  </sheetData>
  <autoFilter ref="A1:AB2980">
    <filterColumn colId="22" hiddenButton="0" showButton="1">
      <filters>
        <filter val="CN"/>
      </filters>
    </filterColumn>
  </autoFilter>
  <conditionalFormatting sqref="I1 I2981:I1048576">
    <cfRule type="duplicateValues" priority="1" dxfId="1"/>
    <cfRule type="duplicateValues" priority="34" dxfId="1"/>
    <cfRule type="duplicateValues" priority="40" dxfId="1"/>
    <cfRule type="duplicateValues" priority="54" dxfId="1"/>
  </conditionalFormatting>
  <conditionalFormatting sqref="P1 P430:P433 P2981:P1048576">
    <cfRule type="duplicateValues" priority="78" dxfId="1"/>
  </conditionalFormatting>
  <conditionalFormatting sqref="P1:P1499 P2981:P1048576">
    <cfRule type="duplicateValues" priority="22" dxfId="0"/>
  </conditionalFormatting>
  <hyperlinks>
    <hyperlink xmlns:r="http://schemas.openxmlformats.org/officeDocument/2006/relationships" ref="H272" display="tel:9890778332" r:id="rId1"/>
    <hyperlink xmlns:r="http://schemas.openxmlformats.org/officeDocument/2006/relationships" ref="H273" display="tel:9890778332" r:id="rId2"/>
    <hyperlink xmlns:r="http://schemas.openxmlformats.org/officeDocument/2006/relationships" ref="H274" display="tel:9890778332" r:id="rId3"/>
    <hyperlink xmlns:r="http://schemas.openxmlformats.org/officeDocument/2006/relationships" ref="H275" display="tel:9890778332" r:id="rId4"/>
    <hyperlink xmlns:r="http://schemas.openxmlformats.org/officeDocument/2006/relationships" ref="H276" display="tel:9890778332" r:id="rId5"/>
    <hyperlink xmlns:r="http://schemas.openxmlformats.org/officeDocument/2006/relationships" ref="H277" display="tel:9890778332" r:id="rId6"/>
    <hyperlink xmlns:r="http://schemas.openxmlformats.org/officeDocument/2006/relationships" ref="H278" display="tel:9890778332" r:id="rId7"/>
    <hyperlink xmlns:r="http://schemas.openxmlformats.org/officeDocument/2006/relationships" ref="H279" display="tel:9890778332" r:id="rId8"/>
    <hyperlink xmlns:r="http://schemas.openxmlformats.org/officeDocument/2006/relationships" ref="H280" display="tel:9890778332" r:id="rId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018"/>
  <sheetViews>
    <sheetView showGridLines="0" zoomScale="90" zoomScaleNormal="90" workbookViewId="0">
      <selection activeCell="F12" sqref="F12"/>
    </sheetView>
  </sheetViews>
  <sheetFormatPr baseColWidth="8" defaultRowHeight="14.5"/>
  <cols>
    <col width="28.453125" customWidth="1" min="1" max="1"/>
    <col width="17.81640625" customWidth="1" min="2" max="2"/>
    <col width="12.453125" bestFit="1" customWidth="1" min="3" max="3"/>
    <col width="10.54296875" bestFit="1" customWidth="1" min="4" max="4"/>
    <col width="14.54296875" customWidth="1" min="5" max="5"/>
    <col width="13.54296875" bestFit="1" customWidth="1" min="6" max="6"/>
    <col width="14.453125" customWidth="1" min="7" max="7"/>
    <col width="34.81640625" customWidth="1" min="8" max="8"/>
    <col width="14.81640625" bestFit="1" customWidth="1" min="9" max="9"/>
    <col width="14.26953125" bestFit="1" customWidth="1" min="10" max="10"/>
    <col width="36.453125" customWidth="1" style="136" min="15" max="15"/>
  </cols>
  <sheetData>
    <row r="1" ht="21" customHeight="1">
      <c r="A1" s="178" t="inlineStr">
        <is>
          <t>Monthly MIS Report - Solar PV Warranty Claims</t>
        </is>
      </c>
      <c r="J1" s="71" t="n"/>
      <c r="K1" s="71" t="n"/>
      <c r="L1" s="71" t="n"/>
      <c r="M1" s="71" t="n"/>
      <c r="N1" s="71" t="n"/>
      <c r="O1" s="72" t="n"/>
      <c r="P1" s="178" t="n"/>
      <c r="Q1" s="178" t="n"/>
      <c r="R1" s="178" t="n"/>
      <c r="S1" s="178" t="n"/>
      <c r="T1" s="178" t="n"/>
      <c r="U1" s="178" t="n"/>
    </row>
    <row r="2" ht="14.5" customHeight="1">
      <c r="J2" s="71" t="n"/>
      <c r="K2" s="71" t="n"/>
      <c r="L2" s="71" t="n"/>
      <c r="M2" s="71" t="n"/>
      <c r="N2" s="71" t="n"/>
      <c r="O2" s="73" t="n"/>
      <c r="P2" s="178" t="n"/>
      <c r="Q2" s="178" t="n"/>
      <c r="R2" s="178" t="n"/>
      <c r="S2" s="178" t="n"/>
      <c r="T2" s="178" t="n"/>
      <c r="U2" s="178" t="n"/>
    </row>
    <row r="3" ht="15" customHeight="1" thickBot="1">
      <c r="O3" s="74" t="n"/>
    </row>
    <row r="4" ht="16.5" customHeight="1" thickBot="1">
      <c r="B4" s="197" t="inlineStr">
        <is>
          <t>KEY PERFORMANCE INDICATORS</t>
        </is>
      </c>
      <c r="C4" s="198" t="n"/>
      <c r="D4" s="198" t="n"/>
      <c r="E4" s="198" t="n"/>
      <c r="F4" s="198" t="n"/>
      <c r="G4" s="199" t="n"/>
      <c r="H4" s="75" t="n"/>
      <c r="I4" s="75" t="n"/>
      <c r="O4" s="74" t="n"/>
    </row>
    <row r="5">
      <c r="B5" s="76" t="inlineStr">
        <is>
          <t>Total Complaints</t>
        </is>
      </c>
      <c r="C5" s="77" t="inlineStr">
        <is>
          <t>Closed</t>
        </is>
      </c>
      <c r="D5" s="78" t="inlineStr">
        <is>
          <t>WIP / Open</t>
        </is>
      </c>
      <c r="E5" s="79" t="inlineStr">
        <is>
          <t>Repairable Defects</t>
        </is>
      </c>
      <c r="F5" s="80" t="inlineStr">
        <is>
          <t>Closure Rate</t>
        </is>
      </c>
      <c r="G5" s="81" t="inlineStr">
        <is>
          <t>Avg Resolution Day</t>
        </is>
      </c>
      <c r="H5" s="82" t="n"/>
      <c r="I5" s="83" t="n"/>
      <c r="O5" s="84" t="n"/>
    </row>
    <row r="6" ht="26.5" customHeight="1" thickBot="1">
      <c r="B6" s="85">
        <f>B10</f>
        <v/>
      </c>
      <c r="C6" s="86">
        <f>B11</f>
        <v/>
      </c>
      <c r="D6" s="87">
        <f>B12</f>
        <v/>
      </c>
      <c r="E6" s="88">
        <f>COUNTIFS(' Monthly Report June-26'!W:W,"Repair",' Monthly Report June-26'!X:X,"&gt;="&amp;DATE(2026,6,1),' Monthly Report June-26'!X:X,"&lt;="&amp;DATE(2026,6,30))</f>
        <v/>
      </c>
      <c r="F6" s="89">
        <f>D10</f>
        <v/>
      </c>
      <c r="G6" s="90">
        <f>ROUND(AVERAGEIF(' Monthly Report June-26'!Y:Y,"&gt;=0"),1)</f>
        <v/>
      </c>
      <c r="H6" s="91" t="n"/>
      <c r="I6" s="92" t="n"/>
      <c r="O6" s="74" t="n"/>
    </row>
    <row r="7">
      <c r="O7" s="74" t="n"/>
    </row>
    <row r="8" ht="17.5" customHeight="1" thickBot="1">
      <c r="A8" s="182" t="inlineStr">
        <is>
          <t>1. COMPLAINT STATUS SUMMARY</t>
        </is>
      </c>
      <c r="O8" s="74" t="n"/>
    </row>
    <row r="9">
      <c r="A9" s="93" t="inlineStr">
        <is>
          <t>Metric</t>
        </is>
      </c>
      <c r="B9" s="94" t="inlineStr">
        <is>
          <t>Value</t>
        </is>
      </c>
      <c r="C9" s="94" t="inlineStr">
        <is>
          <t>Metric</t>
        </is>
      </c>
      <c r="D9" s="95" t="inlineStr">
        <is>
          <t>Value</t>
        </is>
      </c>
      <c r="O9" s="74" t="n"/>
    </row>
    <row r="10">
      <c r="A10" s="96" t="inlineStr">
        <is>
          <t>Total Complaints (June)</t>
        </is>
      </c>
      <c r="B10" s="97">
        <f>SUM(B11,B12)</f>
        <v/>
      </c>
      <c r="C10" s="98" t="inlineStr">
        <is>
          <t>Closure Rate</t>
        </is>
      </c>
      <c r="D10" s="99">
        <f>B11/B10</f>
        <v/>
      </c>
      <c r="O10" s="74" t="n"/>
    </row>
    <row r="11">
      <c r="A11" s="100" t="inlineStr">
        <is>
          <t>Closed Modules</t>
        </is>
      </c>
      <c r="B11" s="101">
        <f>COUNTIFS(' Monthly Report June-26'!F:F,"Closed",' Monthly Report June-26'!X:X,"&gt;="&amp;DATE(2026,6,1),' Monthly Report June-26'!X:X,"&lt;="&amp;DATE(2026,6,30))</f>
        <v/>
      </c>
      <c r="C11" s="98" t="inlineStr">
        <is>
          <t>WIP Rate</t>
        </is>
      </c>
      <c r="D11" s="102">
        <f>B12/B10</f>
        <v/>
      </c>
      <c r="O11" s="74" t="n"/>
    </row>
    <row r="12">
      <c r="A12" s="103" t="inlineStr">
        <is>
          <t>WIP Modules</t>
        </is>
      </c>
      <c r="B12" s="101">
        <f>COUNTIFS(' Monthly Report June-26'!F:F,"WIP",' Monthly Report June-26'!A:A,"&gt;="&amp;DATE(2026,6,1),' Monthly Report June-26'!A:A,"&lt;="&amp;DATE(2026,6,30))</f>
        <v/>
      </c>
      <c r="D12" s="104" t="n"/>
      <c r="E12" s="105" t="n"/>
      <c r="O12" s="74" t="n"/>
    </row>
    <row r="13" ht="15" customHeight="1" thickBot="1">
      <c r="A13" s="106" t="inlineStr">
        <is>
          <t>State covered</t>
        </is>
      </c>
      <c r="B13" s="107">
        <f>COUNTA(_xlfn.UNIQUE(' Monthly Report June-26'!L2:L2980))</f>
        <v/>
      </c>
      <c r="C13" s="108" t="n"/>
      <c r="D13" s="109" t="n"/>
      <c r="O13" s="74" t="n"/>
    </row>
    <row r="14">
      <c r="F14" s="110" t="n"/>
      <c r="O14" s="74" t="n"/>
    </row>
    <row r="15">
      <c r="F15" s="110" t="n"/>
      <c r="O15" s="74" t="n"/>
    </row>
    <row r="16" ht="15" customHeight="1" thickBot="1">
      <c r="A16" s="137" t="inlineStr">
        <is>
          <t xml:space="preserve">By Customer </t>
        </is>
      </c>
      <c r="H16" s="137" t="inlineStr">
        <is>
          <t>By State</t>
        </is>
      </c>
      <c r="O16" s="74" t="n"/>
    </row>
    <row r="17" ht="16" customHeight="1">
      <c r="A17" s="200" t="inlineStr">
        <is>
          <t xml:space="preserve"> COMPLAINTS BY SITE</t>
        </is>
      </c>
      <c r="B17" s="201" t="n"/>
      <c r="C17" s="201" t="n"/>
      <c r="D17" s="201" t="n"/>
      <c r="E17" s="202" t="n"/>
      <c r="H17" s="200" t="inlineStr">
        <is>
          <t xml:space="preserve"> COMPLAINTS BY STATE</t>
        </is>
      </c>
      <c r="I17" s="201" t="n"/>
      <c r="J17" s="202" t="n"/>
      <c r="O17" s="74" t="n"/>
    </row>
    <row r="18">
      <c r="A18" s="111" t="inlineStr">
        <is>
          <t>Site</t>
        </is>
      </c>
      <c r="B18" s="111" t="inlineStr">
        <is>
          <t>Modules</t>
        </is>
      </c>
      <c r="C18" s="111" t="inlineStr">
        <is>
          <t>Closed</t>
        </is>
      </c>
      <c r="D18" s="111" t="inlineStr">
        <is>
          <t>WIP</t>
        </is>
      </c>
      <c r="E18" s="112" t="n"/>
      <c r="H18" s="113" t="inlineStr">
        <is>
          <t>State</t>
        </is>
      </c>
      <c r="I18" s="111" t="inlineStr">
        <is>
          <t>Modules</t>
        </is>
      </c>
      <c r="J18" s="112" t="inlineStr">
        <is>
          <t>% Share</t>
        </is>
      </c>
      <c r="O18" s="136">
        <f>COUNTIFS(#REF!,H19,#REF!,"Closed",#REF!,"&gt;="&amp;DATE(2026,4,1),#REF!,"&lt;="&amp;DATE(2026,4,30))</f>
        <v/>
      </c>
    </row>
    <row r="19">
      <c r="A19" s="138" t="inlineStr">
        <is>
          <t>Continuum</t>
        </is>
      </c>
      <c r="B19" s="114">
        <f>COUNTIF(' Monthly Report June-26'!$C$2:$C$2980,A19)</f>
        <v/>
      </c>
      <c r="C19" s="101">
        <f>COUNTIFS(' Monthly Report June-26'!$C:$C,A19,' Monthly Report June-26'!$F:$F,"Closed",' Monthly Report June-26'!$X:$X,"&gt;="&amp;DATE(2026,6,1),' Monthly Report June-26'!$X:$X,"&lt;="&amp;DATE(2026,6,30))</f>
        <v/>
      </c>
      <c r="D19" s="101">
        <f>COUNTIFS(' Monthly Report June-26'!$C:$C,A19,' Monthly Report June-26'!$F:$F,"WIP",' Monthly Report June-26'!$Z:$Z,"&gt;="&amp;DATE(2026,6,1),' Monthly Report June-26'!$Z:$Z,"&lt;="&amp;DATE(2026,6,30))</f>
        <v/>
      </c>
      <c r="E19" s="115" t="n"/>
      <c r="H19" s="143" t="inlineStr">
        <is>
          <t>Gujarat</t>
        </is>
      </c>
      <c r="I19" s="114">
        <f>COUNTIFS(' Monthly Report June-26'!$L:$L,H19,' Monthly Report June-26'!$F:$F,"Closed",' Monthly Report June-26'!$X:$X,"&gt;="&amp;DATE(2026,6,1),' Monthly Report June-26'!$X:$X,"&lt;="&amp;DATE(2026,6,30))</f>
        <v/>
      </c>
      <c r="J19" s="117">
        <f>I19/$I$26</f>
        <v/>
      </c>
    </row>
    <row r="20">
      <c r="A20" s="138" t="inlineStr">
        <is>
          <t>Yanara Power</t>
        </is>
      </c>
      <c r="B20" s="114">
        <f>COUNTIF(' Monthly Report June-26'!$C$2:$C$2980,A20)</f>
        <v/>
      </c>
      <c r="C20" s="101">
        <f>COUNTIFS(' Monthly Report June-26'!$C:$C,A20,' Monthly Report June-26'!$F:$F,"Closed",' Monthly Report June-26'!$X:$X,"&gt;="&amp;DATE(2026,6,1),' Monthly Report June-26'!$X:$X,"&lt;="&amp;DATE(2026,6,30))</f>
        <v/>
      </c>
      <c r="D20" s="101">
        <f>COUNTIFS(' Monthly Report June-26'!$C:$C,A20,' Monthly Report June-26'!$F:$F,"WIP",' Monthly Report June-26'!$Z:$Z,"&gt;="&amp;DATE(2026,6,1),' Monthly Report June-26'!$Z:$Z,"&lt;="&amp;DATE(2026,6,30))</f>
        <v/>
      </c>
      <c r="E20" s="115" t="n"/>
      <c r="H20" s="144" t="inlineStr">
        <is>
          <t>Maharashtra</t>
        </is>
      </c>
      <c r="I20" s="114">
        <f>COUNTIFS(' Monthly Report June-26'!$L:$L,H20,' Monthly Report June-26'!$F:$F,"Closed",' Monthly Report June-26'!$X:$X,"&gt;="&amp;DATE(2026,6,1),' Monthly Report June-26'!$X:$X,"&lt;="&amp;DATE(2026,6,30))</f>
        <v/>
      </c>
      <c r="J20" s="117">
        <f>I20/$I$26</f>
        <v/>
      </c>
    </row>
    <row r="21">
      <c r="A21" s="138" t="inlineStr">
        <is>
          <t>Shakti Pump</t>
        </is>
      </c>
      <c r="B21" s="114">
        <f>COUNTIF(' Monthly Report June-26'!$C$2:$C$2980,A21)</f>
        <v/>
      </c>
      <c r="C21" s="101">
        <f>COUNTIFS(' Monthly Report June-26'!$C:$C,A21,' Monthly Report June-26'!$F:$F,"Closed",' Monthly Report June-26'!$X:$X,"&gt;="&amp;DATE(2026,6,1),' Monthly Report June-26'!$X:$X,"&lt;="&amp;DATE(2026,6,30))</f>
        <v/>
      </c>
      <c r="D21" s="101">
        <f>COUNTIFS(' Monthly Report June-26'!$C:$C,A21,' Monthly Report June-26'!$F:$F,"WIP",' Monthly Report June-26'!$Z:$Z,"&gt;="&amp;DATE(2026,6,1),' Monthly Report June-26'!$Z:$Z,"&lt;="&amp;DATE(2026,6,30))</f>
        <v/>
      </c>
      <c r="E21" s="115" t="n"/>
      <c r="H21" s="143" t="inlineStr">
        <is>
          <t>Karnataka</t>
        </is>
      </c>
      <c r="I21" s="114">
        <f>COUNTIFS(' Monthly Report June-26'!$L:$L,H21,' Monthly Report June-26'!$F:$F,"Closed",' Monthly Report June-26'!$X:$X,"&gt;="&amp;DATE(2026,6,1),' Monthly Report June-26'!$X:$X,"&lt;="&amp;DATE(2026,6,30))</f>
        <v/>
      </c>
      <c r="J21" s="117">
        <f>I21/$I$26</f>
        <v/>
      </c>
      <c r="O21" s="118" t="n"/>
    </row>
    <row r="22">
      <c r="A22" s="138" t="inlineStr">
        <is>
          <t>Baidyanath Power</t>
        </is>
      </c>
      <c r="B22" s="114">
        <f>COUNTIF(' Monthly Report June-26'!$C$2:$C$2980,A22)</f>
        <v/>
      </c>
      <c r="C22" s="101">
        <f>COUNTIFS(' Monthly Report June-26'!$C:$C,A22,' Monthly Report June-26'!$F:$F,"Closed",' Monthly Report June-26'!$X:$X,"&gt;="&amp;DATE(2026,6,1),' Monthly Report June-26'!$X:$X,"&lt;="&amp;DATE(2026,6,30))</f>
        <v/>
      </c>
      <c r="D22" s="101">
        <f>COUNTIFS(' Monthly Report June-26'!$C:$C,A22,' Monthly Report June-26'!$F:$F,"WIP",' Monthly Report June-26'!$Z:$Z,"&gt;="&amp;DATE(2026,6,1),' Monthly Report June-26'!$Z:$Z,"&lt;="&amp;DATE(2026,6,30))</f>
        <v/>
      </c>
      <c r="E22" s="115" t="n"/>
      <c r="H22" s="143" t="inlineStr">
        <is>
          <t>MP</t>
        </is>
      </c>
      <c r="I22" s="114">
        <f>COUNTIFS(' Monthly Report June-26'!$L:$L,H22,' Monthly Report June-26'!$F:$F,"Closed",' Monthly Report June-26'!$X:$X,"&gt;="&amp;DATE(2026,6,1),' Monthly Report June-26'!$X:$X,"&lt;="&amp;DATE(2026,6,30))</f>
        <v/>
      </c>
      <c r="J22" s="117">
        <f>I22/$I$26</f>
        <v/>
      </c>
      <c r="O22" s="74" t="n"/>
    </row>
    <row r="23">
      <c r="A23" s="138" t="inlineStr">
        <is>
          <t>Solar Square</t>
        </is>
      </c>
      <c r="B23" s="114">
        <f>COUNTIF(' Monthly Report June-26'!$C$2:$C$2980,A23)</f>
        <v/>
      </c>
      <c r="C23" s="101">
        <f>COUNTIFS(' Monthly Report June-26'!$C:$C,A23,' Monthly Report June-26'!$F:$F,"Closed",' Monthly Report June-26'!$X:$X,"&gt;="&amp;DATE(2026,6,1),' Monthly Report June-26'!$X:$X,"&lt;="&amp;DATE(2026,6,30))</f>
        <v/>
      </c>
      <c r="D23" s="101">
        <f>COUNTIFS(' Monthly Report June-26'!$C:$C,A23,' Monthly Report June-26'!$F:$F,"WIP",' Monthly Report June-26'!$Z:$Z,"&gt;="&amp;DATE(2026,6,1),' Monthly Report June-26'!$Z:$Z,"&lt;="&amp;DATE(2026,6,30))</f>
        <v/>
      </c>
      <c r="E23" s="115" t="n"/>
      <c r="H23" s="143" t="inlineStr">
        <is>
          <t>Kerala</t>
        </is>
      </c>
      <c r="I23" s="114">
        <f>COUNTIFS(' Monthly Report June-26'!$L:$L,H23,' Monthly Report June-26'!$F:$F,"Closed",' Monthly Report June-26'!$X:$X,"&gt;="&amp;DATE(2026,6,1),' Monthly Report June-26'!$X:$X,"&lt;="&amp;DATE(2026,6,30))</f>
        <v/>
      </c>
      <c r="J23" s="117">
        <f>I23/$I$26</f>
        <v/>
      </c>
      <c r="O23" s="74" t="n"/>
    </row>
    <row r="24">
      <c r="A24" s="138" t="inlineStr">
        <is>
          <t>Panasonic</t>
        </is>
      </c>
      <c r="B24" s="114">
        <f>COUNTIF(' Monthly Report June-26'!$C$2:$C$2980,A24)</f>
        <v/>
      </c>
      <c r="C24" s="101">
        <f>COUNTIFS(' Monthly Report June-26'!$C:$C,A24,' Monthly Report June-26'!$F:$F,"Closed",' Monthly Report June-26'!$X:$X,"&gt;="&amp;DATE(2026,6,1),' Monthly Report June-26'!$X:$X,"&lt;="&amp;DATE(2026,6,30))</f>
        <v/>
      </c>
      <c r="D24" s="101">
        <f>COUNTIFS(' Monthly Report June-26'!$C:$C,A24,' Monthly Report June-26'!$F:$F,"WIP",' Monthly Report June-26'!$Z:$Z,"&gt;="&amp;DATE(2026,6,1),' Monthly Report June-26'!$Z:$Z,"&lt;="&amp;DATE(2026,6,30))</f>
        <v/>
      </c>
      <c r="E24" s="115" t="n"/>
      <c r="H24" s="143" t="inlineStr">
        <is>
          <t>Tamil Nadu</t>
        </is>
      </c>
      <c r="I24" s="114">
        <f>COUNTIFS(' Monthly Report June-26'!$L:$L,H24,' Monthly Report June-26'!$F:$F,"Closed",' Monthly Report June-26'!$X:$X,"&gt;="&amp;DATE(2026,6,1),' Monthly Report June-26'!$X:$X,"&lt;="&amp;DATE(2026,6,30))</f>
        <v/>
      </c>
      <c r="J24" s="117">
        <f>I24/$I$26</f>
        <v/>
      </c>
      <c r="O24" s="74" t="n"/>
    </row>
    <row r="25">
      <c r="A25" s="138" t="inlineStr">
        <is>
          <t>Vashi</t>
        </is>
      </c>
      <c r="B25" s="114">
        <f>COUNTIF(' Monthly Report June-26'!$C$2:$C$2980,A25)</f>
        <v/>
      </c>
      <c r="C25" s="101">
        <f>COUNTIFS(' Monthly Report June-26'!$C:$C,A25,' Monthly Report June-26'!$F:$F,"Closed",' Monthly Report June-26'!$X:$X,"&gt;="&amp;DATE(2026,6,1),' Monthly Report June-26'!$X:$X,"&lt;="&amp;DATE(2026,6,30))</f>
        <v/>
      </c>
      <c r="D25" s="101">
        <f>COUNTIFS(' Monthly Report June-26'!$C:$C,A25,' Monthly Report June-26'!$F:$F,"WIP",' Monthly Report June-26'!$Z:$Z,"&gt;="&amp;DATE(2026,6,1),' Monthly Report June-26'!$Z:$Z,"&lt;="&amp;DATE(2026,6,30))</f>
        <v/>
      </c>
      <c r="E25" s="115" t="n"/>
      <c r="H25" s="143" t="inlineStr">
        <is>
          <t>Goa</t>
        </is>
      </c>
      <c r="I25" s="114">
        <f>COUNTIFS(' Monthly Report June-26'!$L:$L,H25,' Monthly Report June-26'!$F:$F,"Closed",' Monthly Report June-26'!$X:$X,"&gt;="&amp;DATE(2026,6,1),' Monthly Report June-26'!$X:$X,"&lt;="&amp;DATE(2026,6,30))</f>
        <v/>
      </c>
      <c r="J25" s="117">
        <f>I25/$I$26</f>
        <v/>
      </c>
      <c r="O25" s="74" t="n"/>
    </row>
    <row r="26" ht="15" customHeight="1" thickBot="1">
      <c r="A26" s="139" t="inlineStr">
        <is>
          <t>Ayana</t>
        </is>
      </c>
      <c r="B26" s="114">
        <f>COUNTIF(' Monthly Report June-26'!$C$2:$C$2980,A26)</f>
        <v/>
      </c>
      <c r="C26" s="101">
        <f>COUNTIFS(' Monthly Report June-26'!$C:$C,A26,' Monthly Report June-26'!$F:$F,"Closed",' Monthly Report June-26'!$X:$X,"&gt;="&amp;DATE(2026,6,1),' Monthly Report June-26'!$X:$X,"&lt;="&amp;DATE(2026,6,30))</f>
        <v/>
      </c>
      <c r="D26" s="101">
        <f>COUNTIFS(' Monthly Report June-26'!$C:$C,A26,' Monthly Report June-26'!$F:$F,"WIP",' Monthly Report June-26'!$Z:$Z,"&gt;="&amp;DATE(2026,6,1),' Monthly Report June-26'!$Z:$Z,"&lt;="&amp;DATE(2026,6,30))</f>
        <v/>
      </c>
      <c r="E26" s="115" t="n"/>
      <c r="H26" s="119" t="inlineStr">
        <is>
          <t>TOTAL</t>
        </is>
      </c>
      <c r="I26" s="120">
        <f>SUM(I19:I25)</f>
        <v/>
      </c>
      <c r="J26" s="121">
        <f>SUM(J19:J29)</f>
        <v/>
      </c>
    </row>
    <row r="27">
      <c r="A27" s="138" t="inlineStr">
        <is>
          <t>TRUE SUN TRADING COMPANY</t>
        </is>
      </c>
      <c r="B27" s="114">
        <f>COUNTIF(' Monthly Report June-26'!$C$2:$C$2980,A27)</f>
        <v/>
      </c>
      <c r="C27" s="101">
        <f>COUNTIFS(' Monthly Report June-26'!$C:$C,A27,' Monthly Report June-26'!$F:$F,"Closed",' Monthly Report June-26'!$X:$X,"&gt;="&amp;DATE(2026,6,1),' Monthly Report June-26'!$X:$X,"&lt;="&amp;DATE(2026,6,30))</f>
        <v/>
      </c>
      <c r="D27" s="101">
        <f>COUNTIFS(' Monthly Report June-26'!$C:$C,A27,' Monthly Report June-26'!$F:$F,"WIP",' Monthly Report June-26'!$Z:$Z,"&gt;="&amp;DATE(2026,6,1),' Monthly Report June-26'!$Z:$Z,"&lt;="&amp;DATE(2026,6,30))</f>
        <v/>
      </c>
      <c r="E27" s="115" t="n"/>
    </row>
    <row r="28">
      <c r="A28" s="138" t="inlineStr">
        <is>
          <t>Asian Fab Tec Ltd</t>
        </is>
      </c>
      <c r="B28" s="114">
        <f>COUNTIF(' Monthly Report June-26'!$C$2:$C$2980,A28)</f>
        <v/>
      </c>
      <c r="C28" s="101">
        <f>COUNTIFS(' Monthly Report June-26'!$C:$C,A28,' Monthly Report June-26'!$F:$F,"Closed",' Monthly Report June-26'!$X:$X,"&gt;="&amp;DATE(2026,6,1),' Monthly Report June-26'!$X:$X,"&lt;="&amp;DATE(2026,6,30))</f>
        <v/>
      </c>
      <c r="D28" s="101">
        <f>COUNTIFS(' Monthly Report June-26'!$C:$C,A28,' Monthly Report June-26'!$F:$F,"WIP",' Monthly Report June-26'!$Z:$Z,"&gt;="&amp;DATE(2026,6,1),' Monthly Report June-26'!$Z:$Z,"&lt;="&amp;DATE(2026,6,30))</f>
        <v/>
      </c>
      <c r="E28" s="115" t="n"/>
      <c r="H28" s="122" t="n"/>
      <c r="I28" s="114" t="n"/>
      <c r="J28" s="123" t="n"/>
    </row>
    <row r="29">
      <c r="A29" s="140" t="inlineStr">
        <is>
          <t>Solaark Renewables Pvt. Ltd</t>
        </is>
      </c>
      <c r="B29" s="114">
        <f>COUNTIF(' Monthly Report June-26'!$C$2:$C$2980,A29)</f>
        <v/>
      </c>
      <c r="C29" s="101">
        <f>COUNTIFS(' Monthly Report June-26'!$C:$C,A29,' Monthly Report June-26'!$F:$F,"Closed",' Monthly Report June-26'!$X:$X,"&gt;="&amp;DATE(2026,6,1),' Monthly Report June-26'!$X:$X,"&lt;="&amp;DATE(2026,6,30))</f>
        <v/>
      </c>
      <c r="D29" s="101">
        <f>COUNTIFS(' Monthly Report June-26'!$C:$C,A29,' Monthly Report June-26'!$F:$F,"WIP",' Monthly Report June-26'!$Z:$Z,"&gt;="&amp;DATE(2026,6,1),' Monthly Report June-26'!$Z:$Z,"&lt;="&amp;DATE(2026,6,30))</f>
        <v/>
      </c>
      <c r="E29" s="115" t="n"/>
      <c r="H29" s="122" t="n"/>
      <c r="I29" s="114" t="n"/>
      <c r="J29" s="123" t="n"/>
    </row>
    <row r="30">
      <c r="A30" s="138" t="inlineStr">
        <is>
          <t>First Energy</t>
        </is>
      </c>
      <c r="B30" s="114">
        <f>COUNTIF(' Monthly Report June-26'!$C$2:$C$2980,A30)</f>
        <v/>
      </c>
      <c r="C30" s="101">
        <f>COUNTIFS(' Monthly Report June-26'!$C:$C,A30,' Monthly Report June-26'!$F:$F,"Closed",' Monthly Report June-26'!$X:$X,"&gt;="&amp;DATE(2026,6,1),' Monthly Report June-26'!$X:$X,"&lt;="&amp;DATE(2026,6,30))</f>
        <v/>
      </c>
      <c r="D30" s="101">
        <f>COUNTIFS(' Monthly Report June-26'!$C:$C,A30,' Monthly Report June-26'!$F:$F,"WIP",' Monthly Report June-26'!$Z:$Z,"&gt;="&amp;DATE(2026,6,1),' Monthly Report June-26'!$Z:$Z,"&lt;="&amp;DATE(2026,6,30))</f>
        <v/>
      </c>
      <c r="E30" s="115" t="n"/>
    </row>
    <row r="31">
      <c r="A31" s="138" t="inlineStr">
        <is>
          <t>Solaark</t>
        </is>
      </c>
      <c r="B31" s="114">
        <f>COUNTIF(' Monthly Report June-26'!$C$2:$C$2980,A31)</f>
        <v/>
      </c>
      <c r="C31" s="101">
        <f>COUNTIFS(' Monthly Report June-26'!$C:$C,A31,' Monthly Report June-26'!$F:$F,"Closed",' Monthly Report June-26'!$X:$X,"&gt;="&amp;DATE(2026,6,1),' Monthly Report June-26'!$X:$X,"&lt;="&amp;DATE(2026,6,30))</f>
        <v/>
      </c>
      <c r="D31" s="101">
        <f>COUNTIFS(' Monthly Report June-26'!$C:$C,A31,' Monthly Report June-26'!$F:$F,"WIP",' Monthly Report June-26'!$Z:$Z,"&gt;="&amp;DATE(2026,6,1),' Monthly Report June-26'!$Z:$Z,"&lt;="&amp;DATE(2026,6,30))</f>
        <v/>
      </c>
      <c r="E31" s="115" t="n"/>
    </row>
    <row r="32">
      <c r="A32" s="141" t="inlineStr">
        <is>
          <t>Maharudra Agencies</t>
        </is>
      </c>
      <c r="B32" s="114">
        <f>COUNTIF(' Monthly Report June-26'!$C$2:$C$2980,A32)</f>
        <v/>
      </c>
      <c r="C32" s="101">
        <f>COUNTIFS(' Monthly Report June-26'!$C:$C,A32,' Monthly Report June-26'!$F:$F,"Closed",' Monthly Report June-26'!$X:$X,"&gt;="&amp;DATE(2026,6,1),' Monthly Report June-26'!$X:$X,"&lt;="&amp;DATE(2026,6,30))</f>
        <v/>
      </c>
      <c r="D32" s="101">
        <f>COUNTIFS(' Monthly Report June-26'!$C:$C,A32,' Monthly Report June-26'!$F:$F,"WIP",' Monthly Report June-26'!$Z:$Z,"&gt;="&amp;DATE(2026,6,1),' Monthly Report June-26'!$Z:$Z,"&lt;="&amp;DATE(2026,6,30))</f>
        <v/>
      </c>
      <c r="E32" s="115" t="n"/>
      <c r="H32" s="74" t="n"/>
    </row>
    <row r="33" ht="15" customHeight="1" thickBot="1">
      <c r="A33" s="138" t="inlineStr">
        <is>
          <t>Axitec Energy</t>
        </is>
      </c>
      <c r="B33" s="114">
        <f>COUNTIF(' Monthly Report June-26'!$C$2:$C$2980,A33)</f>
        <v/>
      </c>
      <c r="C33" s="101">
        <f>COUNTIFS(' Monthly Report June-26'!$C:$C,A33,' Monthly Report June-26'!$F:$F,"Closed",' Monthly Report June-26'!$X:$X,"&gt;="&amp;DATE(2026,6,1),' Monthly Report June-26'!$X:$X,"&lt;="&amp;DATE(2026,6,30))</f>
        <v/>
      </c>
      <c r="D33" s="101">
        <f>COUNTIFS(' Monthly Report June-26'!$C:$C,A33,' Monthly Report June-26'!$F:$F,"WIP",' Monthly Report June-26'!$Z:$Z,"&gt;="&amp;DATE(2026,6,1),' Monthly Report June-26'!$Z:$Z,"&lt;="&amp;DATE(2026,6,30))</f>
        <v/>
      </c>
      <c r="E33" s="115" t="n"/>
      <c r="H33" s="74" t="n"/>
    </row>
    <row r="34" ht="16.5" customHeight="1" thickBot="1">
      <c r="A34" s="124" t="inlineStr">
        <is>
          <t>TOTAL</t>
        </is>
      </c>
      <c r="B34" s="120">
        <f>SUM(B19:B32)</f>
        <v/>
      </c>
      <c r="C34" s="120">
        <f>SUM(C19:C32)</f>
        <v/>
      </c>
      <c r="D34" s="120">
        <f>SUM(D19:D32)</f>
        <v/>
      </c>
      <c r="E34" s="121" t="n"/>
      <c r="H34" s="200" t="inlineStr">
        <is>
          <t xml:space="preserve"> RESOLUTION TYPE</t>
        </is>
      </c>
      <c r="I34" s="201" t="n"/>
      <c r="J34" s="202" t="n"/>
    </row>
    <row r="35">
      <c r="H35" s="125" t="inlineStr">
        <is>
          <t>Resolution</t>
        </is>
      </c>
      <c r="I35" s="111" t="inlineStr">
        <is>
          <t>Modules</t>
        </is>
      </c>
      <c r="J35" s="112" t="inlineStr">
        <is>
          <t>% Share</t>
        </is>
      </c>
    </row>
    <row r="36">
      <c r="H36" s="126" t="inlineStr">
        <is>
          <t>Repair</t>
        </is>
      </c>
      <c r="I36" s="114">
        <f>COUNTIFS(' Monthly Report June-26'!$W:$W,H36,' Monthly Report June-26'!$X:$X,"&gt;="&amp;DATE(2026,6,1),' Monthly Report June-26'!$X:$X,"&lt;="&amp;DATE(2026,6,310))</f>
        <v/>
      </c>
      <c r="J36" s="115">
        <f>I36/$I$41</f>
        <v/>
      </c>
    </row>
    <row r="37" ht="15" customHeight="1" thickBot="1">
      <c r="H37" s="116" t="inlineStr">
        <is>
          <t>Rejected</t>
        </is>
      </c>
      <c r="I37" s="114">
        <f>COUNTIFS(' Monthly Report June-26'!$W:$W,H37,' Monthly Report June-26'!$X:$X,"&gt;="&amp;DATE(2026,6,1),' Monthly Report June-26'!$X:$X,"&lt;="&amp;DATE(2026,6,310))</f>
        <v/>
      </c>
      <c r="J37" s="115">
        <f>I37/$I$41</f>
        <v/>
      </c>
    </row>
    <row r="38" ht="16" customHeight="1">
      <c r="A38" s="200" t="inlineStr">
        <is>
          <t xml:space="preserve"> DAILY COMPLAINTS TREND - JAN 2026</t>
        </is>
      </c>
      <c r="B38" s="201" t="n"/>
      <c r="C38" s="201" t="n"/>
      <c r="D38" s="202" t="n"/>
      <c r="H38" s="116" t="inlineStr">
        <is>
          <t>Replacement</t>
        </is>
      </c>
      <c r="I38" s="114">
        <f>COUNTIFS(' Monthly Report June-26'!$W:$W,H38,' Monthly Report June-26'!$X:$X,"&gt;="&amp;DATE(2026,6,1),' Monthly Report June-26'!$X:$X,"&lt;="&amp;DATE(2026,6,310))</f>
        <v/>
      </c>
      <c r="J38" s="115">
        <f>I38/$I$41</f>
        <v/>
      </c>
    </row>
    <row r="39">
      <c r="A39" s="113" t="inlineStr">
        <is>
          <t>Date</t>
        </is>
      </c>
      <c r="B39" s="111" t="inlineStr">
        <is>
          <t>Modules Visited</t>
        </is>
      </c>
      <c r="C39" s="111" t="inlineStr">
        <is>
          <t>Closed</t>
        </is>
      </c>
      <c r="D39" s="112" t="inlineStr">
        <is>
          <t>WIP</t>
        </is>
      </c>
      <c r="H39" s="116" t="inlineStr">
        <is>
          <t>Inspection</t>
        </is>
      </c>
      <c r="I39" s="114">
        <f>COUNTIFS(' Monthly Report June-26'!$W:$W,H39,' Monthly Report June-26'!$X:$X,"&gt;="&amp;DATE(2026,6,1),' Monthly Report June-26'!$X:$X,"&lt;="&amp;DATE(2026,6,310))</f>
        <v/>
      </c>
      <c r="J39" s="115">
        <f>I39/$I$41</f>
        <v/>
      </c>
    </row>
    <row r="40">
      <c r="A40" s="127" t="n">
        <v>46174</v>
      </c>
      <c r="B40" s="114">
        <f>COUNTIF(' Monthly Report June-26'!$Z:$Z,A40)</f>
        <v/>
      </c>
      <c r="C40" s="114">
        <f>COUNTIFS(' Monthly Report June-26'!$X:X,A40,' Monthly Report June-26'!F:F,"Closed")</f>
        <v/>
      </c>
      <c r="D40" s="104">
        <f>COUNTIFS(' Monthly Report June-26'!$Z:$Z,A40,' Monthly Report June-26'!F:F,"WIP")</f>
        <v/>
      </c>
      <c r="H40" s="116" t="inlineStr">
        <is>
          <t>CN</t>
        </is>
      </c>
      <c r="I40" s="114">
        <f>COUNTIFS(' Monthly Report June-26'!$W:$W,H40,' Monthly Report June-26'!$X:$X,"&gt;="&amp;DATE(2026,6,1),' Monthly Report June-26'!$X:$X,"&lt;="&amp;DATE(2026,6,310))</f>
        <v/>
      </c>
      <c r="J40" s="115">
        <f>I40/$I$41</f>
        <v/>
      </c>
    </row>
    <row r="41" ht="15" customHeight="1" thickBot="1">
      <c r="A41" s="127" t="n">
        <v>46175</v>
      </c>
      <c r="B41" s="114">
        <f>COUNTIF(' Monthly Report June-26'!$Z:$Z,A41)</f>
        <v/>
      </c>
      <c r="C41" s="114">
        <f>COUNTIFS(' Monthly Report June-26'!$X:X,A41,' Monthly Report June-26'!F:F,"Closed")</f>
        <v/>
      </c>
      <c r="D41" s="104">
        <f>COUNTIFS(' Monthly Report June-26'!$Z:$Z,A41,' Monthly Report June-26'!F:F,"WIP")</f>
        <v/>
      </c>
      <c r="H41" s="119" t="inlineStr">
        <is>
          <t>TOTAL</t>
        </is>
      </c>
      <c r="I41" s="120">
        <f>SUM(I36:I40)</f>
        <v/>
      </c>
      <c r="J41" s="121">
        <f>SUM(J34:J40)</f>
        <v/>
      </c>
    </row>
    <row r="42">
      <c r="A42" s="127" t="n">
        <v>46176</v>
      </c>
      <c r="B42" s="114">
        <f>COUNTIF(' Monthly Report June-26'!$Z:$Z,A42)</f>
        <v/>
      </c>
      <c r="C42" s="114">
        <f>COUNTIFS(' Monthly Report June-26'!$X:X,A42,' Monthly Report June-26'!F:F,"Closed")</f>
        <v/>
      </c>
      <c r="D42" s="104">
        <f>COUNTIFS(' Monthly Report June-26'!$Z:$Z,A42,' Monthly Report June-26'!F:F,"WIP")</f>
        <v/>
      </c>
      <c r="I42" s="114" t="n"/>
      <c r="J42" s="128" t="n"/>
    </row>
    <row r="43">
      <c r="A43" s="127" t="n">
        <v>46177</v>
      </c>
      <c r="B43" s="114">
        <f>COUNTIF(' Monthly Report June-26'!$Z:$Z,A43)</f>
        <v/>
      </c>
      <c r="C43" s="114">
        <f>COUNTIFS(' Monthly Report June-26'!$X:X,A43,' Monthly Report June-26'!F:F,"Closed")</f>
        <v/>
      </c>
      <c r="D43" s="104">
        <f>COUNTIFS(' Monthly Report June-26'!$Z:$Z,A43,' Monthly Report June-26'!F:F,"WIP")</f>
        <v/>
      </c>
    </row>
    <row r="44" ht="16.5" customHeight="1" thickBot="1">
      <c r="A44" s="127" t="n">
        <v>46178</v>
      </c>
      <c r="B44" s="114">
        <f>COUNTIF(' Monthly Report June-26'!$Z:$Z,A44)</f>
        <v/>
      </c>
      <c r="C44" s="114">
        <f>COUNTIFS(' Monthly Report June-26'!$X:X,A44,' Monthly Report June-26'!F:F,"Closed")</f>
        <v/>
      </c>
      <c r="D44" s="104">
        <f>COUNTIFS(' Monthly Report June-26'!$Z:$Z,A44,' Monthly Report June-26'!F:F,"WIP")</f>
        <v/>
      </c>
      <c r="H44" s="129" t="inlineStr">
        <is>
          <t>MANUFACTURING PLANT-WISE</t>
        </is>
      </c>
    </row>
    <row r="45">
      <c r="A45" s="127" t="n">
        <v>46179</v>
      </c>
      <c r="B45" s="114">
        <f>COUNTIF(' Monthly Report June-26'!$Z:$Z,A45)</f>
        <v/>
      </c>
      <c r="C45" s="114">
        <f>COUNTIFS(' Monthly Report June-26'!$X:X,A45,' Monthly Report June-26'!F:F,"Closed")</f>
        <v/>
      </c>
      <c r="D45" s="104">
        <f>COUNTIFS(' Monthly Report June-26'!$Z:$Z,A45,' Monthly Report June-26'!F:F,"WIP")</f>
        <v/>
      </c>
      <c r="H45" s="93" t="inlineStr">
        <is>
          <t>Plant</t>
        </is>
      </c>
      <c r="I45" s="94" t="inlineStr">
        <is>
          <t>Modules</t>
        </is>
      </c>
      <c r="J45" s="95" t="inlineStr">
        <is>
          <t>% Share</t>
        </is>
      </c>
    </row>
    <row r="46">
      <c r="A46" s="127" t="n">
        <v>46180</v>
      </c>
      <c r="B46" s="114">
        <f>COUNTIF(' Monthly Report June-26'!$Z:$Z,A46)</f>
        <v/>
      </c>
      <c r="C46" s="114">
        <f>COUNTIFS(' Monthly Report June-26'!$X:X,A46,' Monthly Report June-26'!F:F,"Closed")</f>
        <v/>
      </c>
      <c r="D46" s="104">
        <f>COUNTIFS(' Monthly Report June-26'!$Z:$Z,A46,' Monthly Report June-26'!F:F,"WIP")</f>
        <v/>
      </c>
      <c r="H46" s="145" t="inlineStr">
        <is>
          <t>P4 - PEIPL</t>
        </is>
      </c>
      <c r="I46" s="114">
        <f>COUNTIFS(' Monthly Report June-26'!$T:$T,H46,' Monthly Report June-26'!$F:$F,"Closed",' Monthly Report June-26'!$X:$X,"&gt;="&amp;DATE(2026,6,1),' Monthly Report June-26'!$X:$X,"&lt;="&amp;DATE(2026,6,310))</f>
        <v/>
      </c>
      <c r="J46" s="115">
        <f>I46/$I$50</f>
        <v/>
      </c>
    </row>
    <row r="47">
      <c r="A47" s="127" t="n">
        <v>46181</v>
      </c>
      <c r="B47" s="114">
        <f>COUNTIF(' Monthly Report June-26'!$Z:$Z,A47)</f>
        <v/>
      </c>
      <c r="C47" s="114">
        <f>COUNTIFS(' Monthly Report June-26'!$X:X,A47,' Monthly Report June-26'!F:F,"Closed")</f>
        <v/>
      </c>
      <c r="D47" s="104">
        <f>COUNTIFS(' Monthly Report June-26'!$Z:$Z,A47,' Monthly Report June-26'!F:F,"WIP")</f>
        <v/>
      </c>
      <c r="H47" s="145" t="inlineStr">
        <is>
          <t>P2 - PEPPL</t>
        </is>
      </c>
      <c r="I47" s="114">
        <f>COUNTIFS(' Monthly Report June-26'!$T:$T,H47,' Monthly Report June-26'!$F:$F,"Closed",' Monthly Report June-26'!$X:$X,"&gt;="&amp;DATE(2026,6,1),' Monthly Report June-26'!$X:$X,"&lt;="&amp;DATE(2026,6,310))</f>
        <v/>
      </c>
      <c r="J47" s="115">
        <f>I47/$I$50</f>
        <v/>
      </c>
    </row>
    <row r="48">
      <c r="A48" s="127" t="n">
        <v>46182</v>
      </c>
      <c r="B48" s="114">
        <f>COUNTIF(' Monthly Report June-26'!$Z:$Z,A48)</f>
        <v/>
      </c>
      <c r="C48" s="114">
        <f>COUNTIFS(' Monthly Report June-26'!$X:X,A48,' Monthly Report June-26'!F:F,"Closed")</f>
        <v/>
      </c>
      <c r="D48" s="104">
        <f>COUNTIFS(' Monthly Report June-26'!$Z:$Z,A48,' Monthly Report June-26'!F:F,"WIP")</f>
        <v/>
      </c>
      <c r="H48" s="145" t="inlineStr">
        <is>
          <t>P5 - PEGPL</t>
        </is>
      </c>
      <c r="I48" s="114">
        <f>COUNTIFS(' Monthly Report June-26'!$T:$T,H48,' Monthly Report June-26'!$F:$F,"Closed",' Monthly Report June-26'!$X:$X,"&gt;="&amp;DATE(2026,6,1),' Monthly Report June-26'!$X:$X,"&lt;="&amp;DATE(2026,6,310))</f>
        <v/>
      </c>
      <c r="J48" s="115">
        <f>I48/$I$50</f>
        <v/>
      </c>
    </row>
    <row r="49">
      <c r="A49" s="127" t="n">
        <v>46183</v>
      </c>
      <c r="B49" s="114">
        <f>COUNTIF(' Monthly Report June-26'!$Z:$Z,A49)</f>
        <v/>
      </c>
      <c r="C49" s="114">
        <f>COUNTIFS(' Monthly Report June-26'!$X:X,A49,' Monthly Report June-26'!F:F,"Closed")</f>
        <v/>
      </c>
      <c r="D49" s="104">
        <f>COUNTIFS(' Monthly Report June-26'!$Z:$Z,A49,' Monthly Report June-26'!F:F,"WIP")</f>
        <v/>
      </c>
      <c r="H49" s="130" t="inlineStr">
        <is>
          <t>Prime Pack</t>
        </is>
      </c>
      <c r="I49" s="114">
        <f>COUNTIFS(' Monthly Report June-26'!$T:$T,H49,' Monthly Report June-26'!$F:$F,"Closed",' Monthly Report June-26'!$X:$X,"&gt;="&amp;DATE(2026,6,1),' Monthly Report June-26'!$X:$X,"&lt;="&amp;DATE(2026,6,310))</f>
        <v/>
      </c>
      <c r="J49" s="115">
        <f>I49/$I$50</f>
        <v/>
      </c>
    </row>
    <row r="50" ht="15" customHeight="1" thickBot="1">
      <c r="A50" s="127" t="n">
        <v>46184</v>
      </c>
      <c r="B50" s="114">
        <f>COUNTIF(' Monthly Report June-26'!$Z:$Z,A50)</f>
        <v/>
      </c>
      <c r="C50" s="114">
        <f>COUNTIFS(' Monthly Report June-26'!$X:X,A50,' Monthly Report June-26'!F:F,"Closed")</f>
        <v/>
      </c>
      <c r="D50" s="104">
        <f>COUNTIFS(' Monthly Report June-26'!$Z:$Z,A50,' Monthly Report June-26'!F:F,"WIP")</f>
        <v/>
      </c>
      <c r="H50" s="119" t="inlineStr">
        <is>
          <t>TOTAL</t>
        </is>
      </c>
      <c r="I50" s="120">
        <f>SUM(I46:I49)</f>
        <v/>
      </c>
      <c r="J50" s="121">
        <f>SUM(J46:J49)</f>
        <v/>
      </c>
    </row>
    <row r="51">
      <c r="A51" s="127" t="n">
        <v>46185</v>
      </c>
      <c r="B51" s="114">
        <f>COUNTIF(' Monthly Report June-26'!$Z:$Z,A51)</f>
        <v/>
      </c>
      <c r="C51" s="114">
        <f>COUNTIFS(' Monthly Report June-26'!$X:X,A51,' Monthly Report June-26'!F:F,"Closed")</f>
        <v/>
      </c>
      <c r="D51" s="104">
        <f>COUNTIFS(' Monthly Report June-26'!$Z:$Z,A51,' Monthly Report June-26'!F:F,"WIP")</f>
        <v/>
      </c>
    </row>
    <row r="52">
      <c r="A52" s="127" t="n">
        <v>46186</v>
      </c>
      <c r="B52" s="114">
        <f>COUNTIF(' Monthly Report June-26'!$Z:$Z,A52)</f>
        <v/>
      </c>
      <c r="C52" s="114">
        <f>COUNTIFS(' Monthly Report June-26'!$X:X,A52,' Monthly Report June-26'!F:F,"Closed")</f>
        <v/>
      </c>
      <c r="D52" s="104">
        <f>COUNTIFS(' Monthly Report June-26'!$Z:$Z,A52,' Monthly Report June-26'!F:F,"WIP")</f>
        <v/>
      </c>
    </row>
    <row r="53" ht="16.5" customHeight="1" thickBot="1">
      <c r="A53" s="127" t="n">
        <v>46187</v>
      </c>
      <c r="B53" s="114">
        <f>COUNTIF(' Monthly Report June-26'!$Z:$Z,A53)</f>
        <v/>
      </c>
      <c r="C53" s="114">
        <f>COUNTIFS(' Monthly Report June-26'!$X:X,A53,' Monthly Report June-26'!F:F,"Closed")</f>
        <v/>
      </c>
      <c r="D53" s="104">
        <f>COUNTIFS(' Monthly Report June-26'!$Z:$Z,A53,' Monthly Report June-26'!F:F,"WIP")</f>
        <v/>
      </c>
      <c r="H53" s="129" t="inlineStr">
        <is>
          <t>TAT - COMPLAINT RAISED vs CLOSED</t>
        </is>
      </c>
    </row>
    <row r="54">
      <c r="A54" s="127" t="n">
        <v>46188</v>
      </c>
      <c r="B54" s="114">
        <f>COUNTIF(' Monthly Report June-26'!$Z:$Z,A54)</f>
        <v/>
      </c>
      <c r="C54" s="114">
        <f>COUNTIFS(' Monthly Report June-26'!$X:X,A54,' Monthly Report June-26'!F:F,"Closed")</f>
        <v/>
      </c>
      <c r="D54" s="104">
        <f>COUNTIFS(' Monthly Report June-26'!$Z:$Z,A54,' Monthly Report June-26'!F:F,"WIP")</f>
        <v/>
      </c>
      <c r="H54" s="93" t="inlineStr">
        <is>
          <t>TAT Bucket (Days)</t>
        </is>
      </c>
      <c r="I54" s="94" t="inlineStr">
        <is>
          <t>Modules</t>
        </is>
      </c>
      <c r="J54" s="95" t="inlineStr">
        <is>
          <t>% Share</t>
        </is>
      </c>
    </row>
    <row r="55">
      <c r="A55" s="127" t="n">
        <v>46189</v>
      </c>
      <c r="B55" s="114">
        <f>COUNTIF(' Monthly Report June-26'!$Z:$Z,A55)</f>
        <v/>
      </c>
      <c r="C55" s="114">
        <f>COUNTIFS(' Monthly Report June-26'!$X:X,A55,' Monthly Report June-26'!F:F,"Closed")</f>
        <v/>
      </c>
      <c r="D55" s="104">
        <f>COUNTIFS(' Monthly Report June-26'!$Z:$Z,A55,' Monthly Report June-26'!F:F,"WIP")</f>
        <v/>
      </c>
      <c r="H55" s="130" t="inlineStr">
        <is>
          <t>0 - 3 days</t>
        </is>
      </c>
      <c r="I55" s="114">
        <f>COUNTIFS(' Monthly Report June-26'!$Y:$Y,"&gt;=0",' Monthly Report June-26'!$Y:$Y,"&lt;=3",' Monthly Report June-26'!$F:$F,"Closed",' Monthly Report June-26'!$X:$X,"&gt;="&amp;DATE(2026,6,1),' Monthly Report June-26'!$X:$X,"&lt;="&amp;DATE(2026,6,30))</f>
        <v/>
      </c>
      <c r="J55" s="115">
        <f>I55/$I$60</f>
        <v/>
      </c>
    </row>
    <row r="56">
      <c r="A56" s="127" t="n">
        <v>46190</v>
      </c>
      <c r="B56" s="114">
        <f>COUNTIF(' Monthly Report June-26'!$Z:$Z,A56)</f>
        <v/>
      </c>
      <c r="C56" s="114">
        <f>COUNTIFS(' Monthly Report June-26'!$X:X,A56,' Monthly Report June-26'!F:F,"Closed")</f>
        <v/>
      </c>
      <c r="D56" s="104">
        <f>COUNTIFS(' Monthly Report June-26'!$Z:$Z,A56,' Monthly Report June-26'!F:F,"WIP")</f>
        <v/>
      </c>
      <c r="H56" s="130" t="inlineStr">
        <is>
          <t>4 - 7 days</t>
        </is>
      </c>
      <c r="I56" s="114">
        <f>COUNTIFS(' Monthly Report June-26'!$Y:$Y,"&gt;=4",' Monthly Report June-26'!$Y:$Y,"&lt;=7",' Monthly Report June-26'!$F:$F,"Closed",' Monthly Report June-26'!$X:$X,"&gt;="&amp;DATE(2026,6,1),' Monthly Report June-26'!$X:$X,"&lt;="&amp;DATE(2026,6,30))</f>
        <v/>
      </c>
      <c r="J56" s="115">
        <f>I56/$I$60</f>
        <v/>
      </c>
    </row>
    <row r="57">
      <c r="A57" s="127" t="n">
        <v>46191</v>
      </c>
      <c r="B57" s="114">
        <f>COUNTIF(' Monthly Report June-26'!$Z:$Z,A57)</f>
        <v/>
      </c>
      <c r="C57" s="114">
        <f>COUNTIFS(' Monthly Report June-26'!$X:X,A57,' Monthly Report June-26'!F:F,"Closed")</f>
        <v/>
      </c>
      <c r="D57" s="104">
        <f>COUNTIFS(' Monthly Report June-26'!$Z:$Z,A57,' Monthly Report June-26'!F:F,"WIP")</f>
        <v/>
      </c>
      <c r="H57" s="130" t="inlineStr">
        <is>
          <t>8 - 15 days</t>
        </is>
      </c>
      <c r="I57" s="114">
        <f>COUNTIFS(' Monthly Report June-26'!$Y:$Y,"&gt;=8",' Monthly Report June-26'!$Y:$Y,"&lt;=15",' Monthly Report June-26'!$F:$F,"Closed",' Monthly Report June-26'!$X:$X,"&gt;="&amp;DATE(2026,6,1),' Monthly Report June-26'!$X:$X,"&lt;="&amp;DATE(2026,6,30))</f>
        <v/>
      </c>
      <c r="J57" s="115">
        <f>I57/$I$60</f>
        <v/>
      </c>
    </row>
    <row r="58">
      <c r="A58" s="127" t="n">
        <v>46192</v>
      </c>
      <c r="B58" s="114">
        <f>COUNTIF(' Monthly Report June-26'!$Z:$Z,A58)</f>
        <v/>
      </c>
      <c r="C58" s="114">
        <f>COUNTIFS(' Monthly Report June-26'!$X:X,A58,' Monthly Report June-26'!F:F,"Closed")</f>
        <v/>
      </c>
      <c r="D58" s="104">
        <f>COUNTIFS(' Monthly Report June-26'!$Z:$Z,A58,' Monthly Report June-26'!F:F,"WIP")</f>
        <v/>
      </c>
      <c r="H58" s="130" t="inlineStr">
        <is>
          <t>16 - 30 days</t>
        </is>
      </c>
      <c r="I58" s="114">
        <f>COUNTIFS(' Monthly Report June-26'!$Y:$Y,"&gt;=16",' Monthly Report June-26'!$Y:$Y,"&lt;=30",' Monthly Report June-26'!$F:$F,"Closed",' Monthly Report June-26'!$X:$X,"&gt;="&amp;DATE(2026,6,1),' Monthly Report June-26'!$X:$X,"&lt;="&amp;DATE(2026,6,30))</f>
        <v/>
      </c>
      <c r="J58" s="115">
        <f>I58/$I$60</f>
        <v/>
      </c>
    </row>
    <row r="59">
      <c r="A59" s="127" t="n">
        <v>46193</v>
      </c>
      <c r="B59" s="114">
        <f>COUNTIF(' Monthly Report June-26'!$Z:$Z,A59)</f>
        <v/>
      </c>
      <c r="C59" s="114">
        <f>COUNTIFS(' Monthly Report June-26'!$X:X,A59,' Monthly Report June-26'!F:F,"Closed")</f>
        <v/>
      </c>
      <c r="D59" s="104">
        <f>COUNTIFS(' Monthly Report June-26'!$Z:$Z,A59,' Monthly Report June-26'!F:F,"WIP")</f>
        <v/>
      </c>
      <c r="H59" s="130" t="inlineStr">
        <is>
          <t>&gt; 30 days</t>
        </is>
      </c>
      <c r="I59" s="114">
        <f>COUNTIFS(' Monthly Report June-26'!$Y:$Y,"&lt;=30",' Monthly Report June-26'!$F:$F,"Closed",' Monthly Report June-26'!$X:$X,"&gt;="&amp;DATE(2026,6,1),' Monthly Report June-26'!$X:$X,"&lt;="&amp;DATE(2026,6,30))</f>
        <v/>
      </c>
      <c r="J59" s="115">
        <f>I59/$I$60</f>
        <v/>
      </c>
    </row>
    <row r="60" ht="15" customHeight="1" thickBot="1">
      <c r="A60" s="127" t="n">
        <v>46194</v>
      </c>
      <c r="B60" s="114">
        <f>COUNTIF(' Monthly Report June-26'!$Z:$Z,A60)</f>
        <v/>
      </c>
      <c r="C60" s="114">
        <f>COUNTIFS(' Monthly Report June-26'!$X:X,A60,' Monthly Report June-26'!F:F,"Closed")</f>
        <v/>
      </c>
      <c r="D60" s="104">
        <f>COUNTIFS(' Monthly Report June-26'!$Z:$Z,A60,' Monthly Report June-26'!F:F,"WIP")</f>
        <v/>
      </c>
      <c r="H60" s="119" t="inlineStr">
        <is>
          <t>TOTAL</t>
        </is>
      </c>
      <c r="I60" s="120">
        <f>SUM(I55:I59)</f>
        <v/>
      </c>
      <c r="J60" s="121">
        <f>SUM(J55:J59)</f>
        <v/>
      </c>
    </row>
    <row r="61">
      <c r="A61" s="127" t="n">
        <v>46195</v>
      </c>
      <c r="B61" s="114">
        <f>COUNTIF(' Monthly Report June-26'!$Z:$Z,A61)</f>
        <v/>
      </c>
      <c r="C61" s="114">
        <f>COUNTIFS(' Monthly Report June-26'!$X:X,A61,' Monthly Report June-26'!F:F,"Closed")</f>
        <v/>
      </c>
      <c r="D61" s="104">
        <f>COUNTIFS(' Monthly Report June-26'!$Z:$Z,A61,' Monthly Report June-26'!F:F,"WIP")</f>
        <v/>
      </c>
      <c r="H61" s="98" t="inlineStr">
        <is>
          <t>Avg TAT (days)</t>
        </is>
      </c>
      <c r="I61" s="131">
        <f>ROUND(AVERAGEIFS(' Monthly Report June-26'!$Y:$Y,' Monthly Report June-26'!$Y:$Y,"&gt;=0",' Monthly Report June-26'!$F:$F,"Closed",' Monthly Report June-26'!$X:$X,"&gt;="&amp;DATE(2026,6,1),' Monthly Report June-26'!X:X,"&lt;="&amp;DATE(2026,6,30)),1)</f>
        <v/>
      </c>
    </row>
    <row r="62">
      <c r="A62" s="127" t="n">
        <v>46196</v>
      </c>
      <c r="B62" s="114">
        <f>COUNTIF(' Monthly Report June-26'!$Z:$Z,A62)</f>
        <v/>
      </c>
      <c r="C62" s="114">
        <f>COUNTIFS(' Monthly Report June-26'!$X:X,A62,' Monthly Report June-26'!F:F,"Closed")</f>
        <v/>
      </c>
      <c r="D62" s="104">
        <f>COUNTIFS(' Monthly Report June-26'!$Z:$Z,A62,' Monthly Report June-26'!F:F,"WIP")</f>
        <v/>
      </c>
    </row>
    <row r="63">
      <c r="A63" s="127" t="n">
        <v>46197</v>
      </c>
      <c r="B63" s="114">
        <f>COUNTIF(' Monthly Report June-26'!$Z:$Z,A63)</f>
        <v/>
      </c>
      <c r="C63" s="114">
        <f>COUNTIFS(' Monthly Report June-26'!$X:X,A63,' Monthly Report June-26'!F:F,"Closed")</f>
        <v/>
      </c>
      <c r="D63" s="104">
        <f>COUNTIFS(' Monthly Report June-26'!$Z:$Z,A63,' Monthly Report June-26'!F:F,"WIP")</f>
        <v/>
      </c>
    </row>
    <row r="64">
      <c r="A64" s="127" t="n">
        <v>46198</v>
      </c>
      <c r="B64" s="114">
        <f>COUNTIF(' Monthly Report June-26'!$Z:$Z,A64)</f>
        <v/>
      </c>
      <c r="C64" s="114">
        <f>COUNTIFS(' Monthly Report June-26'!$X:X,A64,' Monthly Report June-26'!F:F,"Closed")</f>
        <v/>
      </c>
      <c r="D64" s="104">
        <f>COUNTIFS(' Monthly Report June-26'!$Z:$Z,A64,' Monthly Report June-26'!F:F,"WIP")</f>
        <v/>
      </c>
    </row>
    <row r="65">
      <c r="A65" s="127" t="n">
        <v>46199</v>
      </c>
      <c r="B65" s="114">
        <f>COUNTIF(' Monthly Report June-26'!$Z:$Z,A65)</f>
        <v/>
      </c>
      <c r="C65" s="114">
        <f>COUNTIFS(' Monthly Report June-26'!$X:X,A65,' Monthly Report June-26'!F:F,"Closed")</f>
        <v/>
      </c>
      <c r="D65" s="104">
        <f>COUNTIFS(' Monthly Report June-26'!$Z:$Z,A65,' Monthly Report June-26'!F:F,"WIP")</f>
        <v/>
      </c>
    </row>
    <row r="66">
      <c r="A66" s="127" t="n">
        <v>46200</v>
      </c>
      <c r="B66" s="114">
        <f>COUNTIF(' Monthly Report June-26'!$Z:$Z,A66)</f>
        <v/>
      </c>
      <c r="C66" s="114">
        <f>COUNTIFS(' Monthly Report June-26'!$X:X,A66,' Monthly Report June-26'!F:F,"Closed")</f>
        <v/>
      </c>
      <c r="D66" s="104">
        <f>COUNTIFS(' Monthly Report June-26'!$Z:$Z,A66,' Monthly Report June-26'!F:F,"WIP")</f>
        <v/>
      </c>
    </row>
    <row r="67">
      <c r="A67" s="127" t="n">
        <v>46201</v>
      </c>
      <c r="B67" s="114">
        <f>COUNTIF(' Monthly Report June-26'!$Z:$Z,A67)</f>
        <v/>
      </c>
      <c r="C67" s="114">
        <f>COUNTIFS(' Monthly Report June-26'!$X:X,A67,' Monthly Report June-26'!F:F,"Closed")</f>
        <v/>
      </c>
      <c r="D67" s="104">
        <f>COUNTIFS(' Monthly Report June-26'!$Z:$Z,A67,' Monthly Report June-26'!F:F,"WIP")</f>
        <v/>
      </c>
    </row>
    <row r="68">
      <c r="A68" s="127" t="n">
        <v>46202</v>
      </c>
      <c r="B68" s="114">
        <f>COUNTIF(' Monthly Report June-26'!$Z:$Z,A68)</f>
        <v/>
      </c>
      <c r="C68" s="114">
        <f>COUNTIFS(' Monthly Report June-26'!$X:X,A68,' Monthly Report June-26'!F:F,"Closed")</f>
        <v/>
      </c>
      <c r="D68" s="104">
        <f>COUNTIFS(' Monthly Report June-26'!$Z:$Z,A68,' Monthly Report June-26'!F:F,"WIP")</f>
        <v/>
      </c>
    </row>
    <row r="69" ht="15" customHeight="1" thickBot="1">
      <c r="A69" s="132" t="n">
        <v>46203</v>
      </c>
      <c r="B69" s="107">
        <f>COUNTIF(' Monthly Report June-26'!$Z:$Z,A69)</f>
        <v/>
      </c>
      <c r="C69" s="107">
        <f>COUNTIFS(' Monthly Report June-26'!$X:X,A69,' Monthly Report June-26'!F:F,"Closed")</f>
        <v/>
      </c>
      <c r="D69" s="109">
        <f>COUNTIFS(' Monthly Report June-26'!$Z:$Z,A69,' Monthly Report June-26'!F:F,"WIP")</f>
        <v/>
      </c>
    </row>
    <row r="70">
      <c r="A70" s="142" t="n"/>
      <c r="B70" s="114" t="n"/>
      <c r="C70" s="114" t="n"/>
      <c r="D70" s="114" t="n"/>
    </row>
    <row r="71"/>
    <row r="72" ht="16.5" customHeight="1" thickBot="1">
      <c r="A72" s="177" t="inlineStr">
        <is>
          <t>MODULE TYPE DEFECT ANALYSIS - JAN 2026</t>
        </is>
      </c>
    </row>
    <row r="73">
      <c r="A73" s="133" t="inlineStr">
        <is>
          <t>Defect Type (Our Evaluation)</t>
        </is>
      </c>
      <c r="B73" s="134" t="inlineStr">
        <is>
          <t>G2B</t>
        </is>
      </c>
      <c r="C73" s="134" t="inlineStr">
        <is>
          <t>G2TB</t>
        </is>
      </c>
      <c r="D73" s="134" t="inlineStr">
        <is>
          <t>G2G</t>
        </is>
      </c>
      <c r="E73" s="135" t="inlineStr">
        <is>
          <t>Grand Total</t>
        </is>
      </c>
    </row>
    <row r="74">
      <c r="A74" s="147" t="inlineStr">
        <is>
          <t>Cold Soldering</t>
        </is>
      </c>
      <c r="B74" s="148">
        <f>COUNTIFS(' Monthly Report June-26'!$N:$N,A74,' Monthly Report June-26'!$S:$S,B$73,' Monthly Report June-26'!$AE:$AE,"Closed in June")</f>
        <v/>
      </c>
      <c r="C74" s="148">
        <f>COUNTIFS(' Monthly Report June-26'!$N:$N,$A74,' Monthly Report June-26'!$S:$S,C$73,' Monthly Report June-26'!$AE:$AE,"Closed in June")</f>
        <v/>
      </c>
      <c r="D74" s="148">
        <f>COUNTIFS(' Monthly Report June-26'!$N:$N,$A74,' Monthly Report June-26'!$S:$S,D$73,' Monthly Report June-26'!$AE:$AE,"Closed in June")</f>
        <v/>
      </c>
      <c r="E74" s="149">
        <f>SUM(B74:D74)</f>
        <v/>
      </c>
    </row>
    <row r="75">
      <c r="A75" s="150" t="inlineStr">
        <is>
          <t>JB Issue</t>
        </is>
      </c>
      <c r="B75" s="148">
        <f>COUNTIFS(' Monthly Report June-26'!$N:$N,A75,' Monthly Report June-26'!$S:$S,B$73,' Monthly Report June-26'!$AE:$AE,"Closed in June")</f>
        <v/>
      </c>
      <c r="C75" s="148">
        <f>COUNTIFS(' Monthly Report June-26'!$N:$N,$A75,' Monthly Report June-26'!$S:$S,C$73,' Monthly Report June-26'!$AE:$AE,"Closed in June")</f>
        <v/>
      </c>
      <c r="D75" s="148">
        <f>COUNTIFS(' Monthly Report June-26'!$N:$N,$A75,' Monthly Report June-26'!$S:$S,D$73,' Monthly Report June-26'!$AE:$AE,"Closed in June")</f>
        <v/>
      </c>
      <c r="E75" s="149">
        <f>SUM(B75:D75)</f>
        <v/>
      </c>
    </row>
    <row r="76">
      <c r="A76" s="147" t="inlineStr">
        <is>
          <t>No Issue Found</t>
        </is>
      </c>
      <c r="B76" s="148">
        <f>COUNTIFS(' Monthly Report June-26'!$N:$N,A76,' Monthly Report June-26'!$S:$S,B$73,' Monthly Report June-26'!$AE:$AE,"Closed in June")</f>
        <v/>
      </c>
      <c r="C76" s="148">
        <f>COUNTIFS(' Monthly Report June-26'!$N:$N,$A76,' Monthly Report June-26'!$S:$S,C$73,' Monthly Report June-26'!$AE:$AE,"Closed in June")</f>
        <v/>
      </c>
      <c r="D76" s="148">
        <f>COUNTIFS(' Monthly Report June-26'!$N:$N,$A76,' Monthly Report June-26'!$S:$S,D$73,' Monthly Report June-26'!$AE:$AE,"Closed in June")</f>
        <v/>
      </c>
      <c r="E76" s="149">
        <f>SUM(B76:D76)</f>
        <v/>
      </c>
    </row>
    <row r="77">
      <c r="A77" s="147" t="inlineStr">
        <is>
          <t>Natural Disaster</t>
        </is>
      </c>
      <c r="B77" s="148">
        <f>COUNTIFS(' Monthly Report June-26'!$N:$N,A77,' Monthly Report June-26'!$S:$S,B$73,' Monthly Report June-26'!$AE:$AE,"Closed in June")</f>
        <v/>
      </c>
      <c r="C77" s="148">
        <f>COUNTIFS(' Monthly Report June-26'!$N:$N,$A77,' Monthly Report June-26'!$S:$S,C$73,' Monthly Report June-26'!$AE:$AE,"Closed in June")</f>
        <v/>
      </c>
      <c r="D77" s="148">
        <f>COUNTIFS(' Monthly Report June-26'!$N:$N,$A77,' Monthly Report June-26'!$S:$S,D$73,' Monthly Report June-26'!$AE:$AE,"Closed in June")</f>
        <v/>
      </c>
      <c r="E77" s="149">
        <f>SUM(B77:D77)</f>
        <v/>
      </c>
    </row>
    <row r="78">
      <c r="A78" s="150" t="inlineStr">
        <is>
          <t>Module Burn</t>
        </is>
      </c>
      <c r="B78" s="148">
        <f>COUNTIFS(' Monthly Report June-26'!$N:$N,A78,' Monthly Report June-26'!$S:$S,B$73,' Monthly Report June-26'!$AE:$AE,"Closed in June")</f>
        <v/>
      </c>
      <c r="C78" s="148">
        <f>COUNTIFS(' Monthly Report June-26'!$N:$N,$A78,' Monthly Report June-26'!$S:$S,C$73,' Monthly Report June-26'!$AE:$AE,"Closed in June")</f>
        <v/>
      </c>
      <c r="D78" s="148">
        <f>COUNTIFS(' Monthly Report June-26'!$N:$N,$A78,' Monthly Report June-26'!$S:$S,D$73,' Monthly Report June-26'!$AE:$AE,"Closed in June")</f>
        <v/>
      </c>
      <c r="E78" s="149">
        <f>SUM(B78:D78)</f>
        <v/>
      </c>
    </row>
    <row r="79">
      <c r="A79" s="147" t="inlineStr">
        <is>
          <t>Improper or poor soldering</t>
        </is>
      </c>
      <c r="B79" s="148">
        <f>COUNTIFS(' Monthly Report June-26'!$N:$N,A79,' Monthly Report June-26'!$S:$S,B$73,' Monthly Report June-26'!$AE:$AE,"Closed in June")</f>
        <v/>
      </c>
      <c r="C79" s="148">
        <f>COUNTIFS(' Monthly Report June-26'!$N:$N,$A79,' Monthly Report June-26'!$S:$S,C$73,' Monthly Report June-26'!$AE:$AE,"Closed in June")</f>
        <v/>
      </c>
      <c r="D79" s="148">
        <f>COUNTIFS(' Monthly Report June-26'!$N:$N,$A79,' Monthly Report June-26'!$S:$S,D$73,' Monthly Report June-26'!$AE:$AE,"Closed in June")</f>
        <v/>
      </c>
      <c r="E79" s="149">
        <f>SUM(B79:D79)</f>
        <v/>
      </c>
    </row>
    <row r="80">
      <c r="A80" s="147" t="inlineStr">
        <is>
          <t xml:space="preserve">SUB STRING SHORT CIRCUIT </t>
        </is>
      </c>
      <c r="B80" s="148">
        <f>COUNTIFS(' Monthly Report June-26'!$N:$N,A80,' Monthly Report June-26'!$S:$S,B$73,' Monthly Report June-26'!$AE:$AE,"Closed in June")</f>
        <v/>
      </c>
      <c r="C80" s="148">
        <f>COUNTIFS(' Monthly Report June-26'!$N:$N,$A80,' Monthly Report June-26'!$S:$S,C$73,' Monthly Report June-26'!$AE:$AE,"Closed in June")</f>
        <v/>
      </c>
      <c r="D80" s="148">
        <f>COUNTIFS(' Monthly Report June-26'!$N:$N,$A80,' Monthly Report June-26'!$S:$S,D$73,' Monthly Report June-26'!$AE:$AE,"Closed in June")</f>
        <v/>
      </c>
      <c r="E80" s="149">
        <f>SUM(B80:D80)</f>
        <v/>
      </c>
    </row>
    <row r="81">
      <c r="A81" s="150" t="inlineStr">
        <is>
          <t>Module Breakage</t>
        </is>
      </c>
      <c r="B81" s="148">
        <f>COUNTIFS(' Monthly Report June-26'!$N:$N,A81,' Monthly Report June-26'!$S:$S,B$73,' Monthly Report June-26'!$AE:$AE,"Closed in June")</f>
        <v/>
      </c>
      <c r="C81" s="148">
        <f>COUNTIFS(' Monthly Report June-26'!$N:$N,$A81,' Monthly Report June-26'!$S:$S,C$73,' Monthly Report June-26'!$AE:$AE,"Closed in June")</f>
        <v/>
      </c>
      <c r="D81" s="148">
        <f>COUNTIFS(' Monthly Report June-26'!$N:$N,$A81,' Monthly Report June-26'!$S:$S,D$73,' Monthly Report June-26'!$AE:$AE,"Closed in June")</f>
        <v/>
      </c>
      <c r="E81" s="149">
        <f>SUM(B81:D81)</f>
        <v/>
      </c>
    </row>
    <row r="82">
      <c r="A82" s="150" t="inlineStr">
        <is>
          <t>Glass Breakage with Burn Spot</t>
        </is>
      </c>
      <c r="B82" s="148">
        <f>COUNTIFS(' Monthly Report June-26'!$N:$N,A82,' Monthly Report June-26'!$S:$S,B$73,' Monthly Report June-26'!$AE:$AE,"Closed in June")</f>
        <v/>
      </c>
      <c r="C82" s="148">
        <f>COUNTIFS(' Monthly Report June-26'!$N:$N,$A82,' Monthly Report June-26'!$S:$S,C$73,' Monthly Report June-26'!$AE:$AE,"Closed in June")</f>
        <v/>
      </c>
      <c r="D82" s="148">
        <f>COUNTIFS(' Monthly Report June-26'!$N:$N,$A82,' Monthly Report June-26'!$S:$S,D$73,' Monthly Report June-26'!$AE:$AE,"Closed in June")</f>
        <v/>
      </c>
      <c r="E82" s="149">
        <f>SUM(B82:D82)</f>
        <v/>
      </c>
    </row>
    <row r="83" hidden="1">
      <c r="A83" s="150" t="inlineStr">
        <is>
          <t>JB tampered &amp; Glass Breakage</t>
        </is>
      </c>
      <c r="B83" s="148">
        <f>COUNTIFS(' Monthly Report June-26'!$N:$N,A83,' Monthly Report June-26'!$S:$S,B$73,' Monthly Report June-26'!$AE:$AE,"Closed in June")</f>
        <v/>
      </c>
      <c r="C83" s="148">
        <f>COUNTIFS(' Monthly Report June-26'!$N:$N,$A83,' Monthly Report June-26'!$S:$S,C$73,' Monthly Report June-26'!$AE:$AE,"Closed in June")</f>
        <v/>
      </c>
      <c r="D83" s="148">
        <f>COUNTIFS(' Monthly Report June-26'!$N:$N,$A83,' Monthly Report June-26'!$S:$S,D$73,' Monthly Report June-26'!$AE:$AE,"Closed in June")</f>
        <v/>
      </c>
      <c r="E83" s="149">
        <f>SUM(B83:D83)</f>
        <v/>
      </c>
    </row>
    <row r="84" hidden="1">
      <c r="A84" s="147" t="inlineStr">
        <is>
          <t>Frame damage</t>
        </is>
      </c>
      <c r="B84" s="148">
        <f>COUNTIFS(' Monthly Report June-26'!$N:$N,A84,' Monthly Report June-26'!$S:$S,B$73,' Monthly Report June-26'!$AE:$AE,"Closed in June")</f>
        <v/>
      </c>
      <c r="C84" s="148">
        <f>COUNTIFS(' Monthly Report June-26'!$N:$N,$A84,' Monthly Report June-26'!$S:$S,C$73,' Monthly Report June-26'!$AE:$AE,"Closed in June")</f>
        <v/>
      </c>
      <c r="D84" s="148">
        <f>COUNTIFS(' Monthly Report June-26'!$N:$N,$A84,' Monthly Report June-26'!$S:$S,D$73,' Monthly Report June-26'!$AE:$AE,"Closed in June")</f>
        <v/>
      </c>
      <c r="E84" s="149">
        <f>SUM(B84:D84)</f>
        <v/>
      </c>
    </row>
    <row r="85" hidden="1">
      <c r="A85" s="150" t="inlineStr">
        <is>
          <t>Module Breakage &amp; Burn</t>
        </is>
      </c>
      <c r="B85" s="148">
        <f>COUNTIFS(' Monthly Report June-26'!$N:$N,A85,' Monthly Report June-26'!$S:$S,B$73,' Monthly Report June-26'!$AE:$AE,"Closed in June")</f>
        <v/>
      </c>
      <c r="C85" s="148">
        <f>COUNTIFS(' Monthly Report June-26'!$N:$N,$A85,' Monthly Report June-26'!$S:$S,C$73,' Monthly Report June-26'!$AE:$AE,"Closed in June")</f>
        <v/>
      </c>
      <c r="D85" s="148">
        <f>COUNTIFS(' Monthly Report June-26'!$N:$N,$A85,' Monthly Report June-26'!$S:$S,D$73,' Monthly Report June-26'!$AE:$AE,"Closed in June")</f>
        <v/>
      </c>
      <c r="E85" s="149">
        <f>SUM(B85:D85)</f>
        <v/>
      </c>
    </row>
    <row r="86" hidden="1">
      <c r="A86" s="147" t="inlineStr">
        <is>
          <t>Tab lead Burn</t>
        </is>
      </c>
      <c r="B86" s="148">
        <f>COUNTIFS(' Monthly Report June-26'!$N:$N,A86,' Monthly Report June-26'!$S:$S,B$73,' Monthly Report June-26'!$AE:$AE,"Closed in June")</f>
        <v/>
      </c>
      <c r="C86" s="148">
        <f>COUNTIFS(' Monthly Report June-26'!$N:$N,$A86,' Monthly Report June-26'!$S:$S,C$73,' Monthly Report June-26'!$AE:$AE,"Closed in June")</f>
        <v/>
      </c>
      <c r="D86" s="148">
        <f>COUNTIFS(' Monthly Report June-26'!$N:$N,$A86,' Monthly Report June-26'!$S:$S,D$73,' Monthly Report June-26'!$AE:$AE,"Closed in June")</f>
        <v/>
      </c>
      <c r="E86" s="149">
        <f>SUM(B86:D86)</f>
        <v/>
      </c>
    </row>
    <row r="87" hidden="1">
      <c r="A87" s="151" t="inlineStr">
        <is>
          <t>JB &amp; Cable Damege</t>
        </is>
      </c>
      <c r="B87" s="148">
        <f>COUNTIFS(' Monthly Report June-26'!$N:$N,A87,' Monthly Report June-26'!$S:$S,B$73,' Monthly Report June-26'!$AE:$AE,"Closed in June")</f>
        <v/>
      </c>
      <c r="C87" s="148">
        <f>COUNTIFS(' Monthly Report June-26'!$N:$N,$A87,' Monthly Report June-26'!$S:$S,C$73,' Monthly Report June-26'!$AE:$AE,"Closed in June")</f>
        <v/>
      </c>
      <c r="D87" s="148">
        <f>COUNTIFS(' Monthly Report June-26'!$N:$N,$A87,' Monthly Report June-26'!$S:$S,D$73,' Monthly Report June-26'!$AE:$AE,"Closed in June")</f>
        <v/>
      </c>
      <c r="E87" s="149">
        <f>SUM(B87:D87)</f>
        <v/>
      </c>
    </row>
    <row r="88" hidden="1">
      <c r="A88" s="152" t="inlineStr">
        <is>
          <t>Hotspot</t>
        </is>
      </c>
      <c r="B88" s="148">
        <f>COUNTIFS(' Monthly Report June-26'!$N:$N,A88,' Monthly Report June-26'!$S:$S,B$73,' Monthly Report June-26'!$AE:$AE,"Closed in June")</f>
        <v/>
      </c>
      <c r="C88" s="148">
        <f>COUNTIFS(' Monthly Report June-26'!$N:$N,$A88,' Monthly Report June-26'!$S:$S,C$73,' Monthly Report June-26'!$AE:$AE,"Closed in June")</f>
        <v/>
      </c>
      <c r="D88" s="148">
        <f>COUNTIFS(' Monthly Report June-26'!$N:$N,$A88,' Monthly Report June-26'!$S:$S,D$73,' Monthly Report June-26'!$AE:$AE,"Closed in June")</f>
        <v/>
      </c>
      <c r="E88" s="149">
        <f>SUM(B88:D88)</f>
        <v/>
      </c>
    </row>
    <row r="89" hidden="1">
      <c r="A89" s="152" t="inlineStr">
        <is>
          <t>Broken Module</t>
        </is>
      </c>
      <c r="B89" s="148">
        <f>COUNTIFS(' Monthly Report June-26'!$N:$N,A89,' Monthly Report June-26'!$S:$S,B$73,' Monthly Report June-26'!$AE:$AE,"Closed in June")</f>
        <v/>
      </c>
      <c r="C89" s="148">
        <f>COUNTIFS(' Monthly Report June-26'!$N:$N,$A89,' Monthly Report June-26'!$S:$S,C$73,' Monthly Report June-26'!$AE:$AE,"Closed in June")</f>
        <v/>
      </c>
      <c r="D89" s="148">
        <f>COUNTIFS(' Monthly Report June-26'!$N:$N,$A89,' Monthly Report June-26'!$S:$S,D$73,' Monthly Report June-26'!$AE:$AE,"Closed in June")</f>
        <v/>
      </c>
      <c r="E89" s="149">
        <f>SUM(B89:D89)</f>
        <v/>
      </c>
    </row>
    <row r="90">
      <c r="A90" s="150" t="inlineStr">
        <is>
          <t>JB tampered &amp; Glass Breakage</t>
        </is>
      </c>
      <c r="B90" s="148">
        <f>COUNTIFS(' Monthly Report June-26'!$N:$N,A90,' Monthly Report June-26'!$S:$S,B$73,' Monthly Report June-26'!$AE:$AE,"Closed in June")</f>
        <v/>
      </c>
      <c r="C90" s="148">
        <f>COUNTIFS(' Monthly Report June-26'!$N:$N,$A90,' Monthly Report June-26'!$S:$S,C$73,' Monthly Report June-26'!$AE:$AE,"Closed in June")</f>
        <v/>
      </c>
      <c r="D90" s="148">
        <f>COUNTIFS(' Monthly Report June-26'!$N:$N,$A90,' Monthly Report June-26'!$S:$S,D$73,' Monthly Report June-26'!$AE:$AE,"Closed in June")</f>
        <v/>
      </c>
      <c r="E90" s="149">
        <f>SUM(B90:D90)</f>
        <v/>
      </c>
    </row>
    <row r="91">
      <c r="A91" s="147" t="inlineStr">
        <is>
          <t>Frame damage</t>
        </is>
      </c>
      <c r="B91" s="148">
        <f>COUNTIFS(' Monthly Report June-26'!$N:$N,A91,' Monthly Report June-26'!$S:$S,B$73,' Monthly Report June-26'!$AE:$AE,"Closed in June")</f>
        <v/>
      </c>
      <c r="C91" s="148">
        <f>COUNTIFS(' Monthly Report June-26'!$N:$N,$A91,' Monthly Report June-26'!$S:$S,C$73,' Monthly Report June-26'!$AE:$AE,"Closed in June")</f>
        <v/>
      </c>
      <c r="D91" s="148">
        <f>COUNTIFS(' Monthly Report June-26'!$N:$N,$A91,' Monthly Report June-26'!$S:$S,D$73,' Monthly Report June-26'!$AE:$AE,"Closed in June")</f>
        <v/>
      </c>
      <c r="E91" s="149">
        <f>SUM(B91:D91)</f>
        <v/>
      </c>
    </row>
    <row r="92">
      <c r="A92" s="150" t="inlineStr">
        <is>
          <t>Module Breakage &amp; Burn</t>
        </is>
      </c>
      <c r="B92" s="148">
        <f>COUNTIFS(' Monthly Report June-26'!$N:$N,A92,' Monthly Report June-26'!$S:$S,B$73,' Monthly Report June-26'!$AE:$AE,"Closed in June")</f>
        <v/>
      </c>
      <c r="C92" s="148">
        <f>COUNTIFS(' Monthly Report June-26'!$N:$N,$A92,' Monthly Report June-26'!$S:$S,C$73,' Monthly Report June-26'!$AE:$AE,"Closed in June")</f>
        <v/>
      </c>
      <c r="D92" s="148">
        <f>COUNTIFS(' Monthly Report June-26'!$N:$N,$A92,' Monthly Report June-26'!$S:$S,D$73,' Monthly Report June-26'!$AE:$AE,"Closed in June")</f>
        <v/>
      </c>
      <c r="E92" s="149">
        <f>SUM(B92:D92)</f>
        <v/>
      </c>
    </row>
    <row r="93">
      <c r="A93" s="147" t="inlineStr">
        <is>
          <t>Tab lead Burn</t>
        </is>
      </c>
      <c r="B93" s="148">
        <f>COUNTIFS(' Monthly Report June-26'!$N:$N,A93,' Monthly Report June-26'!$S:$S,B$73,' Monthly Report June-26'!$AE:$AE,"Closed in June")</f>
        <v/>
      </c>
      <c r="C93" s="148">
        <f>COUNTIFS(' Monthly Report June-26'!$N:$N,$A93,' Monthly Report June-26'!$S:$S,C$73,' Monthly Report June-26'!$AE:$AE,"Closed in June")</f>
        <v/>
      </c>
      <c r="D93" s="148">
        <f>COUNTIFS(' Monthly Report June-26'!$N:$N,$A93,' Monthly Report June-26'!$S:$S,D$73,' Monthly Report June-26'!$AE:$AE,"Closed in June")</f>
        <v/>
      </c>
      <c r="E93" s="149">
        <f>SUM(B93:D93)</f>
        <v/>
      </c>
    </row>
    <row r="94" ht="15" customHeight="1" thickBot="1">
      <c r="A94" s="151" t="inlineStr">
        <is>
          <t>JB &amp; Cable Damege</t>
        </is>
      </c>
      <c r="B94" s="148">
        <f>COUNTIFS(' Monthly Report June-26'!$N:$N,A94,' Monthly Report June-26'!$S:$S,B$73,' Monthly Report June-26'!$AE:$AE,"Closed in June")</f>
        <v/>
      </c>
      <c r="C94" s="148">
        <f>COUNTIFS(' Monthly Report June-26'!$N:$N,$A94,' Monthly Report June-26'!$S:$S,C$73,' Monthly Report June-26'!$AE:$AE,"Closed in June")</f>
        <v/>
      </c>
      <c r="D94" s="148">
        <f>COUNTIFS(' Monthly Report June-26'!$N:$N,$A94,' Monthly Report June-26'!$S:$S,D$73,' Monthly Report June-26'!$AE:$AE,"Closed in June")</f>
        <v/>
      </c>
      <c r="E94" s="149">
        <f>SUM(B94:D94)</f>
        <v/>
      </c>
    </row>
    <row r="95" ht="15" customHeight="1" thickBot="1">
      <c r="A95" s="153" t="inlineStr">
        <is>
          <t>Grand Total</t>
        </is>
      </c>
      <c r="B95" s="154">
        <f>SUM(B74:B88)</f>
        <v/>
      </c>
      <c r="C95" s="154">
        <f>SUM(C74:C88)</f>
        <v/>
      </c>
      <c r="D95" s="154">
        <f>SUM(D74:D88)</f>
        <v/>
      </c>
      <c r="E95" s="155">
        <f>SUM(E74:E89)</f>
        <v/>
      </c>
    </row>
    <row r="96"/>
    <row r="97"/>
    <row r="98"/>
    <row r="99"/>
    <row r="100"/>
    <row r="101"/>
    <row r="102">
      <c r="E102" t="inlineStr">
        <is>
          <t> </t>
        </is>
      </c>
    </row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</sheetData>
  <mergeCells count="8">
    <mergeCell ref="A8:D8"/>
    <mergeCell ref="A72:E72"/>
    <mergeCell ref="A38:D38"/>
    <mergeCell ref="A1:I2"/>
    <mergeCell ref="B4:G4"/>
    <mergeCell ref="H34:J34"/>
    <mergeCell ref="H17:J17"/>
    <mergeCell ref="A17:E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D24" sqref="D24"/>
    </sheetView>
  </sheetViews>
  <sheetFormatPr baseColWidth="8" defaultRowHeight="14.5"/>
  <cols>
    <col width="19.453125" bestFit="1" customWidth="1" min="16" max="16"/>
  </cols>
  <sheetData>
    <row r="1">
      <c r="A1" s="67" t="n"/>
      <c r="F1" s="8" t="inlineStr">
        <is>
          <t>Continuum</t>
        </is>
      </c>
      <c r="N1" s="67" t="inlineStr">
        <is>
          <t>Resolution Type</t>
        </is>
      </c>
      <c r="P1" s="67" t="inlineStr">
        <is>
          <t>Our Evaluation</t>
        </is>
      </c>
    </row>
    <row r="2">
      <c r="A2" s="8" t="n"/>
      <c r="F2" s="8" t="inlineStr">
        <is>
          <t>Yanara Power</t>
        </is>
      </c>
      <c r="J2" s="8" t="inlineStr">
        <is>
          <t>Gujarat</t>
        </is>
      </c>
      <c r="N2" s="1" t="inlineStr">
        <is>
          <t>Repair</t>
        </is>
      </c>
      <c r="P2" s="1" t="inlineStr">
        <is>
          <t>Cold Soldering</t>
        </is>
      </c>
    </row>
    <row r="3">
      <c r="A3" s="11" t="n"/>
      <c r="F3" s="8" t="inlineStr">
        <is>
          <t>Shakti Pump</t>
        </is>
      </c>
      <c r="J3" s="11" t="inlineStr">
        <is>
          <t>Maharashtra</t>
        </is>
      </c>
      <c r="N3" s="6" t="inlineStr">
        <is>
          <t>WIP</t>
        </is>
      </c>
      <c r="P3" s="8" t="inlineStr">
        <is>
          <t>JB Issue</t>
        </is>
      </c>
    </row>
    <row r="4">
      <c r="A4" s="8" t="n"/>
      <c r="F4" s="8" t="inlineStr">
        <is>
          <t>Baidyanath Power</t>
        </is>
      </c>
      <c r="J4" s="8" t="inlineStr">
        <is>
          <t>Karnataka</t>
        </is>
      </c>
      <c r="N4" s="1" t="inlineStr">
        <is>
          <t>CN</t>
        </is>
      </c>
      <c r="P4" s="2" t="inlineStr">
        <is>
          <t>No Issue Found</t>
        </is>
      </c>
    </row>
    <row r="5">
      <c r="A5" s="8" t="n"/>
      <c r="F5" s="8" t="inlineStr">
        <is>
          <t>Solar Square</t>
        </is>
      </c>
      <c r="J5" s="8" t="inlineStr">
        <is>
          <t>MP</t>
        </is>
      </c>
      <c r="N5" s="2" t="inlineStr">
        <is>
          <t xml:space="preserve">MODULE  BURN  &amp; DAMAGE </t>
        </is>
      </c>
      <c r="P5" s="2" t="inlineStr">
        <is>
          <t>Natural Disaster</t>
        </is>
      </c>
    </row>
    <row r="6">
      <c r="A6" s="8" t="n"/>
      <c r="F6" s="8" t="inlineStr">
        <is>
          <t>Panasonic</t>
        </is>
      </c>
      <c r="J6" s="8" t="inlineStr">
        <is>
          <t>Kerala</t>
        </is>
      </c>
      <c r="N6" s="2" t="inlineStr">
        <is>
          <t>OK</t>
        </is>
      </c>
      <c r="P6" s="8" t="inlineStr">
        <is>
          <t>Module Burn</t>
        </is>
      </c>
    </row>
    <row r="7">
      <c r="A7" s="8" t="n"/>
      <c r="F7" s="8" t="inlineStr">
        <is>
          <t>Vashi</t>
        </is>
      </c>
      <c r="J7" s="8" t="inlineStr">
        <is>
          <t>Tamil Nadu</t>
        </is>
      </c>
      <c r="N7" s="2" t="inlineStr">
        <is>
          <t>POOR SOLDERING &amp; RIBBON BURN</t>
        </is>
      </c>
      <c r="P7" s="2" t="inlineStr">
        <is>
          <t>Improper or poor soldering</t>
        </is>
      </c>
    </row>
    <row r="8">
      <c r="A8" s="8" t="n"/>
      <c r="F8" s="11" t="inlineStr">
        <is>
          <t>Ayana</t>
        </is>
      </c>
      <c r="J8" s="8" t="inlineStr">
        <is>
          <t>Goa</t>
        </is>
      </c>
      <c r="N8" s="2" t="inlineStr">
        <is>
          <t>Inspection</t>
        </is>
      </c>
      <c r="P8" s="2" t="inlineStr">
        <is>
          <t xml:space="preserve">SUB STRING SHORT CIRCUIT </t>
        </is>
      </c>
    </row>
    <row r="9">
      <c r="F9" s="8" t="inlineStr">
        <is>
          <t>TRUE SUN TRADING COMPANY</t>
        </is>
      </c>
      <c r="N9" s="1" t="inlineStr">
        <is>
          <t>Rejected</t>
        </is>
      </c>
      <c r="P9" s="6" t="inlineStr">
        <is>
          <t>Module Breakage</t>
        </is>
      </c>
    </row>
    <row r="10">
      <c r="F10" s="8" t="inlineStr">
        <is>
          <t>Asian Fab Tec Ltd</t>
        </is>
      </c>
      <c r="N10" s="1" t="inlineStr">
        <is>
          <t>Replacement</t>
        </is>
      </c>
      <c r="P10" s="6" t="inlineStr">
        <is>
          <t>Glass Breakage with Burn Spot</t>
        </is>
      </c>
    </row>
    <row r="11">
      <c r="F11" s="28" t="inlineStr">
        <is>
          <t>Solaark Renewables Pvt. Ltd</t>
        </is>
      </c>
      <c r="P11" s="6" t="inlineStr">
        <is>
          <t>JB tampered &amp; Glass Breakage</t>
        </is>
      </c>
    </row>
    <row r="12">
      <c r="F12" s="8" t="inlineStr">
        <is>
          <t>First Energy</t>
        </is>
      </c>
      <c r="P12" s="2" t="inlineStr">
        <is>
          <t>Frame damage</t>
        </is>
      </c>
    </row>
    <row r="13">
      <c r="F13" s="8" t="inlineStr">
        <is>
          <t>Solaark</t>
        </is>
      </c>
      <c r="P13" s="6" t="inlineStr">
        <is>
          <t>Module Breakage &amp; Burn</t>
        </is>
      </c>
    </row>
    <row r="14">
      <c r="F14" s="2" t="inlineStr">
        <is>
          <t>Maharudra Agencies</t>
        </is>
      </c>
      <c r="P14" s="1" t="inlineStr">
        <is>
          <t>Tab lead Burn</t>
        </is>
      </c>
    </row>
    <row r="15">
      <c r="F15" s="8" t="inlineStr">
        <is>
          <t>Axitec Energy</t>
        </is>
      </c>
      <c r="P15" s="60" t="inlineStr">
        <is>
          <t>JB &amp; Cable Damege</t>
        </is>
      </c>
    </row>
    <row r="16">
      <c r="P16" s="18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80"/>
  <sheetViews>
    <sheetView showGridLines="0" zoomScale="80" zoomScaleNormal="80" workbookViewId="0">
      <selection activeCell="N6" sqref="N6:O6"/>
    </sheetView>
  </sheetViews>
  <sheetFormatPr baseColWidth="8" defaultRowHeight="14.5"/>
  <cols>
    <col width="3.54296875" customWidth="1" min="1" max="1"/>
    <col width="12.7265625" customWidth="1" min="2" max="19"/>
    <col width="12.81640625" customWidth="1" min="20" max="20"/>
    <col outlineLevel="1" width="0.1796875" customWidth="1" min="21" max="21"/>
    <col outlineLevel="1" width="17.81640625" customWidth="1" min="22" max="22"/>
    <col outlineLevel="1" width="0.1796875" customWidth="1" min="23" max="23"/>
    <col width="0.1796875" customWidth="1" min="24" max="25"/>
    <col width="28.54296875" customWidth="1" min="26" max="26"/>
  </cols>
  <sheetData>
    <row r="1">
      <c r="A1" s="156" t="n"/>
      <c r="B1" s="156" t="n"/>
      <c r="C1" s="156" t="n"/>
      <c r="D1" s="156" t="n"/>
      <c r="E1" s="156" t="n"/>
      <c r="F1" s="156" t="n"/>
      <c r="G1" s="156" t="n"/>
      <c r="H1" s="156" t="n"/>
      <c r="I1" s="156" t="n"/>
      <c r="J1" s="156" t="n"/>
      <c r="K1" s="156" t="n"/>
      <c r="L1" s="156" t="n"/>
      <c r="M1" s="156" t="n"/>
      <c r="N1" s="156" t="n"/>
      <c r="O1" s="156" t="n"/>
      <c r="P1" s="156" t="n"/>
      <c r="Q1" s="156" t="n"/>
      <c r="R1" s="156" t="n"/>
      <c r="S1" s="156" t="n"/>
      <c r="U1" s="157" t="inlineStr">
        <is>
          <t>CHART DATA (linked)</t>
        </is>
      </c>
      <c r="V1" s="158" t="n"/>
      <c r="W1" s="158" t="n"/>
      <c r="X1" s="159" t="n"/>
      <c r="Y1" s="159" t="n"/>
      <c r="Z1" s="159" t="n"/>
    </row>
    <row r="2" ht="42" customHeight="1">
      <c r="A2" s="156" t="n"/>
      <c r="B2" s="183" t="inlineStr">
        <is>
          <t>FIELD SERVICE DASHBOARD</t>
        </is>
      </c>
      <c r="S2" s="156" t="n"/>
      <c r="T2" s="160" t="n"/>
      <c r="U2" s="158" t="n"/>
      <c r="V2" s="158" t="n"/>
      <c r="W2" s="158" t="n"/>
      <c r="X2" s="159" t="n"/>
      <c r="Y2" s="159" t="n"/>
      <c r="Z2" s="159" t="n"/>
    </row>
    <row r="3" ht="22" customHeight="1">
      <c r="A3" s="156" t="n"/>
      <c r="B3" s="184" t="inlineStr">
        <is>
          <t>June 2026  •  Solar Module Complaints &amp; Defect Analysis</t>
        </is>
      </c>
      <c r="S3" s="156" t="n"/>
      <c r="T3" s="161" t="n"/>
      <c r="U3" s="159" t="inlineStr">
        <is>
          <t>Site</t>
        </is>
      </c>
      <c r="V3" s="159" t="inlineStr">
        <is>
          <t>Modules</t>
        </is>
      </c>
      <c r="W3" s="158" t="inlineStr">
        <is>
          <t>Plant</t>
        </is>
      </c>
      <c r="X3" s="159" t="inlineStr">
        <is>
          <t>Modules</t>
        </is>
      </c>
      <c r="Y3" s="159" t="n"/>
      <c r="Z3" s="159" t="n"/>
    </row>
    <row r="4">
      <c r="A4" s="156" t="n"/>
      <c r="B4" s="156" t="n"/>
      <c r="C4" s="156" t="n"/>
      <c r="D4" s="156" t="n"/>
      <c r="E4" s="156" t="n"/>
      <c r="F4" s="156" t="n"/>
      <c r="G4" s="156" t="n"/>
      <c r="H4" s="156" t="n"/>
      <c r="I4" s="156" t="n"/>
      <c r="J4" s="156" t="n"/>
      <c r="K4" s="156" t="n"/>
      <c r="L4" s="156" t="n"/>
      <c r="M4" s="156" t="n"/>
      <c r="N4" s="156" t="n"/>
      <c r="O4" s="156" t="n"/>
      <c r="P4" s="156" t="n"/>
      <c r="Q4" s="156" t="n"/>
      <c r="R4" s="156" t="n"/>
      <c r="S4" s="156" t="n"/>
      <c r="T4" s="161" t="n"/>
      <c r="U4" s="159" t="inlineStr">
        <is>
          <t>Blupine</t>
        </is>
      </c>
      <c r="V4" s="159" t="n">
        <v>1845</v>
      </c>
      <c r="W4" s="158" t="inlineStr">
        <is>
          <t>P1</t>
        </is>
      </c>
      <c r="X4" s="159" t="n">
        <v>1</v>
      </c>
      <c r="Y4" s="159" t="n"/>
      <c r="Z4" s="159" t="n"/>
    </row>
    <row r="5" ht="20.15" customHeight="1">
      <c r="A5" s="156" t="n"/>
      <c r="B5" s="203" t="inlineStr">
        <is>
          <t>Total Complaints</t>
        </is>
      </c>
      <c r="C5" s="204" t="n"/>
      <c r="D5" s="156" t="n"/>
      <c r="E5" s="203" t="inlineStr">
        <is>
          <t>Closed Modules</t>
        </is>
      </c>
      <c r="F5" s="204" t="n"/>
      <c r="G5" s="156" t="n"/>
      <c r="H5" s="203" t="inlineStr">
        <is>
          <t>WIP / Open</t>
        </is>
      </c>
      <c r="I5" s="204" t="n"/>
      <c r="J5" s="156" t="n"/>
      <c r="K5" s="203" t="inlineStr">
        <is>
          <t>Closure Rate</t>
        </is>
      </c>
      <c r="L5" s="204" t="n"/>
      <c r="M5" s="156" t="n"/>
      <c r="N5" s="203" t="inlineStr">
        <is>
          <t>Avg Resolution</t>
        </is>
      </c>
      <c r="O5" s="204" t="n"/>
      <c r="P5" s="156" t="n"/>
      <c r="Q5" s="156" t="n"/>
      <c r="R5" s="156" t="n"/>
      <c r="S5" s="156" t="n"/>
      <c r="T5" s="161" t="n"/>
      <c r="U5" s="159" t="inlineStr">
        <is>
          <t>First Energy</t>
        </is>
      </c>
      <c r="V5" s="159" t="n">
        <v>834</v>
      </c>
      <c r="W5" s="158" t="inlineStr">
        <is>
          <t>P2</t>
        </is>
      </c>
      <c r="X5" s="159" t="n">
        <v>1604</v>
      </c>
      <c r="Y5" s="159" t="n"/>
      <c r="Z5" s="159" t="n"/>
    </row>
    <row r="6" ht="40" customHeight="1">
      <c r="A6" s="156" t="n"/>
      <c r="B6" s="205">
        <f>'MSI Report'!B6</f>
        <v/>
      </c>
      <c r="C6" s="206" t="n"/>
      <c r="D6" s="156" t="n"/>
      <c r="E6" s="207">
        <f>'MSI Report'!C6</f>
        <v/>
      </c>
      <c r="F6" s="206" t="n"/>
      <c r="G6" s="156" t="n"/>
      <c r="H6" s="208">
        <f>'MSI Report'!D6</f>
        <v/>
      </c>
      <c r="I6" s="206" t="n"/>
      <c r="J6" s="156" t="n"/>
      <c r="K6" s="209">
        <f>'MSI Report'!F6</f>
        <v/>
      </c>
      <c r="L6" s="206" t="n"/>
      <c r="M6" s="156" t="n"/>
      <c r="N6" s="210">
        <f>'MSI Report'!G6</f>
        <v/>
      </c>
      <c r="O6" s="206" t="n"/>
      <c r="P6" s="156" t="n"/>
      <c r="Q6" s="156" t="n"/>
      <c r="R6" s="156" t="n"/>
      <c r="S6" s="156" t="n"/>
      <c r="T6" s="161" t="n"/>
      <c r="U6" s="159" t="inlineStr">
        <is>
          <t>Continuum</t>
        </is>
      </c>
      <c r="V6" s="159" t="n">
        <v>596</v>
      </c>
      <c r="W6" s="158" t="inlineStr">
        <is>
          <t>P4</t>
        </is>
      </c>
      <c r="X6" s="159" t="n">
        <v>1351</v>
      </c>
      <c r="Y6" s="159" t="n"/>
      <c r="Z6" s="159" t="n"/>
    </row>
    <row r="7" ht="8.15" customHeight="1">
      <c r="A7" s="156" t="n"/>
      <c r="B7" s="156" t="n"/>
      <c r="C7" s="156" t="n"/>
      <c r="D7" s="156" t="n"/>
      <c r="E7" s="156" t="n"/>
      <c r="F7" s="156" t="n"/>
      <c r="G7" s="156" t="n"/>
      <c r="H7" s="156" t="n"/>
      <c r="I7" s="156" t="n"/>
      <c r="J7" s="156" t="n"/>
      <c r="K7" s="156" t="n"/>
      <c r="L7" s="156" t="n"/>
      <c r="M7" s="156" t="n"/>
      <c r="N7" s="156" t="n"/>
      <c r="O7" s="156" t="n"/>
      <c r="P7" s="156" t="n"/>
      <c r="Q7" s="156" t="n"/>
      <c r="R7" s="156" t="n"/>
      <c r="S7" s="156" t="n"/>
      <c r="T7" s="161" t="n"/>
      <c r="U7" s="159" t="inlineStr">
        <is>
          <t>Ayana</t>
        </is>
      </c>
      <c r="V7" s="159" t="n">
        <v>367</v>
      </c>
      <c r="W7" s="158" t="n"/>
      <c r="X7" s="159" t="n"/>
      <c r="Y7" s="159" t="n"/>
      <c r="Z7" s="159" t="n"/>
    </row>
    <row r="8" ht="16" customHeight="1">
      <c r="A8" s="156" t="n"/>
      <c r="B8" s="162" t="inlineStr">
        <is>
          <t>Daily Complaints Trend  - June 2026</t>
        </is>
      </c>
      <c r="C8" s="156" t="n"/>
      <c r="D8" s="156" t="n"/>
      <c r="E8" s="156" t="n"/>
      <c r="F8" s="156" t="n"/>
      <c r="G8" s="156" t="n"/>
      <c r="H8" s="156" t="n"/>
      <c r="I8" s="156" t="n"/>
      <c r="J8" s="156" t="n"/>
      <c r="K8" s="156" t="n"/>
      <c r="L8" s="156" t="n"/>
      <c r="M8" s="156" t="n"/>
      <c r="N8" s="156" t="n"/>
      <c r="O8" s="156" t="n"/>
      <c r="P8" s="156" t="n"/>
      <c r="Q8" s="156" t="n"/>
      <c r="R8" s="156" t="n"/>
      <c r="S8" s="156" t="n"/>
      <c r="T8" s="161" t="n"/>
      <c r="U8" s="159" t="inlineStr">
        <is>
          <t>NTPC Limited</t>
        </is>
      </c>
      <c r="V8" s="159" t="n">
        <v>197</v>
      </c>
      <c r="W8" s="158" t="n"/>
      <c r="X8" s="159" t="n"/>
      <c r="Y8" s="159" t="n"/>
      <c r="Z8" s="159" t="n"/>
    </row>
    <row r="9">
      <c r="A9" s="156" t="n"/>
      <c r="B9" s="156" t="n"/>
      <c r="C9" s="156" t="n"/>
      <c r="D9" s="156" t="n"/>
      <c r="E9" s="156" t="n"/>
      <c r="F9" s="156" t="n"/>
      <c r="G9" s="156" t="n"/>
      <c r="H9" s="156" t="n"/>
      <c r="I9" s="156" t="n"/>
      <c r="J9" s="156" t="n"/>
      <c r="K9" s="156" t="n"/>
      <c r="L9" s="156" t="n"/>
      <c r="M9" s="156" t="n"/>
      <c r="N9" s="156" t="n"/>
      <c r="O9" s="156" t="n"/>
      <c r="P9" s="156" t="n"/>
      <c r="Q9" s="156" t="n"/>
      <c r="R9" s="156" t="n"/>
      <c r="S9" s="156" t="n"/>
      <c r="T9" s="161" t="n"/>
      <c r="U9" s="159" t="inlineStr">
        <is>
          <t>Asian Fab Tec Ltd</t>
        </is>
      </c>
      <c r="V9" s="159" t="n">
        <v>59</v>
      </c>
      <c r="W9" s="158" t="n"/>
      <c r="X9" s="159" t="n"/>
      <c r="Y9" s="159" t="n"/>
      <c r="Z9" s="159" t="n"/>
    </row>
    <row r="10">
      <c r="A10" s="156" t="n"/>
      <c r="B10" s="156" t="n"/>
      <c r="C10" s="156" t="n"/>
      <c r="D10" s="156" t="n"/>
      <c r="E10" s="156" t="n"/>
      <c r="F10" s="156" t="n"/>
      <c r="G10" s="156" t="n"/>
      <c r="H10" s="156" t="n"/>
      <c r="I10" s="156" t="n"/>
      <c r="J10" s="156" t="n"/>
      <c r="K10" s="156" t="n"/>
      <c r="L10" s="156" t="n"/>
      <c r="M10" s="156" t="n"/>
      <c r="N10" s="156" t="n"/>
      <c r="O10" s="156" t="n"/>
      <c r="P10" s="156" t="n"/>
      <c r="Q10" s="156" t="n"/>
      <c r="R10" s="156" t="n"/>
      <c r="S10" s="156" t="n"/>
      <c r="T10" s="161" t="n"/>
      <c r="U10" s="159" t="inlineStr">
        <is>
          <t>Madhav Infra Projects Ltd.</t>
        </is>
      </c>
      <c r="V10" s="159" t="n">
        <v>37</v>
      </c>
      <c r="W10" s="158" t="n"/>
      <c r="X10" s="159" t="n"/>
      <c r="Y10" s="159" t="n"/>
      <c r="Z10" s="159" t="n"/>
    </row>
    <row r="11">
      <c r="A11" s="156" t="n"/>
      <c r="B11" s="156" t="n"/>
      <c r="C11" s="156" t="n"/>
      <c r="D11" s="156" t="n"/>
      <c r="E11" s="156" t="n"/>
      <c r="F11" s="156" t="n"/>
      <c r="G11" s="156" t="n"/>
      <c r="H11" s="156" t="n"/>
      <c r="I11" s="156" t="n"/>
      <c r="J11" s="156" t="n"/>
      <c r="K11" s="156" t="n"/>
      <c r="L11" s="156" t="n"/>
      <c r="M11" s="156" t="n"/>
      <c r="N11" s="156" t="n"/>
      <c r="O11" s="156" t="n"/>
      <c r="P11" s="156" t="n"/>
      <c r="Q11" s="156" t="n"/>
      <c r="R11" s="156" t="n"/>
      <c r="S11" s="156" t="n"/>
      <c r="T11" s="161" t="n"/>
      <c r="U11" s="159" t="inlineStr">
        <is>
          <t>WBSEDCL</t>
        </is>
      </c>
      <c r="V11" s="159" t="n">
        <v>32</v>
      </c>
      <c r="W11" s="158" t="n"/>
      <c r="X11" s="159" t="n"/>
      <c r="Y11" s="159" t="n"/>
      <c r="Z11" s="159" t="n"/>
    </row>
    <row r="12">
      <c r="A12" s="156" t="n"/>
      <c r="B12" s="156" t="n"/>
      <c r="C12" s="156" t="n"/>
      <c r="D12" s="156" t="n"/>
      <c r="E12" s="156" t="n"/>
      <c r="F12" s="156" t="n"/>
      <c r="G12" s="156" t="n"/>
      <c r="H12" s="156" t="n"/>
      <c r="I12" s="156" t="n"/>
      <c r="J12" s="156" t="n"/>
      <c r="K12" s="156" t="n"/>
      <c r="L12" s="156" t="n"/>
      <c r="M12" s="156" t="n"/>
      <c r="N12" s="156" t="n"/>
      <c r="O12" s="156" t="n"/>
      <c r="P12" s="156" t="n"/>
      <c r="Q12" s="156" t="n"/>
      <c r="R12" s="156" t="n"/>
      <c r="S12" s="156" t="n"/>
      <c r="T12" s="161" t="n"/>
      <c r="U12" s="158" t="inlineStr">
        <is>
          <t>State</t>
        </is>
      </c>
      <c r="V12" s="158" t="inlineStr">
        <is>
          <t>Modules</t>
        </is>
      </c>
      <c r="W12" s="158" t="inlineStr">
        <is>
          <t>Defect Type</t>
        </is>
      </c>
      <c r="X12" s="159" t="inlineStr">
        <is>
          <t>G2B</t>
        </is>
      </c>
      <c r="Y12" s="158" t="inlineStr">
        <is>
          <t>G2TB</t>
        </is>
      </c>
      <c r="Z12" s="158" t="inlineStr">
        <is>
          <t>G2G</t>
        </is>
      </c>
    </row>
    <row r="13">
      <c r="A13" s="156" t="n"/>
      <c r="B13" s="156" t="n"/>
      <c r="C13" s="156" t="n"/>
      <c r="D13" s="156" t="n"/>
      <c r="E13" s="156" t="n"/>
      <c r="F13" s="156" t="n"/>
      <c r="G13" s="156" t="n"/>
      <c r="H13" s="156" t="n"/>
      <c r="I13" s="156" t="n"/>
      <c r="J13" s="156" t="n"/>
      <c r="K13" s="156" t="n"/>
      <c r="L13" s="156" t="n"/>
      <c r="M13" s="156" t="n"/>
      <c r="N13" s="156" t="n"/>
      <c r="O13" s="156" t="n"/>
      <c r="P13" s="156" t="n"/>
      <c r="Q13" s="156" t="n"/>
      <c r="R13" s="156" t="n"/>
      <c r="S13" s="156" t="n"/>
      <c r="T13" s="161" t="n"/>
      <c r="U13" s="158" t="inlineStr">
        <is>
          <t>Gujarat</t>
        </is>
      </c>
      <c r="V13" s="158" t="n">
        <v>1688</v>
      </c>
      <c r="W13" s="158" t="inlineStr">
        <is>
          <t>Cold Soldering</t>
        </is>
      </c>
      <c r="X13" s="159" t="n">
        <v>2182</v>
      </c>
      <c r="Y13" s="159" t="n">
        <v>250</v>
      </c>
      <c r="Z13" s="158" t="n">
        <v>82</v>
      </c>
    </row>
    <row r="14">
      <c r="A14" s="156" t="n"/>
      <c r="B14" s="156" t="n"/>
      <c r="C14" s="156" t="n"/>
      <c r="D14" s="156" t="n"/>
      <c r="E14" s="156" t="n"/>
      <c r="F14" s="156" t="n"/>
      <c r="G14" s="156" t="n"/>
      <c r="H14" s="156" t="n"/>
      <c r="I14" s="156" t="n"/>
      <c r="J14" s="156" t="n"/>
      <c r="K14" s="156" t="n"/>
      <c r="L14" s="156" t="n"/>
      <c r="M14" s="156" t="n"/>
      <c r="N14" s="156" t="n"/>
      <c r="O14" s="156" t="n"/>
      <c r="P14" s="156" t="n"/>
      <c r="Q14" s="156" t="n"/>
      <c r="R14" s="156" t="n"/>
      <c r="S14" s="156" t="n"/>
      <c r="T14" s="161" t="n"/>
      <c r="U14" s="158" t="inlineStr">
        <is>
          <t>Karnataka</t>
        </is>
      </c>
      <c r="V14" s="158" t="n">
        <v>688</v>
      </c>
      <c r="W14" s="158" t="inlineStr">
        <is>
          <t>JB Issue</t>
        </is>
      </c>
      <c r="X14" s="159" t="n">
        <v>215</v>
      </c>
      <c r="Y14" s="159" t="n">
        <v>67</v>
      </c>
      <c r="Z14" s="158" t="n">
        <v>31</v>
      </c>
    </row>
    <row r="15">
      <c r="A15" s="156" t="n"/>
      <c r="B15" s="156" t="n"/>
      <c r="C15" s="156" t="n"/>
      <c r="D15" s="156" t="n"/>
      <c r="E15" s="156" t="n"/>
      <c r="F15" s="156" t="n"/>
      <c r="G15" s="156" t="n"/>
      <c r="H15" s="156" t="n"/>
      <c r="I15" s="156" t="n"/>
      <c r="J15" s="156" t="n"/>
      <c r="K15" s="156" t="n"/>
      <c r="L15" s="156" t="n"/>
      <c r="M15" s="156" t="n"/>
      <c r="N15" s="156" t="n"/>
      <c r="O15" s="156" t="n"/>
      <c r="P15" s="156" t="n"/>
      <c r="Q15" s="156" t="n"/>
      <c r="R15" s="156" t="n"/>
      <c r="S15" s="156" t="n"/>
      <c r="T15" s="161" t="n"/>
      <c r="U15" s="158" t="inlineStr">
        <is>
          <t>MP</t>
        </is>
      </c>
      <c r="V15" s="158" t="n">
        <v>502</v>
      </c>
      <c r="W15" s="158" t="inlineStr">
        <is>
          <t>No Issue</t>
        </is>
      </c>
      <c r="X15" s="159" t="n">
        <v>110</v>
      </c>
      <c r="Y15" s="159" t="n">
        <v>11</v>
      </c>
      <c r="Z15" s="158" t="n">
        <v>12</v>
      </c>
    </row>
    <row r="16">
      <c r="A16" s="156" t="n"/>
      <c r="B16" s="156" t="n"/>
      <c r="C16" s="156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56" t="n"/>
      <c r="M16" s="156" t="n"/>
      <c r="N16" s="156" t="n"/>
      <c r="O16" s="156" t="n"/>
      <c r="P16" s="156" t="n"/>
      <c r="Q16" s="156" t="n"/>
      <c r="R16" s="156" t="n"/>
      <c r="S16" s="156" t="n"/>
      <c r="T16" s="161" t="n"/>
      <c r="U16" s="158" t="inlineStr">
        <is>
          <t>J&amp;K</t>
        </is>
      </c>
      <c r="V16" s="158" t="n">
        <v>192</v>
      </c>
      <c r="W16" s="158" t="inlineStr">
        <is>
          <t>Tab lead Burn</t>
        </is>
      </c>
      <c r="X16" s="159" t="n">
        <v>18</v>
      </c>
      <c r="Y16" s="159" t="n">
        <v>17</v>
      </c>
      <c r="Z16" s="158" t="n">
        <v>0</v>
      </c>
    </row>
    <row r="17">
      <c r="A17" s="156" t="n"/>
      <c r="B17" s="156" t="n"/>
      <c r="C17" s="156" t="n"/>
      <c r="D17" s="156" t="n"/>
      <c r="E17" s="156" t="n"/>
      <c r="F17" s="156" t="n"/>
      <c r="G17" s="156" t="n"/>
      <c r="H17" s="156" t="n"/>
      <c r="I17" s="156" t="n"/>
      <c r="J17" s="156" t="n"/>
      <c r="K17" s="156" t="n"/>
      <c r="L17" s="156" t="n"/>
      <c r="M17" s="156" t="n"/>
      <c r="N17" s="156" t="n"/>
      <c r="O17" s="156" t="n"/>
      <c r="P17" s="156" t="n"/>
      <c r="Q17" s="156" t="n"/>
      <c r="R17" s="156" t="n"/>
      <c r="S17" s="156" t="n"/>
      <c r="T17" s="161" t="n"/>
      <c r="U17" s="158" t="inlineStr">
        <is>
          <t>West Bengal</t>
        </is>
      </c>
      <c r="V17" s="158" t="n">
        <v>32</v>
      </c>
      <c r="W17" s="158" t="inlineStr">
        <is>
          <t>Low Generation</t>
        </is>
      </c>
      <c r="X17" s="159" t="n">
        <v>4</v>
      </c>
      <c r="Y17" s="159" t="n">
        <v>1</v>
      </c>
      <c r="Z17" s="158" t="n">
        <v>3</v>
      </c>
    </row>
    <row r="18">
      <c r="A18" s="156" t="n"/>
      <c r="B18" s="156" t="n"/>
      <c r="C18" s="156" t="n"/>
      <c r="D18" s="156" t="n"/>
      <c r="E18" s="156" t="n"/>
      <c r="F18" s="156" t="n"/>
      <c r="G18" s="156" t="n"/>
      <c r="H18" s="156" t="n"/>
      <c r="I18" s="156" t="n"/>
      <c r="J18" s="156" t="n"/>
      <c r="K18" s="156" t="n"/>
      <c r="L18" s="156" t="n"/>
      <c r="M18" s="156" t="n"/>
      <c r="N18" s="156" t="n"/>
      <c r="O18" s="156" t="n"/>
      <c r="P18" s="156" t="n"/>
      <c r="Q18" s="156" t="n"/>
      <c r="R18" s="156" t="n"/>
      <c r="S18" s="156" t="n"/>
      <c r="T18" s="161" t="n"/>
      <c r="U18" s="158" t="inlineStr">
        <is>
          <t>Kerala</t>
        </is>
      </c>
      <c r="V18" s="158" t="n">
        <v>21</v>
      </c>
      <c r="W18" s="158" t="inlineStr">
        <is>
          <t>Glass Breakage</t>
        </is>
      </c>
      <c r="X18" s="159" t="n">
        <v>1</v>
      </c>
      <c r="Y18" s="159" t="n">
        <v>0</v>
      </c>
      <c r="Z18" s="158" t="n">
        <v>0</v>
      </c>
    </row>
    <row r="19">
      <c r="A19" s="156" t="n"/>
      <c r="B19" s="156" t="n"/>
      <c r="C19" s="156" t="n"/>
      <c r="D19" s="156" t="n"/>
      <c r="E19" s="156" t="n"/>
      <c r="F19" s="156" t="n"/>
      <c r="G19" s="156" t="n"/>
      <c r="H19" s="156" t="n"/>
      <c r="I19" s="156" t="n"/>
      <c r="J19" s="156" t="n"/>
      <c r="K19" s="156" t="n"/>
      <c r="L19" s="156" t="n"/>
      <c r="M19" s="156" t="n"/>
      <c r="N19" s="156" t="n"/>
      <c r="O19" s="156" t="n"/>
      <c r="P19" s="156" t="n"/>
      <c r="Q19" s="156" t="n"/>
      <c r="R19" s="156" t="n"/>
      <c r="S19" s="156" t="n"/>
      <c r="T19" s="161" t="n"/>
      <c r="U19" s="158" t="inlineStr">
        <is>
          <t>Maharashtra</t>
        </is>
      </c>
      <c r="V19" s="158" t="n">
        <v>6</v>
      </c>
      <c r="W19" s="158" t="n"/>
      <c r="X19" s="159" t="n"/>
      <c r="Y19" s="159" t="n"/>
      <c r="Z19" s="159" t="n"/>
    </row>
    <row r="20">
      <c r="A20" s="156" t="n"/>
      <c r="B20" s="156" t="n"/>
      <c r="C20" s="156" t="n"/>
      <c r="D20" s="156" t="n"/>
      <c r="E20" s="156" t="n"/>
      <c r="F20" s="156" t="n"/>
      <c r="G20" s="156" t="n"/>
      <c r="H20" s="156" t="n"/>
      <c r="I20" s="156" t="n"/>
      <c r="J20" s="156" t="n"/>
      <c r="K20" s="156" t="n"/>
      <c r="L20" s="156" t="n"/>
      <c r="M20" s="156" t="n"/>
      <c r="N20" s="156" t="n"/>
      <c r="O20" s="156" t="n"/>
      <c r="P20" s="156" t="n"/>
      <c r="Q20" s="156" t="n"/>
      <c r="R20" s="156" t="n"/>
      <c r="S20" s="156" t="n"/>
      <c r="T20" s="161" t="n"/>
      <c r="U20" s="158" t="inlineStr">
        <is>
          <t>Bihar</t>
        </is>
      </c>
      <c r="V20" s="158" t="n">
        <v>1</v>
      </c>
      <c r="W20" s="158" t="n"/>
      <c r="X20" s="159" t="n"/>
      <c r="Y20" s="159" t="n"/>
      <c r="Z20" s="159" t="n"/>
    </row>
    <row r="21">
      <c r="A21" s="156" t="n"/>
      <c r="B21" s="156" t="n"/>
      <c r="C21" s="156" t="n"/>
      <c r="D21" s="156" t="n"/>
      <c r="E21" s="156" t="n"/>
      <c r="F21" s="156" t="n"/>
      <c r="G21" s="156" t="n"/>
      <c r="H21" s="156" t="n"/>
      <c r="I21" s="156" t="n"/>
      <c r="J21" s="156" t="n"/>
      <c r="K21" s="156" t="n"/>
      <c r="L21" s="156" t="n"/>
      <c r="M21" s="156" t="n"/>
      <c r="N21" s="156" t="n"/>
      <c r="O21" s="156" t="n"/>
      <c r="P21" s="156" t="n"/>
      <c r="Q21" s="156" t="n"/>
      <c r="R21" s="156" t="n"/>
      <c r="S21" s="156" t="n"/>
      <c r="T21" s="161" t="n"/>
      <c r="U21" s="158" t="n"/>
      <c r="V21" s="158" t="n"/>
      <c r="W21" s="158" t="n"/>
      <c r="X21" s="159" t="n"/>
      <c r="Y21" s="159" t="n"/>
      <c r="Z21" s="159" t="n"/>
    </row>
    <row r="22">
      <c r="A22" s="156" t="n"/>
      <c r="B22" s="156" t="n"/>
      <c r="C22" s="156" t="n"/>
      <c r="D22" s="156" t="n"/>
      <c r="E22" s="156" t="n"/>
      <c r="F22" s="156" t="n"/>
      <c r="G22" s="156" t="n"/>
      <c r="H22" s="156" t="n"/>
      <c r="I22" s="156" t="n"/>
      <c r="J22" s="156" t="n"/>
      <c r="K22" s="156" t="n"/>
      <c r="L22" s="156" t="n"/>
      <c r="M22" s="156" t="n"/>
      <c r="N22" s="156" t="n"/>
      <c r="O22" s="156" t="n"/>
      <c r="P22" s="156" t="n"/>
      <c r="Q22" s="156" t="n"/>
      <c r="R22" s="156" t="n"/>
      <c r="S22" s="156" t="n"/>
      <c r="T22" s="161" t="n"/>
      <c r="U22" s="163" t="inlineStr">
        <is>
          <t>Defect Type</t>
        </is>
      </c>
      <c r="V22" s="163" t="inlineStr">
        <is>
          <t>Count</t>
        </is>
      </c>
      <c r="W22" s="158" t="n"/>
      <c r="X22" s="159" t="n"/>
      <c r="Y22" s="159" t="n"/>
      <c r="Z22" s="159" t="n"/>
    </row>
    <row r="23" ht="16" customHeight="1">
      <c r="A23" s="156" t="n"/>
      <c r="B23" s="162" t="inlineStr">
        <is>
          <t>Complaints by Site (Top 8)</t>
        </is>
      </c>
      <c r="C23" s="156" t="n"/>
      <c r="D23" s="156" t="n"/>
      <c r="E23" s="156" t="n"/>
      <c r="F23" s="156" t="n"/>
      <c r="G23" s="156" t="n"/>
      <c r="H23" s="168" t="inlineStr">
        <is>
          <t>Complaints by State</t>
        </is>
      </c>
      <c r="I23" s="156" t="n"/>
      <c r="J23" s="156" t="n"/>
      <c r="K23" s="156" t="n"/>
      <c r="L23" s="156" t="n"/>
      <c r="M23" s="156" t="n"/>
      <c r="N23" s="162" t="inlineStr">
        <is>
          <t>Defect Type Mix</t>
        </is>
      </c>
      <c r="O23" s="156" t="n"/>
      <c r="P23" s="156" t="n"/>
      <c r="Q23" s="156" t="n"/>
      <c r="R23" s="156" t="n"/>
      <c r="S23" s="156" t="n"/>
      <c r="T23" s="161" t="n"/>
      <c r="U23" s="164" t="inlineStr">
        <is>
          <t>Cold Soldering</t>
        </is>
      </c>
      <c r="V23" s="164" t="n">
        <v>2514</v>
      </c>
      <c r="W23" s="158" t="n"/>
      <c r="X23" s="159" t="n"/>
      <c r="Y23" s="159" t="n"/>
      <c r="Z23" s="159" t="n"/>
    </row>
    <row r="24">
      <c r="A24" s="156" t="n"/>
      <c r="B24" s="156" t="n"/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61" t="n"/>
      <c r="U24" s="164" t="inlineStr">
        <is>
          <t>JB Issue</t>
        </is>
      </c>
      <c r="V24" s="164" t="n">
        <v>313</v>
      </c>
      <c r="W24" s="158" t="n"/>
      <c r="X24" s="159" t="n"/>
      <c r="Y24" s="159" t="n"/>
      <c r="Z24" s="159" t="n"/>
    </row>
    <row r="25">
      <c r="A25" s="156" t="n"/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61" t="n"/>
      <c r="U25" s="164" t="inlineStr">
        <is>
          <t>Tab lead Burn</t>
        </is>
      </c>
      <c r="V25" s="164" t="n">
        <v>35</v>
      </c>
      <c r="W25" s="158" t="n"/>
      <c r="X25" s="159" t="n"/>
      <c r="Y25" s="159" t="n"/>
      <c r="Z25" s="159" t="n"/>
    </row>
    <row r="26">
      <c r="A26" s="156" t="n"/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61" t="n"/>
      <c r="U26" s="164" t="inlineStr">
        <is>
          <t>Glass Breakage</t>
        </is>
      </c>
      <c r="V26" s="164" t="n">
        <v>1</v>
      </c>
      <c r="W26" s="158" t="n"/>
      <c r="X26" s="159" t="n"/>
      <c r="Y26" s="159" t="n"/>
      <c r="Z26" s="159" t="n"/>
    </row>
    <row r="27">
      <c r="A27" s="156" t="n"/>
      <c r="B27" s="156" t="n"/>
      <c r="C27" s="156" t="n"/>
      <c r="D27" s="156" t="n"/>
      <c r="E27" s="156" t="n"/>
      <c r="F27" s="156" t="n"/>
      <c r="G27" s="156" t="n"/>
      <c r="H27" s="156" t="n"/>
      <c r="I27" s="156" t="n"/>
      <c r="J27" s="156" t="n"/>
      <c r="K27" s="156" t="n"/>
      <c r="L27" s="156" t="n"/>
      <c r="M27" s="156" t="n"/>
      <c r="N27" s="156" t="n"/>
      <c r="O27" s="156" t="n"/>
      <c r="P27" s="156" t="n"/>
      <c r="Q27" s="156" t="n"/>
      <c r="R27" s="156" t="n"/>
      <c r="S27" s="156" t="n"/>
      <c r="T27" s="161" t="n"/>
      <c r="U27" s="164" t="inlineStr">
        <is>
          <t>Others</t>
        </is>
      </c>
      <c r="V27" s="164" t="n">
        <v>145</v>
      </c>
      <c r="W27" s="158" t="n"/>
      <c r="X27" s="159" t="n"/>
      <c r="Y27" s="159" t="n"/>
      <c r="Z27" s="159" t="n"/>
    </row>
    <row r="28">
      <c r="A28" s="156" t="n"/>
      <c r="B28" s="156" t="n"/>
      <c r="C28" s="156" t="n"/>
      <c r="D28" s="156" t="n"/>
      <c r="E28" s="156" t="n"/>
      <c r="F28" s="156" t="n"/>
      <c r="G28" s="156" t="n"/>
      <c r="H28" s="156" t="n"/>
      <c r="I28" s="156" t="n"/>
      <c r="J28" s="156" t="n"/>
      <c r="K28" s="156" t="n"/>
      <c r="L28" s="156" t="n"/>
      <c r="M28" s="156" t="n"/>
      <c r="N28" s="156" t="n"/>
      <c r="O28" s="156" t="n"/>
      <c r="P28" s="156" t="n"/>
      <c r="Q28" s="156" t="n"/>
      <c r="R28" s="156" t="n"/>
      <c r="S28" s="156" t="n"/>
      <c r="T28" s="161" t="n"/>
      <c r="U28" s="164" t="n"/>
      <c r="V28" s="164" t="n"/>
      <c r="W28" s="158" t="n"/>
      <c r="X28" s="159" t="n"/>
      <c r="Y28" s="159" t="n"/>
      <c r="Z28" s="159" t="n"/>
    </row>
    <row r="29">
      <c r="A29" s="156" t="n"/>
      <c r="B29" s="156" t="n"/>
      <c r="C29" s="156" t="n"/>
      <c r="D29" s="156" t="n"/>
      <c r="E29" s="156" t="n"/>
      <c r="F29" s="156" t="n"/>
      <c r="G29" s="156" t="n"/>
      <c r="H29" s="156" t="n"/>
      <c r="I29" s="156" t="n"/>
      <c r="J29" s="156" t="n"/>
      <c r="K29" s="156" t="n"/>
      <c r="L29" s="156" t="n"/>
      <c r="M29" s="156" t="n"/>
      <c r="N29" s="156" t="n"/>
      <c r="O29" s="156" t="n"/>
      <c r="P29" s="156" t="n"/>
      <c r="Q29" s="156" t="n"/>
      <c r="R29" s="156" t="n"/>
      <c r="S29" s="156" t="n"/>
      <c r="T29" s="161" t="n"/>
      <c r="U29" s="164" t="inlineStr">
        <is>
          <t>TAT Range</t>
        </is>
      </c>
      <c r="V29" s="164" t="inlineStr">
        <is>
          <t>Modules</t>
        </is>
      </c>
      <c r="W29" s="158" t="n"/>
      <c r="X29" s="159" t="n"/>
      <c r="Y29" s="159" t="n"/>
      <c r="Z29" s="159" t="n"/>
    </row>
    <row r="30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  <c r="N30" s="156" t="n"/>
      <c r="O30" s="156" t="n"/>
      <c r="P30" s="156" t="n"/>
      <c r="Q30" s="156" t="n"/>
      <c r="R30" s="156" t="n"/>
      <c r="S30" s="156" t="n"/>
      <c r="T30" s="161" t="n"/>
      <c r="U30" s="164" t="n"/>
      <c r="V30" s="170" t="n"/>
      <c r="W30" s="170" t="n"/>
      <c r="X30" s="170" t="n"/>
      <c r="Y30" s="170" t="n"/>
      <c r="Z30" s="170" t="n"/>
    </row>
    <row r="31">
      <c r="A31" s="156" t="n"/>
      <c r="B31" s="156" t="n"/>
      <c r="C31" s="156" t="n"/>
      <c r="D31" s="156" t="n"/>
      <c r="E31" s="156" t="n"/>
      <c r="F31" s="156" t="n"/>
      <c r="G31" s="156" t="n"/>
      <c r="H31" s="156" t="n"/>
      <c r="I31" s="156" t="n"/>
      <c r="J31" s="156" t="n"/>
      <c r="K31" s="156" t="n"/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61" t="n"/>
      <c r="U31" s="164" t="n"/>
      <c r="V31" s="170" t="n"/>
      <c r="W31" s="170" t="n"/>
      <c r="X31" s="170" t="n"/>
      <c r="Y31" s="170" t="n"/>
      <c r="Z31" s="170" t="n"/>
    </row>
    <row r="32">
      <c r="A32" s="156" t="n"/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61" t="n"/>
      <c r="U32" s="164" t="n"/>
      <c r="V32" s="170" t="n"/>
      <c r="W32" s="170" t="n"/>
      <c r="X32" s="170" t="n"/>
      <c r="Y32" s="170" t="n"/>
      <c r="Z32" s="170" t="n"/>
    </row>
    <row r="33">
      <c r="A33" s="156" t="n"/>
      <c r="B33" s="156" t="n"/>
      <c r="C33" s="156" t="n"/>
      <c r="D33" s="156" t="n"/>
      <c r="E33" s="156" t="n"/>
      <c r="F33" s="156" t="n"/>
      <c r="G33" s="156" t="n"/>
      <c r="H33" s="156" t="n"/>
      <c r="I33" s="156" t="n"/>
      <c r="J33" s="156" t="n"/>
      <c r="K33" s="156" t="n"/>
      <c r="L33" s="156" t="n"/>
      <c r="M33" s="156" t="n"/>
      <c r="N33" s="156" t="n"/>
      <c r="O33" s="156" t="n"/>
      <c r="P33" s="156" t="n"/>
      <c r="Q33" s="156" t="n"/>
      <c r="R33" s="156" t="n"/>
      <c r="S33" s="156" t="n"/>
      <c r="T33" s="161" t="n"/>
      <c r="U33" s="164" t="n"/>
      <c r="V33" s="170" t="n"/>
      <c r="W33" s="170" t="n"/>
      <c r="X33" s="170" t="n"/>
      <c r="Y33" s="170" t="n"/>
      <c r="Z33" s="170" t="n"/>
    </row>
    <row r="34">
      <c r="A34" s="156" t="n"/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61" t="n"/>
      <c r="U34" s="164" t="n"/>
      <c r="V34" s="170" t="n"/>
      <c r="W34" s="170" t="n"/>
      <c r="X34" s="170" t="n"/>
      <c r="Y34" s="170" t="n"/>
      <c r="Z34" s="170" t="n"/>
    </row>
    <row r="35">
      <c r="A35" s="156" t="n"/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61" t="n"/>
      <c r="U35" s="158" t="n"/>
      <c r="V35" s="170" t="n"/>
      <c r="W35" s="170" t="n"/>
      <c r="X35" s="170" t="n"/>
      <c r="Y35" s="170" t="n"/>
      <c r="Z35" s="170" t="n"/>
    </row>
    <row r="36">
      <c r="A36" s="156" t="n"/>
      <c r="B36" s="156" t="n"/>
      <c r="C36" s="156" t="n"/>
      <c r="D36" s="156" t="n"/>
      <c r="E36" s="156" t="n"/>
      <c r="F36" s="156" t="n"/>
      <c r="G36" s="156" t="n"/>
      <c r="H36" s="156" t="n"/>
      <c r="I36" s="156" t="n"/>
      <c r="J36" s="156" t="n"/>
      <c r="K36" s="156" t="n"/>
      <c r="L36" s="156" t="n"/>
      <c r="M36" s="156" t="n"/>
      <c r="N36" s="156" t="n"/>
      <c r="O36" s="156" t="n"/>
      <c r="P36" s="156" t="n"/>
      <c r="Q36" s="156" t="n"/>
      <c r="R36" s="156" t="n"/>
      <c r="S36" s="156" t="n"/>
      <c r="T36" s="161" t="n"/>
      <c r="U36" s="158" t="n"/>
      <c r="V36" s="170" t="n"/>
      <c r="W36" s="170" t="n"/>
      <c r="X36" s="170" t="n"/>
      <c r="Y36" s="170" t="n"/>
      <c r="Z36" s="170" t="n"/>
    </row>
    <row r="37">
      <c r="A37" s="156" t="n"/>
      <c r="B37" s="156" t="n"/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56" t="n"/>
      <c r="M37" s="156" t="n"/>
      <c r="N37" s="156" t="n"/>
      <c r="O37" s="156" t="n"/>
      <c r="P37" s="156" t="n"/>
      <c r="Q37" s="156" t="n"/>
      <c r="R37" s="156" t="n"/>
      <c r="S37" s="156" t="n"/>
      <c r="T37" s="161" t="n"/>
      <c r="U37" s="165" t="inlineStr">
        <is>
          <t>Week</t>
        </is>
      </c>
      <c r="V37" s="171" t="inlineStr">
        <is>
          <t>Modules</t>
        </is>
      </c>
      <c r="W37" s="170" t="n"/>
      <c r="X37" s="170" t="n"/>
      <c r="Y37" s="170" t="n"/>
      <c r="Z37" s="170" t="n"/>
    </row>
    <row r="38" ht="26" customHeight="1">
      <c r="A38" s="156" t="n"/>
      <c r="B38" s="156" t="n"/>
      <c r="C38" s="156" t="n"/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56" t="n"/>
      <c r="M38" s="156" t="n"/>
      <c r="N38" s="156" t="n"/>
      <c r="O38" s="156" t="n"/>
      <c r="P38" s="156" t="n"/>
      <c r="Q38" s="156" t="n"/>
      <c r="R38" s="156" t="n"/>
      <c r="S38" s="156" t="n"/>
      <c r="T38" s="161" t="n"/>
      <c r="U38" s="169" t="inlineStr">
        <is>
          <t>W1 (01-07 Jun)</t>
        </is>
      </c>
      <c r="V38" s="170">
        <f>SUMIFS('MSI Report'!B40:B69,'MSI Report'!A40:A69,"&gt;="&amp;DATE(2026,6,1),'MSI Report'!A40:A69,"&lt;="&amp;DATE(2026,6,7))</f>
        <v/>
      </c>
      <c r="W38" s="170" t="n"/>
      <c r="X38" s="170" t="n"/>
      <c r="Y38" s="170" t="n"/>
      <c r="Z38" s="170" t="n"/>
    </row>
    <row r="39" ht="26" customHeight="1">
      <c r="A39" s="156" t="n"/>
      <c r="B39" s="156" t="n"/>
      <c r="C39" s="156" t="n"/>
      <c r="D39" s="156" t="n"/>
      <c r="E39" s="156" t="n"/>
      <c r="F39" s="156" t="n"/>
      <c r="G39" s="156" t="n"/>
      <c r="H39" s="156" t="n"/>
      <c r="I39" s="156" t="n"/>
      <c r="J39" s="156" t="n"/>
      <c r="K39" s="156" t="n"/>
      <c r="L39" s="156" t="n"/>
      <c r="M39" s="156" t="n"/>
      <c r="N39" s="156" t="n"/>
      <c r="O39" s="156" t="n"/>
      <c r="P39" s="156" t="n"/>
      <c r="Q39" s="156" t="n"/>
      <c r="R39" s="156" t="n"/>
      <c r="S39" s="156" t="n"/>
      <c r="T39" s="161" t="n"/>
      <c r="U39" s="169" t="inlineStr">
        <is>
          <t>W2 (08-14 Jun)</t>
        </is>
      </c>
      <c r="V39" s="170">
        <f>SUMIFS('MSI Report'!B40:B69,'MSI Report'!A40:A69,"&gt;="&amp;DATE(2026,6,8),'MSI Report'!A40:A69,"&lt;="&amp;DATE(2026,6,14))</f>
        <v/>
      </c>
      <c r="W39" s="170" t="n"/>
      <c r="X39" s="170" t="n"/>
      <c r="Y39" s="170" t="n"/>
      <c r="Z39" s="170" t="n"/>
    </row>
    <row r="40" ht="26" customHeight="1">
      <c r="A40" s="156" t="n"/>
      <c r="B40" s="162" t="inlineStr">
        <is>
          <t>Resolution Time (TAT) Distribution</t>
        </is>
      </c>
      <c r="C40" s="156" t="n"/>
      <c r="D40" s="156" t="n"/>
      <c r="E40" s="156" t="n"/>
      <c r="F40" s="156" t="n"/>
      <c r="G40" s="156" t="n"/>
      <c r="H40" s="162" t="inlineStr">
        <is>
          <t>Weekly Complaint Volume</t>
        </is>
      </c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61" t="n"/>
      <c r="U40" s="169" t="inlineStr">
        <is>
          <t>W3 (15-21 Jun)</t>
        </is>
      </c>
      <c r="V40" s="170">
        <f>SUMIFS('MSI Report'!B40:B69,'MSI Report'!A40:A69,"&gt;="&amp;DATE(2026,6,15),'MSI Report'!A40:A69,"&lt;="&amp;DATE(2026,6,21))</f>
        <v/>
      </c>
      <c r="W40" s="170" t="n"/>
      <c r="X40" s="170" t="n"/>
      <c r="Y40" s="170" t="n"/>
      <c r="Z40" s="170" t="n"/>
    </row>
    <row r="41" ht="26" customHeight="1">
      <c r="A41" s="156" t="n"/>
      <c r="B41" s="156" t="n"/>
      <c r="C41" s="156" t="n"/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56" t="n"/>
      <c r="M41" s="156" t="n"/>
      <c r="N41" s="156" t="n"/>
      <c r="O41" s="156" t="n"/>
      <c r="P41" s="156" t="n"/>
      <c r="Q41" s="156" t="n"/>
      <c r="R41" s="156" t="n"/>
      <c r="S41" s="156" t="n"/>
      <c r="T41" s="161" t="n"/>
      <c r="U41" s="169" t="inlineStr">
        <is>
          <t>W4 (22-28 Jun)</t>
        </is>
      </c>
      <c r="V41" s="170">
        <f>SUMIFS('MSI Report'!B40:B69,'MSI Report'!A40:A69,"&gt;="&amp;DATE(2026,6,22),'MSI Report'!A40:A69,"&lt;="&amp;DATE(2026,6,28))</f>
        <v/>
      </c>
      <c r="W41" s="170" t="n"/>
      <c r="X41" s="170" t="n"/>
      <c r="Y41" s="170" t="n"/>
      <c r="Z41" s="170" t="n"/>
    </row>
    <row r="42" ht="26" customHeight="1">
      <c r="A42" s="156" t="n"/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61" t="n"/>
      <c r="U42" s="169" t="inlineStr">
        <is>
          <t>W5 (29-30 Jun)</t>
        </is>
      </c>
      <c r="V42" s="170">
        <f>SUMIFS('MSI Report'!B40:B69,'MSI Report'!A40:A69,"&gt;="&amp;DATE(2026,6,29),'MSI Report'!A40:A69,"&lt;="&amp;DATE(2026,6,30))</f>
        <v/>
      </c>
      <c r="W42" s="170" t="n"/>
      <c r="X42" s="170" t="n"/>
      <c r="Y42" s="170" t="n"/>
      <c r="Z42" s="170" t="n"/>
    </row>
    <row r="43">
      <c r="A43" s="156" t="n"/>
      <c r="B43" s="156" t="n"/>
      <c r="C43" s="156" t="n"/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6" t="n"/>
      <c r="N43" s="156" t="n"/>
      <c r="O43" s="156" t="n"/>
      <c r="P43" s="156" t="n"/>
      <c r="Q43" s="156" t="n"/>
      <c r="R43" s="156" t="n"/>
      <c r="S43" s="156" t="n"/>
      <c r="T43" s="161" t="n"/>
      <c r="U43" s="158" t="n"/>
      <c r="V43" s="170" t="n"/>
      <c r="W43" s="170" t="n"/>
      <c r="X43" s="170" t="n"/>
      <c r="Y43" s="170" t="n"/>
      <c r="Z43" s="170" t="n"/>
    </row>
    <row r="44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  <c r="N44" s="156" t="n"/>
      <c r="O44" s="156" t="n"/>
      <c r="P44" s="156" t="n"/>
      <c r="Q44" s="156" t="n"/>
      <c r="R44" s="156" t="n"/>
      <c r="S44" s="156" t="n"/>
      <c r="T44" s="161" t="n"/>
      <c r="U44" s="158" t="n"/>
      <c r="V44" s="170" t="n"/>
      <c r="W44" s="170" t="n"/>
      <c r="X44" s="170" t="n"/>
      <c r="Y44" s="170" t="n"/>
      <c r="Z44" s="170" t="n"/>
    </row>
    <row r="45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56" t="n"/>
      <c r="M45" s="156" t="n"/>
      <c r="N45" s="156" t="n"/>
      <c r="O45" s="156" t="n"/>
      <c r="P45" s="156" t="n"/>
      <c r="Q45" s="156" t="n"/>
      <c r="R45" s="156" t="n"/>
      <c r="S45" s="156" t="n"/>
      <c r="T45" s="161" t="n"/>
      <c r="U45" s="166" t="n"/>
      <c r="V45" s="170" t="n"/>
      <c r="W45" s="170" t="n"/>
      <c r="X45" s="170" t="n"/>
      <c r="Y45" s="170" t="n"/>
      <c r="Z45" s="170" t="n"/>
    </row>
    <row r="46">
      <c r="A46" s="156" t="n"/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61" t="n"/>
      <c r="U46" s="166" t="n"/>
      <c r="V46" s="170" t="n"/>
      <c r="W46" s="170" t="n"/>
      <c r="X46" s="170" t="n"/>
      <c r="Y46" s="170" t="n"/>
      <c r="Z46" s="170" t="n"/>
    </row>
    <row r="47">
      <c r="A47" s="156" t="n"/>
      <c r="B47" s="156" t="n"/>
      <c r="C47" s="156" t="n"/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6" t="n"/>
      <c r="O47" s="156" t="n"/>
      <c r="P47" s="156" t="n"/>
      <c r="Q47" s="156" t="n"/>
      <c r="R47" s="156" t="n"/>
      <c r="S47" s="156" t="n"/>
      <c r="T47" s="161" t="n"/>
      <c r="U47" s="166" t="n"/>
      <c r="V47" s="170" t="n"/>
      <c r="W47" s="170" t="n"/>
      <c r="X47" s="170" t="n"/>
      <c r="Y47" s="170" t="n"/>
      <c r="Z47" s="170" t="n"/>
    </row>
    <row r="48">
      <c r="A48" s="156" t="n"/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61" t="n"/>
      <c r="U48" s="166" t="n"/>
      <c r="V48" s="170" t="n"/>
      <c r="W48" s="170" t="n"/>
      <c r="X48" s="170" t="n"/>
      <c r="Y48" s="170" t="n"/>
      <c r="Z48" s="170" t="n"/>
    </row>
    <row r="49">
      <c r="A49" s="156" t="n"/>
      <c r="B49" s="156" t="n"/>
      <c r="C49" s="156" t="n"/>
      <c r="D49" s="156" t="n"/>
      <c r="E49" s="156" t="n"/>
      <c r="F49" s="156" t="n"/>
      <c r="G49" s="156" t="n"/>
      <c r="H49" s="156" t="n"/>
      <c r="I49" s="156" t="n"/>
      <c r="J49" s="156" t="n"/>
      <c r="K49" s="156" t="n"/>
      <c r="L49" s="156" t="n"/>
      <c r="M49" s="156" t="n"/>
      <c r="N49" s="156" t="n"/>
      <c r="O49" s="156" t="n"/>
      <c r="P49" s="156" t="n"/>
      <c r="Q49" s="156" t="n"/>
      <c r="R49" s="156" t="n"/>
      <c r="S49" s="156" t="n"/>
      <c r="T49" s="161" t="n"/>
      <c r="U49" s="166" t="n"/>
      <c r="V49" s="170" t="n"/>
      <c r="W49" s="170" t="n"/>
      <c r="X49" s="170" t="n"/>
      <c r="Y49" s="170" t="n"/>
      <c r="Z49" s="170" t="n"/>
    </row>
    <row r="50">
      <c r="A50" s="156" t="n"/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61" t="n"/>
      <c r="U50" s="166" t="n"/>
      <c r="V50" s="170" t="n"/>
      <c r="W50" s="170" t="n"/>
      <c r="X50" s="170" t="n"/>
      <c r="Y50" s="170" t="n"/>
      <c r="Z50" s="170" t="n"/>
    </row>
    <row r="51">
      <c r="A51" s="156" t="n"/>
      <c r="B51" s="156" t="n"/>
      <c r="C51" s="156" t="n"/>
      <c r="D51" s="156" t="n"/>
      <c r="E51" s="156" t="n"/>
      <c r="F51" s="156" t="n"/>
      <c r="G51" s="156" t="n"/>
      <c r="H51" s="156" t="n"/>
      <c r="I51" s="156" t="n"/>
      <c r="J51" s="156" t="n"/>
      <c r="K51" s="156" t="n"/>
      <c r="L51" s="156" t="n"/>
      <c r="M51" s="156" t="n"/>
      <c r="N51" s="156" t="n"/>
      <c r="O51" s="156" t="n"/>
      <c r="P51" s="156" t="n"/>
      <c r="Q51" s="156" t="n"/>
      <c r="R51" s="156" t="n"/>
      <c r="S51" s="156" t="n"/>
      <c r="T51" s="161" t="n"/>
      <c r="U51" s="166" t="n"/>
      <c r="V51" s="170" t="n"/>
      <c r="W51" s="170" t="n"/>
      <c r="X51" s="170" t="n"/>
      <c r="Y51" s="170" t="n"/>
      <c r="Z51" s="170" t="n"/>
    </row>
    <row r="52">
      <c r="A52" s="156" t="n"/>
      <c r="B52" s="156" t="n"/>
      <c r="C52" s="156" t="n"/>
      <c r="D52" s="156" t="n"/>
      <c r="E52" s="156" t="n"/>
      <c r="F52" s="156" t="n"/>
      <c r="G52" s="156" t="n"/>
      <c r="H52" s="156" t="n"/>
      <c r="I52" s="156" t="n"/>
      <c r="J52" s="156" t="n"/>
      <c r="K52" s="156" t="n"/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61" t="n"/>
      <c r="U52" s="166" t="n"/>
      <c r="V52" s="170" t="n"/>
      <c r="W52" s="170" t="n"/>
      <c r="X52" s="170" t="n"/>
      <c r="Y52" s="170" t="n"/>
      <c r="Z52" s="170" t="n"/>
    </row>
    <row r="53">
      <c r="A53" s="156" t="n"/>
      <c r="B53" s="156" t="n"/>
      <c r="C53" s="156" t="n"/>
      <c r="D53" s="156" t="n"/>
      <c r="E53" s="156" t="n"/>
      <c r="F53" s="156" t="n"/>
      <c r="G53" s="156" t="n"/>
      <c r="H53" s="156" t="n"/>
      <c r="I53" s="156" t="n"/>
      <c r="J53" s="156" t="n"/>
      <c r="K53" s="156" t="n"/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61" t="n"/>
      <c r="U53" s="166" t="n"/>
      <c r="V53" s="170" t="n"/>
      <c r="W53" s="170" t="n"/>
      <c r="X53" s="170" t="n"/>
      <c r="Y53" s="170" t="n"/>
      <c r="Z53" s="170" t="n"/>
    </row>
    <row r="54">
      <c r="A54" s="156" t="n"/>
      <c r="B54" s="156" t="n"/>
      <c r="C54" s="156" t="n"/>
      <c r="D54" s="156" t="n"/>
      <c r="E54" s="156" t="n"/>
      <c r="F54" s="156" t="n"/>
      <c r="G54" s="156" t="n"/>
      <c r="H54" s="156" t="n"/>
      <c r="I54" s="156" t="n"/>
      <c r="J54" s="156" t="n"/>
      <c r="K54" s="156" t="n"/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61" t="n"/>
      <c r="U54" s="166" t="n"/>
      <c r="V54" s="170" t="n"/>
      <c r="W54" s="170" t="n"/>
      <c r="X54" s="170" t="n"/>
      <c r="Y54" s="170" t="n"/>
      <c r="Z54" s="170" t="n"/>
    </row>
    <row r="55">
      <c r="A55" s="156" t="n"/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61" t="n"/>
      <c r="U55" s="166" t="n"/>
      <c r="V55" s="170" t="n"/>
      <c r="W55" s="170" t="n"/>
      <c r="X55" s="170" t="n"/>
      <c r="Y55" s="170" t="n"/>
      <c r="Z55" s="170" t="n"/>
    </row>
    <row r="56">
      <c r="A56" s="156" t="n"/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61" t="n"/>
      <c r="U56" s="166" t="n"/>
      <c r="V56" s="170" t="n"/>
      <c r="W56" s="170" t="n"/>
      <c r="X56" s="170" t="n"/>
      <c r="Y56" s="170" t="n"/>
      <c r="Z56" s="170" t="n"/>
    </row>
    <row r="57">
      <c r="A57" s="156" t="n"/>
      <c r="B57" s="156" t="n"/>
      <c r="C57" s="156" t="n"/>
      <c r="D57" s="156" t="n"/>
      <c r="E57" s="156" t="n"/>
      <c r="F57" s="156" t="n"/>
      <c r="G57" s="156" t="n"/>
      <c r="H57" s="156" t="n"/>
      <c r="I57" s="156" t="n"/>
      <c r="J57" s="156" t="n"/>
      <c r="K57" s="156" t="n"/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61" t="n"/>
      <c r="U57" s="166" t="n"/>
      <c r="V57" s="170" t="n"/>
      <c r="W57" s="170" t="n"/>
      <c r="X57" s="170" t="n"/>
      <c r="Y57" s="170" t="n"/>
      <c r="Z57" s="170" t="n"/>
    </row>
    <row r="58" ht="16" customHeight="1">
      <c r="A58" s="156" t="n"/>
      <c r="B58" s="167" t="inlineStr">
        <is>
          <t>MANUFACTURING PLANT-WISE</t>
        </is>
      </c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67" t="inlineStr">
        <is>
          <t>MODULE TYPE DEFECT ANALYSIS - June 2026</t>
        </is>
      </c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61" t="n"/>
      <c r="U58" s="166" t="n"/>
      <c r="V58" s="170" t="n"/>
      <c r="W58" s="170" t="n"/>
      <c r="X58" s="170" t="n"/>
      <c r="Y58" s="170" t="n"/>
      <c r="Z58" s="170" t="n"/>
    </row>
    <row r="59">
      <c r="A59" s="156" t="n"/>
      <c r="B59" s="156" t="n"/>
      <c r="C59" s="156" t="n"/>
      <c r="D59" s="156" t="n"/>
      <c r="E59" s="156" t="n"/>
      <c r="F59" s="156" t="n"/>
      <c r="G59" s="156" t="n"/>
      <c r="H59" s="156" t="n"/>
      <c r="I59" s="156" t="n"/>
      <c r="J59" s="156" t="n"/>
      <c r="K59" s="156" t="n"/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61" t="n"/>
      <c r="U59" s="166" t="n"/>
      <c r="V59" s="170" t="n"/>
      <c r="W59" s="170" t="n"/>
      <c r="X59" s="170" t="n"/>
      <c r="Y59" s="170" t="n"/>
      <c r="Z59" s="170" t="n"/>
    </row>
    <row r="60">
      <c r="A60" s="156" t="n"/>
      <c r="B60" s="156" t="n"/>
      <c r="C60" s="156" t="n"/>
      <c r="D60" s="156" t="n"/>
      <c r="E60" s="156" t="n"/>
      <c r="F60" s="156" t="n"/>
      <c r="G60" s="156" t="n"/>
      <c r="H60" s="156" t="n"/>
      <c r="I60" s="156" t="n"/>
      <c r="J60" s="156" t="n"/>
      <c r="K60" s="156" t="n"/>
      <c r="L60" s="156" t="n"/>
      <c r="M60" s="156" t="n"/>
      <c r="N60" s="156" t="n"/>
      <c r="O60" s="156" t="n"/>
      <c r="P60" s="156" t="n"/>
      <c r="Q60" s="156" t="n"/>
      <c r="R60" s="156" t="n"/>
      <c r="S60" s="156" t="n"/>
      <c r="T60" s="161" t="n"/>
      <c r="U60" s="166" t="n"/>
      <c r="V60" s="170" t="n"/>
      <c r="W60" s="170" t="n"/>
      <c r="X60" s="170" t="n"/>
      <c r="Y60" s="170" t="n"/>
      <c r="Z60" s="170" t="n"/>
    </row>
    <row r="61">
      <c r="A61" s="156" t="n"/>
      <c r="B61" s="156" t="n"/>
      <c r="C61" s="156" t="n"/>
      <c r="D61" s="156" t="n"/>
      <c r="E61" s="156" t="n"/>
      <c r="F61" s="156" t="n"/>
      <c r="G61" s="156" t="n"/>
      <c r="H61" s="156" t="n"/>
      <c r="I61" s="156" t="n"/>
      <c r="J61" s="156" t="n"/>
      <c r="K61" s="156" t="n"/>
      <c r="L61" s="156" t="n"/>
      <c r="M61" s="156" t="n"/>
      <c r="N61" s="156" t="n"/>
      <c r="O61" s="156" t="n"/>
      <c r="P61" s="156" t="n"/>
      <c r="Q61" s="156" t="n"/>
      <c r="R61" s="156" t="n"/>
      <c r="S61" s="156" t="n"/>
      <c r="T61" s="161" t="n"/>
      <c r="U61" s="166" t="n"/>
      <c r="V61" s="170" t="n"/>
      <c r="W61" s="170" t="n"/>
      <c r="X61" s="170" t="n"/>
      <c r="Y61" s="170" t="n"/>
      <c r="Z61" s="170" t="n"/>
    </row>
    <row r="62">
      <c r="A62" s="156" t="n"/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61" t="n"/>
      <c r="U62" s="166" t="n"/>
      <c r="V62" s="170" t="n"/>
      <c r="W62" s="170" t="n"/>
      <c r="X62" s="170" t="n"/>
      <c r="Y62" s="170" t="n"/>
      <c r="Z62" s="170" t="n"/>
    </row>
    <row r="63">
      <c r="A63" s="156" t="n"/>
      <c r="B63" s="156" t="n"/>
      <c r="C63" s="156" t="n"/>
      <c r="D63" s="156" t="n"/>
      <c r="E63" s="156" t="n"/>
      <c r="F63" s="156" t="n"/>
      <c r="G63" s="156" t="n"/>
      <c r="H63" s="156" t="n"/>
      <c r="I63" s="156" t="n"/>
      <c r="J63" s="156" t="n"/>
      <c r="K63" s="156" t="n"/>
      <c r="L63" s="156" t="n"/>
      <c r="M63" s="156" t="n"/>
      <c r="N63" s="156" t="n"/>
      <c r="O63" s="156" t="n"/>
      <c r="P63" s="156" t="n"/>
      <c r="Q63" s="156" t="n"/>
      <c r="R63" s="156" t="n"/>
      <c r="S63" s="156" t="n"/>
      <c r="T63" s="161" t="n"/>
      <c r="U63" s="166" t="n"/>
      <c r="V63" s="170" t="n"/>
      <c r="W63" s="170" t="n"/>
      <c r="X63" s="170" t="n"/>
      <c r="Y63" s="170" t="n"/>
      <c r="Z63" s="170" t="n"/>
    </row>
    <row r="64">
      <c r="A64" s="156" t="n"/>
      <c r="B64" s="156" t="n"/>
      <c r="C64" s="156" t="n"/>
      <c r="D64" s="156" t="n"/>
      <c r="E64" s="156" t="n"/>
      <c r="F64" s="156" t="n"/>
      <c r="G64" s="156" t="n"/>
      <c r="H64" s="156" t="n"/>
      <c r="I64" s="156" t="n"/>
      <c r="J64" s="156" t="n"/>
      <c r="K64" s="156" t="n"/>
      <c r="L64" s="156" t="n"/>
      <c r="M64" s="156" t="n"/>
      <c r="N64" s="156" t="n"/>
      <c r="O64" s="156" t="n"/>
      <c r="P64" s="156" t="n"/>
      <c r="Q64" s="156" t="n"/>
      <c r="R64" s="156" t="n"/>
      <c r="S64" s="156" t="n"/>
      <c r="T64" s="161" t="n"/>
      <c r="U64" s="166" t="n"/>
      <c r="V64" s="170" t="n"/>
      <c r="W64" s="170" t="n"/>
      <c r="X64" s="170" t="n"/>
      <c r="Y64" s="170" t="n"/>
      <c r="Z64" s="170" t="n"/>
    </row>
    <row r="65">
      <c r="A65" s="156" t="n"/>
      <c r="B65" s="156" t="n"/>
      <c r="C65" s="156" t="n"/>
      <c r="D65" s="156" t="n"/>
      <c r="E65" s="156" t="n"/>
      <c r="F65" s="156" t="n"/>
      <c r="G65" s="156" t="n"/>
      <c r="H65" s="156" t="n"/>
      <c r="I65" s="156" t="n"/>
      <c r="J65" s="156" t="n"/>
      <c r="K65" s="156" t="n"/>
      <c r="L65" s="156" t="n"/>
      <c r="M65" s="156" t="n"/>
      <c r="N65" s="156" t="n"/>
      <c r="O65" s="156" t="n"/>
      <c r="P65" s="156" t="n"/>
      <c r="Q65" s="156" t="n"/>
      <c r="R65" s="156" t="n"/>
      <c r="S65" s="156" t="n"/>
      <c r="T65" s="161" t="n"/>
      <c r="U65" s="166" t="n"/>
      <c r="V65" s="170" t="n"/>
      <c r="W65" s="170" t="n"/>
      <c r="X65" s="170" t="n"/>
      <c r="Y65" s="170" t="n"/>
      <c r="Z65" s="170" t="n"/>
    </row>
    <row r="66">
      <c r="A66" s="156" t="n"/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61" t="n"/>
      <c r="U66" s="166" t="n"/>
      <c r="V66" s="170" t="n"/>
      <c r="W66" s="170" t="n"/>
      <c r="X66" s="170" t="n"/>
      <c r="Y66" s="170" t="n"/>
      <c r="Z66" s="170" t="n"/>
    </row>
    <row r="67">
      <c r="A67" s="156" t="n"/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61" t="n"/>
      <c r="U67" s="166" t="n"/>
      <c r="V67" s="170" t="n"/>
      <c r="W67" s="170" t="n"/>
      <c r="X67" s="170" t="n"/>
      <c r="Y67" s="170" t="n"/>
      <c r="Z67" s="170" t="n"/>
    </row>
    <row r="68">
      <c r="A68" s="156" t="n"/>
      <c r="B68" s="156" t="n"/>
      <c r="C68" s="156" t="n"/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56" t="n"/>
      <c r="M68" s="156" t="n"/>
      <c r="N68" s="156" t="n"/>
      <c r="O68" s="156" t="n"/>
      <c r="P68" s="156" t="n"/>
      <c r="Q68" s="156" t="n"/>
      <c r="R68" s="156" t="n"/>
      <c r="S68" s="156" t="n"/>
      <c r="T68" s="161" t="n"/>
      <c r="U68" s="166" t="n"/>
      <c r="V68" s="170" t="n"/>
      <c r="W68" s="170" t="n"/>
      <c r="X68" s="170" t="n"/>
      <c r="Y68" s="170" t="n"/>
      <c r="Z68" s="170" t="n"/>
    </row>
    <row r="69">
      <c r="A69" s="156" t="n"/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61" t="n"/>
      <c r="U69" s="166" t="n"/>
      <c r="V69" s="170" t="n"/>
      <c r="W69" s="170" t="n"/>
      <c r="X69" s="170" t="n"/>
      <c r="Y69" s="170" t="n"/>
      <c r="Z69" s="170" t="n"/>
    </row>
    <row r="70">
      <c r="A70" s="156" t="n"/>
      <c r="B70" s="156" t="n"/>
      <c r="C70" s="156" t="n"/>
      <c r="D70" s="156" t="n"/>
      <c r="E70" s="156" t="n"/>
      <c r="F70" s="156" t="n"/>
      <c r="G70" s="156" t="n"/>
      <c r="H70" s="156" t="n"/>
      <c r="I70" s="156" t="n"/>
      <c r="J70" s="156" t="n"/>
      <c r="K70" s="156" t="n"/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61" t="n"/>
      <c r="U70" s="166" t="n"/>
      <c r="V70" s="170" t="n"/>
      <c r="W70" s="170" t="n"/>
      <c r="X70" s="170" t="n"/>
      <c r="Y70" s="170" t="n"/>
      <c r="Z70" s="170" t="n"/>
    </row>
    <row r="71">
      <c r="A71" s="156" t="n"/>
      <c r="B71" s="156" t="n"/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61" t="n"/>
      <c r="U71" s="166" t="n"/>
      <c r="V71" s="170" t="n"/>
      <c r="W71" s="170" t="n"/>
      <c r="X71" s="170" t="n"/>
      <c r="Y71" s="170" t="n"/>
      <c r="Z71" s="170" t="n"/>
    </row>
    <row r="72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61" t="n"/>
      <c r="U72" s="166" t="n"/>
      <c r="V72" s="170" t="n"/>
      <c r="W72" s="170" t="n"/>
      <c r="X72" s="170" t="n"/>
      <c r="Y72" s="170" t="n"/>
      <c r="Z72" s="170" t="n"/>
    </row>
    <row r="73">
      <c r="A73" s="156" t="n"/>
      <c r="B73" s="156" t="n"/>
      <c r="C73" s="156" t="n"/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61" t="n"/>
      <c r="U73" s="166" t="n"/>
      <c r="V73" s="170" t="n"/>
      <c r="W73" s="170" t="n"/>
      <c r="X73" s="170" t="n"/>
      <c r="Y73" s="170" t="n"/>
      <c r="Z73" s="170" t="n"/>
    </row>
    <row r="74">
      <c r="A74" s="156" t="n"/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61" t="n"/>
      <c r="U74" s="166" t="n"/>
      <c r="V74" s="170" t="n"/>
      <c r="W74" s="170" t="n"/>
      <c r="X74" s="170" t="n"/>
      <c r="Y74" s="170" t="n"/>
      <c r="Z74" s="170" t="n"/>
    </row>
    <row r="75">
      <c r="A75" s="156" t="n"/>
      <c r="B75" s="156" t="n"/>
      <c r="C75" s="156" t="n"/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61" t="n"/>
      <c r="U75" s="158" t="n"/>
      <c r="V75" s="170" t="n"/>
      <c r="W75" s="170" t="n"/>
      <c r="X75" s="170" t="n"/>
      <c r="Y75" s="170" t="n"/>
      <c r="Z75" s="170" t="n"/>
    </row>
    <row r="76">
      <c r="A76" s="156" t="n"/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61" t="n"/>
      <c r="U76" s="158" t="n"/>
      <c r="V76" s="170" t="n"/>
      <c r="W76" s="170" t="n"/>
      <c r="X76" s="170" t="n"/>
      <c r="Y76" s="170" t="n"/>
      <c r="Z76" s="170" t="n"/>
    </row>
    <row r="77">
      <c r="A77" s="156" t="n"/>
      <c r="B77" s="156" t="n"/>
      <c r="C77" s="156" t="n"/>
      <c r="D77" s="156" t="n"/>
      <c r="E77" s="156" t="n"/>
      <c r="F77" s="156" t="n"/>
      <c r="G77" s="156" t="n"/>
      <c r="H77" s="156" t="n"/>
      <c r="I77" s="156" t="n"/>
      <c r="J77" s="156" t="n"/>
      <c r="K77" s="156" t="n"/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61" t="n"/>
      <c r="U77" s="158" t="n"/>
      <c r="V77" s="158" t="n"/>
      <c r="W77" s="158" t="n"/>
      <c r="X77" s="159" t="n"/>
      <c r="Y77" s="159" t="n"/>
      <c r="Z77" s="159" t="n"/>
    </row>
    <row r="78">
      <c r="A78" s="156" t="n"/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61" t="n"/>
      <c r="U78" s="158" t="n"/>
      <c r="V78" s="158" t="n"/>
      <c r="W78" s="158" t="n"/>
      <c r="X78" s="159" t="n"/>
      <c r="Y78" s="159" t="n"/>
      <c r="Z78" s="159" t="n"/>
    </row>
    <row r="79">
      <c r="A79" s="156" t="n"/>
      <c r="B79" s="156" t="n"/>
      <c r="C79" s="156" t="n"/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6" t="n"/>
      <c r="O79" s="156" t="n"/>
      <c r="P79" s="156" t="n"/>
      <c r="Q79" s="156" t="n"/>
      <c r="R79" s="156" t="n"/>
      <c r="S79" s="156" t="n"/>
      <c r="T79" s="161" t="n"/>
      <c r="U79" s="158" t="n"/>
      <c r="V79" s="158" t="n"/>
      <c r="W79" s="158" t="n"/>
      <c r="X79" s="159" t="n"/>
      <c r="Y79" s="159" t="n"/>
      <c r="Z79" s="159" t="n"/>
    </row>
    <row r="80">
      <c r="U80" s="158" t="n"/>
      <c r="V80" s="158" t="n"/>
      <c r="W80" s="158" t="n"/>
      <c r="X80" s="159" t="n"/>
      <c r="Y80" s="159" t="n"/>
      <c r="Z80" s="159" t="n"/>
    </row>
  </sheetData>
  <mergeCells count="12">
    <mergeCell ref="B6:C6"/>
    <mergeCell ref="E6:F6"/>
    <mergeCell ref="H6:I6"/>
    <mergeCell ref="N6:O6"/>
    <mergeCell ref="B5:C5"/>
    <mergeCell ref="K6:L6"/>
    <mergeCell ref="B2:R2"/>
    <mergeCell ref="E5:F5"/>
    <mergeCell ref="H5:I5"/>
    <mergeCell ref="K5:L5"/>
    <mergeCell ref="B3:R3"/>
    <mergeCell ref="N5:O5"/>
  </mergeCells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Service Coordinator</dc:creator>
  <dcterms:created xsi:type="dcterms:W3CDTF">2026-05-05T10:35:14Z</dcterms:created>
  <dcterms:modified xsi:type="dcterms:W3CDTF">2026-07-13T11:16:05Z</dcterms:modified>
  <cp:lastModifiedBy>SERVICE DEPARTMENT</cp:lastModifiedBy>
</cp:coreProperties>
</file>